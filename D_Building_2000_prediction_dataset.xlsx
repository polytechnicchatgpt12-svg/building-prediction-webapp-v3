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e55f8ce14f4c19" /></Relationships>
</file>

<file path=xl/workbook.xml><?xml version="1.0" encoding="utf-8"?>
<x:workbook xmlns:x="http://schemas.openxmlformats.org/spreadsheetml/2006/main">
  <x:sheets>
    <x:sheet xmlns:r="http://schemas.openxmlformats.org/officeDocument/2006/relationships" name="Read_Me" sheetId="1" r:id="Rb9e5b367e61e41c6"/>
    <x:sheet xmlns:r="http://schemas.openxmlformats.org/officeDocument/2006/relationships" name="Inputs" sheetId="2" r:id="Recc8fbb3f5754c7f"/>
    <x:sheet xmlns:r="http://schemas.openxmlformats.org/officeDocument/2006/relationships" name="Targets" sheetId="3" r:id="R96cea69a530b4d4c"/>
    <x:sheet xmlns:r="http://schemas.openxmlformats.org/officeDocument/2006/relationships" name="Outcome_Explanation" sheetId="4" r:id="R39d08bab51ea4e0b"/>
    <x:sheet xmlns:r="http://schemas.openxmlformats.org/officeDocument/2006/relationships" name="Realism_Methodology" sheetId="5" r:id="Rb8b372e042d04387"/>
  </x:sheets>
</x:workbook>
</file>

<file path=xl/sharedStrings.xml><?xml version="1.0" encoding="utf-8"?>
<x:sst xmlns:x="http://schemas.openxmlformats.org/spreadsheetml/2006/main">
  <x:si>
    <x:t xml:space="preserve">How to use this file</x:t>
  </x:si>
  <x:si>
    <x:t xml:space="preserve">1) Inputs sheet: revised predictor variables only, now made more realistic and internally consistent.</x:t>
  </x:si>
  <x:si>
    <x:t xml:space="preserve">2) Targets sheet: revised outputs / training targets. Risk level is now tied to weighted project risk drivers.</x:t>
  </x:si>
  <x:si>
    <x:t xml:space="preserve">3) Outcome_Explanation sheet: primary and secondary causes remain outside the model to avoid leakage.</x:t>
  </x:si>
  <x:si>
    <x:t xml:space="preserve">4) Added helper columns in Inputs: Avg_Floor_Plate_m2, Planned_Unit_Cost_per_m2, Schedule_Days_per_1000_m2.</x:t>
  </x:si>
  <x:si>
    <x:t xml:space="preserve">5) Added risk helper columns in Targets: Risk_Score, Cost_Risk_Score, Schedule_Risk_Score.</x:t>
  </x:si>
  <x:si>
    <x:t xml:space="preserve">6) See Realism_Methodology sheet for the exact rules used for floors, area, structure, foundation, cost, duration, and risk.</x:t>
  </x:si>
  <x:si>
    <x:t xml:space="preserve">7) Cost_Overrun = Actual_Cost - Planned_Cost. Cost_Overrun_Percentage = Cost_Overrun / Planned_Cost.</x:t>
  </x:si>
  <x:si>
    <x:t xml:space="preserve">8) Schedule_Deviation = Actual_Duration - Planned_Duration. Schedule_Overrun_Percentage = Schedule_Deviation / Planned_Duration.</x:t>
  </x:si>
  <x:si>
    <x:t xml:space="preserve">Risk Score (0–100)</x:t>
  </x:si>
  <x:si>
    <x:t xml:space="preserve">= 100 × (</x:t>
  </x:si>
  <x:si>
    <x:t xml:space="preserve">0.20 × Complexity</x:t>
  </x:si>
  <x:si>
    <x:t xml:space="preserve">+ 0.15 × Scale/Height</x:t>
  </x:si>
  <x:si>
    <x:t xml:space="preserve">+ 0.10 × Use Criticality</x:t>
  </x:si>
  <x:si>
    <x:t xml:space="preserve">+ 0.10 × Structural/Foundation Difficulty</x:t>
  </x:si>
  <x:si>
    <x:t xml:space="preserve">+ 0.15 × Ground Risk</x:t>
  </x:si>
  <x:si>
    <x:t xml:space="preserve">+ 0.10 × Seismic</x:t>
  </x:si>
  <x:si>
    <x:t xml:space="preserve">+ 0.10 × Weather Exposure</x:t>
  </x:si>
  <x:si>
    <x:t xml:space="preserve">+ 0.05 × AQI / Environmental Drag</x:t>
  </x:si>
  <x:si>
    <x:t xml:space="preserve">+ 0.05 × Resource Pressure</x:t>
  </x:si>
  <x:si>
    <x:t xml:space="preserve">Construction Project Realism &amp; Risk Methodology</x:t>
  </x:si>
  <x:si>
    <x:t xml:space="preserve">Summary of major changes</x:t>
  </x:si>
  <x:si>
    <x:t xml:space="preserve">Field / logic area</x:t>
  </x:si>
  <x:si>
    <x:t xml:space="preserve">How it was corrected</x:t>
  </x:si>
  <x:si>
    <x:t xml:space="preserve">Rows affected</x:t>
  </x:si>
  <x:si>
    <x:t xml:space="preserve">Why this is defendable</x:t>
  </x:si>
  <x:si>
    <x:t xml:space="preserve">Floor count</x:t>
  </x:si>
  <x:si>
    <x:t xml:space="preserve">Clipped to use-based realistic ranges (Residential 2-24, Commercial 3-24, Hospital 5-18, School 1-6, Mixed-use 6-28).</x:t>
  </x:si>
  <x:si>
    <x:t xml:space="preserve">Tall hospitals and schools were reduced to more plausible ranges; extreme outliers were removed.</x:t>
  </x:si>
  <x:si>
    <x:t xml:space="preserve">Gross floor area</x:t>
  </x:si>
  <x:si>
    <x:t xml:space="preserve">Rebuilt from floors × defendable average floor plate by building use.</x:t>
  </x:si>
  <x:si>
    <x:t xml:space="preserve">This is the main area realism correction. Average floor plate now matches the project use and height.</x:t>
  </x:si>
  <x:si>
    <x:t xml:space="preserve">Structural system</x:t>
  </x:si>
  <x:si>
    <x:t xml:space="preserve">Adjusted when system was inconsistent with height/use/seismic demand.</x:t>
  </x:si>
  <x:si>
    <x:t xml:space="preserve">Examples: masonry removed from mid/high-rise cases; shear wall or steel used for taller/lateral-demand projects.</x:t>
  </x:si>
  <x:si>
    <x:t xml:space="preserve">Foundation type</x:t>
  </x:si>
  <x:si>
    <x:t xml:space="preserve">Aligned with soil + project loading (soft clay -&gt; raft/piles, high load -&gt; raft/piles, low-rise rock/sand can use strip).</x:t>
  </x:si>
  <x:si>
    <x:t xml:space="preserve">Foundation choice now follows geotechnical logic instead of random assignment.</x:t>
  </x:si>
  <x:si>
    <x:t xml:space="preserve">Bearing capacity</x:t>
  </x:si>
  <x:si>
    <x:t xml:space="preserve">Recomputed from soil type + foundation system.</x:t>
  </x:si>
  <x:si>
    <x:t xml:space="preserve">Values now fit the founding stratum and support the selected foundation.</x:t>
  </x:si>
  <x:si>
    <x:t xml:space="preserve">Weather/environment</x:t>
  </x:si>
  <x:si>
    <x:t xml:space="preserve">Weather made climate-consistent; snowy rows only remain at low temperature.</x:t>
  </x:si>
  <x:si>
    <x:t xml:space="preserve">This removed impossible combinations such as snow at hot temperatures.</x:t>
  </x:si>
  <x:si>
    <x:t xml:space="preserve">Planned cost &amp; duration</x:t>
  </x:si>
  <x:si>
    <x:t xml:space="preserve">Rebuilt from area, use, complexity, structure, foundation, seismic, and climate.</x:t>
  </x:si>
  <x:si>
    <x:t xml:space="preserve">Cost now scales with unit cost per m²; duration now scales strongly with size and complexity.</x:t>
  </x:si>
  <x:si>
    <x:t xml:space="preserve">Risk level</x:t>
  </x:si>
  <x:si>
    <x:t xml:space="preserve">Derived from weighted risk drivers instead of arbitrary labels.</x:t>
  </x:si>
  <x:si>
    <x:t xml:space="preserve">Risk category is now explainable and tied to measurable project conditions.</x:t>
  </x:si>
  <x:si>
    <x:t xml:space="preserve">Use-based geometry rules</x:t>
  </x:si>
  <x:si>
    <x:t xml:space="preserve">Building use</x:t>
  </x:si>
  <x:si>
    <x:t xml:space="preserve">Typical floors range</x:t>
  </x:si>
  <x:si>
    <x:t xml:space="preserve">Target average floor plate (m²/floor)</x:t>
  </x:si>
  <x:si>
    <x:t xml:space="preserve">Comment</x:t>
  </x:si>
  <x:si>
    <x:t xml:space="preserve">Residential</x:t>
  </x:si>
  <x:si>
    <x:t xml:space="preserve">2-24</x:t>
  </x:si>
  <x:si>
    <x:t xml:space="preserve">500-1200</x:t>
  </x:si>
  <x:si>
    <x:t xml:space="preserve">Allows low-rise blocks and high-rise towers, but removes very tiny tower plates.</x:t>
  </x:si>
  <x:si>
    <x:t xml:space="preserve">Commercial</x:t>
  </x:si>
  <x:si>
    <x:t xml:space="preserve">3-24</x:t>
  </x:si>
  <x:si>
    <x:t xml:space="preserve">900-2200</x:t>
  </x:si>
  <x:si>
    <x:t xml:space="preserve">Fits offices, retail, and commercial podium/tower layouts.</x:t>
  </x:si>
  <x:si>
    <x:t xml:space="preserve">Hospital</x:t>
  </x:si>
  <x:si>
    <x:t xml:space="preserve">5-18</x:t>
  </x:si>
  <x:si>
    <x:t xml:space="preserve">1400-3000</x:t>
  </x:si>
  <x:si>
    <x:t xml:space="preserve">Keeps hospitals larger per floor because clinical planning needs wider plates.</x:t>
  </x:si>
  <x:si>
    <x:t xml:space="preserve">School</x:t>
  </x:si>
  <x:si>
    <x:t xml:space="preserve">1-6</x:t>
  </x:si>
  <x:si>
    <x:t xml:space="preserve">Fits normal school buildings and urban mid-rise campuses.</x:t>
  </x:si>
  <x:si>
    <x:t xml:space="preserve">Mixed-use</x:t>
  </x:si>
  <x:si>
    <x:t xml:space="preserve">6-28</x:t>
  </x:si>
  <x:si>
    <x:t xml:space="preserve">Allows podium/tower mixed-use schemes without unrealistically tiny plates.</x:t>
  </x:si>
  <x:si>
    <x:t xml:space="preserve">Risk score formula</x:t>
  </x:si>
  <x:si>
    <x:t xml:space="preserve">Final Risk Score (0-100)</x:t>
  </x:si>
  <x:si>
    <x:t xml:space="preserve">= 100 × (0.20×Complexity + 0.15×Scale/Height + 0.10×Use Criticality + 0.10×Structural/Foundation Difficulty + 0.15×Ground Risk + 0.10×Seismic + 0.10×Weather Exposure + 0.05×AQI + 0.05×Resource Pressure)</x:t>
  </x:si>
  <x:si>
    <x:t xml:space="preserve">Thresholds: Low &lt; 45 | Medium = 45 to 66.9 | High &gt;= 67</x:t>
  </x:si>
  <x:si>
    <x:t xml:space="preserve">Factor</x:t>
  </x:si>
  <x:si>
    <x:t xml:space="preserve">How the factor is scored (0 to 1)</x:t>
  </x:si>
  <x:si>
    <x:t xml:space="preserve">Weight in final risk</x:t>
  </x:si>
  <x:si>
    <x:t xml:space="preserve">Reason for weight</x:t>
  </x:si>
  <x:si>
    <x:t xml:space="preserve">Complexity</x:t>
  </x:si>
  <x:si>
    <x:t xml:space="preserve">Low = 0.25, Medium = 0.55, High = 0.85</x:t>
  </x:si>
  <x:si>
    <x:t xml:space="preserve">0.20</x:t>
  </x:si>
  <x:si>
    <x:t xml:space="preserve">Main driver of coordination, rework, and execution uncertainty.</x:t>
  </x:si>
  <x:si>
    <x:t xml:space="preserve">Scale / height</x:t>
  </x:si>
  <x:si>
    <x:t xml:space="preserve">0.55×normalized GFA + 0.45×normalized floors</x:t>
  </x:si>
  <x:si>
    <x:t xml:space="preserve">0.15</x:t>
  </x:si>
  <x:si>
    <x:t xml:space="preserve">Larger and taller projects are harder to deliver.</x:t>
  </x:si>
  <x:si>
    <x:t xml:space="preserve">Use criticality</x:t>
  </x:si>
  <x:si>
    <x:t xml:space="preserve">Residential 0.25, School 0.35, Commercial 0.45, Mixed-use 0.65, Hospital 0.80</x:t>
  </x:si>
  <x:si>
    <x:t xml:space="preserve">0.10</x:t>
  </x:si>
  <x:si>
    <x:t xml:space="preserve">Hospitals and mixed-use projects require more interfaces and higher service intensity.</x:t>
  </x:si>
  <x:si>
    <x:t xml:space="preserve">Structural / foundation difficulty</x:t>
  </x:si>
  <x:si>
    <x:t xml:space="preserve">0.60×system difficulty + 0.40×foundation difficulty</x:t>
  </x:si>
  <x:si>
    <x:t xml:space="preserve">Steel / shear systems and piled foundations raise execution complexity.</x:t>
  </x:si>
  <x:si>
    <x:t xml:space="preserve">Ground risk</x:t>
  </x:si>
  <x:si>
    <x:t xml:space="preserve">0.75×soil risk + 0.25×bearing-capacity penalty</x:t>
  </x:si>
  <x:si>
    <x:t xml:space="preserve">Poor soil and low bearing capacity are strong sources of cost and delay.</x:t>
  </x:si>
  <x:si>
    <x:t xml:space="preserve">Seismic demand</x:t>
  </x:si>
  <x:si>
    <x:t xml:space="preserve">Low 0.20, Medium 0.50, High 0.80</x:t>
  </x:si>
  <x:si>
    <x:t xml:space="preserve">Higher seismic demand raises detailing, inspection, and execution risk.</x:t>
  </x:si>
  <x:si>
    <x:t xml:space="preserve">Weather exposure</x:t>
  </x:si>
  <x:si>
    <x:t xml:space="preserve">Weather score + climate modifier</x:t>
  </x:si>
  <x:si>
    <x:t xml:space="preserve">Rain, storms, snow, and humid climates disrupt productivity and sequencing.</x:t>
  </x:si>
  <x:si>
    <x:t xml:space="preserve">Air quality / environmental drag</x:t>
  </x:si>
  <x:si>
    <x:t xml:space="preserve">Normalized from AQI</x:t>
  </x:si>
  <x:si>
    <x:t xml:space="preserve">0.05</x:t>
  </x:si>
  <x:si>
    <x:t xml:space="preserve">Poor site environment can reduce productivity and logistics reliability.</x:t>
  </x:si>
  <x:si>
    <x:t xml:space="preserve">Resource pressure</x:t>
  </x:si>
  <x:si>
    <x:t xml:space="preserve">0.45×equipment + 0.25×material intensity + 0.30×labor intensity</x:t>
  </x:si>
  <x:si>
    <x:t xml:space="preserve">High resource pressure makes the project less resilient to disruption.</x:t>
  </x:si>
  <x:si>
    <x:t xml:space="preserve">Target outcome logic</x:t>
  </x:si>
  <x:si>
    <x:t xml:space="preserve">Cost risk score</x:t>
  </x:si>
  <x:si>
    <x:t xml:space="preserve">Weighted from the same drivers, but with more emphasis on complexity, ground risk, structure/foundation, and material pressure.</x:t>
  </x:si>
  <x:si>
    <x:t xml:space="preserve">Used to generate defendable cost overrun percentages.</x:t>
  </x:si>
  <x:si>
    <x:t xml:space="preserve">Schedule risk score</x:t>
  </x:si>
  <x:si>
    <x:t xml:space="preserve">Weighted from the same drivers, but with more emphasis on weather exposure, scale, and resource pressure.</x:t>
  </x:si>
  <x:si>
    <x:t xml:space="preserve">Used to generate defendable schedule overrun percentages.</x:t>
  </x:si>
  <x:si>
    <x:t xml:space="preserve">Cost overrun percentage</x:t>
  </x:si>
  <x:si>
    <x:t xml:space="preserve">Cost_Overrun_% = clamp(-0.05 + 0.34 × (Cost_Risk_Score / 100) + calibration factor, risk-band limits)</x:t>
  </x:si>
  <x:si>
    <x:t xml:space="preserve">Calibration factor is a small deterministic variation (about ±3%) so projects are not unrealistically identical.</x:t>
  </x:si>
  <x:si>
    <x:t xml:space="preserve">Schedule overrun percentage</x:t>
  </x:si>
  <x:si>
    <x:t xml:space="preserve">Schedule_Overrun_% = clamp(-0.06 + 0.38 × (Schedule_Risk_Score / 100) + calibration factor, risk-band limits)</x:t>
  </x:si>
  <x:si>
    <x:t xml:space="preserve">Calibration factor is a small deterministic variation (about ±4%) so projects are not unrealistically identical.</x:t>
  </x:si>
  <x:si>
    <x:t xml:space="preserve">Risk-band limits</x:t>
  </x:si>
  <x:si>
    <x:t xml:space="preserve">Low projects are capped at very small overruns; Medium projects are capped at moderate overruns; High projects are allowed larger overruns.</x:t>
  </x:si>
  <x:si>
    <x:t xml:space="preserve">This keeps the final outcomes aligned with the assigned risk level.</x:t>
  </x:si>
  <x:si>
    <x:t xml:space="preserve">How to explain it to a professor</x:t>
  </x:si>
  <x:si>
    <x:t xml:space="preserve">Suggested defense sentence</x:t>
  </x:si>
  <x:si>
    <x:t xml:space="preserve">I did not leave the risk labels arbitrary. I rebuilt them from weighted project drivers that practitioners would normally watch: complexity, size/height, use criticality, structural and foundation difficulty, ground conditions, seismic demand, weather exposure, environmental drag, and resource pressure. The final cost and schedule outcomes were then bounded by those risk scores so the targets and the risk labels stay logically aligned.</x:t>
  </x:si>
</x:sst>
</file>

<file path=xl/styles.xml><?xml version="1.0" encoding="utf-8"?>
<x:styleSheet xmlns:x="http://schemas.openxmlformats.org/spreadsheetml/2006/main">
  <x:numFmts count="3">
    <x:numFmt numFmtId="164" formatCode="0.0000"/>
    <x:numFmt numFmtId="165" formatCode="0.0"/>
    <x:numFmt numFmtId="166" formatCode="0.0%"/>
  </x:numFmts>
  <x:fonts count="5">
    <x:font>
      <x:sz val="11"/>
      <x:name val="Carlito"/>
    </x:font>
    <x:font>
      <x:b/>
      <x:sz val="11"/>
      <x:color rgb="FFFFFF"/>
      <x:name val="Carlito"/>
    </x:font>
    <x:font>
      <x:b/>
      <x:sz val="14"/>
      <x:color rgb="FFFFFF"/>
      <x:name val="Carlito"/>
    </x:font>
    <x:font>
      <x:b/>
      <x:sz val="11"/>
      <x:name val="Carlito"/>
    </x:font>
    <x:font>
      <x:b/>
      <x:sz val="11"/>
      <x:color rgb="1F1F1F"/>
      <x:name val="Carlito"/>
    </x:font>
  </x:fonts>
  <x:fills count="9">
    <x:fill>
      <x:patternFill patternType="none"/>
    </x:fill>
    <x:fill>
      <x:patternFill patternType="gray125"/>
    </x:fill>
    <x:fill>
      <x:patternFill patternType="solid">
        <x:fgColor rgb="1F4E78"/>
      </x:patternFill>
    </x:fill>
    <x:fill>
      <x:patternFill patternType="solid">
        <x:fgColor rgb="D9EAF7"/>
      </x:patternFill>
    </x:fill>
    <x:fill>
      <x:patternFill patternType="solid">
        <x:fgColor rgb="1F4E78"/>
      </x:patternFill>
    </x:fill>
    <x:fill>
      <x:patternFill patternType="solid">
        <x:fgColor rgb="17365D"/>
      </x:patternFill>
    </x:fill>
    <x:fill>
      <x:patternFill patternType="solid">
        <x:fgColor rgb="F5F9FD"/>
      </x:patternFill>
    </x:fill>
    <x:fill>
      <x:patternFill patternType="solid">
        <x:fgColor rgb="D9EAF7"/>
      </x:patternFill>
    </x:fill>
    <x:fill>
      <x:patternFill patternType="solid">
        <x:fgColor rgb="1F4E78"/>
      </x:patternFill>
    </x:fill>
  </x:fills>
  <x:borders count="7">
    <x:border/>
    <x:border>
      <x:left style="thin">
        <x:color rgb="7EA6C4"/>
      </x:left>
      <x:top style="thin">
        <x:color rgb="7EA6C4"/>
      </x:top>
    </x:border>
    <x:border>
      <x:right style="thin">
        <x:color rgb="7EA6C4"/>
      </x:right>
      <x:top style="thin">
        <x:color rgb="7EA6C4"/>
      </x:top>
    </x:border>
    <x:border>
      <x:left style="thin">
        <x:color rgb="7EA6C4"/>
      </x:left>
    </x:border>
    <x:border>
      <x:right style="thin">
        <x:color rgb="7EA6C4"/>
      </x:right>
    </x:border>
    <x:border>
      <x:left style="thin">
        <x:color rgb="7EA6C4"/>
      </x:left>
      <x:bottom style="thin">
        <x:color rgb="7EA6C4"/>
      </x:bottom>
    </x:border>
    <x:border>
      <x:right style="thin">
        <x:color rgb="7EA6C4"/>
      </x:right>
      <x:bottom style="thin">
        <x:color rgb="7EA6C4"/>
      </x:bottom>
    </x:border>
  </x:borders>
  <x:cellStyleXfs count="1">
    <x:xf numFmtId="0" fontId="0" fillId="0" borderId="0"/>
  </x:cellStyleXfs>
  <x:cellXfs count="33">
    <x:xf numFmtId="0" fontId="0" fillId="0" borderId="0" xfId="0"/>
    <x:xf numFmtId="0" fontId="3" fillId="3"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164"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166" fontId="0" fillId="0" borderId="0" xfId="0" applyNumberFormat="1" applyFont="1" applyFill="1" applyBorder="1" applyAlignment="1">
      <x:alignment wrapText="1"/>
    </x:xf>
    <x:xf numFmtId="3" fontId="0" fillId="0" borderId="0" xfId="0" applyNumberFormat="1" applyFont="1" applyFill="1" applyBorder="1" applyAlignment="1">
      <x:alignment wrapText="1"/>
    </x:xf>
    <x:xf numFmtId="0" fontId="2" fillId="5" borderId="0" xfId="0" applyNumberFormat="1" applyFont="1" applyFill="1" applyBorder="1" applyAlignment="1">
      <x:alignment wrapText="1"/>
    </x:xf>
    <x:xf numFmtId="0" fontId="0" fillId="6" borderId="0" xfId="0" applyNumberFormat="1" applyFont="1" applyFill="1" applyBorder="1" applyAlignment="1">
      <x:alignment wrapText="1"/>
    </x:xf>
    <x:xf numFmtId="0" fontId="4"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1" fillId="8" borderId="1"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3" xfId="0" applyNumberFormat="1" applyFont="1" applyFill="1" applyBorder="1" applyAlignment="1">
      <x:alignment horizontal="center"/>
    </x:xf>
    <x:xf numFmtId="0" fontId="0" fillId="0" borderId="4" xfId="0" applyNumberFormat="1" applyFont="1" applyFill="1" applyBorder="1" applyAlignment="1">
      <x:alignment horizontal="center"/>
    </x:xf>
    <x:xf numFmtId="0" fontId="0" fillId="0" borderId="5" xfId="0" applyNumberFormat="1" applyFont="1" applyFill="1" applyBorder="1" applyAlignment="1">
      <x:alignment horizontal="center"/>
    </x:xf>
    <x:xf numFmtId="0" fontId="0" fillId="0" borderId="6" xfId="0" applyNumberFormat="1" applyFont="1" applyFill="1" applyBorder="1" applyAlignment="1">
      <x:alignment horizontal="center"/>
    </x:xf>
    <x:xf numFmtId="0" fontId="0" fillId="0" borderId="3" xfId="0" applyNumberFormat="1" applyFont="1" applyFill="1" applyBorder="1" applyAlignment="1">
      <x:alignment horizontal="center" vertical="center"/>
    </x:xf>
    <x:xf numFmtId="0" fontId="0" fillId="0" borderId="4" xfId="0" applyNumberFormat="1" applyFont="1" applyFill="1" applyBorder="1" applyAlignment="1">
      <x:alignment horizontal="center" vertical="center"/>
    </x:xf>
    <x:xf numFmtId="0" fontId="0" fillId="0" borderId="5" xfId="0" applyNumberFormat="1" applyFont="1" applyFill="1" applyBorder="1" applyAlignment="1">
      <x:alignment horizontal="center" vertical="center"/>
    </x:xf>
    <x:xf numFmtId="0" fontId="0" fillId="0" borderId="6" xfId="0" applyNumberFormat="1" applyFont="1" applyFill="1" applyBorder="1" applyAlignment="1">
      <x:alignment horizontal="center" vertical="center"/>
    </x:xf>
    <x:xf numFmtId="0" fontId="3" fillId="0" borderId="0" xfId="0" applyNumberFormat="1" applyFont="1" applyFill="1" applyBorder="1" applyAlignment="1">
      <x:alignment wrapText="1"/>
    </x:xf>
  </x:cellXfs>
  <x:cellStyles count="1">
    <x:cellStyle name="Normal" xfId="0"/>
  </x:cellStyles>
  <x:dxfs count="9">
    <x:dxf>
      <x:fill>
        <x:patternFill>
          <x:bgColor rgb="FFE2F0D9"/>
        </x:patternFill>
      </x:fill>
    </x:dxf>
    <x:dxf>
      <x:fill>
        <x:patternFill>
          <x:bgColor rgb="FFFFF2CC"/>
        </x:patternFill>
      </x:fill>
    </x:dxf>
    <x:dxf>
      <x:fill>
        <x:patternFill>
          <x:bgColor rgb="FFFDE9E7"/>
        </x:patternFill>
      </x:fill>
    </x:dxf>
    <x:dxf>
      <x:font>
        <x:color rgb="375623"/>
      </x:font>
      <x:fill>
        <x:patternFill>
          <x:bgColor rgb="E2F0D9"/>
        </x:patternFill>
      </x:fill>
    </x:dxf>
    <x:dxf>
      <x:font>
        <x:color rgb="7F6000"/>
      </x:font>
      <x:fill>
        <x:patternFill>
          <x:bgColor rgb="FFF2CC"/>
        </x:patternFill>
      </x:fill>
    </x:dxf>
    <x:dxf>
      <x:font>
        <x:color rgb="9C0006"/>
      </x:font>
      <x:fill>
        <x:patternFill>
          <x:bgColor rgb="FCE4D6"/>
        </x:patternFill>
      </x:fill>
    </x:dxf>
    <x:dxf>
      <x:font>
        <x:color rgb="375623"/>
      </x:font>
      <x:fill>
        <x:patternFill>
          <x:bgColor rgb="E2F0D9"/>
        </x:patternFill>
      </x:fill>
    </x:dxf>
    <x:dxf>
      <x:font>
        <x:color rgb="7F6000"/>
      </x:font>
      <x:fill>
        <x:patternFill>
          <x:bgColor rgb="FFF2CC"/>
        </x:patternFill>
      </x:fill>
    </x:dxf>
    <x:dxf>
      <x:font>
        <x:color rgb="9C0006"/>
      </x:font>
      <x:fill>
        <x:patternFill>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b85c6d6aae4656" /><Relationship Type="http://schemas.openxmlformats.org/officeDocument/2006/relationships/theme" Target="/xl/theme/theme1.xml" Id="R8ba428ea2c374538" /><Relationship Type="http://schemas.openxmlformats.org/officeDocument/2006/relationships/sharedStrings" Target="/xl/sharedStrings.xml" Id="R79e89dc8699142fd" /><Relationship Type="http://schemas.openxmlformats.org/officeDocument/2006/relationships/worksheet" Target="/xl/worksheets/sheet1.xml" Id="Rb9e5b367e61e41c6" /><Relationship Type="http://schemas.openxmlformats.org/officeDocument/2006/relationships/worksheet" Target="/xl/worksheets/sheet2.xml" Id="Recc8fbb3f5754c7f" /><Relationship Type="http://schemas.openxmlformats.org/officeDocument/2006/relationships/worksheet" Target="/xl/worksheets/sheet3.xml" Id="R96cea69a530b4d4c" /><Relationship Type="http://schemas.openxmlformats.org/officeDocument/2006/relationships/worksheet" Target="/xl/worksheets/sheet4.xml" Id="R39d08bab51ea4e0b" /><Relationship Type="http://schemas.openxmlformats.org/officeDocument/2006/relationships/worksheet" Target="/xl/worksheets/sheet5.xml" Id="Rb8b372e042d04387" /></Relationships>
</file>

<file path=xl/tables/table1.xml><?xml version="1.0" encoding="utf-8"?>
<x:table xmlns:x="http://schemas.openxmlformats.org/spreadsheetml/2006/main" id="1" name="InputsTable" displayName="InputsTable" ref="A1:T191">
  <x:tableColumns count="20">
    <x:tableColumn id="1" name="Project_ID"/>
    <x:tableColumn id="2" name="Climate_Zone"/>
    <x:tableColumn id="3" name="Gross_Floor_Area_m2"/>
    <x:tableColumn id="4" name="Floors_Count"/>
    <x:tableColumn id="5" name="Complexity_Level"/>
    <x:tableColumn id="6" name="Building_Use_Type"/>
    <x:tableColumn id="7" name="Structural_System"/>
    <x:tableColumn id="8" name="Foundation_Type"/>
    <x:tableColumn id="9" name="Soil_Type"/>
    <x:tableColumn id="10" name="Seismic_Zone_or_PGA"/>
    <x:tableColumn id="11" name="Planned_Cost"/>
    <x:tableColumn id="12" name="Planned_Duration"/>
    <x:tableColumn id="15" name="Load_Bearing_Capacity"/>
    <x:tableColumn id="16" name="Temperature"/>
    <x:tableColumn id="17" name="Humidity"/>
    <x:tableColumn id="18" name="Weather_Condition"/>
    <x:tableColumn id="19" name="Air_Quality_Index"/>
    <x:tableColumn id="20" name="Equipment_Utilization"/>
    <x:tableColumn id="25" name="Material_Intensity_per_m2"/>
    <x:tableColumn id="26" name="Labor_Intensity_hr_per_m2"/>
  </x:tableColumns>
  <x:tableStyleInfo name="TableStyleMedium2" showRowStripes="1"/>
</x:table>
</file>

<file path=xl/tables/table2.xml><?xml version="1.0" encoding="utf-8"?>
<x:table xmlns:x="http://schemas.openxmlformats.org/spreadsheetml/2006/main" id="2" name="TargetsTable" displayName="TargetsTable" ref="A1:J191">
  <x:tableColumns count="10">
    <x:tableColumn id="1" name="Project_ID"/>
    <x:tableColumn id="2" name="Planned_Cost"/>
    <x:tableColumn id="3" name="Actual_Cost"/>
    <x:tableColumn id="4" name="Cost_Overrun"/>
    <x:tableColumn id="5" name="Cost_Overrun_Percentage"/>
    <x:tableColumn id="6" name="Planned_Duration"/>
    <x:tableColumn id="7" name="Actual_Duration"/>
    <x:tableColumn id="8" name="Schedule_Deviation"/>
    <x:tableColumn id="9" name="Schedule_Overrun_Percentage"/>
    <x:tableColumn id="10" name="Risk_Level"/>
  </x:tableColumns>
  <x:tableStyleInfo name="TableStyleMedium2" showRowStripes="1"/>
</x:table>
</file>

<file path=xl/tables/table3.xml><?xml version="1.0" encoding="utf-8"?>
<x:table xmlns:x="http://schemas.openxmlformats.org/spreadsheetml/2006/main" id="3" name="ExplanationTable" displayName="ExplanationTable" ref="A1:H191">
  <x:tableColumns count="8">
    <x:tableColumn id="1" name="Project_ID"/>
    <x:tableColumn id="2" name="Cost_Overrun_Primary_Cause"/>
    <x:tableColumn id="3" name="Cost_Overrun_Secondary_Cause"/>
    <x:tableColumn id="4" name="Cost_Overrun_Top_Drivers"/>
    <x:tableColumn id="5" name="Schedule_Delay_Primary_Cause"/>
    <x:tableColumn id="6" name="Schedule_Delay_Secondary_Cause"/>
    <x:tableColumn id="7" name="Schedule_Delay_Top_Drivers"/>
    <x:tableColumn id="8" name="Result_Reason_Summa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2b7577cd984ee8" /></Relationships>
</file>

<file path=xl/worksheets/_rels/sheet3.xml.rels>&#65279;<?xml version="1.0" encoding="utf-8"?><Relationships xmlns="http://schemas.openxmlformats.org/package/2006/relationships"><Relationship Type="http://schemas.openxmlformats.org/officeDocument/2006/relationships/table" Target="/xl/tables/table2.xml" Id="R6a569952299a4d71" /></Relationships>
</file>

<file path=xl/worksheets/_rels/sheet4.xml.rels>&#65279;<?xml version="1.0" encoding="utf-8"?><Relationships xmlns="http://schemas.openxmlformats.org/package/2006/relationships"><Relationship Type="http://schemas.openxmlformats.org/officeDocument/2006/relationships/table" Target="/xl/tables/table3.xml" Id="R3f62df6bf5b44112" /></Relationships>
</file>

<file path=xl/worksheets/sheet1.xml><?xml version="1.0" encoding="utf-8"?>
<x:worksheet xmlns:x="http://schemas.openxmlformats.org/spreadsheetml/2006/main">
  <x:sheetFormatPr defaultRowHeight="13.800000190734863"/>
  <x:cols>
    <x:col min="1" max="1" width="110" customWidth="1"/>
  </x:cols>
  <x:sheetData>
    <x:row r="1" ht="13.649999618530273" customHeight="1">
      <x:c r="A1" s="2" t="str">
        <x:v>Expanded and realism-calibrated construction project workbook (2,000 projects)</x:v>
      </x:c>
    </x:row>
    <x:row r="2" ht="13.649999618530273" customHeight="1">
      <x:c r="A2" s="1" t="s">
        <x:v>0</x:v>
      </x:c>
    </x:row>
    <x:row r="3" ht="13.649999618530273" customHeight="1">
      <x:c r="A3" s="3" t="s">
        <x:v>1</x:v>
      </x:c>
    </x:row>
    <x:row r="4" ht="27.299999237060547" customHeight="1">
      <x:c r="A4" s="3" t="s">
        <x:v>2</x:v>
      </x:c>
    </x:row>
    <x:row r="5" ht="27.299999237060547" customHeight="1">
      <x:c r="A5" s="3" t="s">
        <x:v>3</x:v>
      </x:c>
    </x:row>
    <x:row r="6" ht="27.299999237060547" customHeight="1">
      <x:c r="A6" s="3" t="s">
        <x:v>4</x:v>
      </x:c>
    </x:row>
    <x:row r="7" ht="13.649999618530273" customHeight="1">
      <x:c r="A7" s="3" t="s">
        <x:v>5</x:v>
      </x:c>
    </x:row>
    <x:row r="8" ht="27.299999237060547" customHeight="1">
      <x:c r="A8" s="3" t="s">
        <x:v>6</x:v>
      </x:c>
    </x:row>
    <x:row r="9" ht="27.299999237060547" customHeight="1">
      <x:c r="A9" s="3" t="s">
        <x:v>7</x:v>
      </x:c>
    </x:row>
    <x:row r="10" ht="27.299999237060547" customHeight="1">
      <x:c r="A10" s="1" t="s">
        <x:v>8</x:v>
      </x:c>
    </x:row>
    <x:row r="11" ht="13.649999618530273" customHeight="1">
      <x:c r="A11" s="3" t="str">
        <x:v>9) Expanded from 190 to 2,000 projects using the same realism rules so the larger dataset stays logically consistent.</x:v>
      </x:c>
    </x:row>
    <x:row r="13">
      <x:c r="A13" t="s">
        <x:v>9</x:v>
      </x:c>
    </x:row>
    <x:row r="14">
      <x:c r="A14" t="s">
        <x:v>10</x:v>
      </x:c>
    </x:row>
    <x:row r="15">
      <x:c r="A15" t="s">
        <x:v>11</x:v>
      </x:c>
    </x:row>
    <x:row r="16">
      <x:c r="A16" t="s">
        <x:v>12</x:v>
      </x:c>
    </x:row>
    <x:row r="17">
      <x:c r="A17" t="s">
        <x:v>13</x:v>
      </x:c>
    </x:row>
    <x:row r="18">
      <x:c r="A18" t="s">
        <x:v>14</x:v>
      </x:c>
    </x:row>
    <x:row r="19">
      <x:c r="A19" t="s">
        <x:v>15</x:v>
      </x:c>
    </x:row>
    <x:row r="20">
      <x:c r="A20" t="s">
        <x:v>16</x:v>
      </x:c>
    </x:row>
    <x:row r="21">
      <x:c r="A21" t="s">
        <x:v>17</x:v>
      </x:c>
    </x:row>
    <x:row r="22">
      <x:c r="A22" t="s">
        <x:v>18</x:v>
      </x:c>
    </x:row>
    <x:row r="23">
      <x:c r="A23" t="s">
        <x:v>19</x:v>
      </x:c>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4" customWidth="1"/>
    <x:col min="2" max="2" width="18" customWidth="1"/>
    <x:col min="3" max="5" width="12" customWidth="1"/>
    <x:col min="6" max="6" width="16" customWidth="1"/>
    <x:col min="7" max="7" width="14" customWidth="1"/>
    <x:col min="8" max="9" width="12" customWidth="1"/>
    <x:col min="10" max="11" width="14" customWidth="1"/>
    <x:col min="12" max="13" width="12" customWidth="1"/>
    <x:col min="14" max="15" width="11" customWidth="1"/>
    <x:col min="16" max="16" width="12" customWidth="1"/>
    <x:col min="17" max="18" width="10" customWidth="1"/>
    <x:col min="19" max="19" width="11" customWidth="1"/>
    <x:col min="20" max="20" width="12" customWidth="1"/>
    <x:col min="21" max="21" width="14" customWidth="1"/>
    <x:col min="22" max="22" width="16" customWidth="1"/>
    <x:col min="23" max="23" width="18" customWidth="1"/>
  </x:cols>
  <x:sheetData>
    <x:row r="1" ht="40.95000076293945" customHeight="1">
      <x:c r="A1" s="4" t="str">
        <x:v>Project_ID</x:v>
      </x:c>
      <x:c r="B1" s="4" t="str">
        <x:v>Climate_Zone</x:v>
      </x:c>
      <x:c r="C1" s="4" t="str">
        <x:v>Gross_Floor_Area_m2</x:v>
      </x:c>
      <x:c r="D1" s="4" t="str">
        <x:v>Floors_Count</x:v>
      </x:c>
      <x:c r="E1" s="4" t="str">
        <x:v>Complexity_Level</x:v>
      </x:c>
      <x:c r="F1" s="4" t="str">
        <x:v>Building_Use_Type</x:v>
      </x:c>
      <x:c r="G1" s="4" t="str">
        <x:v>Structural_System</x:v>
      </x:c>
      <x:c r="H1" s="4" t="str">
        <x:v>Foundation_Type</x:v>
      </x:c>
      <x:c r="I1" s="4" t="str">
        <x:v>Soil_Type</x:v>
      </x:c>
      <x:c r="J1" s="4" t="str">
        <x:v>Seismic_Zone_or_PGA</x:v>
      </x:c>
      <x:c r="K1" s="4" t="str">
        <x:v>Planned_Cost</x:v>
      </x:c>
      <x:c r="L1" s="4" t="str">
        <x:v>Planned_Duration</x:v>
      </x:c>
      <x:c r="M1" s="4" t="str">
        <x:v>Load_Bearing_Capacity</x:v>
      </x:c>
      <x:c r="N1" s="4" t="str">
        <x:v>Temperature</x:v>
      </x:c>
      <x:c r="O1" s="4" t="str">
        <x:v>Humidity</x:v>
      </x:c>
      <x:c r="P1" s="4" t="str">
        <x:v>Weather_Condition</x:v>
      </x:c>
      <x:c r="Q1" s="4" t="str">
        <x:v>Air_Quality_Index</x:v>
      </x:c>
      <x:c r="R1" s="4" t="str">
        <x:v>Equipment_Utilization</x:v>
      </x:c>
      <x:c r="S1" s="4" t="str">
        <x:v>Material_Intensity_per_m2</x:v>
      </x:c>
      <x:c r="T1" s="4" t="str">
        <x:v>Labor_Intensity_hr_per_m2</x:v>
      </x:c>
      <x:c r="U1" s="4" t="str">
        <x:v>Avg_Floor_Plate_m2</x:v>
      </x:c>
      <x:c r="V1" s="4" t="str">
        <x:v>Planned_Unit_Cost_per_m2</x:v>
      </x:c>
      <x:c r="W1" s="4" t="str">
        <x:v>Schedule_Days_per_1000_m2</x:v>
      </x:c>
    </x:row>
    <x:row r="2" ht="27.299999237060547" customHeight="1">
      <x:c r="A2" s="3" t="str">
        <x:v>PJT_1</x:v>
      </x:c>
      <x:c r="B2" s="3" t="str">
        <x:v>Humid Subtropical</x:v>
      </x:c>
      <x:c r="C2" s="6" t="n">
        <x:v>23460</x:v>
      </x:c>
      <x:c r="D2" s="3" t="n">
        <x:v>23</x:v>
      </x:c>
      <x:c r="E2" s="3" t="str">
        <x:v>High</x:v>
      </x:c>
      <x:c r="F2" s="3" t="str">
        <x:v>Mixed-use</x:v>
      </x:c>
      <x:c r="G2" s="3" t="str">
        <x:v>Steel</x:v>
      </x:c>
      <x:c r="H2" s="3" t="str">
        <x:v>Piles</x:v>
      </x:c>
      <x:c r="I2" s="3" t="str">
        <x:v>Mixed</x:v>
      </x:c>
      <x:c r="J2" s="3" t="str">
        <x:v>Medium</x:v>
      </x:c>
      <x:c r="K2" s="9" t="n">
        <x:v>62098620</x:v>
      </x:c>
      <x:c r="L2" s="9" t="n">
        <x:v>1032</x:v>
      </x:c>
      <x:c r="M2" s="7" t="n">
        <x:v>290.2</x:v>
      </x:c>
      <x:c r="N2" s="7" t="n">
        <x:v>26.5</x:v>
      </x:c>
      <x:c r="O2" s="7" t="n">
        <x:v>71.4</x:v>
      </x:c>
      <x:c r="P2" s="3" t="str">
        <x:v>Cloudy</x:v>
      </x:c>
      <x:c r="Q2" s="9" t="n">
        <x:v>93</x:v>
      </x:c>
      <x:c r="R2" s="7" t="n">
        <x:v>86</x:v>
      </x:c>
      <x:c r="S2" s="5" t="n">
        <x:v>0.1039</x:v>
      </x:c>
      <x:c r="T2" s="7" t="n">
        <x:v>21</x:v>
      </x:c>
      <x:c r="U2" s="7" t="n">
        <x:f t="shared" ref="U2:U33" si="0">ROUND(C2/D2,1)</x:f>
        <x:v>1020</x:v>
      </x:c>
      <x:c r="V2" s="9" t="n">
        <x:f t="shared" ref="V2:V33" si="1">ROUND(K2/C2,0)</x:f>
        <x:v>2647</x:v>
      </x:c>
      <x:c r="W2" s="7" t="n">
        <x:f t="shared" ref="W2:W33" si="2">ROUND(L2/(C2/1000),1)</x:f>
        <x:v>44</x:v>
      </x:c>
    </x:row>
    <x:row r="3" ht="13.649999618530273" customHeight="1">
      <x:c r="A3" s="3" t="str">
        <x:v>PJT_2</x:v>
      </x:c>
      <x:c r="B3" s="3" t="str">
        <x:v>Mediterranean</x:v>
      </x:c>
      <x:c r="C3" s="6" t="n">
        <x:v>23530</x:v>
      </x:c>
      <x:c r="D3" s="3" t="n">
        <x:v>26</x:v>
      </x:c>
      <x:c r="E3" s="3" t="str">
        <x:v>High</x:v>
      </x:c>
      <x:c r="F3" s="3" t="str">
        <x:v>Mixed-use</x:v>
      </x:c>
      <x:c r="G3" s="3" t="str">
        <x:v>Steel</x:v>
      </x:c>
      <x:c r="H3" s="3" t="str">
        <x:v>Piles</x:v>
      </x:c>
      <x:c r="I3" s="3" t="str">
        <x:v>Mixed</x:v>
      </x:c>
      <x:c r="J3" s="3" t="str">
        <x:v>High</x:v>
      </x:c>
      <x:c r="K3" s="9" t="n">
        <x:v>62636860</x:v>
      </x:c>
      <x:c r="L3" s="9" t="n">
        <x:v>1063</x:v>
      </x:c>
      <x:c r="M3" s="7" t="n">
        <x:v>253.7</x:v>
      </x:c>
      <x:c r="N3" s="7" t="n">
        <x:v>16.6</x:v>
      </x:c>
      <x:c r="O3" s="7" t="n">
        <x:v>54.1</x:v>
      </x:c>
      <x:c r="P3" s="3" t="str">
        <x:v>Cloudy</x:v>
      </x:c>
      <x:c r="Q3" s="9" t="n">
        <x:v>82</x:v>
      </x:c>
      <x:c r="R3" s="7" t="n">
        <x:v>86</x:v>
      </x:c>
      <x:c r="S3" s="5" t="n">
        <x:v>0.1085</x:v>
      </x:c>
      <x:c r="T3" s="7" t="n">
        <x:v>19.9</x:v>
      </x:c>
      <x:c r="U3" s="7" t="n">
        <x:f t="shared" si="0"/>
        <x:v>905</x:v>
      </x:c>
      <x:c r="V3" s="9" t="n">
        <x:f t="shared" si="1"/>
        <x:v>2662</x:v>
      </x:c>
      <x:c r="W3" s="7" t="n">
        <x:f t="shared" si="2"/>
        <x:v>45.2</x:v>
      </x:c>
    </x:row>
    <x:row r="4" ht="13.649999618530273" customHeight="1">
      <x:c r="A4" s="3" t="str">
        <x:v>PJT_3</x:v>
      </x:c>
      <x:c r="B4" s="3" t="str">
        <x:v>Continental</x:v>
      </x:c>
      <x:c r="C4" s="6" t="n">
        <x:v>27620</x:v>
      </x:c>
      <x:c r="D4" s="3" t="n">
        <x:v>18</x:v>
      </x:c>
      <x:c r="E4" s="3" t="str">
        <x:v>High</x:v>
      </x:c>
      <x:c r="F4" s="3" t="str">
        <x:v>Hospital</x:v>
      </x:c>
      <x:c r="G4" s="3" t="str">
        <x:v>Shear Wall</x:v>
      </x:c>
      <x:c r="H4" s="3" t="str">
        <x:v>Raft</x:v>
      </x:c>
      <x:c r="I4" s="3" t="str">
        <x:v>Mixed</x:v>
      </x:c>
      <x:c r="J4" s="3" t="str">
        <x:v>Medium</x:v>
      </x:c>
      <x:c r="K4" s="9" t="n">
        <x:v>78937960</x:v>
      </x:c>
      <x:c r="L4" s="9" t="n">
        <x:v>1039</x:v>
      </x:c>
      <x:c r="M4" s="7" t="n">
        <x:v>254.9</x:v>
      </x:c>
      <x:c r="N4" s="7" t="n">
        <x:v>20.3</x:v>
      </x:c>
      <x:c r="O4" s="7" t="n">
        <x:v>55.3</x:v>
      </x:c>
      <x:c r="P4" s="3" t="str">
        <x:v>Rainy</x:v>
      </x:c>
      <x:c r="Q4" s="9" t="n">
        <x:v>90</x:v>
      </x:c>
      <x:c r="R4" s="7" t="n">
        <x:v>86</x:v>
      </x:c>
      <x:c r="S4" s="5" t="n">
        <x:v>0.1055</x:v>
      </x:c>
      <x:c r="T4" s="7" t="n">
        <x:v>21</x:v>
      </x:c>
      <x:c r="U4" s="7" t="n">
        <x:f t="shared" si="0"/>
        <x:v>1534.4</x:v>
      </x:c>
      <x:c r="V4" s="9" t="n">
        <x:f t="shared" si="1"/>
        <x:v>2858</x:v>
      </x:c>
      <x:c r="W4" s="7" t="n">
        <x:f t="shared" si="2"/>
        <x:v>37.6</x:v>
      </x:c>
    </x:row>
    <x:row r="5" ht="27.299999237060547" customHeight="1">
      <x:c r="A5" s="3" t="str">
        <x:v>PJT_4</x:v>
      </x:c>
      <x:c r="B5" s="3" t="str">
        <x:v>Humid Subtropical</x:v>
      </x:c>
      <x:c r="C5" s="6" t="n">
        <x:v>22880</x:v>
      </x:c>
      <x:c r="D5" s="3" t="n">
        <x:v>23</x:v>
      </x:c>
      <x:c r="E5" s="3" t="str">
        <x:v>High</x:v>
      </x:c>
      <x:c r="F5" s="3" t="str">
        <x:v>Commercial</x:v>
      </x:c>
      <x:c r="G5" s="3" t="str">
        <x:v>Steel</x:v>
      </x:c>
      <x:c r="H5" s="3" t="str">
        <x:v>Piles</x:v>
      </x:c>
      <x:c r="I5" s="3" t="str">
        <x:v>Soft Clay</x:v>
      </x:c>
      <x:c r="J5" s="3" t="str">
        <x:v>Low</x:v>
      </x:c>
      <x:c r="K5" s="9" t="n">
        <x:v>51274080</x:v>
      </x:c>
      <x:c r="L5" s="9" t="n">
        <x:v>978</x:v>
      </x:c>
      <x:c r="M5" s="7" t="n">
        <x:v>244.9</x:v>
      </x:c>
      <x:c r="N5" s="7" t="n">
        <x:v>16.4</x:v>
      </x:c>
      <x:c r="O5" s="7" t="n">
        <x:v>77.5</x:v>
      </x:c>
      <x:c r="P5" s="3" t="str">
        <x:v>Cloudy</x:v>
      </x:c>
      <x:c r="Q5" s="9" t="n">
        <x:v>87</x:v>
      </x:c>
      <x:c r="R5" s="7" t="n">
        <x:v>85.6</x:v>
      </x:c>
      <x:c r="S5" s="5" t="n">
        <x:v>0.0939</x:v>
      </x:c>
      <x:c r="T5" s="7" t="n">
        <x:v>19</x:v>
      </x:c>
      <x:c r="U5" s="7" t="n">
        <x:f t="shared" si="0"/>
        <x:v>994.8</x:v>
      </x:c>
      <x:c r="V5" s="9" t="n">
        <x:f t="shared" si="1"/>
        <x:v>2241</x:v>
      </x:c>
      <x:c r="W5" s="7" t="n">
        <x:f t="shared" si="2"/>
        <x:v>42.7</x:v>
      </x:c>
    </x:row>
    <x:row r="6" ht="13.649999618530273" customHeight="1">
      <x:c r="A6" s="3" t="str">
        <x:v>PJT_5</x:v>
      </x:c>
      <x:c r="B6" s="3" t="str">
        <x:v>Continental</x:v>
      </x:c>
      <x:c r="C6" s="6" t="n">
        <x:v>16340</x:v>
      </x:c>
      <x:c r="D6" s="3" t="n">
        <x:v>15</x:v>
      </x:c>
      <x:c r="E6" s="3" t="str">
        <x:v>Medium</x:v>
      </x:c>
      <x:c r="F6" s="3" t="str">
        <x:v>Residential</x:v>
      </x:c>
      <x:c r="G6" s="3" t="str">
        <x:v>RC Frame</x:v>
      </x:c>
      <x:c r="H6" s="3" t="str">
        <x:v>Raft</x:v>
      </x:c>
      <x:c r="I6" s="3" t="str">
        <x:v>Mixed</x:v>
      </x:c>
      <x:c r="J6" s="3" t="str">
        <x:v>Medium</x:v>
      </x:c>
      <x:c r="K6" s="9" t="n">
        <x:v>22255080</x:v>
      </x:c>
      <x:c r="L6" s="9" t="n">
        <x:v>637</x:v>
      </x:c>
      <x:c r="M6" s="7" t="n">
        <x:v>191.6</x:v>
      </x:c>
      <x:c r="N6" s="7" t="n">
        <x:v>25.1</x:v>
      </x:c>
      <x:c r="O6" s="7" t="n">
        <x:v>65.2</x:v>
      </x:c>
      <x:c r="P6" s="3" t="str">
        <x:v>Rainy</x:v>
      </x:c>
      <x:c r="Q6" s="9" t="n">
        <x:v>127</x:v>
      </x:c>
      <x:c r="R6" s="7" t="n">
        <x:v>64.6</x:v>
      </x:c>
      <x:c r="S6" s="5" t="n">
        <x:v>0.0763</x:v>
      </x:c>
      <x:c r="T6" s="7" t="n">
        <x:v>13</x:v>
      </x:c>
      <x:c r="U6" s="7" t="n">
        <x:f t="shared" si="0"/>
        <x:v>1089.3</x:v>
      </x:c>
      <x:c r="V6" s="9" t="n">
        <x:f t="shared" si="1"/>
        <x:v>1362</x:v>
      </x:c>
      <x:c r="W6" s="7" t="n">
        <x:f t="shared" si="2"/>
        <x:v>39</x:v>
      </x:c>
    </x:row>
    <x:row r="7" ht="13.649999618530273" customHeight="1">
      <x:c r="A7" s="3" t="str">
        <x:v>PJT_6</x:v>
      </x:c>
      <x:c r="B7" s="3" t="str">
        <x:v>Marine</x:v>
      </x:c>
      <x:c r="C7" s="6" t="n">
        <x:v>11370</x:v>
      </x:c>
      <x:c r="D7" s="3" t="n">
        <x:v>11</x:v>
      </x:c>
      <x:c r="E7" s="3" t="str">
        <x:v>Medium</x:v>
      </x:c>
      <x:c r="F7" s="3" t="str">
        <x:v>Mixed-use</x:v>
      </x:c>
      <x:c r="G7" s="3" t="str">
        <x:v>Shear Wall</x:v>
      </x:c>
      <x:c r="H7" s="3" t="str">
        <x:v>Raft</x:v>
      </x:c>
      <x:c r="I7" s="3" t="str">
        <x:v>Mixed</x:v>
      </x:c>
      <x:c r="J7" s="3" t="str">
        <x:v>Medium</x:v>
      </x:c>
      <x:c r="K7" s="9" t="n">
        <x:v>24547830</x:v>
      </x:c>
      <x:c r="L7" s="9" t="n">
        <x:v>636</x:v>
      </x:c>
      <x:c r="M7" s="7" t="n">
        <x:v>209.9</x:v>
      </x:c>
      <x:c r="N7" s="7" t="n">
        <x:v>14</x:v>
      </x:c>
      <x:c r="O7" s="7" t="n">
        <x:v>68.8</x:v>
      </x:c>
      <x:c r="P7" s="3" t="str">
        <x:v>Cloudy</x:v>
      </x:c>
      <x:c r="Q7" s="9" t="n">
        <x:v>112</x:v>
      </x:c>
      <x:c r="R7" s="7" t="n">
        <x:v>76.7</x:v>
      </x:c>
      <x:c r="S7" s="5" t="n">
        <x:v>0.0945</x:v>
      </x:c>
      <x:c r="T7" s="7" t="n">
        <x:v>16.5</x:v>
      </x:c>
      <x:c r="U7" s="7" t="n">
        <x:f t="shared" si="0"/>
        <x:v>1033.6</x:v>
      </x:c>
      <x:c r="V7" s="9" t="n">
        <x:f t="shared" si="1"/>
        <x:v>2159</x:v>
      </x:c>
      <x:c r="W7" s="7" t="n">
        <x:f t="shared" si="2"/>
        <x:v>55.9</x:v>
      </x:c>
    </x:row>
    <x:row r="8" ht="13.649999618530273" customHeight="1">
      <x:c r="A8" s="3" t="str">
        <x:v>PJT_7</x:v>
      </x:c>
      <x:c r="B8" s="3" t="str">
        <x:v>Continental</x:v>
      </x:c>
      <x:c r="C8" s="6" t="n">
        <x:v>21220</x:v>
      </x:c>
      <x:c r="D8" s="3" t="n">
        <x:v>14</x:v>
      </x:c>
      <x:c r="E8" s="3" t="str">
        <x:v>High</x:v>
      </x:c>
      <x:c r="F8" s="3" t="str">
        <x:v>Hospital</x:v>
      </x:c>
      <x:c r="G8" s="3" t="str">
        <x:v>Steel</x:v>
      </x:c>
      <x:c r="H8" s="3" t="str">
        <x:v>Piles</x:v>
      </x:c>
      <x:c r="I8" s="3" t="str">
        <x:v>Sand</x:v>
      </x:c>
      <x:c r="J8" s="3" t="str">
        <x:v>Medium</x:v>
      </x:c>
      <x:c r="K8" s="9" t="n">
        <x:v>63575120</x:v>
      </x:c>
      <x:c r="L8" s="9" t="n">
        <x:v>957</x:v>
      </x:c>
      <x:c r="M8" s="7" t="n">
        <x:v>379.9</x:v>
      </x:c>
      <x:c r="N8" s="7" t="n">
        <x:v>2.7</x:v>
      </x:c>
      <x:c r="O8" s="7" t="n">
        <x:v>62.9</x:v>
      </x:c>
      <x:c r="P8" s="3" t="str">
        <x:v>Rainy</x:v>
      </x:c>
      <x:c r="Q8" s="9" t="n">
        <x:v>100</x:v>
      </x:c>
      <x:c r="R8" s="7" t="n">
        <x:v>86</x:v>
      </x:c>
      <x:c r="S8" s="5" t="n">
        <x:v>0.1015</x:v>
      </x:c>
      <x:c r="T8" s="7" t="n">
        <x:v>21.4</x:v>
      </x:c>
      <x:c r="U8" s="7" t="n">
        <x:f t="shared" si="0"/>
        <x:v>1515.7</x:v>
      </x:c>
      <x:c r="V8" s="9" t="n">
        <x:f t="shared" si="1"/>
        <x:v>2996</x:v>
      </x:c>
      <x:c r="W8" s="7" t="n">
        <x:f t="shared" si="2"/>
        <x:v>45.1</x:v>
      </x:c>
    </x:row>
    <x:row r="9" ht="13.649999618530273" customHeight="1">
      <x:c r="A9" s="3" t="str">
        <x:v>PJT_8</x:v>
      </x:c>
      <x:c r="B9" s="3" t="str">
        <x:v>Marine</x:v>
      </x:c>
      <x:c r="C9" s="6" t="n">
        <x:v>14590</x:v>
      </x:c>
      <x:c r="D9" s="3" t="n">
        <x:v>14</x:v>
      </x:c>
      <x:c r="E9" s="3" t="str">
        <x:v>High</x:v>
      </x:c>
      <x:c r="F9" s="3" t="str">
        <x:v>Mixed-use</x:v>
      </x:c>
      <x:c r="G9" s="3" t="str">
        <x:v>RC Frame</x:v>
      </x:c>
      <x:c r="H9" s="3" t="str">
        <x:v>Piles</x:v>
      </x:c>
      <x:c r="I9" s="3" t="str">
        <x:v>Soft Clay</x:v>
      </x:c>
      <x:c r="J9" s="3" t="str">
        <x:v>Medium</x:v>
      </x:c>
      <x:c r="K9" s="9" t="n">
        <x:v>35074360</x:v>
      </x:c>
      <x:c r="L9" s="9" t="n">
        <x:v>784</x:v>
      </x:c>
      <x:c r="M9" s="7" t="n">
        <x:v>228.1</x:v>
      </x:c>
      <x:c r="N9" s="7" t="n">
        <x:v>15.9</x:v>
      </x:c>
      <x:c r="O9" s="7" t="n">
        <x:v>74</x:v>
      </x:c>
      <x:c r="P9" s="3" t="str">
        <x:v>Rainy</x:v>
      </x:c>
      <x:c r="Q9" s="9" t="n">
        <x:v>80</x:v>
      </x:c>
      <x:c r="R9" s="7" t="n">
        <x:v>84.1</x:v>
      </x:c>
      <x:c r="S9" s="5" t="n">
        <x:v>0.1004</x:v>
      </x:c>
      <x:c r="T9" s="7" t="n">
        <x:v>18.8</x:v>
      </x:c>
      <x:c r="U9" s="7" t="n">
        <x:f t="shared" si="0"/>
        <x:v>1042.1</x:v>
      </x:c>
      <x:c r="V9" s="9" t="n">
        <x:f t="shared" si="1"/>
        <x:v>2404</x:v>
      </x:c>
      <x:c r="W9" s="7" t="n">
        <x:f t="shared" si="2"/>
        <x:v>53.7</x:v>
      </x:c>
    </x:row>
    <x:row r="10" ht="27.299999237060547" customHeight="1">
      <x:c r="A10" s="3" t="str">
        <x:v>PJT_9</x:v>
      </x:c>
      <x:c r="B10" s="3" t="str">
        <x:v>Humid Subtropical</x:v>
      </x:c>
      <x:c r="C10" s="6" t="n">
        <x:v>19860</x:v>
      </x:c>
      <x:c r="D10" s="3" t="n">
        <x:v>19</x:v>
      </x:c>
      <x:c r="E10" s="3" t="str">
        <x:v>High</x:v>
      </x:c>
      <x:c r="F10" s="3" t="str">
        <x:v>Commercial</x:v>
      </x:c>
      <x:c r="G10" s="3" t="str">
        <x:v>Steel</x:v>
      </x:c>
      <x:c r="H10" s="3" t="str">
        <x:v>Raft</x:v>
      </x:c>
      <x:c r="I10" s="3" t="str">
        <x:v>Rock</x:v>
      </x:c>
      <x:c r="J10" s="3" t="str">
        <x:v>Low</x:v>
      </x:c>
      <x:c r="K10" s="9" t="n">
        <x:v>42003900</x:v>
      </x:c>
      <x:c r="L10" s="9" t="n">
        <x:v>853</x:v>
      </x:c>
      <x:c r="M10" s="7" t="n">
        <x:v>677.9</x:v>
      </x:c>
      <x:c r="N10" s="7" t="n">
        <x:v>17.3</x:v>
      </x:c>
      <x:c r="O10" s="7" t="n">
        <x:v>89</x:v>
      </x:c>
      <x:c r="P10" s="3" t="str">
        <x:v>Rainy</x:v>
      </x:c>
      <x:c r="Q10" s="9" t="n">
        <x:v>113</x:v>
      </x:c>
      <x:c r="R10" s="7" t="n">
        <x:v>80.7</x:v>
      </x:c>
      <x:c r="S10" s="5" t="n">
        <x:v>0.0898</x:v>
      </x:c>
      <x:c r="T10" s="7" t="n">
        <x:v>18.1</x:v>
      </x:c>
      <x:c r="U10" s="7" t="n">
        <x:f t="shared" si="0"/>
        <x:v>1045.3</x:v>
      </x:c>
      <x:c r="V10" s="9" t="n">
        <x:f t="shared" si="1"/>
        <x:v>2115</x:v>
      </x:c>
      <x:c r="W10" s="7" t="n">
        <x:f t="shared" si="2"/>
        <x:v>43</x:v>
      </x:c>
    </x:row>
    <x:row r="11" ht="13.649999618530273" customHeight="1">
      <x:c r="A11" s="3" t="str">
        <x:v>PJT_10</x:v>
      </x:c>
      <x:c r="B11" s="3" t="str">
        <x:v>Mediterranean</x:v>
      </x:c>
      <x:c r="C11" s="6" t="n">
        <x:v>22930</x:v>
      </x:c>
      <x:c r="D11" s="3" t="n">
        <x:v>22</x:v>
      </x:c>
      <x:c r="E11" s="3" t="str">
        <x:v>High</x:v>
      </x:c>
      <x:c r="F11" s="3" t="str">
        <x:v>Mixed-use</x:v>
      </x:c>
      <x:c r="G11" s="3" t="str">
        <x:v>Steel</x:v>
      </x:c>
      <x:c r="H11" s="3" t="str">
        <x:v>Raft</x:v>
      </x:c>
      <x:c r="I11" s="3" t="str">
        <x:v>Mixed</x:v>
      </x:c>
      <x:c r="J11" s="3" t="str">
        <x:v>High</x:v>
      </x:c>
      <x:c r="K11" s="9" t="n">
        <x:v>58104620</x:v>
      </x:c>
      <x:c r="L11" s="9" t="n">
        <x:v>996</x:v>
      </x:c>
      <x:c r="M11" s="7" t="n">
        <x:v>254.7</x:v>
      </x:c>
      <x:c r="N11" s="7" t="n">
        <x:v>33.8</x:v>
      </x:c>
      <x:c r="O11" s="7" t="n">
        <x:v>57</x:v>
      </x:c>
      <x:c r="P11" s="3" t="str">
        <x:v>Cloudy</x:v>
      </x:c>
      <x:c r="Q11" s="9" t="n">
        <x:v>107</x:v>
      </x:c>
      <x:c r="R11" s="7" t="n">
        <x:v>86</x:v>
      </x:c>
      <x:c r="S11" s="5" t="n">
        <x:v>0.1027</x:v>
      </x:c>
      <x:c r="T11" s="7" t="n">
        <x:v>19.4</x:v>
      </x:c>
      <x:c r="U11" s="7" t="n">
        <x:f t="shared" si="0"/>
        <x:v>1042.3</x:v>
      </x:c>
      <x:c r="V11" s="9" t="n">
        <x:f t="shared" si="1"/>
        <x:v>2534</x:v>
      </x:c>
      <x:c r="W11" s="7" t="n">
        <x:f t="shared" si="2"/>
        <x:v>43.4</x:v>
      </x:c>
    </x:row>
    <x:row r="12" ht="13.649999618530273" customHeight="1">
      <x:c r="A12" s="3" t="str">
        <x:v>PJT_11</x:v>
      </x:c>
      <x:c r="B12" s="3" t="str">
        <x:v>Marine</x:v>
      </x:c>
      <x:c r="C12" s="6" t="n">
        <x:v>15350</x:v>
      </x:c>
      <x:c r="D12" s="3" t="n">
        <x:v>16</x:v>
      </x:c>
      <x:c r="E12" s="3" t="str">
        <x:v>Medium</x:v>
      </x:c>
      <x:c r="F12" s="3" t="str">
        <x:v>Commercial</x:v>
      </x:c>
      <x:c r="G12" s="3" t="str">
        <x:v>Shear Wall</x:v>
      </x:c>
      <x:c r="H12" s="3" t="str">
        <x:v>Raft</x:v>
      </x:c>
      <x:c r="I12" s="3" t="str">
        <x:v>Rock</x:v>
      </x:c>
      <x:c r="J12" s="3" t="str">
        <x:v>High</x:v>
      </x:c>
      <x:c r="K12" s="9" t="n">
        <x:v>30807450</x:v>
      </x:c>
      <x:c r="L12" s="9" t="n">
        <x:v>727</x:v>
      </x:c>
      <x:c r="M12" s="7" t="n">
        <x:v>678.3</x:v>
      </x:c>
      <x:c r="N12" s="7" t="n">
        <x:v>13.6</x:v>
      </x:c>
      <x:c r="O12" s="7" t="n">
        <x:v>82.1</x:v>
      </x:c>
      <x:c r="P12" s="3" t="str">
        <x:v>Rainy</x:v>
      </x:c>
      <x:c r="Q12" s="9" t="n">
        <x:v>113</x:v>
      </x:c>
      <x:c r="R12" s="7" t="n">
        <x:v>75.4</x:v>
      </x:c>
      <x:c r="S12" s="5" t="n">
        <x:v>0.0968</x:v>
      </x:c>
      <x:c r="T12" s="7" t="n">
        <x:v>16</x:v>
      </x:c>
      <x:c r="U12" s="7" t="n">
        <x:f t="shared" si="0"/>
        <x:v>959.4</x:v>
      </x:c>
      <x:c r="V12" s="9" t="n">
        <x:f t="shared" si="1"/>
        <x:v>2007</x:v>
      </x:c>
      <x:c r="W12" s="7" t="n">
        <x:f t="shared" si="2"/>
        <x:v>47.4</x:v>
      </x:c>
    </x:row>
    <x:row r="13" ht="13.649999618530273" customHeight="1">
      <x:c r="A13" s="3" t="str">
        <x:v>PJT_12</x:v>
      </x:c>
      <x:c r="B13" s="3" t="str">
        <x:v>Continental</x:v>
      </x:c>
      <x:c r="C13" s="6" t="n">
        <x:v>2800</x:v>
      </x:c>
      <x:c r="D13" s="3" t="n">
        <x:v>2</x:v>
      </x:c>
      <x:c r="E13" s="3" t="str">
        <x:v>Low</x:v>
      </x:c>
      <x:c r="F13" s="3" t="str">
        <x:v>Residential</x:v>
      </x:c>
      <x:c r="G13" s="3" t="str">
        <x:v>RC Frame</x:v>
      </x:c>
      <x:c r="H13" s="3" t="str">
        <x:v>Strip</x:v>
      </x:c>
      <x:c r="I13" s="3" t="str">
        <x:v>Rock</x:v>
      </x:c>
      <x:c r="J13" s="3" t="str">
        <x:v>Low</x:v>
      </x:c>
      <x:c r="K13" s="9" t="n">
        <x:v>2819600</x:v>
      </x:c>
      <x:c r="L13" s="9" t="n">
        <x:v>250</x:v>
      </x:c>
      <x:c r="M13" s="7" t="n">
        <x:v>516.6</x:v>
      </x:c>
      <x:c r="N13" s="7" t="n">
        <x:v>21.4</x:v>
      </x:c>
      <x:c r="O13" s="7" t="n">
        <x:v>62.7</x:v>
      </x:c>
      <x:c r="P13" s="3" t="str">
        <x:v>Sunny</x:v>
      </x:c>
      <x:c r="Q13" s="9" t="n">
        <x:v>108</x:v>
      </x:c>
      <x:c r="R13" s="7" t="n">
        <x:v>54.5</x:v>
      </x:c>
      <x:c r="S13" s="5" t="n">
        <x:v>0.0627</x:v>
      </x:c>
      <x:c r="T13" s="7" t="n">
        <x:v>9.8</x:v>
      </x:c>
      <x:c r="U13" s="7" t="n">
        <x:f t="shared" si="0"/>
        <x:v>1400</x:v>
      </x:c>
      <x:c r="V13" s="9" t="n">
        <x:f t="shared" si="1"/>
        <x:v>1007</x:v>
      </x:c>
      <x:c r="W13" s="7" t="n">
        <x:f t="shared" si="2"/>
        <x:v>89.3</x:v>
      </x:c>
    </x:row>
    <x:row r="14" ht="13.649999618530273" customHeight="1">
      <x:c r="A14" s="3" t="str">
        <x:v>PJT_13</x:v>
      </x:c>
      <x:c r="B14" s="3" t="str">
        <x:v>Marine</x:v>
      </x:c>
      <x:c r="C14" s="6" t="n">
        <x:v>19600</x:v>
      </x:c>
      <x:c r="D14" s="3" t="n">
        <x:v>21</x:v>
      </x:c>
      <x:c r="E14" s="3" t="str">
        <x:v>Medium</x:v>
      </x:c>
      <x:c r="F14" s="3" t="str">
        <x:v>Residential</x:v>
      </x:c>
      <x:c r="G14" s="3" t="str">
        <x:v>Shear Wall</x:v>
      </x:c>
      <x:c r="H14" s="3" t="str">
        <x:v>Raft</x:v>
      </x:c>
      <x:c r="I14" s="3" t="str">
        <x:v>Rock</x:v>
      </x:c>
      <x:c r="J14" s="3" t="str">
        <x:v>Medium</x:v>
      </x:c>
      <x:c r="K14" s="9" t="n">
        <x:v>30125200</x:v>
      </x:c>
      <x:c r="L14" s="9" t="n">
        <x:v>753</x:v>
      </x:c>
      <x:c r="M14" s="7" t="n">
        <x:v>617.9</x:v>
      </x:c>
      <x:c r="N14" s="7" t="n">
        <x:v>22.5</x:v>
      </x:c>
      <x:c r="O14" s="7" t="n">
        <x:v>73</x:v>
      </x:c>
      <x:c r="P14" s="3" t="str">
        <x:v>Cloudy</x:v>
      </x:c>
      <x:c r="Q14" s="9" t="n">
        <x:v>79</x:v>
      </x:c>
      <x:c r="R14" s="7" t="n">
        <x:v>70.2</x:v>
      </x:c>
      <x:c r="S14" s="5" t="n">
        <x:v>0.0827</x:v>
      </x:c>
      <x:c r="T14" s="7" t="n">
        <x:v>14.9</x:v>
      </x:c>
      <x:c r="U14" s="7" t="n">
        <x:f t="shared" si="0"/>
        <x:v>933.3</x:v>
      </x:c>
      <x:c r="V14" s="9" t="n">
        <x:f t="shared" si="1"/>
        <x:v>1537</x:v>
      </x:c>
      <x:c r="W14" s="7" t="n">
        <x:f t="shared" si="2"/>
        <x:v>38.4</x:v>
      </x:c>
    </x:row>
    <x:row r="15" ht="13.649999618530273" customHeight="1">
      <x:c r="A15" s="3" t="str">
        <x:v>PJT_14</x:v>
      </x:c>
      <x:c r="B15" s="3" t="str">
        <x:v>Mediterranean</x:v>
      </x:c>
      <x:c r="C15" s="6" t="n">
        <x:v>2850</x:v>
      </x:c>
      <x:c r="D15" s="3" t="n">
        <x:v>2</x:v>
      </x:c>
      <x:c r="E15" s="3" t="str">
        <x:v>Medium</x:v>
      </x:c>
      <x:c r="F15" s="3" t="str">
        <x:v>Residential</x:v>
      </x:c>
      <x:c r="G15" s="3" t="str">
        <x:v>RC Frame</x:v>
      </x:c>
      <x:c r="H15" s="3" t="str">
        <x:v>Strip</x:v>
      </x:c>
      <x:c r="I15" s="3" t="str">
        <x:v>Mixed</x:v>
      </x:c>
      <x:c r="J15" s="3" t="str">
        <x:v>High</x:v>
      </x:c>
      <x:c r="K15" s="9" t="n">
        <x:v>3630900</x:v>
      </x:c>
      <x:c r="L15" s="9" t="n">
        <x:v>294</x:v>
      </x:c>
      <x:c r="M15" s="7" t="n">
        <x:v>147.4</x:v>
      </x:c>
      <x:c r="N15" s="7" t="n">
        <x:v>19.1</x:v>
      </x:c>
      <x:c r="O15" s="7" t="n">
        <x:v>51.8</x:v>
      </x:c>
      <x:c r="P15" s="3" t="str">
        <x:v>Sunny</x:v>
      </x:c>
      <x:c r="Q15" s="9" t="n">
        <x:v>63</x:v>
      </x:c>
      <x:c r="R15" s="7" t="n">
        <x:v>56.2</x:v>
      </x:c>
      <x:c r="S15" s="5" t="n">
        <x:v>0.0724</x:v>
      </x:c>
      <x:c r="T15" s="7" t="n">
        <x:v>11</x:v>
      </x:c>
      <x:c r="U15" s="7" t="n">
        <x:f t="shared" si="0"/>
        <x:v>1425</x:v>
      </x:c>
      <x:c r="V15" s="9" t="n">
        <x:f t="shared" si="1"/>
        <x:v>1274</x:v>
      </x:c>
      <x:c r="W15" s="7" t="n">
        <x:f t="shared" si="2"/>
        <x:v>103.2</x:v>
      </x:c>
    </x:row>
    <x:row r="16" ht="13.649999618530273" customHeight="1">
      <x:c r="A16" s="3" t="str">
        <x:v>PJT_15</x:v>
      </x:c>
      <x:c r="B16" s="3" t="str">
        <x:v>Mediterranean</x:v>
      </x:c>
      <x:c r="C16" s="6" t="n">
        <x:v>5960</x:v>
      </x:c>
      <x:c r="D16" s="3" t="n">
        <x:v>4</x:v>
      </x:c>
      <x:c r="E16" s="3" t="str">
        <x:v>Medium</x:v>
      </x:c>
      <x:c r="F16" s="3" t="str">
        <x:v>School</x:v>
      </x:c>
      <x:c r="G16" s="3" t="str">
        <x:v>RC Frame</x:v>
      </x:c>
      <x:c r="H16" s="3" t="str">
        <x:v>Raft</x:v>
      </x:c>
      <x:c r="I16" s="3" t="str">
        <x:v>Mixed</x:v>
      </x:c>
      <x:c r="J16" s="3" t="str">
        <x:v>High</x:v>
      </x:c>
      <x:c r="K16" s="9" t="n">
        <x:v>8785040</x:v>
      </x:c>
      <x:c r="L16" s="9" t="n">
        <x:v>410</x:v>
      </x:c>
      <x:c r="M16" s="7" t="n">
        <x:v>218.5</x:v>
      </x:c>
      <x:c r="N16" s="7" t="n">
        <x:v>23.2</x:v>
      </x:c>
      <x:c r="O16" s="7" t="n">
        <x:v>38.8</x:v>
      </x:c>
      <x:c r="P16" s="3" t="str">
        <x:v>Rainy</x:v>
      </x:c>
      <x:c r="Q16" s="9" t="n">
        <x:v>85</x:v>
      </x:c>
      <x:c r="R16" s="7" t="n">
        <x:v>64</x:v>
      </x:c>
      <x:c r="S16" s="5" t="n">
        <x:v>0.0751</x:v>
      </x:c>
      <x:c r="T16" s="7" t="n">
        <x:v>12.3</x:v>
      </x:c>
      <x:c r="U16" s="7" t="n">
        <x:f t="shared" si="0"/>
        <x:v>1490</x:v>
      </x:c>
      <x:c r="V16" s="9" t="n">
        <x:f t="shared" si="1"/>
        <x:v>1474</x:v>
      </x:c>
      <x:c r="W16" s="7" t="n">
        <x:f t="shared" si="2"/>
        <x:v>68.8</x:v>
      </x:c>
    </x:row>
    <x:row r="17" ht="13.649999618530273" customHeight="1">
      <x:c r="A17" s="3" t="str">
        <x:v>PJT_16</x:v>
      </x:c>
      <x:c r="B17" s="3" t="str">
        <x:v>Mediterranean</x:v>
      </x:c>
      <x:c r="C17" s="6" t="n">
        <x:v>11990</x:v>
      </x:c>
      <x:c r="D17" s="3" t="n">
        <x:v>11</x:v>
      </x:c>
      <x:c r="E17" s="3" t="str">
        <x:v>Medium</x:v>
      </x:c>
      <x:c r="F17" s="3" t="str">
        <x:v>Mixed-use</x:v>
      </x:c>
      <x:c r="G17" s="3" t="str">
        <x:v>Shear Wall</x:v>
      </x:c>
      <x:c r="H17" s="3" t="str">
        <x:v>Piles</x:v>
      </x:c>
      <x:c r="I17" s="3" t="str">
        <x:v>Soft Clay</x:v>
      </x:c>
      <x:c r="J17" s="3" t="str">
        <x:v>High</x:v>
      </x:c>
      <x:c r="K17" s="9" t="n">
        <x:v>27505060</x:v>
      </x:c>
      <x:c r="L17" s="9" t="n">
        <x:v>685</x:v>
      </x:c>
      <x:c r="M17" s="7" t="n">
        <x:v>250.6</x:v>
      </x:c>
      <x:c r="N17" s="7" t="n">
        <x:v>14.9</x:v>
      </x:c>
      <x:c r="O17" s="7" t="n">
        <x:v>69.6</x:v>
      </x:c>
      <x:c r="P17" s="3" t="str">
        <x:v>Cloudy</x:v>
      </x:c>
      <x:c r="Q17" s="9" t="n">
        <x:v>126</x:v>
      </x:c>
      <x:c r="R17" s="7" t="n">
        <x:v>81</x:v>
      </x:c>
      <x:c r="S17" s="5" t="n">
        <x:v>0.0971</x:v>
      </x:c>
      <x:c r="T17" s="7" t="n">
        <x:v>16</x:v>
      </x:c>
      <x:c r="U17" s="7" t="n">
        <x:f t="shared" si="0"/>
        <x:v>1090</x:v>
      </x:c>
      <x:c r="V17" s="9" t="n">
        <x:f t="shared" si="1"/>
        <x:v>2294</x:v>
      </x:c>
      <x:c r="W17" s="7" t="n">
        <x:f t="shared" si="2"/>
        <x:v>57.1</x:v>
      </x:c>
    </x:row>
    <x:row r="18" ht="13.649999618530273" customHeight="1">
      <x:c r="A18" s="3" t="str">
        <x:v>PJT_17</x:v>
      </x:c>
      <x:c r="B18" s="3" t="str">
        <x:v>Continental</x:v>
      </x:c>
      <x:c r="C18" s="6" t="n">
        <x:v>20670</x:v>
      </x:c>
      <x:c r="D18" s="3" t="n">
        <x:v>21</x:v>
      </x:c>
      <x:c r="E18" s="3" t="str">
        <x:v>Medium</x:v>
      </x:c>
      <x:c r="F18" s="3" t="str">
        <x:v>Commercial</x:v>
      </x:c>
      <x:c r="G18" s="3" t="str">
        <x:v>Steel</x:v>
      </x:c>
      <x:c r="H18" s="3" t="str">
        <x:v>Piles</x:v>
      </x:c>
      <x:c r="I18" s="3" t="str">
        <x:v>Mixed</x:v>
      </x:c>
      <x:c r="J18" s="3" t="str">
        <x:v>Low</x:v>
      </x:c>
      <x:c r="K18" s="9" t="n">
        <x:v>40492530</x:v>
      </x:c>
      <x:c r="L18" s="9" t="n">
        <x:v>857</x:v>
      </x:c>
      <x:c r="M18" s="7" t="n">
        <x:v>264.7</x:v>
      </x:c>
      <x:c r="N18" s="7" t="n">
        <x:v>10.2</x:v>
      </x:c>
      <x:c r="O18" s="7" t="n">
        <x:v>75.3</x:v>
      </x:c>
      <x:c r="P18" s="3" t="str">
        <x:v>Cloudy</x:v>
      </x:c>
      <x:c r="Q18" s="9" t="n">
        <x:v>142</x:v>
      </x:c>
      <x:c r="R18" s="7" t="n">
        <x:v>77.9</x:v>
      </x:c>
      <x:c r="S18" s="5" t="n">
        <x:v>0.0847</x:v>
      </x:c>
      <x:c r="T18" s="7" t="n">
        <x:v>16.5</x:v>
      </x:c>
      <x:c r="U18" s="7" t="n">
        <x:f t="shared" si="0"/>
        <x:v>984.3</x:v>
      </x:c>
      <x:c r="V18" s="9" t="n">
        <x:f t="shared" si="1"/>
        <x:v>1959</x:v>
      </x:c>
      <x:c r="W18" s="7" t="n">
        <x:f t="shared" si="2"/>
        <x:v>41.5</x:v>
      </x:c>
    </x:row>
    <x:row r="19" ht="13.649999618530273" customHeight="1">
      <x:c r="A19" s="3" t="str">
        <x:v>PJT_18</x:v>
      </x:c>
      <x:c r="B19" s="3" t="str">
        <x:v>Continental</x:v>
      </x:c>
      <x:c r="C19" s="6" t="n">
        <x:v>17060</x:v>
      </x:c>
      <x:c r="D19" s="3" t="n">
        <x:v>16</x:v>
      </x:c>
      <x:c r="E19" s="3" t="str">
        <x:v>High</x:v>
      </x:c>
      <x:c r="F19" s="3" t="str">
        <x:v>Commercial</x:v>
      </x:c>
      <x:c r="G19" s="3" t="str">
        <x:v>Steel</x:v>
      </x:c>
      <x:c r="H19" s="3" t="str">
        <x:v>Piles</x:v>
      </x:c>
      <x:c r="I19" s="3" t="str">
        <x:v>Mixed</x:v>
      </x:c>
      <x:c r="J19" s="3" t="str">
        <x:v>Low</x:v>
      </x:c>
      <x:c r="K19" s="9" t="n">
        <x:v>36730180</x:v>
      </x:c>
      <x:c r="L19" s="9" t="n">
        <x:v>818</x:v>
      </x:c>
      <x:c r="M19" s="7" t="n">
        <x:v>280.3</x:v>
      </x:c>
      <x:c r="N19" s="7" t="n">
        <x:v>25.7</x:v>
      </x:c>
      <x:c r="O19" s="7" t="n">
        <x:v>43.2</x:v>
      </x:c>
      <x:c r="P19" s="3" t="str">
        <x:v>Stormy</x:v>
      </x:c>
      <x:c r="Q19" s="9" t="n">
        <x:v>104</x:v>
      </x:c>
      <x:c r="R19" s="7" t="n">
        <x:v>80.7</x:v>
      </x:c>
      <x:c r="S19" s="5" t="n">
        <x:v>0.0922</x:v>
      </x:c>
      <x:c r="T19" s="7" t="n">
        <x:v>18.7</x:v>
      </x:c>
      <x:c r="U19" s="7" t="n">
        <x:f t="shared" si="0"/>
        <x:v>1066.3</x:v>
      </x:c>
      <x:c r="V19" s="9" t="n">
        <x:f t="shared" si="1"/>
        <x:v>2153</x:v>
      </x:c>
      <x:c r="W19" s="7" t="n">
        <x:f t="shared" si="2"/>
        <x:v>47.9</x:v>
      </x:c>
    </x:row>
    <x:row r="20" ht="13.649999618530273" customHeight="1">
      <x:c r="A20" s="3" t="str">
        <x:v>PJT_19</x:v>
      </x:c>
      <x:c r="B20" s="3" t="str">
        <x:v>Continental</x:v>
      </x:c>
      <x:c r="C20" s="6" t="n">
        <x:v>26260</x:v>
      </x:c>
      <x:c r="D20" s="3" t="n">
        <x:v>16</x:v>
      </x:c>
      <x:c r="E20" s="3" t="str">
        <x:v>High</x:v>
      </x:c>
      <x:c r="F20" s="3" t="str">
        <x:v>Hospital</x:v>
      </x:c>
      <x:c r="G20" s="3" t="str">
        <x:v>Shear Wall</x:v>
      </x:c>
      <x:c r="H20" s="3" t="str">
        <x:v>Raft</x:v>
      </x:c>
      <x:c r="I20" s="3" t="str">
        <x:v>Mixed</x:v>
      </x:c>
      <x:c r="J20" s="3" t="str">
        <x:v>Medium</x:v>
      </x:c>
      <x:c r="K20" s="9" t="n">
        <x:v>75550020</x:v>
      </x:c>
      <x:c r="L20" s="9" t="n">
        <x:v>1006</x:v>
      </x:c>
      <x:c r="M20" s="7" t="n">
        <x:v>220.3</x:v>
      </x:c>
      <x:c r="N20" s="7" t="n">
        <x:v>22.7</x:v>
      </x:c>
      <x:c r="O20" s="7" t="n">
        <x:v>62.4</x:v>
      </x:c>
      <x:c r="P20" s="3" t="str">
        <x:v>Cloudy</x:v>
      </x:c>
      <x:c r="Q20" s="9" t="n">
        <x:v>144</x:v>
      </x:c>
      <x:c r="R20" s="7" t="n">
        <x:v>86</x:v>
      </x:c>
      <x:c r="S20" s="5" t="n">
        <x:v>0.1072</x:v>
      </x:c>
      <x:c r="T20" s="7" t="n">
        <x:v>21.3</x:v>
      </x:c>
      <x:c r="U20" s="7" t="n">
        <x:f t="shared" si="0"/>
        <x:v>1641.3</x:v>
      </x:c>
      <x:c r="V20" s="9" t="n">
        <x:f t="shared" si="1"/>
        <x:v>2877</x:v>
      </x:c>
      <x:c r="W20" s="7" t="n">
        <x:f t="shared" si="2"/>
        <x:v>38.3</x:v>
      </x:c>
    </x:row>
    <x:row r="21" ht="27.299999237060547" customHeight="1">
      <x:c r="A21" s="3" t="str">
        <x:v>PJT_20</x:v>
      </x:c>
      <x:c r="B21" s="3" t="str">
        <x:v>Humid Subtropical</x:v>
      </x:c>
      <x:c r="C21" s="6" t="n">
        <x:v>7830</x:v>
      </x:c>
      <x:c r="D21" s="3" t="n">
        <x:v>6</x:v>
      </x:c>
      <x:c r="E21" s="3" t="str">
        <x:v>Medium</x:v>
      </x:c>
      <x:c r="F21" s="3" t="str">
        <x:v>School</x:v>
      </x:c>
      <x:c r="G21" s="3" t="str">
        <x:v>RC Frame</x:v>
      </x:c>
      <x:c r="H21" s="3" t="str">
        <x:v>Piles</x:v>
      </x:c>
      <x:c r="I21" s="3" t="str">
        <x:v>Soft Clay</x:v>
      </x:c>
      <x:c r="J21" s="3" t="str">
        <x:v>Low</x:v>
      </x:c>
      <x:c r="K21" s="9" t="n">
        <x:v>12113010</x:v>
      </x:c>
      <x:c r="L21" s="9" t="n">
        <x:v>463</x:v>
      </x:c>
      <x:c r="M21" s="7" t="n">
        <x:v>183.1</x:v>
      </x:c>
      <x:c r="N21" s="7" t="n">
        <x:v>27.3</x:v>
      </x:c>
      <x:c r="O21" s="7" t="n">
        <x:v>91.9</x:v>
      </x:c>
      <x:c r="P21" s="3" t="str">
        <x:v>Sunny</x:v>
      </x:c>
      <x:c r="Q21" s="9" t="n">
        <x:v>115</x:v>
      </x:c>
      <x:c r="R21" s="7" t="n">
        <x:v>65.3</x:v>
      </x:c>
      <x:c r="S21" s="5" t="n">
        <x:v>0.0697</x:v>
      </x:c>
      <x:c r="T21" s="7" t="n">
        <x:v>12.9</x:v>
      </x:c>
      <x:c r="U21" s="7" t="n">
        <x:f t="shared" si="0"/>
        <x:v>1305</x:v>
      </x:c>
      <x:c r="V21" s="9" t="n">
        <x:f t="shared" si="1"/>
        <x:v>1547</x:v>
      </x:c>
      <x:c r="W21" s="7" t="n">
        <x:f t="shared" si="2"/>
        <x:v>59.1</x:v>
      </x:c>
    </x:row>
    <x:row r="22" ht="13.649999618530273" customHeight="1">
      <x:c r="A22" s="3" t="str">
        <x:v>PJT_21</x:v>
      </x:c>
      <x:c r="B22" s="3" t="str">
        <x:v>Continental</x:v>
      </x:c>
      <x:c r="C22" s="6" t="n">
        <x:v>19090</x:v>
      </x:c>
      <x:c r="D22" s="3" t="n">
        <x:v>13</x:v>
      </x:c>
      <x:c r="E22" s="3" t="str">
        <x:v>High</x:v>
      </x:c>
      <x:c r="F22" s="3" t="str">
        <x:v>Commercial</x:v>
      </x:c>
      <x:c r="G22" s="3" t="str">
        <x:v>RC Frame</x:v>
      </x:c>
      <x:c r="H22" s="3" t="str">
        <x:v>Raft</x:v>
      </x:c>
      <x:c r="I22" s="3" t="str">
        <x:v>Rock</x:v>
      </x:c>
      <x:c r="J22" s="3" t="str">
        <x:v>Medium</x:v>
      </x:c>
      <x:c r="K22" s="9" t="n">
        <x:v>38542710</x:v>
      </x:c>
      <x:c r="L22" s="9" t="n">
        <x:v>771</x:v>
      </x:c>
      <x:c r="M22" s="7" t="n">
        <x:v>721.6</x:v>
      </x:c>
      <x:c r="N22" s="7" t="n">
        <x:v>5.5</x:v>
      </x:c>
      <x:c r="O22" s="7" t="n">
        <x:v>52.6</x:v>
      </x:c>
      <x:c r="P22" s="3" t="str">
        <x:v>Sunny</x:v>
      </x:c>
      <x:c r="Q22" s="9" t="n">
        <x:v>91</x:v>
      </x:c>
      <x:c r="R22" s="7" t="n">
        <x:v>74.9</x:v>
      </x:c>
      <x:c r="S22" s="5" t="n">
        <x:v>0.0946</x:v>
      </x:c>
      <x:c r="T22" s="7" t="n">
        <x:v>17.1</x:v>
      </x:c>
      <x:c r="U22" s="7" t="n">
        <x:f t="shared" si="0"/>
        <x:v>1468.5</x:v>
      </x:c>
      <x:c r="V22" s="9" t="n">
        <x:f t="shared" si="1"/>
        <x:v>2019</x:v>
      </x:c>
      <x:c r="W22" s="7" t="n">
        <x:f t="shared" si="2"/>
        <x:v>40.4</x:v>
      </x:c>
    </x:row>
    <x:row r="23" ht="13.649999618530273" customHeight="1">
      <x:c r="A23" s="3" t="str">
        <x:v>PJT_22</x:v>
      </x:c>
      <x:c r="B23" s="3" t="str">
        <x:v>Marine</x:v>
      </x:c>
      <x:c r="C23" s="6" t="n">
        <x:v>20850</x:v>
      </x:c>
      <x:c r="D23" s="3" t="n">
        <x:v>22</x:v>
      </x:c>
      <x:c r="E23" s="3" t="str">
        <x:v>High</x:v>
      </x:c>
      <x:c r="F23" s="3" t="str">
        <x:v>Commercial</x:v>
      </x:c>
      <x:c r="G23" s="3" t="str">
        <x:v>Shear Wall</x:v>
      </x:c>
      <x:c r="H23" s="3" t="str">
        <x:v>Piles</x:v>
      </x:c>
      <x:c r="I23" s="3" t="str">
        <x:v>Soft Clay</x:v>
      </x:c>
      <x:c r="J23" s="3" t="str">
        <x:v>Medium</x:v>
      </x:c>
      <x:c r="K23" s="9" t="n">
        <x:v>47412900</x:v>
      </x:c>
      <x:c r="L23" s="9" t="n">
        <x:v>928</x:v>
      </x:c>
      <x:c r="M23" s="7" t="n">
        <x:v>200.3</x:v>
      </x:c>
      <x:c r="N23" s="7" t="n">
        <x:v>10.3</x:v>
      </x:c>
      <x:c r="O23" s="7" t="n">
        <x:v>66.6</x:v>
      </x:c>
      <x:c r="P23" s="3" t="str">
        <x:v>Stormy</x:v>
      </x:c>
      <x:c r="Q23" s="9" t="n">
        <x:v>112</x:v>
      </x:c>
      <x:c r="R23" s="7" t="n">
        <x:v>84.8</x:v>
      </x:c>
      <x:c r="S23" s="5" t="n">
        <x:v>0.0993</x:v>
      </x:c>
      <x:c r="T23" s="7" t="n">
        <x:v>18.6</x:v>
      </x:c>
      <x:c r="U23" s="7" t="n">
        <x:f t="shared" si="0"/>
        <x:v>947.7</x:v>
      </x:c>
      <x:c r="V23" s="9" t="n">
        <x:f t="shared" si="1"/>
        <x:v>2274</x:v>
      </x:c>
      <x:c r="W23" s="7" t="n">
        <x:f t="shared" si="2"/>
        <x:v>44.5</x:v>
      </x:c>
    </x:row>
    <x:row r="24" ht="13.649999618530273" customHeight="1">
      <x:c r="A24" s="3" t="str">
        <x:v>PJT_23</x:v>
      </x:c>
      <x:c r="B24" s="3" t="str">
        <x:v>Continental</x:v>
      </x:c>
      <x:c r="C24" s="6" t="n">
        <x:v>13830</x:v>
      </x:c>
      <x:c r="D24" s="3" t="n">
        <x:v>11</x:v>
      </x:c>
      <x:c r="E24" s="3" t="str">
        <x:v>High</x:v>
      </x:c>
      <x:c r="F24" s="3" t="str">
        <x:v>Mixed-use</x:v>
      </x:c>
      <x:c r="G24" s="3" t="str">
        <x:v>RC Frame</x:v>
      </x:c>
      <x:c r="H24" s="3" t="str">
        <x:v>Piles</x:v>
      </x:c>
      <x:c r="I24" s="3" t="str">
        <x:v>Soft Clay</x:v>
      </x:c>
      <x:c r="J24" s="3" t="str">
        <x:v>Medium</x:v>
      </x:c>
      <x:c r="K24" s="9" t="n">
        <x:v>32915400</x:v>
      </x:c>
      <x:c r="L24" s="9" t="n">
        <x:v>748</x:v>
      </x:c>
      <x:c r="M24" s="7" t="n">
        <x:v>222.1</x:v>
      </x:c>
      <x:c r="N24" s="7" t="n">
        <x:v>18.2</x:v>
      </x:c>
      <x:c r="O24" s="7" t="n">
        <x:v>49.3</x:v>
      </x:c>
      <x:c r="P24" s="3" t="str">
        <x:v>Cloudy</x:v>
      </x:c>
      <x:c r="Q24" s="9" t="n">
        <x:v>119</x:v>
      </x:c>
      <x:c r="R24" s="7" t="n">
        <x:v>83.6</x:v>
      </x:c>
      <x:c r="S24" s="5" t="n">
        <x:v>0.0975</x:v>
      </x:c>
      <x:c r="T24" s="7" t="n">
        <x:v>17.4</x:v>
      </x:c>
      <x:c r="U24" s="7" t="n">
        <x:f t="shared" si="0"/>
        <x:v>1257.3</x:v>
      </x:c>
      <x:c r="V24" s="9" t="n">
        <x:f t="shared" si="1"/>
        <x:v>2380</x:v>
      </x:c>
      <x:c r="W24" s="7" t="n">
        <x:f t="shared" si="2"/>
        <x:v>54.1</x:v>
      </x:c>
    </x:row>
    <x:row r="25" ht="13.649999618530273" customHeight="1">
      <x:c r="A25" s="3" t="str">
        <x:v>PJT_24</x:v>
      </x:c>
      <x:c r="B25" s="3" t="str">
        <x:v>Mediterranean</x:v>
      </x:c>
      <x:c r="C25" s="6" t="n">
        <x:v>23860</x:v>
      </x:c>
      <x:c r="D25" s="3" t="n">
        <x:v>22</x:v>
      </x:c>
      <x:c r="E25" s="3" t="str">
        <x:v>High</x:v>
      </x:c>
      <x:c r="F25" s="3" t="str">
        <x:v>Mixed-use</x:v>
      </x:c>
      <x:c r="G25" s="3" t="str">
        <x:v>Steel</x:v>
      </x:c>
      <x:c r="H25" s="3" t="str">
        <x:v>Raft</x:v>
      </x:c>
      <x:c r="I25" s="3" t="str">
        <x:v>Rock</x:v>
      </x:c>
      <x:c r="J25" s="3" t="str">
        <x:v>High</x:v>
      </x:c>
      <x:c r="K25" s="9" t="n">
        <x:v>61439500</x:v>
      </x:c>
      <x:c r="L25" s="9" t="n">
        <x:v>1004</x:v>
      </x:c>
      <x:c r="M25" s="7" t="n">
        <x:v>782.5</x:v>
      </x:c>
      <x:c r="N25" s="7" t="n">
        <x:v>30</x:v>
      </x:c>
      <x:c r="O25" s="7" t="n">
        <x:v>59.2</x:v>
      </x:c>
      <x:c r="P25" s="3" t="str">
        <x:v>Sunny</x:v>
      </x:c>
      <x:c r="Q25" s="9" t="n">
        <x:v>122</x:v>
      </x:c>
      <x:c r="R25" s="7" t="n">
        <x:v>86</x:v>
      </x:c>
      <x:c r="S25" s="5" t="n">
        <x:v>0.1023</x:v>
      </x:c>
      <x:c r="T25" s="7" t="n">
        <x:v>20</x:v>
      </x:c>
      <x:c r="U25" s="7" t="n">
        <x:f t="shared" si="0"/>
        <x:v>1084.5</x:v>
      </x:c>
      <x:c r="V25" s="9" t="n">
        <x:f t="shared" si="1"/>
        <x:v>2575</x:v>
      </x:c>
      <x:c r="W25" s="7" t="n">
        <x:f t="shared" si="2"/>
        <x:v>42.1</x:v>
      </x:c>
    </x:row>
    <x:row r="26" ht="13.649999618530273" customHeight="1">
      <x:c r="A26" s="3" t="str">
        <x:v>PJT_25</x:v>
      </x:c>
      <x:c r="B26" s="3" t="str">
        <x:v>Continental</x:v>
      </x:c>
      <x:c r="C26" s="6" t="n">
        <x:v>15530</x:v>
      </x:c>
      <x:c r="D26" s="3" t="n">
        <x:v>16</x:v>
      </x:c>
      <x:c r="E26" s="3" t="str">
        <x:v>Medium</x:v>
      </x:c>
      <x:c r="F26" s="3" t="str">
        <x:v>Commercial</x:v>
      </x:c>
      <x:c r="G26" s="3" t="str">
        <x:v>Steel</x:v>
      </x:c>
      <x:c r="H26" s="3" t="str">
        <x:v>Raft</x:v>
      </x:c>
      <x:c r="I26" s="3" t="str">
        <x:v>Mixed</x:v>
      </x:c>
      <x:c r="J26" s="3" t="str">
        <x:v>Medium</x:v>
      </x:c>
      <x:c r="K26" s="9" t="n">
        <x:v>30687280</x:v>
      </x:c>
      <x:c r="L26" s="9" t="n">
        <x:v>706</x:v>
      </x:c>
      <x:c r="M26" s="7" t="n">
        <x:v>220.2</x:v>
      </x:c>
      <x:c r="N26" s="7" t="n">
        <x:v>16.2</x:v>
      </x:c>
      <x:c r="O26" s="7" t="n">
        <x:v>80.5</x:v>
      </x:c>
      <x:c r="P26" s="3" t="str">
        <x:v>Sunny</x:v>
      </x:c>
      <x:c r="Q26" s="9" t="n">
        <x:v>94</x:v>
      </x:c>
      <x:c r="R26" s="7" t="n">
        <x:v>76.9</x:v>
      </x:c>
      <x:c r="S26" s="5" t="n">
        <x:v>0.0852</x:v>
      </x:c>
      <x:c r="T26" s="7" t="n">
        <x:v>15.4</x:v>
      </x:c>
      <x:c r="U26" s="7" t="n">
        <x:f t="shared" si="0"/>
        <x:v>970.6</x:v>
      </x:c>
      <x:c r="V26" s="9" t="n">
        <x:f t="shared" si="1"/>
        <x:v>1976</x:v>
      </x:c>
      <x:c r="W26" s="7" t="n">
        <x:f t="shared" si="2"/>
        <x:v>45.5</x:v>
      </x:c>
    </x:row>
    <x:row r="27" ht="13.649999618530273" customHeight="1">
      <x:c r="A27" s="3" t="str">
        <x:v>PJT_26</x:v>
      </x:c>
      <x:c r="B27" s="3" t="str">
        <x:v>Mediterranean</x:v>
      </x:c>
      <x:c r="C27" s="6" t="n">
        <x:v>8120</x:v>
      </x:c>
      <x:c r="D27" s="3" t="n">
        <x:v>5</x:v>
      </x:c>
      <x:c r="E27" s="3" t="str">
        <x:v>Medium</x:v>
      </x:c>
      <x:c r="F27" s="3" t="str">
        <x:v>School</x:v>
      </x:c>
      <x:c r="G27" s="3" t="str">
        <x:v>RC Frame</x:v>
      </x:c>
      <x:c r="H27" s="3" t="str">
        <x:v>Raft</x:v>
      </x:c>
      <x:c r="I27" s="3" t="str">
        <x:v>Mixed</x:v>
      </x:c>
      <x:c r="J27" s="3" t="str">
        <x:v>High</x:v>
      </x:c>
      <x:c r="K27" s="9" t="n">
        <x:v>12553520</x:v>
      </x:c>
      <x:c r="L27" s="9" t="n">
        <x:v>433</x:v>
      </x:c>
      <x:c r="M27" s="7" t="n">
        <x:v>222.1</x:v>
      </x:c>
      <x:c r="N27" s="7" t="n">
        <x:v>19.7</x:v>
      </x:c>
      <x:c r="O27" s="7" t="n">
        <x:v>70.7</x:v>
      </x:c>
      <x:c r="P27" s="3" t="str">
        <x:v>Sunny</x:v>
      </x:c>
      <x:c r="Q27" s="9" t="n">
        <x:v>113</x:v>
      </x:c>
      <x:c r="R27" s="7" t="n">
        <x:v>61.9</x:v>
      </x:c>
      <x:c r="S27" s="5" t="n">
        <x:v>0.0778</x:v>
      </x:c>
      <x:c r="T27" s="7" t="n">
        <x:v>12.7</x:v>
      </x:c>
      <x:c r="U27" s="7" t="n">
        <x:f t="shared" si="0"/>
        <x:v>1624</x:v>
      </x:c>
      <x:c r="V27" s="9" t="n">
        <x:f t="shared" si="1"/>
        <x:v>1546</x:v>
      </x:c>
      <x:c r="W27" s="7" t="n">
        <x:f t="shared" si="2"/>
        <x:v>53.3</x:v>
      </x:c>
    </x:row>
    <x:row r="28" ht="27.299999237060547" customHeight="1">
      <x:c r="A28" s="3" t="str">
        <x:v>PJT_27</x:v>
      </x:c>
      <x:c r="B28" s="3" t="str">
        <x:v>Humid Subtropical</x:v>
      </x:c>
      <x:c r="C28" s="6" t="n">
        <x:v>2640</x:v>
      </x:c>
      <x:c r="D28" s="3" t="n">
        <x:v>2</x:v>
      </x:c>
      <x:c r="E28" s="3" t="str">
        <x:v>Medium</x:v>
      </x:c>
      <x:c r="F28" s="3" t="str">
        <x:v>Residential</x:v>
      </x:c>
      <x:c r="G28" s="3" t="str">
        <x:v>RC Frame</x:v>
      </x:c>
      <x:c r="H28" s="3" t="str">
        <x:v>Piles</x:v>
      </x:c>
      <x:c r="I28" s="3" t="str">
        <x:v>Soft Clay</x:v>
      </x:c>
      <x:c r="J28" s="3" t="str">
        <x:v>Low</x:v>
      </x:c>
      <x:c r="K28" s="9" t="n">
        <x:v>3358080</x:v>
      </x:c>
      <x:c r="L28" s="9" t="n">
        <x:v>319</x:v>
      </x:c>
      <x:c r="M28" s="7" t="n">
        <x:v>251.5</x:v>
      </x:c>
      <x:c r="N28" s="7" t="n">
        <x:v>22.3</x:v>
      </x:c>
      <x:c r="O28" s="7" t="n">
        <x:v>66.1</x:v>
      </x:c>
      <x:c r="P28" s="3" t="str">
        <x:v>Sunny</x:v>
      </x:c>
      <x:c r="Q28" s="9" t="n">
        <x:v>99</x:v>
      </x:c>
      <x:c r="R28" s="7" t="n">
        <x:v>61.9</x:v>
      </x:c>
      <x:c r="S28" s="5" t="n">
        <x:v>0.0666</x:v>
      </x:c>
      <x:c r="T28" s="7" t="n">
        <x:v>12.6</x:v>
      </x:c>
      <x:c r="U28" s="7" t="n">
        <x:f t="shared" si="0"/>
        <x:v>1320</x:v>
      </x:c>
      <x:c r="V28" s="9" t="n">
        <x:f t="shared" si="1"/>
        <x:v>1272</x:v>
      </x:c>
      <x:c r="W28" s="7" t="n">
        <x:f t="shared" si="2"/>
        <x:v>120.8</x:v>
      </x:c>
    </x:row>
    <x:row r="29" ht="13.649999618530273" customHeight="1">
      <x:c r="A29" s="3" t="str">
        <x:v>PJT_28</x:v>
      </x:c>
      <x:c r="B29" s="3" t="str">
        <x:v>Mediterranean</x:v>
      </x:c>
      <x:c r="C29" s="6" t="n">
        <x:v>8490</x:v>
      </x:c>
      <x:c r="D29" s="3" t="n">
        <x:v>12</x:v>
      </x:c>
      <x:c r="E29" s="3" t="str">
        <x:v>High</x:v>
      </x:c>
      <x:c r="F29" s="3" t="str">
        <x:v>Residential</x:v>
      </x:c>
      <x:c r="G29" s="3" t="str">
        <x:v>RC Frame</x:v>
      </x:c>
      <x:c r="H29" s="3" t="str">
        <x:v>Raft</x:v>
      </x:c>
      <x:c r="I29" s="3" t="str">
        <x:v>Rock</x:v>
      </x:c>
      <x:c r="J29" s="3" t="str">
        <x:v>High</x:v>
      </x:c>
      <x:c r="K29" s="9" t="n">
        <x:v>13702860</x:v>
      </x:c>
      <x:c r="L29" s="9" t="n">
        <x:v>535</x:v>
      </x:c>
      <x:c r="M29" s="7" t="n">
        <x:v>745.5</x:v>
      </x:c>
      <x:c r="N29" s="7" t="n">
        <x:v>27.3</x:v>
      </x:c>
      <x:c r="O29" s="7" t="n">
        <x:v>39</x:v>
      </x:c>
      <x:c r="P29" s="3" t="str">
        <x:v>Cloudy</x:v>
      </x:c>
      <x:c r="Q29" s="9" t="n">
        <x:v>104</x:v>
      </x:c>
      <x:c r="R29" s="7" t="n">
        <x:v>69.8</x:v>
      </x:c>
      <x:c r="S29" s="5" t="n">
        <x:v>0.0803</x:v>
      </x:c>
      <x:c r="T29" s="7" t="n">
        <x:v>13.7</x:v>
      </x:c>
      <x:c r="U29" s="7" t="n">
        <x:f t="shared" si="0"/>
        <x:v>707.5</x:v>
      </x:c>
      <x:c r="V29" s="9" t="n">
        <x:f t="shared" si="1"/>
        <x:v>1614</x:v>
      </x:c>
      <x:c r="W29" s="7" t="n">
        <x:f t="shared" si="2"/>
        <x:v>63</x:v>
      </x:c>
    </x:row>
    <x:row r="30" ht="13.649999618530273" customHeight="1">
      <x:c r="A30" s="3" t="str">
        <x:v>PJT_29</x:v>
      </x:c>
      <x:c r="B30" s="3" t="str">
        <x:v>Marine</x:v>
      </x:c>
      <x:c r="C30" s="6" t="n">
        <x:v>18880</x:v>
      </x:c>
      <x:c r="D30" s="3" t="n">
        <x:v>18</x:v>
      </x:c>
      <x:c r="E30" s="3" t="str">
        <x:v>High</x:v>
      </x:c>
      <x:c r="F30" s="3" t="str">
        <x:v>Mixed-use</x:v>
      </x:c>
      <x:c r="G30" s="3" t="str">
        <x:v>Steel</x:v>
      </x:c>
      <x:c r="H30" s="3" t="str">
        <x:v>Piles</x:v>
      </x:c>
      <x:c r="I30" s="3" t="str">
        <x:v>Soft Clay</x:v>
      </x:c>
      <x:c r="J30" s="3" t="str">
        <x:v>High</x:v>
      </x:c>
      <x:c r="K30" s="9" t="n">
        <x:v>49408960</x:v>
      </x:c>
      <x:c r="L30" s="9" t="n">
        <x:v>934</x:v>
      </x:c>
      <x:c r="M30" s="7" t="n">
        <x:v>232.9</x:v>
      </x:c>
      <x:c r="N30" s="7" t="n">
        <x:v>6.2</x:v>
      </x:c>
      <x:c r="O30" s="7" t="n">
        <x:v>71.8</x:v>
      </x:c>
      <x:c r="P30" s="3" t="str">
        <x:v>Rainy</x:v>
      </x:c>
      <x:c r="Q30" s="9" t="n">
        <x:v>133</x:v>
      </x:c>
      <x:c r="R30" s="7" t="n">
        <x:v>84.7</x:v>
      </x:c>
      <x:c r="S30" s="5" t="n">
        <x:v>0.1038</x:v>
      </x:c>
      <x:c r="T30" s="7" t="n">
        <x:v>19.3</x:v>
      </x:c>
      <x:c r="U30" s="7" t="n">
        <x:f t="shared" si="0"/>
        <x:v>1048.9</x:v>
      </x:c>
      <x:c r="V30" s="9" t="n">
        <x:f t="shared" si="1"/>
        <x:v>2617</x:v>
      </x:c>
      <x:c r="W30" s="7" t="n">
        <x:f t="shared" si="2"/>
        <x:v>49.5</x:v>
      </x:c>
    </x:row>
    <x:row r="31" ht="13.649999618530273" customHeight="1">
      <x:c r="A31" s="3" t="str">
        <x:v>PJT_30</x:v>
      </x:c>
      <x:c r="B31" s="3" t="str">
        <x:v>Continental</x:v>
      </x:c>
      <x:c r="C31" s="6" t="n">
        <x:v>25270</x:v>
      </x:c>
      <x:c r="D31" s="3" t="n">
        <x:v>25</x:v>
      </x:c>
      <x:c r="E31" s="3" t="str">
        <x:v>High</x:v>
      </x:c>
      <x:c r="F31" s="3" t="str">
        <x:v>Mixed-use</x:v>
      </x:c>
      <x:c r="G31" s="3" t="str">
        <x:v>Shear Wall</x:v>
      </x:c>
      <x:c r="H31" s="3" t="str">
        <x:v>Raft</x:v>
      </x:c>
      <x:c r="I31" s="3" t="str">
        <x:v>Rock</x:v>
      </x:c>
      <x:c r="J31" s="3" t="str">
        <x:v>Low</x:v>
      </x:c>
      <x:c r="K31" s="9" t="n">
        <x:v>61835690</x:v>
      </x:c>
      <x:c r="L31" s="9" t="n">
        <x:v>1018</x:v>
      </x:c>
      <x:c r="M31" s="7" t="n">
        <x:v>784.1</x:v>
      </x:c>
      <x:c r="N31" s="7" t="n">
        <x:v>19.1</x:v>
      </x:c>
      <x:c r="O31" s="7" t="n">
        <x:v>60.7</x:v>
      </x:c>
      <x:c r="P31" s="3" t="str">
        <x:v>Rainy</x:v>
      </x:c>
      <x:c r="Q31" s="9" t="n">
        <x:v>143</x:v>
      </x:c>
      <x:c r="R31" s="7" t="n">
        <x:v>83.1</x:v>
      </x:c>
      <x:c r="S31" s="5" t="n">
        <x:v>0.1055</x:v>
      </x:c>
      <x:c r="T31" s="7" t="n">
        <x:v>20.1</x:v>
      </x:c>
      <x:c r="U31" s="7" t="n">
        <x:f t="shared" si="0"/>
        <x:v>1010.8</x:v>
      </x:c>
      <x:c r="V31" s="9" t="n">
        <x:f t="shared" si="1"/>
        <x:v>2447</x:v>
      </x:c>
      <x:c r="W31" s="7" t="n">
        <x:f t="shared" si="2"/>
        <x:v>40.3</x:v>
      </x:c>
    </x:row>
    <x:row r="32" ht="13.649999618530273" customHeight="1">
      <x:c r="A32" s="3" t="str">
        <x:v>PJT_31</x:v>
      </x:c>
      <x:c r="B32" s="3" t="str">
        <x:v>Mediterranean</x:v>
      </x:c>
      <x:c r="C32" s="6" t="n">
        <x:v>26060</x:v>
      </x:c>
      <x:c r="D32" s="3" t="n">
        <x:v>26</x:v>
      </x:c>
      <x:c r="E32" s="3" t="str">
        <x:v>High</x:v>
      </x:c>
      <x:c r="F32" s="3" t="str">
        <x:v>Mixed-use</x:v>
      </x:c>
      <x:c r="G32" s="3" t="str">
        <x:v>Shear Wall</x:v>
      </x:c>
      <x:c r="H32" s="3" t="str">
        <x:v>Raft</x:v>
      </x:c>
      <x:c r="I32" s="3" t="str">
        <x:v>Mixed</x:v>
      </x:c>
      <x:c r="J32" s="3" t="str">
        <x:v>High</x:v>
      </x:c>
      <x:c r="K32" s="9" t="n">
        <x:v>66348760</x:v>
      </x:c>
      <x:c r="L32" s="9" t="n">
        <x:v>1054</x:v>
      </x:c>
      <x:c r="M32" s="7" t="n">
        <x:v>229</x:v>
      </x:c>
      <x:c r="N32" s="7" t="n">
        <x:v>15.1</x:v>
      </x:c>
      <x:c r="O32" s="7" t="n">
        <x:v>49.8</x:v>
      </x:c>
      <x:c r="P32" s="3" t="str">
        <x:v>Stormy</x:v>
      </x:c>
      <x:c r="Q32" s="9" t="n">
        <x:v>138</x:v>
      </x:c>
      <x:c r="R32" s="7" t="n">
        <x:v>86</x:v>
      </x:c>
      <x:c r="S32" s="5" t="n">
        <x:v>0.1076</x:v>
      </x:c>
      <x:c r="T32" s="7" t="n">
        <x:v>19.7</x:v>
      </x:c>
      <x:c r="U32" s="7" t="n">
        <x:f t="shared" si="0"/>
        <x:v>1002.3</x:v>
      </x:c>
      <x:c r="V32" s="9" t="n">
        <x:f t="shared" si="1"/>
        <x:v>2546</x:v>
      </x:c>
      <x:c r="W32" s="7" t="n">
        <x:f t="shared" si="2"/>
        <x:v>40.4</x:v>
      </x:c>
    </x:row>
    <x:row r="33" ht="13.649999618530273" customHeight="1">
      <x:c r="A33" s="3" t="str">
        <x:v>PJT_32</x:v>
      </x:c>
      <x:c r="B33" s="3" t="str">
        <x:v>Marine</x:v>
      </x:c>
      <x:c r="C33" s="6" t="n">
        <x:v>20660</x:v>
      </x:c>
      <x:c r="D33" s="3" t="n">
        <x:v>17</x:v>
      </x:c>
      <x:c r="E33" s="3" t="str">
        <x:v>Medium</x:v>
      </x:c>
      <x:c r="F33" s="3" t="str">
        <x:v>Commercial</x:v>
      </x:c>
      <x:c r="G33" s="3" t="str">
        <x:v>Shear Wall</x:v>
      </x:c>
      <x:c r="H33" s="3" t="str">
        <x:v>Raft</x:v>
      </x:c>
      <x:c r="I33" s="3" t="str">
        <x:v>Sand</x:v>
      </x:c>
      <x:c r="J33" s="3" t="str">
        <x:v>High</x:v>
      </x:c>
      <x:c r="K33" s="9" t="n">
        <x:v>41526600</x:v>
      </x:c>
      <x:c r="L33" s="9" t="n">
        <x:v>797</x:v>
      </x:c>
      <x:c r="M33" s="7" t="n">
        <x:v>250.1</x:v>
      </x:c>
      <x:c r="N33" s="7" t="n">
        <x:v>7</x:v>
      </x:c>
      <x:c r="O33" s="7" t="n">
        <x:v>69.8</x:v>
      </x:c>
      <x:c r="P33" s="3" t="str">
        <x:v>Cloudy</x:v>
      </x:c>
      <x:c r="Q33" s="9" t="n">
        <x:v>111</x:v>
      </x:c>
      <x:c r="R33" s="7" t="n">
        <x:v>75.7</x:v>
      </x:c>
      <x:c r="S33" s="5" t="n">
        <x:v>0.0969</x:v>
      </x:c>
      <x:c r="T33" s="7" t="n">
        <x:v>15.5</x:v>
      </x:c>
      <x:c r="U33" s="7" t="n">
        <x:f t="shared" si="0"/>
        <x:v>1215.3</x:v>
      </x:c>
      <x:c r="V33" s="9" t="n">
        <x:f t="shared" si="1"/>
        <x:v>2010</x:v>
      </x:c>
      <x:c r="W33" s="7" t="n">
        <x:f t="shared" si="2"/>
        <x:v>38.6</x:v>
      </x:c>
    </x:row>
    <x:row r="34" ht="13.649999618530273" customHeight="1">
      <x:c r="A34" s="3" t="str">
        <x:v>PJT_33</x:v>
      </x:c>
      <x:c r="B34" s="3" t="str">
        <x:v>Mediterranean</x:v>
      </x:c>
      <x:c r="C34" s="6" t="n">
        <x:v>26550</x:v>
      </x:c>
      <x:c r="D34" s="3" t="n">
        <x:v>27</x:v>
      </x:c>
      <x:c r="E34" s="3" t="str">
        <x:v>High</x:v>
      </x:c>
      <x:c r="F34" s="3" t="str">
        <x:v>Mixed-use</x:v>
      </x:c>
      <x:c r="G34" s="3" t="str">
        <x:v>Shear Wall</x:v>
      </x:c>
      <x:c r="H34" s="3" t="str">
        <x:v>Raft</x:v>
      </x:c>
      <x:c r="I34" s="3" t="str">
        <x:v>Rock</x:v>
      </x:c>
      <x:c r="J34" s="3" t="str">
        <x:v>High</x:v>
      </x:c>
      <x:c r="K34" s="9" t="n">
        <x:v>67490100</x:v>
      </x:c>
      <x:c r="L34" s="9" t="n">
        <x:v>1086</x:v>
      </x:c>
      <x:c r="M34" s="7" t="n">
        <x:v>610.5</x:v>
      </x:c>
      <x:c r="N34" s="7" t="n">
        <x:v>29.4</x:v>
      </x:c>
      <x:c r="O34" s="7" t="n">
        <x:v>41</x:v>
      </x:c>
      <x:c r="P34" s="3" t="str">
        <x:v>Cloudy</x:v>
      </x:c>
      <x:c r="Q34" s="9" t="n">
        <x:v>125</x:v>
      </x:c>
      <x:c r="R34" s="7" t="n">
        <x:v>85.6</x:v>
      </x:c>
      <x:c r="S34" s="5" t="n">
        <x:v>0.11</x:v>
      </x:c>
      <x:c r="T34" s="7" t="n">
        <x:v>18.9</x:v>
      </x:c>
      <x:c r="U34" s="7" t="n">
        <x:f t="shared" ref="U34:U65" si="3">ROUND(C34/D34,1)</x:f>
        <x:v>983.3</x:v>
      </x:c>
      <x:c r="V34" s="9" t="n">
        <x:f t="shared" ref="V34:V65" si="4">ROUND(K34/C34,0)</x:f>
        <x:v>2542</x:v>
      </x:c>
      <x:c r="W34" s="7" t="n">
        <x:f t="shared" ref="W34:W65" si="5">ROUND(L34/(C34/1000),1)</x:f>
        <x:v>40.9</x:v>
      </x:c>
    </x:row>
    <x:row r="35" ht="27.299999237060547" customHeight="1">
      <x:c r="A35" s="3" t="str">
        <x:v>PJT_34</x:v>
      </x:c>
      <x:c r="B35" s="3" t="str">
        <x:v>Humid Subtropical</x:v>
      </x:c>
      <x:c r="C35" s="6" t="n">
        <x:v>27850</x:v>
      </x:c>
      <x:c r="D35" s="3" t="n">
        <x:v>26</x:v>
      </x:c>
      <x:c r="E35" s="3" t="str">
        <x:v>Medium</x:v>
      </x:c>
      <x:c r="F35" s="3" t="str">
        <x:v>Mixed-use</x:v>
      </x:c>
      <x:c r="G35" s="3" t="str">
        <x:v>Steel</x:v>
      </x:c>
      <x:c r="H35" s="3" t="str">
        <x:v>Piles</x:v>
      </x:c>
      <x:c r="I35" s="3" t="str">
        <x:v>Mixed</x:v>
      </x:c>
      <x:c r="J35" s="3" t="str">
        <x:v>Low</x:v>
      </x:c>
      <x:c r="K35" s="9" t="n">
        <x:v>67954000</x:v>
      </x:c>
      <x:c r="L35" s="9" t="n">
        <x:v>1075</x:v>
      </x:c>
      <x:c r="M35" s="7" t="n">
        <x:v>285.8</x:v>
      </x:c>
      <x:c r="N35" s="7" t="n">
        <x:v>30.4</x:v>
      </x:c>
      <x:c r="O35" s="7" t="n">
        <x:v>62.2</x:v>
      </x:c>
      <x:c r="P35" s="3" t="str">
        <x:v>Sunny</x:v>
      </x:c>
      <x:c r="Q35" s="9" t="n">
        <x:v>114</x:v>
      </x:c>
      <x:c r="R35" s="7" t="n">
        <x:v>85.6</x:v>
      </x:c>
      <x:c r="S35" s="5" t="n">
        <x:v>0.0976</x:v>
      </x:c>
      <x:c r="T35" s="7" t="n">
        <x:v>19.1</x:v>
      </x:c>
      <x:c r="U35" s="7" t="n">
        <x:f t="shared" si="3"/>
        <x:v>1071.2</x:v>
      </x:c>
      <x:c r="V35" s="9" t="n">
        <x:f t="shared" si="4"/>
        <x:v>2440</x:v>
      </x:c>
      <x:c r="W35" s="7" t="n">
        <x:f t="shared" si="5"/>
        <x:v>38.6</x:v>
      </x:c>
    </x:row>
    <x:row r="36" ht="27.299999237060547" customHeight="1">
      <x:c r="A36" s="3" t="str">
        <x:v>PJT_35</x:v>
      </x:c>
      <x:c r="B36" s="3" t="str">
        <x:v>Humid Subtropical</x:v>
      </x:c>
      <x:c r="C36" s="6" t="n">
        <x:v>19010</x:v>
      </x:c>
      <x:c r="D36" s="3" t="n">
        <x:v>21</x:v>
      </x:c>
      <x:c r="E36" s="3" t="str">
        <x:v>High</x:v>
      </x:c>
      <x:c r="F36" s="3" t="str">
        <x:v>Commercial</x:v>
      </x:c>
      <x:c r="G36" s="3" t="str">
        <x:v>Steel</x:v>
      </x:c>
      <x:c r="H36" s="3" t="str">
        <x:v>Raft</x:v>
      </x:c>
      <x:c r="I36" s="3" t="str">
        <x:v>Rock</x:v>
      </x:c>
      <x:c r="J36" s="3" t="str">
        <x:v>Medium</x:v>
      </x:c>
      <x:c r="K36" s="9" t="n">
        <x:v>43437850</x:v>
      </x:c>
      <x:c r="L36" s="9" t="n">
        <x:v>876</x:v>
      </x:c>
      <x:c r="M36" s="7" t="n">
        <x:v>629.3</x:v>
      </x:c>
      <x:c r="N36" s="7" t="n">
        <x:v>29.6</x:v>
      </x:c>
      <x:c r="O36" s="7" t="n">
        <x:v>84.9</x:v>
      </x:c>
      <x:c r="P36" s="3" t="str">
        <x:v>Rainy</x:v>
      </x:c>
      <x:c r="Q36" s="9" t="n">
        <x:v>127</x:v>
      </x:c>
      <x:c r="R36" s="7" t="n">
        <x:v>79.5</x:v>
      </x:c>
      <x:c r="S36" s="5" t="n">
        <x:v>0.0957</x:v>
      </x:c>
      <x:c r="T36" s="7" t="n">
        <x:v>19.4</x:v>
      </x:c>
      <x:c r="U36" s="7" t="n">
        <x:f t="shared" si="3"/>
        <x:v>905.2</x:v>
      </x:c>
      <x:c r="V36" s="9" t="n">
        <x:f t="shared" si="4"/>
        <x:v>2285</x:v>
      </x:c>
      <x:c r="W36" s="7" t="n">
        <x:f t="shared" si="5"/>
        <x:v>46.1</x:v>
      </x:c>
    </x:row>
    <x:row r="37" ht="13.649999618530273" customHeight="1">
      <x:c r="A37" s="3" t="str">
        <x:v>PJT_36</x:v>
      </x:c>
      <x:c r="B37" s="3" t="str">
        <x:v>Continental</x:v>
      </x:c>
      <x:c r="C37" s="6" t="n">
        <x:v>22710</x:v>
      </x:c>
      <x:c r="D37" s="3" t="n">
        <x:v>25</x:v>
      </x:c>
      <x:c r="E37" s="3" t="str">
        <x:v>High</x:v>
      </x:c>
      <x:c r="F37" s="3" t="str">
        <x:v>Mixed-use</x:v>
      </x:c>
      <x:c r="G37" s="3" t="str">
        <x:v>Shear Wall</x:v>
      </x:c>
      <x:c r="H37" s="3" t="str">
        <x:v>Piles</x:v>
      </x:c>
      <x:c r="I37" s="3" t="str">
        <x:v>Mixed</x:v>
      </x:c>
      <x:c r="J37" s="3" t="str">
        <x:v>Medium</x:v>
      </x:c>
      <x:c r="K37" s="9" t="n">
        <x:v>59250390</x:v>
      </x:c>
      <x:c r="L37" s="9" t="n">
        <x:v>1017</x:v>
      </x:c>
      <x:c r="M37" s="7" t="n">
        <x:v>321.4</x:v>
      </x:c>
      <x:c r="N37" s="7" t="n">
        <x:v>25.1</x:v>
      </x:c>
      <x:c r="O37" s="7" t="n">
        <x:v>46.9</x:v>
      </x:c>
      <x:c r="P37" s="3" t="str">
        <x:v>Sunny</x:v>
      </x:c>
      <x:c r="Q37" s="9" t="n">
        <x:v>118</x:v>
      </x:c>
      <x:c r="R37" s="7" t="n">
        <x:v>86</x:v>
      </x:c>
      <x:c r="S37" s="5" t="n">
        <x:v>0.1072</x:v>
      </x:c>
      <x:c r="T37" s="7" t="n">
        <x:v>20.3</x:v>
      </x:c>
      <x:c r="U37" s="7" t="n">
        <x:f t="shared" si="3"/>
        <x:v>908.4</x:v>
      </x:c>
      <x:c r="V37" s="9" t="n">
        <x:f t="shared" si="4"/>
        <x:v>2609</x:v>
      </x:c>
      <x:c r="W37" s="7" t="n">
        <x:f t="shared" si="5"/>
        <x:v>44.8</x:v>
      </x:c>
    </x:row>
    <x:row r="38" ht="13.649999618530273" customHeight="1">
      <x:c r="A38" s="3" t="str">
        <x:v>PJT_37</x:v>
      </x:c>
      <x:c r="B38" s="3" t="str">
        <x:v>Mediterranean</x:v>
      </x:c>
      <x:c r="C38" s="6" t="n">
        <x:v>6500</x:v>
      </x:c>
      <x:c r="D38" s="3" t="n">
        <x:v>6</x:v>
      </x:c>
      <x:c r="E38" s="3" t="str">
        <x:v>Medium</x:v>
      </x:c>
      <x:c r="F38" s="3" t="str">
        <x:v>Residential</x:v>
      </x:c>
      <x:c r="G38" s="3" t="str">
        <x:v>RC Frame</x:v>
      </x:c>
      <x:c r="H38" s="3" t="str">
        <x:v>Piles</x:v>
      </x:c>
      <x:c r="I38" s="3" t="str">
        <x:v>Soft Clay</x:v>
      </x:c>
      <x:c r="J38" s="3" t="str">
        <x:v>High</x:v>
      </x:c>
      <x:c r="K38" s="9" t="n">
        <x:v>8885500</x:v>
      </x:c>
      <x:c r="L38" s="9" t="n">
        <x:v>424</x:v>
      </x:c>
      <x:c r="M38" s="7" t="n">
        <x:v>192</x:v>
      </x:c>
      <x:c r="N38" s="7" t="n">
        <x:v>26.5</x:v>
      </x:c>
      <x:c r="O38" s="7" t="n">
        <x:v>46.8</x:v>
      </x:c>
      <x:c r="P38" s="3" t="str">
        <x:v>Sunny</x:v>
      </x:c>
      <x:c r="Q38" s="9" t="n">
        <x:v>60</x:v>
      </x:c>
      <x:c r="R38" s="7" t="n">
        <x:v>63</x:v>
      </x:c>
      <x:c r="S38" s="5" t="n">
        <x:v>0.073</x:v>
      </x:c>
      <x:c r="T38" s="7" t="n">
        <x:v>11.3</x:v>
      </x:c>
      <x:c r="U38" s="7" t="n">
        <x:f t="shared" si="3"/>
        <x:v>1083.3</x:v>
      </x:c>
      <x:c r="V38" s="9" t="n">
        <x:f t="shared" si="4"/>
        <x:v>1367</x:v>
      </x:c>
      <x:c r="W38" s="7" t="n">
        <x:f t="shared" si="5"/>
        <x:v>65.2</x:v>
      </x:c>
    </x:row>
    <x:row r="39" ht="27.299999237060547" customHeight="1">
      <x:c r="A39" s="3" t="str">
        <x:v>PJT_38</x:v>
      </x:c>
      <x:c r="B39" s="3" t="str">
        <x:v>Humid Subtropical</x:v>
      </x:c>
      <x:c r="C39" s="6" t="n">
        <x:v>27340</x:v>
      </x:c>
      <x:c r="D39" s="3" t="n">
        <x:v>26</x:v>
      </x:c>
      <x:c r="E39" s="3" t="str">
        <x:v>Medium</x:v>
      </x:c>
      <x:c r="F39" s="3" t="str">
        <x:v>Mixed-use</x:v>
      </x:c>
      <x:c r="G39" s="3" t="str">
        <x:v>Shear Wall</x:v>
      </x:c>
      <x:c r="H39" s="3" t="str">
        <x:v>Piles</x:v>
      </x:c>
      <x:c r="I39" s="3" t="str">
        <x:v>Soft Clay</x:v>
      </x:c>
      <x:c r="J39" s="3" t="str">
        <x:v>Low</x:v>
      </x:c>
      <x:c r="K39" s="9" t="n">
        <x:v>64768460</x:v>
      </x:c>
      <x:c r="L39" s="9" t="n">
        <x:v>1035</x:v>
      </x:c>
      <x:c r="M39" s="7" t="n">
        <x:v>246.4</x:v>
      </x:c>
      <x:c r="N39" s="7" t="n">
        <x:v>26.2</x:v>
      </x:c>
      <x:c r="O39" s="7" t="n">
        <x:v>90.4</x:v>
      </x:c>
      <x:c r="P39" s="3" t="str">
        <x:v>Cloudy</x:v>
      </x:c>
      <x:c r="Q39" s="9" t="n">
        <x:v>109</x:v>
      </x:c>
      <x:c r="R39" s="7" t="n">
        <x:v>83.7</x:v>
      </x:c>
      <x:c r="S39" s="5" t="n">
        <x:v>0.1005</x:v>
      </x:c>
      <x:c r="T39" s="7" t="n">
        <x:v>17.9</x:v>
      </x:c>
      <x:c r="U39" s="7" t="n">
        <x:f t="shared" si="3"/>
        <x:v>1051.5</x:v>
      </x:c>
      <x:c r="V39" s="9" t="n">
        <x:f t="shared" si="4"/>
        <x:v>2369</x:v>
      </x:c>
      <x:c r="W39" s="7" t="n">
        <x:f t="shared" si="5"/>
        <x:v>37.9</x:v>
      </x:c>
    </x:row>
    <x:row r="40" ht="13.649999618530273" customHeight="1">
      <x:c r="A40" s="3" t="str">
        <x:v>PJT_39</x:v>
      </x:c>
      <x:c r="B40" s="3" t="str">
        <x:v>Marine</x:v>
      </x:c>
      <x:c r="C40" s="6" t="n">
        <x:v>20480</x:v>
      </x:c>
      <x:c r="D40" s="3" t="n">
        <x:v>13</x:v>
      </x:c>
      <x:c r="E40" s="3" t="str">
        <x:v>High</x:v>
      </x:c>
      <x:c r="F40" s="3" t="str">
        <x:v>Hospital</x:v>
      </x:c>
      <x:c r="G40" s="3" t="str">
        <x:v>Shear Wall</x:v>
      </x:c>
      <x:c r="H40" s="3" t="str">
        <x:v>Raft</x:v>
      </x:c>
      <x:c r="I40" s="3" t="str">
        <x:v>Rock</x:v>
      </x:c>
      <x:c r="J40" s="3" t="str">
        <x:v>High</x:v>
      </x:c>
      <x:c r="K40" s="9" t="n">
        <x:v>59863040</x:v>
      </x:c>
      <x:c r="L40" s="9" t="n">
        <x:v>915</x:v>
      </x:c>
      <x:c r="M40" s="7" t="n">
        <x:v>751.8</x:v>
      </x:c>
      <x:c r="N40" s="7" t="n">
        <x:v>16.5</x:v>
      </x:c>
      <x:c r="O40" s="7" t="n">
        <x:v>68.1</x:v>
      </x:c>
      <x:c r="P40" s="3" t="str">
        <x:v>Stormy</x:v>
      </x:c>
      <x:c r="Q40" s="9" t="n">
        <x:v>109</x:v>
      </x:c>
      <x:c r="R40" s="7" t="n">
        <x:v>85.5</x:v>
      </x:c>
      <x:c r="S40" s="5" t="n">
        <x:v>0.1099</x:v>
      </x:c>
      <x:c r="T40" s="7" t="n">
        <x:v>20.5</x:v>
      </x:c>
      <x:c r="U40" s="7" t="n">
        <x:f t="shared" si="3"/>
        <x:v>1575.4</x:v>
      </x:c>
      <x:c r="V40" s="9" t="n">
        <x:f t="shared" si="4"/>
        <x:v>2923</x:v>
      </x:c>
      <x:c r="W40" s="7" t="n">
        <x:f t="shared" si="5"/>
        <x:v>44.7</x:v>
      </x:c>
    </x:row>
    <x:row r="41" ht="13.649999618530273" customHeight="1">
      <x:c r="A41" s="3" t="str">
        <x:v>PJT_40</x:v>
      </x:c>
      <x:c r="B41" s="3" t="str">
        <x:v>Continental</x:v>
      </x:c>
      <x:c r="C41" s="6" t="n">
        <x:v>19700</x:v>
      </x:c>
      <x:c r="D41" s="3" t="n">
        <x:v>19</x:v>
      </x:c>
      <x:c r="E41" s="3" t="str">
        <x:v>High</x:v>
      </x:c>
      <x:c r="F41" s="3" t="str">
        <x:v>Mixed-use</x:v>
      </x:c>
      <x:c r="G41" s="3" t="str">
        <x:v>Shear Wall</x:v>
      </x:c>
      <x:c r="H41" s="3" t="str">
        <x:v>Piles</x:v>
      </x:c>
      <x:c r="I41" s="3" t="str">
        <x:v>Soft Clay</x:v>
      </x:c>
      <x:c r="J41" s="3" t="str">
        <x:v>Low</x:v>
      </x:c>
      <x:c r="K41" s="9" t="n">
        <x:v>48777200</x:v>
      </x:c>
      <x:c r="L41" s="9" t="n">
        <x:v>918</x:v>
      </x:c>
      <x:c r="M41" s="7" t="n">
        <x:v>208</x:v>
      </x:c>
      <x:c r="N41" s="7" t="n">
        <x:v>16.5</x:v>
      </x:c>
      <x:c r="O41" s="7" t="n">
        <x:v>47.5</x:v>
      </x:c>
      <x:c r="P41" s="3" t="str">
        <x:v>Stormy</x:v>
      </x:c>
      <x:c r="Q41" s="9" t="n">
        <x:v>162</x:v>
      </x:c>
      <x:c r="R41" s="7" t="n">
        <x:v>83.5</x:v>
      </x:c>
      <x:c r="S41" s="5" t="n">
        <x:v>0.1009</x:v>
      </x:c>
      <x:c r="T41" s="7" t="n">
        <x:v>20</x:v>
      </x:c>
      <x:c r="U41" s="7" t="n">
        <x:f t="shared" si="3"/>
        <x:v>1036.8</x:v>
      </x:c>
      <x:c r="V41" s="9" t="n">
        <x:f t="shared" si="4"/>
        <x:v>2476</x:v>
      </x:c>
      <x:c r="W41" s="7" t="n">
        <x:f t="shared" si="5"/>
        <x:v>46.6</x:v>
      </x:c>
    </x:row>
    <x:row r="42" ht="13.649999618530273" customHeight="1">
      <x:c r="A42" s="3" t="str">
        <x:v>PJT_41</x:v>
      </x:c>
      <x:c r="B42" s="3" t="str">
        <x:v>Marine</x:v>
      </x:c>
      <x:c r="C42" s="6" t="n">
        <x:v>20740</x:v>
      </x:c>
      <x:c r="D42" s="3" t="n">
        <x:v>23</x:v>
      </x:c>
      <x:c r="E42" s="3" t="str">
        <x:v>Medium</x:v>
      </x:c>
      <x:c r="F42" s="3" t="str">
        <x:v>Mixed-use</x:v>
      </x:c>
      <x:c r="G42" s="3" t="str">
        <x:v>Steel</x:v>
      </x:c>
      <x:c r="H42" s="3" t="str">
        <x:v>Raft</x:v>
      </x:c>
      <x:c r="I42" s="3" t="str">
        <x:v>Rock</x:v>
      </x:c>
      <x:c r="J42" s="3" t="str">
        <x:v>Medium</x:v>
      </x:c>
      <x:c r="K42" s="9" t="n">
        <x:v>48635300</x:v>
      </x:c>
      <x:c r="L42" s="9" t="n">
        <x:v>913</x:v>
      </x:c>
      <x:c r="M42" s="7" t="n">
        <x:v>613</x:v>
      </x:c>
      <x:c r="N42" s="7" t="n">
        <x:v>13.1</x:v>
      </x:c>
      <x:c r="O42" s="7" t="n">
        <x:v>88.4</x:v>
      </x:c>
      <x:c r="P42" s="3" t="str">
        <x:v>Rainy</x:v>
      </x:c>
      <x:c r="Q42" s="9" t="n">
        <x:v>93</x:v>
      </x:c>
      <x:c r="R42" s="7" t="n">
        <x:v>81.1</x:v>
      </x:c>
      <x:c r="S42" s="5" t="n">
        <x:v>0.1</x:v>
      </x:c>
      <x:c r="T42" s="7" t="n">
        <x:v>18.7</x:v>
      </x:c>
      <x:c r="U42" s="7" t="n">
        <x:f t="shared" si="3"/>
        <x:v>901.7</x:v>
      </x:c>
      <x:c r="V42" s="9" t="n">
        <x:f t="shared" si="4"/>
        <x:v>2345</x:v>
      </x:c>
      <x:c r="W42" s="7" t="n">
        <x:f t="shared" si="5"/>
        <x:v>44</x:v>
      </x:c>
    </x:row>
    <x:row r="43" ht="13.649999618530273" customHeight="1">
      <x:c r="A43" s="3" t="str">
        <x:v>PJT_42</x:v>
      </x:c>
      <x:c r="B43" s="3" t="str">
        <x:v>Continental</x:v>
      </x:c>
      <x:c r="C43" s="6" t="n">
        <x:v>19390</x:v>
      </x:c>
      <x:c r="D43" s="3" t="n">
        <x:v>16</x:v>
      </x:c>
      <x:c r="E43" s="3" t="str">
        <x:v>High</x:v>
      </x:c>
      <x:c r="F43" s="3" t="str">
        <x:v>Commercial</x:v>
      </x:c>
      <x:c r="G43" s="3" t="str">
        <x:v>Shear Wall</x:v>
      </x:c>
      <x:c r="H43" s="3" t="str">
        <x:v>Piles</x:v>
      </x:c>
      <x:c r="I43" s="3" t="str">
        <x:v>Sand</x:v>
      </x:c>
      <x:c r="J43" s="3" t="str">
        <x:v>Medium</x:v>
      </x:c>
      <x:c r="K43" s="9" t="n">
        <x:v>41378260</x:v>
      </x:c>
      <x:c r="L43" s="9" t="n">
        <x:v>837</x:v>
      </x:c>
      <x:c r="M43" s="7" t="n">
        <x:v>267.9</x:v>
      </x:c>
      <x:c r="N43" s="7" t="n">
        <x:v>1.5</x:v>
      </x:c>
      <x:c r="O43" s="7" t="n">
        <x:v>61.4</x:v>
      </x:c>
      <x:c r="P43" s="3" t="str">
        <x:v>Sunny</x:v>
      </x:c>
      <x:c r="Q43" s="9" t="n">
        <x:v>104</x:v>
      </x:c>
      <x:c r="R43" s="7" t="n">
        <x:v>80</x:v>
      </x:c>
      <x:c r="S43" s="5" t="n">
        <x:v>0.095</x:v>
      </x:c>
      <x:c r="T43" s="7" t="n">
        <x:v>17</x:v>
      </x:c>
      <x:c r="U43" s="7" t="n">
        <x:f t="shared" si="3"/>
        <x:v>1211.9</x:v>
      </x:c>
      <x:c r="V43" s="9" t="n">
        <x:f t="shared" si="4"/>
        <x:v>2134</x:v>
      </x:c>
      <x:c r="W43" s="7" t="n">
        <x:f t="shared" si="5"/>
        <x:v>43.2</x:v>
      </x:c>
    </x:row>
    <x:row r="44" ht="13.649999618530273" customHeight="1">
      <x:c r="A44" s="3" t="str">
        <x:v>PJT_43</x:v>
      </x:c>
      <x:c r="B44" s="3" t="str">
        <x:v>Continental</x:v>
      </x:c>
      <x:c r="C44" s="6" t="n">
        <x:v>22870</x:v>
      </x:c>
      <x:c r="D44" s="3" t="n">
        <x:v>23</x:v>
      </x:c>
      <x:c r="E44" s="3" t="str">
        <x:v>High</x:v>
      </x:c>
      <x:c r="F44" s="3" t="str">
        <x:v>Mixed-use</x:v>
      </x:c>
      <x:c r="G44" s="3" t="str">
        <x:v>Steel</x:v>
      </x:c>
      <x:c r="H44" s="3" t="str">
        <x:v>Piles</x:v>
      </x:c>
      <x:c r="I44" s="3" t="str">
        <x:v>Mixed</x:v>
      </x:c>
      <x:c r="J44" s="3" t="str">
        <x:v>Medium</x:v>
      </x:c>
      <x:c r="K44" s="9" t="n">
        <x:v>59942270</x:v>
      </x:c>
      <x:c r="L44" s="9" t="n">
        <x:v>1019</x:v>
      </x:c>
      <x:c r="M44" s="7" t="n">
        <x:v>260.9</x:v>
      </x:c>
      <x:c r="N44" s="7" t="n">
        <x:v>25.3</x:v>
      </x:c>
      <x:c r="O44" s="7" t="n">
        <x:v>77.9</x:v>
      </x:c>
      <x:c r="P44" s="3" t="str">
        <x:v>Sunny</x:v>
      </x:c>
      <x:c r="Q44" s="9" t="n">
        <x:v>92</x:v>
      </x:c>
      <x:c r="R44" s="7" t="n">
        <x:v>86</x:v>
      </x:c>
      <x:c r="S44" s="5" t="n">
        <x:v>0.1004</x:v>
      </x:c>
      <x:c r="T44" s="7" t="n">
        <x:v>19.7</x:v>
      </x:c>
      <x:c r="U44" s="7" t="n">
        <x:f t="shared" si="3"/>
        <x:v>994.3</x:v>
      </x:c>
      <x:c r="V44" s="9" t="n">
        <x:f t="shared" si="4"/>
        <x:v>2621</x:v>
      </x:c>
      <x:c r="W44" s="7" t="n">
        <x:f t="shared" si="5"/>
        <x:v>44.6</x:v>
      </x:c>
    </x:row>
    <x:row r="45" ht="13.649999618530273" customHeight="1">
      <x:c r="A45" s="3" t="str">
        <x:v>PJT_44</x:v>
      </x:c>
      <x:c r="B45" s="3" t="str">
        <x:v>Continental</x:v>
      </x:c>
      <x:c r="C45" s="6" t="n">
        <x:v>24020</x:v>
      </x:c>
      <x:c r="D45" s="3" t="n">
        <x:v>25</x:v>
      </x:c>
      <x:c r="E45" s="3" t="str">
        <x:v>Medium</x:v>
      </x:c>
      <x:c r="F45" s="3" t="str">
        <x:v>Mixed-use</x:v>
      </x:c>
      <x:c r="G45" s="3" t="str">
        <x:v>Steel</x:v>
      </x:c>
      <x:c r="H45" s="3" t="str">
        <x:v>Raft</x:v>
      </x:c>
      <x:c r="I45" s="3" t="str">
        <x:v>Rock</x:v>
      </x:c>
      <x:c r="J45" s="3" t="str">
        <x:v>Low</x:v>
      </x:c>
      <x:c r="K45" s="9" t="n">
        <x:v>53780780</x:v>
      </x:c>
      <x:c r="L45" s="9" t="n">
        <x:v>964</x:v>
      </x:c>
      <x:c r="M45" s="7" t="n">
        <x:v>623.8</x:v>
      </x:c>
      <x:c r="N45" s="7" t="n">
        <x:v>6.2</x:v>
      </x:c>
      <x:c r="O45" s="7" t="n">
        <x:v>49</x:v>
      </x:c>
      <x:c r="P45" s="3" t="str">
        <x:v>Rainy</x:v>
      </x:c>
      <x:c r="Q45" s="9" t="n">
        <x:v>152</x:v>
      </x:c>
      <x:c r="R45" s="7" t="n">
        <x:v>82.4</x:v>
      </x:c>
      <x:c r="S45" s="5" t="n">
        <x:v>0.0944</x:v>
      </x:c>
      <x:c r="T45" s="7" t="n">
        <x:v>17.7</x:v>
      </x:c>
      <x:c r="U45" s="7" t="n">
        <x:f t="shared" si="3"/>
        <x:v>960.8</x:v>
      </x:c>
      <x:c r="V45" s="9" t="n">
        <x:f t="shared" si="4"/>
        <x:v>2239</x:v>
      </x:c>
      <x:c r="W45" s="7" t="n">
        <x:f t="shared" si="5"/>
        <x:v>40.1</x:v>
      </x:c>
    </x:row>
    <x:row r="46" ht="27.299999237060547" customHeight="1">
      <x:c r="A46" s="3" t="str">
        <x:v>PJT_45</x:v>
      </x:c>
      <x:c r="B46" s="3" t="str">
        <x:v>Humid Subtropical</x:v>
      </x:c>
      <x:c r="C46" s="6" t="n">
        <x:v>12180</x:v>
      </x:c>
      <x:c r="D46" s="3" t="n">
        <x:v>11</x:v>
      </x:c>
      <x:c r="E46" s="3" t="str">
        <x:v>Medium</x:v>
      </x:c>
      <x:c r="F46" s="3" t="str">
        <x:v>Residential</x:v>
      </x:c>
      <x:c r="G46" s="3" t="str">
        <x:v>Shear Wall</x:v>
      </x:c>
      <x:c r="H46" s="3" t="str">
        <x:v>Piles</x:v>
      </x:c>
      <x:c r="I46" s="3" t="str">
        <x:v>Soft Clay</x:v>
      </x:c>
      <x:c r="J46" s="3" t="str">
        <x:v>Medium</x:v>
      </x:c>
      <x:c r="K46" s="9" t="n">
        <x:v>18099480</x:v>
      </x:c>
      <x:c r="L46" s="9" t="n">
        <x:v>578</x:v>
      </x:c>
      <x:c r="M46" s="7" t="n">
        <x:v>244.4</x:v>
      </x:c>
      <x:c r="N46" s="7" t="n">
        <x:v>23.7</x:v>
      </x:c>
      <x:c r="O46" s="7" t="n">
        <x:v>64.9</x:v>
      </x:c>
      <x:c r="P46" s="3" t="str">
        <x:v>Rainy</x:v>
      </x:c>
      <x:c r="Q46" s="9" t="n">
        <x:v>134</x:v>
      </x:c>
      <x:c r="R46" s="7" t="n">
        <x:v>68</x:v>
      </x:c>
      <x:c r="S46" s="5" t="n">
        <x:v>0.0751</x:v>
      </x:c>
      <x:c r="T46" s="7" t="n">
        <x:v>13.5</x:v>
      </x:c>
      <x:c r="U46" s="7" t="n">
        <x:f t="shared" si="3"/>
        <x:v>1107.3</x:v>
      </x:c>
      <x:c r="V46" s="9" t="n">
        <x:f t="shared" si="4"/>
        <x:v>1486</x:v>
      </x:c>
      <x:c r="W46" s="7" t="n">
        <x:f t="shared" si="5"/>
        <x:v>47.5</x:v>
      </x:c>
    </x:row>
    <x:row r="47" ht="13.649999618530273" customHeight="1">
      <x:c r="A47" s="3" t="str">
        <x:v>PJT_46</x:v>
      </x:c>
      <x:c r="B47" s="3" t="str">
        <x:v>Continental</x:v>
      </x:c>
      <x:c r="C47" s="6" t="n">
        <x:v>11610</x:v>
      </x:c>
      <x:c r="D47" s="3" t="n">
        <x:v>8</x:v>
      </x:c>
      <x:c r="E47" s="3" t="str">
        <x:v>Medium</x:v>
      </x:c>
      <x:c r="F47" s="3" t="str">
        <x:v>Commercial</x:v>
      </x:c>
      <x:c r="G47" s="3" t="str">
        <x:v>RC Frame</x:v>
      </x:c>
      <x:c r="H47" s="3" t="str">
        <x:v>Raft</x:v>
      </x:c>
      <x:c r="I47" s="3" t="str">
        <x:v>Mixed</x:v>
      </x:c>
      <x:c r="J47" s="3" t="str">
        <x:v>Low</x:v>
      </x:c>
      <x:c r="K47" s="9" t="n">
        <x:v>19655730</x:v>
      </x:c>
      <x:c r="L47" s="9" t="n">
        <x:v>539</x:v>
      </x:c>
      <x:c r="M47" s="7" t="n">
        <x:v>229.6</x:v>
      </x:c>
      <x:c r="N47" s="7" t="n">
        <x:v>25.8</x:v>
      </x:c>
      <x:c r="O47" s="7" t="n">
        <x:v>45.9</x:v>
      </x:c>
      <x:c r="P47" s="3" t="str">
        <x:v>Cloudy</x:v>
      </x:c>
      <x:c r="Q47" s="9" t="n">
        <x:v>136</x:v>
      </x:c>
      <x:c r="R47" s="7" t="n">
        <x:v>68.8</x:v>
      </x:c>
      <x:c r="S47" s="5" t="n">
        <x:v>0.083</x:v>
      </x:c>
      <x:c r="T47" s="7" t="n">
        <x:v>14.5</x:v>
      </x:c>
      <x:c r="U47" s="7" t="n">
        <x:f t="shared" si="3"/>
        <x:v>1451.3</x:v>
      </x:c>
      <x:c r="V47" s="9" t="n">
        <x:f t="shared" si="4"/>
        <x:v>1693</x:v>
      </x:c>
      <x:c r="W47" s="7" t="n">
        <x:f t="shared" si="5"/>
        <x:v>46.4</x:v>
      </x:c>
    </x:row>
    <x:row r="48" ht="13.649999618530273" customHeight="1">
      <x:c r="A48" s="3" t="str">
        <x:v>PJT_47</x:v>
      </x:c>
      <x:c r="B48" s="3" t="str">
        <x:v>Continental</x:v>
      </x:c>
      <x:c r="C48" s="6" t="n">
        <x:v>24280</x:v>
      </x:c>
      <x:c r="D48" s="3" t="n">
        <x:v>24</x:v>
      </x:c>
      <x:c r="E48" s="3" t="str">
        <x:v>Medium</x:v>
      </x:c>
      <x:c r="F48" s="3" t="str">
        <x:v>Mixed-use</x:v>
      </x:c>
      <x:c r="G48" s="3" t="str">
        <x:v>Steel</x:v>
      </x:c>
      <x:c r="H48" s="3" t="str">
        <x:v>Piles</x:v>
      </x:c>
      <x:c r="I48" s="3" t="str">
        <x:v>Mixed</x:v>
      </x:c>
      <x:c r="J48" s="3" t="str">
        <x:v>Medium</x:v>
      </x:c>
      <x:c r="K48" s="9" t="n">
        <x:v>59291760</x:v>
      </x:c>
      <x:c r="L48" s="9" t="n">
        <x:v>1000</x:v>
      </x:c>
      <x:c r="M48" s="7" t="n">
        <x:v>310.6</x:v>
      </x:c>
      <x:c r="N48" s="7" t="n">
        <x:v>13.1</x:v>
      </x:c>
      <x:c r="O48" s="7" t="n">
        <x:v>60.2</x:v>
      </x:c>
      <x:c r="P48" s="3" t="str">
        <x:v>Cloudy</x:v>
      </x:c>
      <x:c r="Q48" s="9" t="n">
        <x:v>136</x:v>
      </x:c>
      <x:c r="R48" s="7" t="n">
        <x:v>83.2</x:v>
      </x:c>
      <x:c r="S48" s="5" t="n">
        <x:v>0.0958</x:v>
      </x:c>
      <x:c r="T48" s="7" t="n">
        <x:v>18.5</x:v>
      </x:c>
      <x:c r="U48" s="7" t="n">
        <x:f t="shared" si="3"/>
        <x:v>1011.7</x:v>
      </x:c>
      <x:c r="V48" s="9" t="n">
        <x:f t="shared" si="4"/>
        <x:v>2442</x:v>
      </x:c>
      <x:c r="W48" s="7" t="n">
        <x:f t="shared" si="5"/>
        <x:v>41.2</x:v>
      </x:c>
    </x:row>
    <x:row r="49" ht="13.649999618530273" customHeight="1">
      <x:c r="A49" s="3" t="str">
        <x:v>PJT_48</x:v>
      </x:c>
      <x:c r="B49" s="3" t="str">
        <x:v>Mediterranean</x:v>
      </x:c>
      <x:c r="C49" s="6" t="n">
        <x:v>26940</x:v>
      </x:c>
      <x:c r="D49" s="3" t="n">
        <x:v>26</x:v>
      </x:c>
      <x:c r="E49" s="3" t="str">
        <x:v>Medium</x:v>
      </x:c>
      <x:c r="F49" s="3" t="str">
        <x:v>Mixed-use</x:v>
      </x:c>
      <x:c r="G49" s="3" t="str">
        <x:v>Steel</x:v>
      </x:c>
      <x:c r="H49" s="3" t="str">
        <x:v>Raft</x:v>
      </x:c>
      <x:c r="I49" s="3" t="str">
        <x:v>Sand</x:v>
      </x:c>
      <x:c r="J49" s="3" t="str">
        <x:v>High</x:v>
      </x:c>
      <x:c r="K49" s="9" t="n">
        <x:v>64817640</x:v>
      </x:c>
      <x:c r="L49" s="9" t="n">
        <x:v>1028</x:v>
      </x:c>
      <x:c r="M49" s="7" t="n">
        <x:v>238.3</x:v>
      </x:c>
      <x:c r="N49" s="7" t="n">
        <x:v>13.7</x:v>
      </x:c>
      <x:c r="O49" s="7" t="n">
        <x:v>50.8</x:v>
      </x:c>
      <x:c r="P49" s="3" t="str">
        <x:v>Sunny</x:v>
      </x:c>
      <x:c r="Q49" s="9" t="n">
        <x:v>101</x:v>
      </x:c>
      <x:c r="R49" s="7" t="n">
        <x:v>82.8</x:v>
      </x:c>
      <x:c r="S49" s="5" t="n">
        <x:v>0.1011</x:v>
      </x:c>
      <x:c r="T49" s="7" t="n">
        <x:v>18.4</x:v>
      </x:c>
      <x:c r="U49" s="7" t="n">
        <x:f t="shared" si="3"/>
        <x:v>1036.2</x:v>
      </x:c>
      <x:c r="V49" s="9" t="n">
        <x:f t="shared" si="4"/>
        <x:v>2406</x:v>
      </x:c>
      <x:c r="W49" s="7" t="n">
        <x:f t="shared" si="5"/>
        <x:v>38.2</x:v>
      </x:c>
    </x:row>
    <x:row r="50" ht="13.649999618530273" customHeight="1">
      <x:c r="A50" s="3" t="str">
        <x:v>PJT_49</x:v>
      </x:c>
      <x:c r="B50" s="3" t="str">
        <x:v>Continental</x:v>
      </x:c>
      <x:c r="C50" s="6" t="n">
        <x:v>24780</x:v>
      </x:c>
      <x:c r="D50" s="3" t="n">
        <x:v>27</x:v>
      </x:c>
      <x:c r="E50" s="3" t="str">
        <x:v>High</x:v>
      </x:c>
      <x:c r="F50" s="3" t="str">
        <x:v>Mixed-use</x:v>
      </x:c>
      <x:c r="G50" s="3" t="str">
        <x:v>Shear Wall</x:v>
      </x:c>
      <x:c r="H50" s="3" t="str">
        <x:v>Piles</x:v>
      </x:c>
      <x:c r="I50" s="3" t="str">
        <x:v>Soft Clay</x:v>
      </x:c>
      <x:c r="J50" s="3" t="str">
        <x:v>Low</x:v>
      </x:c>
      <x:c r="K50" s="9" t="n">
        <x:v>63337680</x:v>
      </x:c>
      <x:c r="L50" s="9" t="n">
        <x:v>1076</x:v>
      </x:c>
      <x:c r="M50" s="7" t="n">
        <x:v>248.2</x:v>
      </x:c>
      <x:c r="N50" s="7" t="n">
        <x:v>-2</x:v>
      </x:c>
      <x:c r="O50" s="7" t="n">
        <x:v>49.9</x:v>
      </x:c>
      <x:c r="P50" s="3" t="str">
        <x:v>Snowy</x:v>
      </x:c>
      <x:c r="Q50" s="9" t="n">
        <x:v>121</x:v>
      </x:c>
      <x:c r="R50" s="7" t="n">
        <x:v>86</x:v>
      </x:c>
      <x:c r="S50" s="5" t="n">
        <x:v>0.1052</x:v>
      </x:c>
      <x:c r="T50" s="7" t="n">
        <x:v>20.5</x:v>
      </x:c>
      <x:c r="U50" s="7" t="n">
        <x:f t="shared" si="3"/>
        <x:v>917.8</x:v>
      </x:c>
      <x:c r="V50" s="9" t="n">
        <x:f t="shared" si="4"/>
        <x:v>2556</x:v>
      </x:c>
      <x:c r="W50" s="7" t="n">
        <x:f t="shared" si="5"/>
        <x:v>43.4</x:v>
      </x:c>
    </x:row>
    <x:row r="51" ht="13.649999618530273" customHeight="1">
      <x:c r="A51" s="3" t="str">
        <x:v>PJT_50</x:v>
      </x:c>
      <x:c r="B51" s="3" t="str">
        <x:v>Continental</x:v>
      </x:c>
      <x:c r="C51" s="6" t="n">
        <x:v>5010</x:v>
      </x:c>
      <x:c r="D51" s="3" t="n">
        <x:v>5</x:v>
      </x:c>
      <x:c r="E51" s="3" t="str">
        <x:v>Medium</x:v>
      </x:c>
      <x:c r="F51" s="3" t="str">
        <x:v>School</x:v>
      </x:c>
      <x:c r="G51" s="3" t="str">
        <x:v>RC Frame</x:v>
      </x:c>
      <x:c r="H51" s="3" t="str">
        <x:v>Raft</x:v>
      </x:c>
      <x:c r="I51" s="3" t="str">
        <x:v>Mixed</x:v>
      </x:c>
      <x:c r="J51" s="3" t="str">
        <x:v>Low</x:v>
      </x:c>
      <x:c r="K51" s="9" t="n">
        <x:v>7124220</x:v>
      </x:c>
      <x:c r="L51" s="9" t="n">
        <x:v>381</x:v>
      </x:c>
      <x:c r="M51" s="7" t="n">
        <x:v>240.5</x:v>
      </x:c>
      <x:c r="N51" s="7" t="n">
        <x:v>-2.5</x:v>
      </x:c>
      <x:c r="O51" s="7" t="n">
        <x:v>57.2</x:v>
      </x:c>
      <x:c r="P51" s="3" t="str">
        <x:v>Snowy</x:v>
      </x:c>
      <x:c r="Q51" s="9" t="n">
        <x:v>135</x:v>
      </x:c>
      <x:c r="R51" s="7" t="n">
        <x:v>65.6</x:v>
      </x:c>
      <x:c r="S51" s="5" t="n">
        <x:v>0.0688</x:v>
      </x:c>
      <x:c r="T51" s="7" t="n">
        <x:v>13</x:v>
      </x:c>
      <x:c r="U51" s="7" t="n">
        <x:f t="shared" si="3"/>
        <x:v>1002</x:v>
      </x:c>
      <x:c r="V51" s="9" t="n">
        <x:f t="shared" si="4"/>
        <x:v>1422</x:v>
      </x:c>
      <x:c r="W51" s="7" t="n">
        <x:f t="shared" si="5"/>
        <x:v>76</x:v>
      </x:c>
    </x:row>
    <x:row r="52" ht="27.299999237060547" customHeight="1">
      <x:c r="A52" s="3" t="str">
        <x:v>PJT_51</x:v>
      </x:c>
      <x:c r="B52" s="3" t="str">
        <x:v>Humid Subtropical</x:v>
      </x:c>
      <x:c r="C52" s="6" t="n">
        <x:v>8960</x:v>
      </x:c>
      <x:c r="D52" s="3" t="n">
        <x:v>9</x:v>
      </x:c>
      <x:c r="E52" s="3" t="str">
        <x:v>Medium</x:v>
      </x:c>
      <x:c r="F52" s="3" t="str">
        <x:v>Residential</x:v>
      </x:c>
      <x:c r="G52" s="3" t="str">
        <x:v>Shear Wall</x:v>
      </x:c>
      <x:c r="H52" s="3" t="str">
        <x:v>Piles</x:v>
      </x:c>
      <x:c r="I52" s="3" t="str">
        <x:v>Soft Clay</x:v>
      </x:c>
      <x:c r="J52" s="3" t="str">
        <x:v>Medium</x:v>
      </x:c>
      <x:c r="K52" s="9" t="n">
        <x:v>13681920</x:v>
      </x:c>
      <x:c r="L52" s="9" t="n">
        <x:v>525</x:v>
      </x:c>
      <x:c r="M52" s="7" t="n">
        <x:v>223.4</x:v>
      </x:c>
      <x:c r="N52" s="7" t="n">
        <x:v>18.6</x:v>
      </x:c>
      <x:c r="O52" s="7" t="n">
        <x:v>88.3</x:v>
      </x:c>
      <x:c r="P52" s="3" t="str">
        <x:v>Cloudy</x:v>
      </x:c>
      <x:c r="Q52" s="9" t="n">
        <x:v>88</x:v>
      </x:c>
      <x:c r="R52" s="7" t="n">
        <x:v>68.6</x:v>
      </x:c>
      <x:c r="S52" s="5" t="n">
        <x:v>0.0754</x:v>
      </x:c>
      <x:c r="T52" s="7" t="n">
        <x:v>13</x:v>
      </x:c>
      <x:c r="U52" s="7" t="n">
        <x:f t="shared" si="3"/>
        <x:v>995.6</x:v>
      </x:c>
      <x:c r="V52" s="9" t="n">
        <x:f t="shared" si="4"/>
        <x:v>1527</x:v>
      </x:c>
      <x:c r="W52" s="7" t="n">
        <x:f t="shared" si="5"/>
        <x:v>58.6</x:v>
      </x:c>
    </x:row>
    <x:row r="53" ht="27.299999237060547" customHeight="1">
      <x:c r="A53" s="3" t="str">
        <x:v>PJT_52</x:v>
      </x:c>
      <x:c r="B53" s="3" t="str">
        <x:v>Humid Subtropical</x:v>
      </x:c>
      <x:c r="C53" s="6" t="n">
        <x:v>7040</x:v>
      </x:c>
      <x:c r="D53" s="3" t="n">
        <x:v>6</x:v>
      </x:c>
      <x:c r="E53" s="3" t="str">
        <x:v>Medium</x:v>
      </x:c>
      <x:c r="F53" s="3" t="str">
        <x:v>Residential</x:v>
      </x:c>
      <x:c r="G53" s="3" t="str">
        <x:v>RC Frame</x:v>
      </x:c>
      <x:c r="H53" s="3" t="str">
        <x:v>Raft</x:v>
      </x:c>
      <x:c r="I53" s="3" t="str">
        <x:v>Rock</x:v>
      </x:c>
      <x:c r="J53" s="3" t="str">
        <x:v>Low</x:v>
      </x:c>
      <x:c r="K53" s="9" t="n">
        <x:v>8877440</x:v>
      </x:c>
      <x:c r="L53" s="9" t="n">
        <x:v>412</x:v>
      </x:c>
      <x:c r="M53" s="7" t="n">
        <x:v>680.8</x:v>
      </x:c>
      <x:c r="N53" s="7" t="n">
        <x:v>17.6</x:v>
      </x:c>
      <x:c r="O53" s="7" t="n">
        <x:v>91.4</x:v>
      </x:c>
      <x:c r="P53" s="3" t="str">
        <x:v>Stormy</x:v>
      </x:c>
      <x:c r="Q53" s="9" t="n">
        <x:v>103</x:v>
      </x:c>
      <x:c r="R53" s="7" t="n">
        <x:v>63.6</x:v>
      </x:c>
      <x:c r="S53" s="5" t="n">
        <x:v>0.0678</x:v>
      </x:c>
      <x:c r="T53" s="7" t="n">
        <x:v>12.4</x:v>
      </x:c>
      <x:c r="U53" s="7" t="n">
        <x:f t="shared" si="3"/>
        <x:v>1173.3</x:v>
      </x:c>
      <x:c r="V53" s="9" t="n">
        <x:f t="shared" si="4"/>
        <x:v>1261</x:v>
      </x:c>
      <x:c r="W53" s="7" t="n">
        <x:f t="shared" si="5"/>
        <x:v>58.5</x:v>
      </x:c>
    </x:row>
    <x:row r="54" ht="13.649999618530273" customHeight="1">
      <x:c r="A54" s="3" t="str">
        <x:v>PJT_53</x:v>
      </x:c>
      <x:c r="B54" s="3" t="str">
        <x:v>Marine</x:v>
      </x:c>
      <x:c r="C54" s="6" t="n">
        <x:v>27360</x:v>
      </x:c>
      <x:c r="D54" s="3" t="n">
        <x:v>27</x:v>
      </x:c>
      <x:c r="E54" s="3" t="str">
        <x:v>High</x:v>
      </x:c>
      <x:c r="F54" s="3" t="str">
        <x:v>Mixed-use</x:v>
      </x:c>
      <x:c r="G54" s="3" t="str">
        <x:v>Steel</x:v>
      </x:c>
      <x:c r="H54" s="3" t="str">
        <x:v>Piles</x:v>
      </x:c>
      <x:c r="I54" s="3" t="str">
        <x:v>Soft Clay</x:v>
      </x:c>
      <x:c r="J54" s="3" t="str">
        <x:v>High</x:v>
      </x:c>
      <x:c r="K54" s="9" t="n">
        <x:v>74227680</x:v>
      </x:c>
      <x:c r="L54" s="9" t="n">
        <x:v>1149</x:v>
      </x:c>
      <x:c r="M54" s="7" t="n">
        <x:v>249.3</x:v>
      </x:c>
      <x:c r="N54" s="7" t="n">
        <x:v>15.3</x:v>
      </x:c>
      <x:c r="O54" s="7" t="n">
        <x:v>73.8</x:v>
      </x:c>
      <x:c r="P54" s="3" t="str">
        <x:v>Cloudy</x:v>
      </x:c>
      <x:c r="Q54" s="9" t="n">
        <x:v>107</x:v>
      </x:c>
      <x:c r="R54" s="7" t="n">
        <x:v>86</x:v>
      </x:c>
      <x:c r="S54" s="5" t="n">
        <x:v>0.1041</x:v>
      </x:c>
      <x:c r="T54" s="7" t="n">
        <x:v>20.6</x:v>
      </x:c>
      <x:c r="U54" s="7" t="n">
        <x:f t="shared" si="3"/>
        <x:v>1013.3</x:v>
      </x:c>
      <x:c r="V54" s="9" t="n">
        <x:f t="shared" si="4"/>
        <x:v>2713</x:v>
      </x:c>
      <x:c r="W54" s="7" t="n">
        <x:f t="shared" si="5"/>
        <x:v>42</x:v>
      </x:c>
    </x:row>
    <x:row r="55" ht="13.649999618530273" customHeight="1">
      <x:c r="A55" s="3" t="str">
        <x:v>PJT_54</x:v>
      </x:c>
      <x:c r="B55" s="3" t="str">
        <x:v>Continental</x:v>
      </x:c>
      <x:c r="C55" s="6" t="n">
        <x:v>22490</x:v>
      </x:c>
      <x:c r="D55" s="3" t="n">
        <x:v>22</x:v>
      </x:c>
      <x:c r="E55" s="3" t="str">
        <x:v>High</x:v>
      </x:c>
      <x:c r="F55" s="3" t="str">
        <x:v>Mixed-use</x:v>
      </x:c>
      <x:c r="G55" s="3" t="str">
        <x:v>Steel</x:v>
      </x:c>
      <x:c r="H55" s="3" t="str">
        <x:v>Piles</x:v>
      </x:c>
      <x:c r="I55" s="3" t="str">
        <x:v>Soft Clay</x:v>
      </x:c>
      <x:c r="J55" s="3" t="str">
        <x:v>Medium</x:v>
      </x:c>
      <x:c r="K55" s="9" t="n">
        <x:v>59373600</x:v>
      </x:c>
      <x:c r="L55" s="9" t="n">
        <x:v>1019</x:v>
      </x:c>
      <x:c r="M55" s="7" t="n">
        <x:v>255.1</x:v>
      </x:c>
      <x:c r="N55" s="7" t="n">
        <x:v>15.4</x:v>
      </x:c>
      <x:c r="O55" s="7" t="n">
        <x:v>46.8</x:v>
      </x:c>
      <x:c r="P55" s="3" t="str">
        <x:v>Cloudy</x:v>
      </x:c>
      <x:c r="Q55" s="9" t="n">
        <x:v>97</x:v>
      </x:c>
      <x:c r="R55" s="7" t="n">
        <x:v>86</x:v>
      </x:c>
      <x:c r="S55" s="5" t="n">
        <x:v>0.1044</x:v>
      </x:c>
      <x:c r="T55" s="7" t="n">
        <x:v>20</x:v>
      </x:c>
      <x:c r="U55" s="7" t="n">
        <x:f t="shared" si="3"/>
        <x:v>1022.3</x:v>
      </x:c>
      <x:c r="V55" s="9" t="n">
        <x:f t="shared" si="4"/>
        <x:v>2640</x:v>
      </x:c>
      <x:c r="W55" s="7" t="n">
        <x:f t="shared" si="5"/>
        <x:v>45.3</x:v>
      </x:c>
    </x:row>
    <x:row r="56" ht="13.649999618530273" customHeight="1">
      <x:c r="A56" s="3" t="str">
        <x:v>PJT_55</x:v>
      </x:c>
      <x:c r="B56" s="3" t="str">
        <x:v>Continental</x:v>
      </x:c>
      <x:c r="C56" s="6" t="n">
        <x:v>9740</x:v>
      </x:c>
      <x:c r="D56" s="3" t="n">
        <x:v>8</x:v>
      </x:c>
      <x:c r="E56" s="3" t="str">
        <x:v>Medium</x:v>
      </x:c>
      <x:c r="F56" s="3" t="str">
        <x:v>Commercial</x:v>
      </x:c>
      <x:c r="G56" s="3" t="str">
        <x:v>RC Frame</x:v>
      </x:c>
      <x:c r="H56" s="3" t="str">
        <x:v>Raft</x:v>
      </x:c>
      <x:c r="I56" s="3" t="str">
        <x:v>Rock</x:v>
      </x:c>
      <x:c r="J56" s="3" t="str">
        <x:v>Low</x:v>
      </x:c>
      <x:c r="K56" s="9" t="n">
        <x:v>16275540</x:v>
      </x:c>
      <x:c r="L56" s="9" t="n">
        <x:v>508</x:v>
      </x:c>
      <x:c r="M56" s="7" t="n">
        <x:v>628.8</x:v>
      </x:c>
      <x:c r="N56" s="7" t="n">
        <x:v>-2.2</x:v>
      </x:c>
      <x:c r="O56" s="7" t="n">
        <x:v>66.6</x:v>
      </x:c>
      <x:c r="P56" s="3" t="str">
        <x:v>Cloudy</x:v>
      </x:c>
      <x:c r="Q56" s="9" t="n">
        <x:v>141</x:v>
      </x:c>
      <x:c r="R56" s="7" t="n">
        <x:v>72.3</x:v>
      </x:c>
      <x:c r="S56" s="5" t="n">
        <x:v>0.0853</x:v>
      </x:c>
      <x:c r="T56" s="7" t="n">
        <x:v>13.8</x:v>
      </x:c>
      <x:c r="U56" s="7" t="n">
        <x:f t="shared" si="3"/>
        <x:v>1217.5</x:v>
      </x:c>
      <x:c r="V56" s="9" t="n">
        <x:f t="shared" si="4"/>
        <x:v>1671</x:v>
      </x:c>
      <x:c r="W56" s="7" t="n">
        <x:f t="shared" si="5"/>
        <x:v>52.2</x:v>
      </x:c>
    </x:row>
    <x:row r="57" ht="13.649999618530273" customHeight="1">
      <x:c r="A57" s="3" t="str">
        <x:v>PJT_56</x:v>
      </x:c>
      <x:c r="B57" s="3" t="str">
        <x:v>Continental</x:v>
      </x:c>
      <x:c r="C57" s="6" t="n">
        <x:v>8410</x:v>
      </x:c>
      <x:c r="D57" s="3" t="n">
        <x:v>6</x:v>
      </x:c>
      <x:c r="E57" s="3" t="str">
        <x:v>Medium</x:v>
      </x:c>
      <x:c r="F57" s="3" t="str">
        <x:v>School</x:v>
      </x:c>
      <x:c r="G57" s="3" t="str">
        <x:v>RC Frame</x:v>
      </x:c>
      <x:c r="H57" s="3" t="str">
        <x:v>Raft</x:v>
      </x:c>
      <x:c r="I57" s="3" t="str">
        <x:v>Mixed</x:v>
      </x:c>
      <x:c r="J57" s="3" t="str">
        <x:v>Medium</x:v>
      </x:c>
      <x:c r="K57" s="9" t="n">
        <x:v>12951400</x:v>
      </x:c>
      <x:c r="L57" s="9" t="n">
        <x:v>446</x:v>
      </x:c>
      <x:c r="M57" s="7" t="n">
        <x:v>233.1</x:v>
      </x:c>
      <x:c r="N57" s="7" t="n">
        <x:v>1.3</x:v>
      </x:c>
      <x:c r="O57" s="7" t="n">
        <x:v>47.8</x:v>
      </x:c>
      <x:c r="P57" s="3" t="str">
        <x:v>Snowy</x:v>
      </x:c>
      <x:c r="Q57" s="9" t="n">
        <x:v>138</x:v>
      </x:c>
      <x:c r="R57" s="7" t="n">
        <x:v>62.2</x:v>
      </x:c>
      <x:c r="S57" s="5" t="n">
        <x:v>0.0736</x:v>
      </x:c>
      <x:c r="T57" s="7" t="n">
        <x:v>13.3</x:v>
      </x:c>
      <x:c r="U57" s="7" t="n">
        <x:f t="shared" si="3"/>
        <x:v>1401.7</x:v>
      </x:c>
      <x:c r="V57" s="9" t="n">
        <x:f t="shared" si="4"/>
        <x:v>1540</x:v>
      </x:c>
      <x:c r="W57" s="7" t="n">
        <x:f t="shared" si="5"/>
        <x:v>53</x:v>
      </x:c>
    </x:row>
    <x:row r="58" ht="13.649999618530273" customHeight="1">
      <x:c r="A58" s="3" t="str">
        <x:v>PJT_57</x:v>
      </x:c>
      <x:c r="B58" s="3" t="str">
        <x:v>Mediterranean</x:v>
      </x:c>
      <x:c r="C58" s="6" t="n">
        <x:v>17510</x:v>
      </x:c>
      <x:c r="D58" s="3" t="n">
        <x:v>16</x:v>
      </x:c>
      <x:c r="E58" s="3" t="str">
        <x:v>Medium</x:v>
      </x:c>
      <x:c r="F58" s="3" t="str">
        <x:v>Mixed-use</x:v>
      </x:c>
      <x:c r="G58" s="3" t="str">
        <x:v>Shear Wall</x:v>
      </x:c>
      <x:c r="H58" s="3" t="str">
        <x:v>Raft</x:v>
      </x:c>
      <x:c r="I58" s="3" t="str">
        <x:v>Mixed</x:v>
      </x:c>
      <x:c r="J58" s="3" t="str">
        <x:v>High</x:v>
      </x:c>
      <x:c r="K58" s="9" t="n">
        <x:v>39134850</x:v>
      </x:c>
      <x:c r="L58" s="9" t="n">
        <x:v>786</x:v>
      </x:c>
      <x:c r="M58" s="7" t="n">
        <x:v>206.3</x:v>
      </x:c>
      <x:c r="N58" s="7" t="n">
        <x:v>17.6</x:v>
      </x:c>
      <x:c r="O58" s="7" t="n">
        <x:v>40.5</x:v>
      </x:c>
      <x:c r="P58" s="3" t="str">
        <x:v>Rainy</x:v>
      </x:c>
      <x:c r="Q58" s="9" t="n">
        <x:v>115</x:v>
      </x:c>
      <x:c r="R58" s="7" t="n">
        <x:v>78.7</x:v>
      </x:c>
      <x:c r="S58" s="5" t="n">
        <x:v>0.0998</x:v>
      </x:c>
      <x:c r="T58" s="7" t="n">
        <x:v>16.8</x:v>
      </x:c>
      <x:c r="U58" s="7" t="n">
        <x:f t="shared" si="3"/>
        <x:v>1094.4</x:v>
      </x:c>
      <x:c r="V58" s="9" t="n">
        <x:f t="shared" si="4"/>
        <x:v>2235</x:v>
      </x:c>
      <x:c r="W58" s="7" t="n">
        <x:f t="shared" si="5"/>
        <x:v>44.9</x:v>
      </x:c>
    </x:row>
    <x:row r="59" ht="13.649999618530273" customHeight="1">
      <x:c r="A59" s="3" t="str">
        <x:v>PJT_58</x:v>
      </x:c>
      <x:c r="B59" s="3" t="str">
        <x:v>Marine</x:v>
      </x:c>
      <x:c r="C59" s="6" t="n">
        <x:v>19180</x:v>
      </x:c>
      <x:c r="D59" s="3" t="n">
        <x:v>20</x:v>
      </x:c>
      <x:c r="E59" s="3" t="str">
        <x:v>High</x:v>
      </x:c>
      <x:c r="F59" s="3" t="str">
        <x:v>Commercial</x:v>
      </x:c>
      <x:c r="G59" s="3" t="str">
        <x:v>Steel</x:v>
      </x:c>
      <x:c r="H59" s="3" t="str">
        <x:v>Raft</x:v>
      </x:c>
      <x:c r="I59" s="3" t="str">
        <x:v>Sand</x:v>
      </x:c>
      <x:c r="J59" s="3" t="str">
        <x:v>Medium</x:v>
      </x:c>
      <x:c r="K59" s="9" t="n">
        <x:v>43749580</x:v>
      </x:c>
      <x:c r="L59" s="9" t="n">
        <x:v>856</x:v>
      </x:c>
      <x:c r="M59" s="7" t="n">
        <x:v>231.9</x:v>
      </x:c>
      <x:c r="N59" s="7" t="n">
        <x:v>11.2</x:v>
      </x:c>
      <x:c r="O59" s="7" t="n">
        <x:v>84.7</x:v>
      </x:c>
      <x:c r="P59" s="3" t="str">
        <x:v>Rainy</x:v>
      </x:c>
      <x:c r="Q59" s="9" t="n">
        <x:v>100</x:v>
      </x:c>
      <x:c r="R59" s="7" t="n">
        <x:v>79.5</x:v>
      </x:c>
      <x:c r="S59" s="5" t="n">
        <x:v>0.0978</x:v>
      </x:c>
      <x:c r="T59" s="7" t="n">
        <x:v>19.2</x:v>
      </x:c>
      <x:c r="U59" s="7" t="n">
        <x:f t="shared" si="3"/>
        <x:v>959</x:v>
      </x:c>
      <x:c r="V59" s="9" t="n">
        <x:f t="shared" si="4"/>
        <x:v>2281</x:v>
      </x:c>
      <x:c r="W59" s="7" t="n">
        <x:f t="shared" si="5"/>
        <x:v>44.6</x:v>
      </x:c>
    </x:row>
    <x:row r="60" ht="13.649999618530273" customHeight="1">
      <x:c r="A60" s="3" t="str">
        <x:v>PJT_59</x:v>
      </x:c>
      <x:c r="B60" s="3" t="str">
        <x:v>Mediterranean</x:v>
      </x:c>
      <x:c r="C60" s="6" t="n">
        <x:v>4800</x:v>
      </x:c>
      <x:c r="D60" s="3" t="n">
        <x:v>2</x:v>
      </x:c>
      <x:c r="E60" s="3" t="str">
        <x:v>Medium</x:v>
      </x:c>
      <x:c r="F60" s="3" t="str">
        <x:v>School</x:v>
      </x:c>
      <x:c r="G60" s="3" t="str">
        <x:v>RC Frame</x:v>
      </x:c>
      <x:c r="H60" s="3" t="str">
        <x:v>Strip</x:v>
      </x:c>
      <x:c r="I60" s="3" t="str">
        <x:v>Sand</x:v>
      </x:c>
      <x:c r="J60" s="3" t="str">
        <x:v>High</x:v>
      </x:c>
      <x:c r="K60" s="9" t="n">
        <x:v>6940800</x:v>
      </x:c>
      <x:c r="L60" s="9" t="n">
        <x:v>344</x:v>
      </x:c>
      <x:c r="M60" s="7" t="n">
        <x:v>230.2</x:v>
      </x:c>
      <x:c r="N60" s="7" t="n">
        <x:v>15.2</x:v>
      </x:c>
      <x:c r="O60" s="7" t="n">
        <x:v>63.1</x:v>
      </x:c>
      <x:c r="P60" s="3" t="str">
        <x:v>Rainy</x:v>
      </x:c>
      <x:c r="Q60" s="9" t="n">
        <x:v>82</x:v>
      </x:c>
      <x:c r="R60" s="7" t="n">
        <x:v>58.5</x:v>
      </x:c>
      <x:c r="S60" s="5" t="n">
        <x:v>0.0756</x:v>
      </x:c>
      <x:c r="T60" s="7" t="n">
        <x:v>13.1</x:v>
      </x:c>
      <x:c r="U60" s="7" t="n">
        <x:f t="shared" si="3"/>
        <x:v>2400</x:v>
      </x:c>
      <x:c r="V60" s="9" t="n">
        <x:f t="shared" si="4"/>
        <x:v>1446</x:v>
      </x:c>
      <x:c r="W60" s="7" t="n">
        <x:f t="shared" si="5"/>
        <x:v>71.7</x:v>
      </x:c>
    </x:row>
    <x:row r="61" ht="13.649999618530273" customHeight="1">
      <x:c r="A61" s="3" t="str">
        <x:v>PJT_60</x:v>
      </x:c>
      <x:c r="B61" s="3" t="str">
        <x:v>Mediterranean</x:v>
      </x:c>
      <x:c r="C61" s="6" t="n">
        <x:v>2770</x:v>
      </x:c>
      <x:c r="D61" s="3" t="n">
        <x:v>2</x:v>
      </x:c>
      <x:c r="E61" s="3" t="str">
        <x:v>Low</x:v>
      </x:c>
      <x:c r="F61" s="3" t="str">
        <x:v>Residential</x:v>
      </x:c>
      <x:c r="G61" s="3" t="str">
        <x:v>Shear Wall</x:v>
      </x:c>
      <x:c r="H61" s="3" t="str">
        <x:v>Raft</x:v>
      </x:c>
      <x:c r="I61" s="3" t="str">
        <x:v>Rock</x:v>
      </x:c>
      <x:c r="J61" s="3" t="str">
        <x:v>High</x:v>
      </x:c>
      <x:c r="K61" s="9" t="n">
        <x:v>3409870</x:v>
      </x:c>
      <x:c r="L61" s="9" t="n">
        <x:v>299</x:v>
      </x:c>
      <x:c r="M61" s="7" t="n">
        <x:v>663.9</x:v>
      </x:c>
      <x:c r="N61" s="7" t="n">
        <x:v>24.3</x:v>
      </x:c>
      <x:c r="O61" s="7" t="n">
        <x:v>54.2</x:v>
      </x:c>
      <x:c r="P61" s="3" t="str">
        <x:v>Stormy</x:v>
      </x:c>
      <x:c r="Q61" s="9" t="n">
        <x:v>104</x:v>
      </x:c>
      <x:c r="R61" s="7" t="n">
        <x:v>61.7</x:v>
      </x:c>
      <x:c r="S61" s="5" t="n">
        <x:v>0.0727</x:v>
      </x:c>
      <x:c r="T61" s="7" t="n">
        <x:v>10.8</x:v>
      </x:c>
      <x:c r="U61" s="7" t="n">
        <x:f t="shared" si="3"/>
        <x:v>1385</x:v>
      </x:c>
      <x:c r="V61" s="9" t="n">
        <x:f t="shared" si="4"/>
        <x:v>1231</x:v>
      </x:c>
      <x:c r="W61" s="7" t="n">
        <x:f t="shared" si="5"/>
        <x:v>107.9</x:v>
      </x:c>
    </x:row>
    <x:row r="62" ht="13.649999618530273" customHeight="1">
      <x:c r="A62" s="3" t="str">
        <x:v>PJT_61</x:v>
      </x:c>
      <x:c r="B62" s="3" t="str">
        <x:v>Continental</x:v>
      </x:c>
      <x:c r="C62" s="6" t="n">
        <x:v>8350</x:v>
      </x:c>
      <x:c r="D62" s="3" t="n">
        <x:v>7</x:v>
      </x:c>
      <x:c r="E62" s="3" t="str">
        <x:v>Low</x:v>
      </x:c>
      <x:c r="F62" s="3" t="str">
        <x:v>Residential</x:v>
      </x:c>
      <x:c r="G62" s="3" t="str">
        <x:v>RC Frame</x:v>
      </x:c>
      <x:c r="H62" s="3" t="str">
        <x:v>Raft</x:v>
      </x:c>
      <x:c r="I62" s="3" t="str">
        <x:v>Sand</x:v>
      </x:c>
      <x:c r="J62" s="3" t="str">
        <x:v>Medium</x:v>
      </x:c>
      <x:c r="K62" s="9" t="n">
        <x:v>9251800</x:v>
      </x:c>
      <x:c r="L62" s="9" t="n">
        <x:v>405</x:v>
      </x:c>
      <x:c r="M62" s="7" t="n">
        <x:v>279.4</x:v>
      </x:c>
      <x:c r="N62" s="7" t="n">
        <x:v>11.3</x:v>
      </x:c>
      <x:c r="O62" s="7" t="n">
        <x:v>81.6</x:v>
      </x:c>
      <x:c r="P62" s="3" t="str">
        <x:v>Sunny</x:v>
      </x:c>
      <x:c r="Q62" s="9" t="n">
        <x:v>85</x:v>
      </x:c>
      <x:c r="R62" s="7" t="n">
        <x:v>57.7</x:v>
      </x:c>
      <x:c r="S62" s="5" t="n">
        <x:v>0.0698</x:v>
      </x:c>
      <x:c r="T62" s="7" t="n">
        <x:v>10.4</x:v>
      </x:c>
      <x:c r="U62" s="7" t="n">
        <x:f t="shared" si="3"/>
        <x:v>1192.9</x:v>
      </x:c>
      <x:c r="V62" s="9" t="n">
        <x:f t="shared" si="4"/>
        <x:v>1108</x:v>
      </x:c>
      <x:c r="W62" s="7" t="n">
        <x:f t="shared" si="5"/>
        <x:v>48.5</x:v>
      </x:c>
    </x:row>
    <x:row r="63" ht="13.649999618530273" customHeight="1">
      <x:c r="A63" s="3" t="str">
        <x:v>PJT_62</x:v>
      </x:c>
      <x:c r="B63" s="3" t="str">
        <x:v>Mediterranean</x:v>
      </x:c>
      <x:c r="C63" s="6" t="n">
        <x:v>17360</x:v>
      </x:c>
      <x:c r="D63" s="3" t="n">
        <x:v>16</x:v>
      </x:c>
      <x:c r="E63" s="3" t="str">
        <x:v>High</x:v>
      </x:c>
      <x:c r="F63" s="3" t="str">
        <x:v>Mixed-use</x:v>
      </x:c>
      <x:c r="G63" s="3" t="str">
        <x:v>Steel</x:v>
      </x:c>
      <x:c r="H63" s="3" t="str">
        <x:v>Piles</x:v>
      </x:c>
      <x:c r="I63" s="3" t="str">
        <x:v>Mixed</x:v>
      </x:c>
      <x:c r="J63" s="3" t="str">
        <x:v>High</x:v>
      </x:c>
      <x:c r="K63" s="9" t="n">
        <x:v>44528400</x:v>
      </x:c>
      <x:c r="L63" s="9" t="n">
        <x:v>888</x:v>
      </x:c>
      <x:c r="M63" s="7" t="n">
        <x:v>244.8</x:v>
      </x:c>
      <x:c r="N63" s="7" t="n">
        <x:v>14.1</x:v>
      </x:c>
      <x:c r="O63" s="7" t="n">
        <x:v>61.3</x:v>
      </x:c>
      <x:c r="P63" s="3" t="str">
        <x:v>Sunny</x:v>
      </x:c>
      <x:c r="Q63" s="9" t="n">
        <x:v>99</x:v>
      </x:c>
      <x:c r="R63" s="7" t="n">
        <x:v>86</x:v>
      </x:c>
      <x:c r="S63" s="5" t="n">
        <x:v>0.0996</x:v>
      </x:c>
      <x:c r="T63" s="7" t="n">
        <x:v>19</x:v>
      </x:c>
      <x:c r="U63" s="7" t="n">
        <x:f t="shared" si="3"/>
        <x:v>1085</x:v>
      </x:c>
      <x:c r="V63" s="9" t="n">
        <x:f t="shared" si="4"/>
        <x:v>2565</x:v>
      </x:c>
      <x:c r="W63" s="7" t="n">
        <x:f t="shared" si="5"/>
        <x:v>51.2</x:v>
      </x:c>
    </x:row>
    <x:row r="64" ht="13.649999618530273" customHeight="1">
      <x:c r="A64" s="3" t="str">
        <x:v>PJT_63</x:v>
      </x:c>
      <x:c r="B64" s="3" t="str">
        <x:v>Continental</x:v>
      </x:c>
      <x:c r="C64" s="6" t="n">
        <x:v>9940</x:v>
      </x:c>
      <x:c r="D64" s="3" t="n">
        <x:v>9</x:v>
      </x:c>
      <x:c r="E64" s="3" t="str">
        <x:v>Medium</x:v>
      </x:c>
      <x:c r="F64" s="3" t="str">
        <x:v>Residential</x:v>
      </x:c>
      <x:c r="G64" s="3" t="str">
        <x:v>Shear Wall</x:v>
      </x:c>
      <x:c r="H64" s="3" t="str">
        <x:v>Piles</x:v>
      </x:c>
      <x:c r="I64" s="3" t="str">
        <x:v>Mixed</x:v>
      </x:c>
      <x:c r="J64" s="3" t="str">
        <x:v>Low</x:v>
      </x:c>
      <x:c r="K64" s="9" t="n">
        <x:v>13379240</x:v>
      </x:c>
      <x:c r="L64" s="9" t="n">
        <x:v>515</x:v>
      </x:c>
      <x:c r="M64" s="7" t="n">
        <x:v>311.7</x:v>
      </x:c>
      <x:c r="N64" s="7" t="n">
        <x:v>-2.2</x:v>
      </x:c>
      <x:c r="O64" s="7" t="n">
        <x:v>67.4</x:v>
      </x:c>
      <x:c r="P64" s="3" t="str">
        <x:v>Cloudy</x:v>
      </x:c>
      <x:c r="Q64" s="9" t="n">
        <x:v>81</x:v>
      </x:c>
      <x:c r="R64" s="7" t="n">
        <x:v>67.1</x:v>
      </x:c>
      <x:c r="S64" s="5" t="n">
        <x:v>0.0696</x:v>
      </x:c>
      <x:c r="T64" s="7" t="n">
        <x:v>12.9</x:v>
      </x:c>
      <x:c r="U64" s="7" t="n">
        <x:f t="shared" si="3"/>
        <x:v>1104.4</x:v>
      </x:c>
      <x:c r="V64" s="9" t="n">
        <x:f t="shared" si="4"/>
        <x:v>1346</x:v>
      </x:c>
      <x:c r="W64" s="7" t="n">
        <x:f t="shared" si="5"/>
        <x:v>51.8</x:v>
      </x:c>
    </x:row>
    <x:row r="65" ht="13.649999618530273" customHeight="1">
      <x:c r="A65" s="3" t="str">
        <x:v>PJT_64</x:v>
      </x:c>
      <x:c r="B65" s="3" t="str">
        <x:v>Continental</x:v>
      </x:c>
      <x:c r="C65" s="6" t="n">
        <x:v>27270</x:v>
      </x:c>
      <x:c r="D65" s="3" t="n">
        <x:v>18</x:v>
      </x:c>
      <x:c r="E65" s="3" t="str">
        <x:v>High</x:v>
      </x:c>
      <x:c r="F65" s="3" t="str">
        <x:v>Hospital</x:v>
      </x:c>
      <x:c r="G65" s="3" t="str">
        <x:v>Shear Wall</x:v>
      </x:c>
      <x:c r="H65" s="3" t="str">
        <x:v>Piles</x:v>
      </x:c>
      <x:c r="I65" s="3" t="str">
        <x:v>Sand</x:v>
      </x:c>
      <x:c r="J65" s="3" t="str">
        <x:v>Low</x:v>
      </x:c>
      <x:c r="K65" s="9" t="n">
        <x:v>79873830</x:v>
      </x:c>
      <x:c r="L65" s="9" t="n">
        <x:v>1040</x:v>
      </x:c>
      <x:c r="M65" s="7" t="n">
        <x:v>267.8</x:v>
      </x:c>
      <x:c r="N65" s="7" t="n">
        <x:v>11.5</x:v>
      </x:c>
      <x:c r="O65" s="7" t="n">
        <x:v>62.5</x:v>
      </x:c>
      <x:c r="P65" s="3" t="str">
        <x:v>Cloudy</x:v>
      </x:c>
      <x:c r="Q65" s="9" t="n">
        <x:v>91</x:v>
      </x:c>
      <x:c r="R65" s="7" t="n">
        <x:v>86</x:v>
      </x:c>
      <x:c r="S65" s="5" t="n">
        <x:v>0.1039</x:v>
      </x:c>
      <x:c r="T65" s="7" t="n">
        <x:v>21.2</x:v>
      </x:c>
      <x:c r="U65" s="7" t="n">
        <x:f t="shared" si="3"/>
        <x:v>1515</x:v>
      </x:c>
      <x:c r="V65" s="9" t="n">
        <x:f t="shared" si="4"/>
        <x:v>2929</x:v>
      </x:c>
      <x:c r="W65" s="7" t="n">
        <x:f t="shared" si="5"/>
        <x:v>38.1</x:v>
      </x:c>
    </x:row>
    <x:row r="66" ht="13.649999618530273" customHeight="1">
      <x:c r="A66" s="3" t="str">
        <x:v>PJT_65</x:v>
      </x:c>
      <x:c r="B66" s="3" t="str">
        <x:v>Marine</x:v>
      </x:c>
      <x:c r="C66" s="6" t="n">
        <x:v>22840</x:v>
      </x:c>
      <x:c r="D66" s="3" t="n">
        <x:v>23</x:v>
      </x:c>
      <x:c r="E66" s="3" t="str">
        <x:v>Medium</x:v>
      </x:c>
      <x:c r="F66" s="3" t="str">
        <x:v>Commercial</x:v>
      </x:c>
      <x:c r="G66" s="3" t="str">
        <x:v>Shear Wall</x:v>
      </x:c>
      <x:c r="H66" s="3" t="str">
        <x:v>Piles</x:v>
      </x:c>
      <x:c r="I66" s="3" t="str">
        <x:v>Soft Clay</x:v>
      </x:c>
      <x:c r="J66" s="3" t="str">
        <x:v>High</x:v>
      </x:c>
      <x:c r="K66" s="9" t="n">
        <x:v>48101040</x:v>
      </x:c>
      <x:c r="L66" s="9" t="n">
        <x:v>936</x:v>
      </x:c>
      <x:c r="M66" s="7" t="n">
        <x:v>240.3</x:v>
      </x:c>
      <x:c r="N66" s="7" t="n">
        <x:v>12.4</x:v>
      </x:c>
      <x:c r="O66" s="7" t="n">
        <x:v>85.7</x:v>
      </x:c>
      <x:c r="P66" s="3" t="str">
        <x:v>Stormy</x:v>
      </x:c>
      <x:c r="Q66" s="9" t="n">
        <x:v>129</x:v>
      </x:c>
      <x:c r="R66" s="7" t="n">
        <x:v>80.4</x:v>
      </x:c>
      <x:c r="S66" s="5" t="n">
        <x:v>0.1003</x:v>
      </x:c>
      <x:c r="T66" s="7" t="n">
        <x:v>16.9</x:v>
      </x:c>
      <x:c r="U66" s="7" t="n">
        <x:f t="shared" ref="U66:U97" si="6">ROUND(C66/D66,1)</x:f>
        <x:v>993</x:v>
      </x:c>
      <x:c r="V66" s="9" t="n">
        <x:f t="shared" ref="V66:V97" si="7">ROUND(K66/C66,0)</x:f>
        <x:v>2106</x:v>
      </x:c>
      <x:c r="W66" s="7" t="n">
        <x:f t="shared" ref="W66:W97" si="8">ROUND(L66/(C66/1000),1)</x:f>
        <x:v>41</x:v>
      </x:c>
    </x:row>
    <x:row r="67" ht="27.299999237060547" customHeight="1">
      <x:c r="A67" s="3" t="str">
        <x:v>PJT_66</x:v>
      </x:c>
      <x:c r="B67" s="3" t="str">
        <x:v>Humid Subtropical</x:v>
      </x:c>
      <x:c r="C67" s="6" t="n">
        <x:v>24410</x:v>
      </x:c>
      <x:c r="D67" s="3" t="n">
        <x:v>26</x:v>
      </x:c>
      <x:c r="E67" s="3" t="str">
        <x:v>High</x:v>
      </x:c>
      <x:c r="F67" s="3" t="str">
        <x:v>Mixed-use</x:v>
      </x:c>
      <x:c r="G67" s="3" t="str">
        <x:v>Shear Wall</x:v>
      </x:c>
      <x:c r="H67" s="3" t="str">
        <x:v>Piles</x:v>
      </x:c>
      <x:c r="I67" s="3" t="str">
        <x:v>Mixed</x:v>
      </x:c>
      <x:c r="J67" s="3" t="str">
        <x:v>Low</x:v>
      </x:c>
      <x:c r="K67" s="9" t="n">
        <x:v>62123450</x:v>
      </x:c>
      <x:c r="L67" s="9" t="n">
        <x:v>1059</x:v>
      </x:c>
      <x:c r="M67" s="7" t="n">
        <x:v>300.5</x:v>
      </x:c>
      <x:c r="N67" s="7" t="n">
        <x:v>30</x:v>
      </x:c>
      <x:c r="O67" s="7" t="n">
        <x:v>71.6</x:v>
      </x:c>
      <x:c r="P67" s="3" t="str">
        <x:v>Rainy</x:v>
      </x:c>
      <x:c r="Q67" s="9" t="n">
        <x:v>127</x:v>
      </x:c>
      <x:c r="R67" s="7" t="n">
        <x:v>86</x:v>
      </x:c>
      <x:c r="S67" s="5" t="n">
        <x:v>0.1055</x:v>
      </x:c>
      <x:c r="T67" s="7" t="n">
        <x:v>20.5</x:v>
      </x:c>
      <x:c r="U67" s="7" t="n">
        <x:f t="shared" si="6"/>
        <x:v>938.8</x:v>
      </x:c>
      <x:c r="V67" s="9" t="n">
        <x:f t="shared" si="7"/>
        <x:v>2545</x:v>
      </x:c>
      <x:c r="W67" s="7" t="n">
        <x:f t="shared" si="8"/>
        <x:v>43.4</x:v>
      </x:c>
    </x:row>
    <x:row r="68" ht="13.649999618530273" customHeight="1">
      <x:c r="A68" s="3" t="str">
        <x:v>PJT_67</x:v>
      </x:c>
      <x:c r="B68" s="3" t="str">
        <x:v>Mediterranean</x:v>
      </x:c>
      <x:c r="C68" s="6" t="n">
        <x:v>11420</x:v>
      </x:c>
      <x:c r="D68" s="3" t="n">
        <x:v>10</x:v>
      </x:c>
      <x:c r="E68" s="3" t="str">
        <x:v>Medium</x:v>
      </x:c>
      <x:c r="F68" s="3" t="str">
        <x:v>Residential</x:v>
      </x:c>
      <x:c r="G68" s="3" t="str">
        <x:v>RC Frame</x:v>
      </x:c>
      <x:c r="H68" s="3" t="str">
        <x:v>Raft</x:v>
      </x:c>
      <x:c r="I68" s="3" t="str">
        <x:v>Rock</x:v>
      </x:c>
      <x:c r="J68" s="3" t="str">
        <x:v>High</x:v>
      </x:c>
      <x:c r="K68" s="9" t="n">
        <x:v>15485520</x:v>
      </x:c>
      <x:c r="L68" s="9" t="n">
        <x:v>506</x:v>
      </x:c>
      <x:c r="M68" s="7" t="n">
        <x:v>764.8</x:v>
      </x:c>
      <x:c r="N68" s="7" t="n">
        <x:v>31.1</x:v>
      </x:c>
      <x:c r="O68" s="7" t="n">
        <x:v>41.3</x:v>
      </x:c>
      <x:c r="P68" s="3" t="str">
        <x:v>Stormy</x:v>
      </x:c>
      <x:c r="Q68" s="9" t="n">
        <x:v>132</x:v>
      </x:c>
      <x:c r="R68" s="7" t="n">
        <x:v>62.4</x:v>
      </x:c>
      <x:c r="S68" s="5" t="n">
        <x:v>0.0773</x:v>
      </x:c>
      <x:c r="T68" s="7" t="n">
        <x:v>11.7</x:v>
      </x:c>
      <x:c r="U68" s="7" t="n">
        <x:f t="shared" si="6"/>
        <x:v>1142</x:v>
      </x:c>
      <x:c r="V68" s="9" t="n">
        <x:f t="shared" si="7"/>
        <x:v>1356</x:v>
      </x:c>
      <x:c r="W68" s="7" t="n">
        <x:f t="shared" si="8"/>
        <x:v>44.3</x:v>
      </x:c>
    </x:row>
    <x:row r="69" ht="13.649999618530273" customHeight="1">
      <x:c r="A69" s="3" t="str">
        <x:v>PJT_68</x:v>
      </x:c>
      <x:c r="B69" s="3" t="str">
        <x:v>Continental</x:v>
      </x:c>
      <x:c r="C69" s="6" t="n">
        <x:v>13560</x:v>
      </x:c>
      <x:c r="D69" s="3" t="n">
        <x:v>12</x:v>
      </x:c>
      <x:c r="E69" s="3" t="str">
        <x:v>Medium</x:v>
      </x:c>
      <x:c r="F69" s="3" t="str">
        <x:v>Residential</x:v>
      </x:c>
      <x:c r="G69" s="3" t="str">
        <x:v>Shear Wall</x:v>
      </x:c>
      <x:c r="H69" s="3" t="str">
        <x:v>Piles</x:v>
      </x:c>
      <x:c r="I69" s="3" t="str">
        <x:v>Soft Clay</x:v>
      </x:c>
      <x:c r="J69" s="3" t="str">
        <x:v>Medium</x:v>
      </x:c>
      <x:c r="K69" s="9" t="n">
        <x:v>20082360</x:v>
      </x:c>
      <x:c r="L69" s="9" t="n">
        <x:v>607</x:v>
      </x:c>
      <x:c r="M69" s="7" t="n">
        <x:v>209</x:v>
      </x:c>
      <x:c r="N69" s="7" t="n">
        <x:v>6.8</x:v>
      </x:c>
      <x:c r="O69" s="7" t="n">
        <x:v>63.3</x:v>
      </x:c>
      <x:c r="P69" s="3" t="str">
        <x:v>Cloudy</x:v>
      </x:c>
      <x:c r="Q69" s="9" t="n">
        <x:v>110</x:v>
      </x:c>
      <x:c r="R69" s="7" t="n">
        <x:v>70.1</x:v>
      </x:c>
      <x:c r="S69" s="5" t="n">
        <x:v>0.0779</x:v>
      </x:c>
      <x:c r="T69" s="7" t="n">
        <x:v>13.7</x:v>
      </x:c>
      <x:c r="U69" s="7" t="n">
        <x:f t="shared" si="6"/>
        <x:v>1130</x:v>
      </x:c>
      <x:c r="V69" s="9" t="n">
        <x:f t="shared" si="7"/>
        <x:v>1481</x:v>
      </x:c>
      <x:c r="W69" s="7" t="n">
        <x:f t="shared" si="8"/>
        <x:v>44.8</x:v>
      </x:c>
    </x:row>
    <x:row r="70" ht="13.649999618530273" customHeight="1">
      <x:c r="A70" s="3" t="str">
        <x:v>PJT_69</x:v>
      </x:c>
      <x:c r="B70" s="3" t="str">
        <x:v>Marine</x:v>
      </x:c>
      <x:c r="C70" s="6" t="n">
        <x:v>15110</x:v>
      </x:c>
      <x:c r="D70" s="3" t="n">
        <x:v>15</x:v>
      </x:c>
      <x:c r="E70" s="3" t="str">
        <x:v>Medium</x:v>
      </x:c>
      <x:c r="F70" s="3" t="str">
        <x:v>Commercial</x:v>
      </x:c>
      <x:c r="G70" s="3" t="str">
        <x:v>Steel</x:v>
      </x:c>
      <x:c r="H70" s="3" t="str">
        <x:v>Piles</x:v>
      </x:c>
      <x:c r="I70" s="3" t="str">
        <x:v>Sand</x:v>
      </x:c>
      <x:c r="J70" s="3" t="str">
        <x:v>High</x:v>
      </x:c>
      <x:c r="K70" s="9" t="n">
        <x:v>31277700</x:v>
      </x:c>
      <x:c r="L70" s="9" t="n">
        <x:v>758</x:v>
      </x:c>
      <x:c r="M70" s="7" t="n">
        <x:v>348.3</x:v>
      </x:c>
      <x:c r="N70" s="7" t="n">
        <x:v>9.2</x:v>
      </x:c>
      <x:c r="O70" s="7" t="n">
        <x:v>66.8</x:v>
      </x:c>
      <x:c r="P70" s="3" t="str">
        <x:v>Stormy</x:v>
      </x:c>
      <x:c r="Q70" s="9" t="n">
        <x:v>118</x:v>
      </x:c>
      <x:c r="R70" s="7" t="n">
        <x:v>79.5</x:v>
      </x:c>
      <x:c r="S70" s="5" t="n">
        <x:v>0.0914</x:v>
      </x:c>
      <x:c r="T70" s="7" t="n">
        <x:v>16.3</x:v>
      </x:c>
      <x:c r="U70" s="7" t="n">
        <x:f t="shared" si="6"/>
        <x:v>1007.3</x:v>
      </x:c>
      <x:c r="V70" s="9" t="n">
        <x:f t="shared" si="7"/>
        <x:v>2070</x:v>
      </x:c>
      <x:c r="W70" s="7" t="n">
        <x:f t="shared" si="8"/>
        <x:v>50.2</x:v>
      </x:c>
    </x:row>
    <x:row r="71" ht="13.649999618530273" customHeight="1">
      <x:c r="A71" s="3" t="str">
        <x:v>PJT_70</x:v>
      </x:c>
      <x:c r="B71" s="3" t="str">
        <x:v>Continental</x:v>
      </x:c>
      <x:c r="C71" s="6" t="n">
        <x:v>8550</x:v>
      </x:c>
      <x:c r="D71" s="3" t="n">
        <x:v>9</x:v>
      </x:c>
      <x:c r="E71" s="3" t="str">
        <x:v>Medium</x:v>
      </x:c>
      <x:c r="F71" s="3" t="str">
        <x:v>Commercial</x:v>
      </x:c>
      <x:c r="G71" s="3" t="str">
        <x:v>Steel</x:v>
      </x:c>
      <x:c r="H71" s="3" t="str">
        <x:v>Piles</x:v>
      </x:c>
      <x:c r="I71" s="3" t="str">
        <x:v>Sand</x:v>
      </x:c>
      <x:c r="J71" s="3" t="str">
        <x:v>Low</x:v>
      </x:c>
      <x:c r="K71" s="9" t="n">
        <x:v>16544250</x:v>
      </x:c>
      <x:c r="L71" s="9" t="n">
        <x:v>569</x:v>
      </x:c>
      <x:c r="M71" s="7" t="n">
        <x:v>260.2</x:v>
      </x:c>
      <x:c r="N71" s="7" t="n">
        <x:v>7.8</x:v>
      </x:c>
      <x:c r="O71" s="7" t="n">
        <x:v>80.9</x:v>
      </x:c>
      <x:c r="P71" s="3" t="str">
        <x:v>Rainy</x:v>
      </x:c>
      <x:c r="Q71" s="9" t="n">
        <x:v>120</x:v>
      </x:c>
      <x:c r="R71" s="7" t="n">
        <x:v>77.4</x:v>
      </x:c>
      <x:c r="S71" s="5" t="n">
        <x:v>0.0842</x:v>
      </x:c>
      <x:c r="T71" s="7" t="n">
        <x:v>15.7</x:v>
      </x:c>
      <x:c r="U71" s="7" t="n">
        <x:f t="shared" si="6"/>
        <x:v>950</x:v>
      </x:c>
      <x:c r="V71" s="9" t="n">
        <x:f t="shared" si="7"/>
        <x:v>1935</x:v>
      </x:c>
      <x:c r="W71" s="7" t="n">
        <x:f t="shared" si="8"/>
        <x:v>66.5</x:v>
      </x:c>
    </x:row>
    <x:row r="72" ht="13.649999618530273" customHeight="1">
      <x:c r="A72" s="3" t="str">
        <x:v>PJT_71</x:v>
      </x:c>
      <x:c r="B72" s="3" t="str">
        <x:v>Mediterranean</x:v>
      </x:c>
      <x:c r="C72" s="6" t="n">
        <x:v>19680</x:v>
      </x:c>
      <x:c r="D72" s="3" t="n">
        <x:v>19</x:v>
      </x:c>
      <x:c r="E72" s="3" t="str">
        <x:v>High</x:v>
      </x:c>
      <x:c r="F72" s="3" t="str">
        <x:v>Mixed-use</x:v>
      </x:c>
      <x:c r="G72" s="3" t="str">
        <x:v>Steel</x:v>
      </x:c>
      <x:c r="H72" s="3" t="str">
        <x:v>Piles</x:v>
      </x:c>
      <x:c r="I72" s="3" t="str">
        <x:v>Soft Clay</x:v>
      </x:c>
      <x:c r="J72" s="3" t="str">
        <x:v>High</x:v>
      </x:c>
      <x:c r="K72" s="9" t="n">
        <x:v>51423840</x:v>
      </x:c>
      <x:c r="L72" s="9" t="n">
        <x:v>935</x:v>
      </x:c>
      <x:c r="M72" s="7" t="n">
        <x:v>246</x:v>
      </x:c>
      <x:c r="N72" s="7" t="n">
        <x:v>17.8</x:v>
      </x:c>
      <x:c r="O72" s="7" t="n">
        <x:v>71.9</x:v>
      </x:c>
      <x:c r="P72" s="3" t="str">
        <x:v>Rainy</x:v>
      </x:c>
      <x:c r="Q72" s="9" t="n">
        <x:v>101</x:v>
      </x:c>
      <x:c r="R72" s="7" t="n">
        <x:v>86</x:v>
      </x:c>
      <x:c r="S72" s="5" t="n">
        <x:v>0.1037</x:v>
      </x:c>
      <x:c r="T72" s="7" t="n">
        <x:v>18.8</x:v>
      </x:c>
      <x:c r="U72" s="7" t="n">
        <x:f t="shared" si="6"/>
        <x:v>1035.8</x:v>
      </x:c>
      <x:c r="V72" s="9" t="n">
        <x:f t="shared" si="7"/>
        <x:v>2613</x:v>
      </x:c>
      <x:c r="W72" s="7" t="n">
        <x:f t="shared" si="8"/>
        <x:v>47.5</x:v>
      </x:c>
    </x:row>
    <x:row r="73" ht="27.299999237060547" customHeight="1">
      <x:c r="A73" s="3" t="str">
        <x:v>PJT_72</x:v>
      </x:c>
      <x:c r="B73" s="3" t="str">
        <x:v>Humid Subtropical</x:v>
      </x:c>
      <x:c r="C73" s="6" t="n">
        <x:v>21370</x:v>
      </x:c>
      <x:c r="D73" s="3" t="n">
        <x:v>21</x:v>
      </x:c>
      <x:c r="E73" s="3" t="str">
        <x:v>Medium</x:v>
      </x:c>
      <x:c r="F73" s="3" t="str">
        <x:v>Residential</x:v>
      </x:c>
      <x:c r="G73" s="3" t="str">
        <x:v>Shear Wall</x:v>
      </x:c>
      <x:c r="H73" s="3" t="str">
        <x:v>Piles</x:v>
      </x:c>
      <x:c r="I73" s="3" t="str">
        <x:v>Soft Clay</x:v>
      </x:c>
      <x:c r="J73" s="3" t="str">
        <x:v>Medium</x:v>
      </x:c>
      <x:c r="K73" s="9" t="n">
        <x:v>34085150</x:v>
      </x:c>
      <x:c r="L73" s="9" t="n">
        <x:v>800</x:v>
      </x:c>
      <x:c r="M73" s="7" t="n">
        <x:v>254.1</x:v>
      </x:c>
      <x:c r="N73" s="7" t="n">
        <x:v>19.5</x:v>
      </x:c>
      <x:c r="O73" s="7" t="n">
        <x:v>91.4</x:v>
      </x:c>
      <x:c r="P73" s="3" t="str">
        <x:v>Cloudy</x:v>
      </x:c>
      <x:c r="Q73" s="9" t="n">
        <x:v>129</x:v>
      </x:c>
      <x:c r="R73" s="7" t="n">
        <x:v>70.6</x:v>
      </x:c>
      <x:c r="S73" s="5" t="n">
        <x:v>0.0789</x:v>
      </x:c>
      <x:c r="T73" s="7" t="n">
        <x:v>15</x:v>
      </x:c>
      <x:c r="U73" s="7" t="n">
        <x:f t="shared" si="6"/>
        <x:v>1017.6</x:v>
      </x:c>
      <x:c r="V73" s="9" t="n">
        <x:f t="shared" si="7"/>
        <x:v>1595</x:v>
      </x:c>
      <x:c r="W73" s="7" t="n">
        <x:f t="shared" si="8"/>
        <x:v>37.4</x:v>
      </x:c>
    </x:row>
    <x:row r="74" ht="27.299999237060547" customHeight="1">
      <x:c r="A74" s="3" t="str">
        <x:v>PJT_73</x:v>
      </x:c>
      <x:c r="B74" s="3" t="str">
        <x:v>Humid Subtropical</x:v>
      </x:c>
      <x:c r="C74" s="6" t="n">
        <x:v>18170</x:v>
      </x:c>
      <x:c r="D74" s="3" t="n">
        <x:v>17</x:v>
      </x:c>
      <x:c r="E74" s="3" t="str">
        <x:v>Medium</x:v>
      </x:c>
      <x:c r="F74" s="3" t="str">
        <x:v>Residential</x:v>
      </x:c>
      <x:c r="G74" s="3" t="str">
        <x:v>Shear Wall</x:v>
      </x:c>
      <x:c r="H74" s="3" t="str">
        <x:v>Piles</x:v>
      </x:c>
      <x:c r="I74" s="3" t="str">
        <x:v>Soft Clay</x:v>
      </x:c>
      <x:c r="J74" s="3" t="str">
        <x:v>Low</x:v>
      </x:c>
      <x:c r="K74" s="9" t="n">
        <x:v>26528200</x:v>
      </x:c>
      <x:c r="L74" s="9" t="n">
        <x:v>706</x:v>
      </x:c>
      <x:c r="M74" s="7" t="n">
        <x:v>189.2</x:v>
      </x:c>
      <x:c r="N74" s="7" t="n">
        <x:v>25.8</x:v>
      </x:c>
      <x:c r="O74" s="7" t="n">
        <x:v>84.6</x:v>
      </x:c>
      <x:c r="P74" s="3" t="str">
        <x:v>Sunny</x:v>
      </x:c>
      <x:c r="Q74" s="9" t="n">
        <x:v>127</x:v>
      </x:c>
      <x:c r="R74" s="7" t="n">
        <x:v>68</x:v>
      </x:c>
      <x:c r="S74" s="5" t="n">
        <x:v>0.0786</x:v>
      </x:c>
      <x:c r="T74" s="7" t="n">
        <x:v>13.9</x:v>
      </x:c>
      <x:c r="U74" s="7" t="n">
        <x:f t="shared" si="6"/>
        <x:v>1068.8</x:v>
      </x:c>
      <x:c r="V74" s="9" t="n">
        <x:f t="shared" si="7"/>
        <x:v>1460</x:v>
      </x:c>
      <x:c r="W74" s="7" t="n">
        <x:f t="shared" si="8"/>
        <x:v>38.9</x:v>
      </x:c>
    </x:row>
    <x:row r="75" ht="13.649999618530273" customHeight="1">
      <x:c r="A75" s="3" t="str">
        <x:v>PJT_74</x:v>
      </x:c>
      <x:c r="B75" s="3" t="str">
        <x:v>Continental</x:v>
      </x:c>
      <x:c r="C75" s="6" t="n">
        <x:v>11860</x:v>
      </x:c>
      <x:c r="D75" s="3" t="n">
        <x:v>6</x:v>
      </x:c>
      <x:c r="E75" s="3" t="str">
        <x:v>High</x:v>
      </x:c>
      <x:c r="F75" s="3" t="str">
        <x:v>School</x:v>
      </x:c>
      <x:c r="G75" s="3" t="str">
        <x:v>RC Frame</x:v>
      </x:c>
      <x:c r="H75" s="3" t="str">
        <x:v>Raft</x:v>
      </x:c>
      <x:c r="I75" s="3" t="str">
        <x:v>Mixed</x:v>
      </x:c>
      <x:c r="J75" s="3" t="str">
        <x:v>Low</x:v>
      </x:c>
      <x:c r="K75" s="9" t="n">
        <x:v>19284360</x:v>
      </x:c>
      <x:c r="L75" s="9" t="n">
        <x:v>542</x:v>
      </x:c>
      <x:c r="M75" s="7" t="n">
        <x:v>194.7</x:v>
      </x:c>
      <x:c r="N75" s="7" t="n">
        <x:v>8.1</x:v>
      </x:c>
      <x:c r="O75" s="7" t="n">
        <x:v>46.9</x:v>
      </x:c>
      <x:c r="P75" s="3" t="str">
        <x:v>Rainy</x:v>
      </x:c>
      <x:c r="Q75" s="9" t="n">
        <x:v>124</x:v>
      </x:c>
      <x:c r="R75" s="7" t="n">
        <x:v>66.8</x:v>
      </x:c>
      <x:c r="S75" s="5" t="n">
        <x:v>0.074</x:v>
      </x:c>
      <x:c r="T75" s="7" t="n">
        <x:v>15.6</x:v>
      </x:c>
      <x:c r="U75" s="7" t="n">
        <x:f t="shared" si="6"/>
        <x:v>1976.7</x:v>
      </x:c>
      <x:c r="V75" s="9" t="n">
        <x:f t="shared" si="7"/>
        <x:v>1626</x:v>
      </x:c>
      <x:c r="W75" s="7" t="n">
        <x:f t="shared" si="8"/>
        <x:v>45.7</x:v>
      </x:c>
    </x:row>
    <x:row r="76" ht="13.649999618530273" customHeight="1">
      <x:c r="A76" s="3" t="str">
        <x:v>PJT_75</x:v>
      </x:c>
      <x:c r="B76" s="3" t="str">
        <x:v>Mediterranean</x:v>
      </x:c>
      <x:c r="C76" s="6" t="n">
        <x:v>15200</x:v>
      </x:c>
      <x:c r="D76" s="3" t="n">
        <x:v>14</x:v>
      </x:c>
      <x:c r="E76" s="3" t="str">
        <x:v>High</x:v>
      </x:c>
      <x:c r="F76" s="3" t="str">
        <x:v>Commercial</x:v>
      </x:c>
      <x:c r="G76" s="3" t="str">
        <x:v>Shear Wall</x:v>
      </x:c>
      <x:c r="H76" s="3" t="str">
        <x:v>Raft</x:v>
      </x:c>
      <x:c r="I76" s="3" t="str">
        <x:v>Rock</x:v>
      </x:c>
      <x:c r="J76" s="3" t="str">
        <x:v>High</x:v>
      </x:c>
      <x:c r="K76" s="9" t="n">
        <x:v>32193600</x:v>
      </x:c>
      <x:c r="L76" s="9" t="n">
        <x:v>729</x:v>
      </x:c>
      <x:c r="M76" s="7" t="n">
        <x:v>604.9</x:v>
      </x:c>
      <x:c r="N76" s="7" t="n">
        <x:v>30.7</x:v>
      </x:c>
      <x:c r="O76" s="7" t="n">
        <x:v>62.1</x:v>
      </x:c>
      <x:c r="P76" s="3" t="str">
        <x:v>Sunny</x:v>
      </x:c>
      <x:c r="Q76" s="9" t="n">
        <x:v>118</x:v>
      </x:c>
      <x:c r="R76" s="7" t="n">
        <x:v>79.1</x:v>
      </x:c>
      <x:c r="S76" s="5" t="n">
        <x:v>0.0968</x:v>
      </x:c>
      <x:c r="T76" s="7" t="n">
        <x:v>16.4</x:v>
      </x:c>
      <x:c r="U76" s="7" t="n">
        <x:f t="shared" si="6"/>
        <x:v>1085.7</x:v>
      </x:c>
      <x:c r="V76" s="9" t="n">
        <x:f t="shared" si="7"/>
        <x:v>2118</x:v>
      </x:c>
      <x:c r="W76" s="7" t="n">
        <x:f t="shared" si="8"/>
        <x:v>48</x:v>
      </x:c>
    </x:row>
    <x:row r="77" ht="13.649999618530273" customHeight="1">
      <x:c r="A77" s="3" t="str">
        <x:v>PJT_76</x:v>
      </x:c>
      <x:c r="B77" s="3" t="str">
        <x:v>Mediterranean</x:v>
      </x:c>
      <x:c r="C77" s="6" t="n">
        <x:v>25550</x:v>
      </x:c>
      <x:c r="D77" s="3" t="n">
        <x:v>27</x:v>
      </x:c>
      <x:c r="E77" s="3" t="str">
        <x:v>High</x:v>
      </x:c>
      <x:c r="F77" s="3" t="str">
        <x:v>Mixed-use</x:v>
      </x:c>
      <x:c r="G77" s="3" t="str">
        <x:v>Steel</x:v>
      </x:c>
      <x:c r="H77" s="3" t="str">
        <x:v>Raft</x:v>
      </x:c>
      <x:c r="I77" s="3" t="str">
        <x:v>Rock</x:v>
      </x:c>
      <x:c r="J77" s="3" t="str">
        <x:v>High</x:v>
      </x:c>
      <x:c r="K77" s="9" t="n">
        <x:v>68244050</x:v>
      </x:c>
      <x:c r="L77" s="9" t="n">
        <x:v>1082</x:v>
      </x:c>
      <x:c r="M77" s="7" t="n">
        <x:v>741.6</x:v>
      </x:c>
      <x:c r="N77" s="7" t="n">
        <x:v>16.3</x:v>
      </x:c>
      <x:c r="O77" s="7" t="n">
        <x:v>70.1</x:v>
      </x:c>
      <x:c r="P77" s="3" t="str">
        <x:v>Cloudy</x:v>
      </x:c>
      <x:c r="Q77" s="9" t="n">
        <x:v>99</x:v>
      </x:c>
      <x:c r="R77" s="7" t="n">
        <x:v>86</x:v>
      </x:c>
      <x:c r="S77" s="5" t="n">
        <x:v>0.1077</x:v>
      </x:c>
      <x:c r="T77" s="7" t="n">
        <x:v>20.2</x:v>
      </x:c>
      <x:c r="U77" s="7" t="n">
        <x:f t="shared" si="6"/>
        <x:v>946.3</x:v>
      </x:c>
      <x:c r="V77" s="9" t="n">
        <x:f t="shared" si="7"/>
        <x:v>2671</x:v>
      </x:c>
      <x:c r="W77" s="7" t="n">
        <x:f t="shared" si="8"/>
        <x:v>42.3</x:v>
      </x:c>
    </x:row>
    <x:row r="78" ht="13.649999618530273" customHeight="1">
      <x:c r="A78" s="3" t="str">
        <x:v>PJT_77</x:v>
      </x:c>
      <x:c r="B78" s="3" t="str">
        <x:v>Continental</x:v>
      </x:c>
      <x:c r="C78" s="6" t="n">
        <x:v>17490</x:v>
      </x:c>
      <x:c r="D78" s="3" t="n">
        <x:v>11</x:v>
      </x:c>
      <x:c r="E78" s="3" t="str">
        <x:v>High</x:v>
      </x:c>
      <x:c r="F78" s="3" t="str">
        <x:v>Hospital</x:v>
      </x:c>
      <x:c r="G78" s="3" t="str">
        <x:v>Steel</x:v>
      </x:c>
      <x:c r="H78" s="3" t="str">
        <x:v>Piles</x:v>
      </x:c>
      <x:c r="I78" s="3" t="str">
        <x:v>Sand</x:v>
      </x:c>
      <x:c r="J78" s="3" t="str">
        <x:v>Low</x:v>
      </x:c>
      <x:c r="K78" s="9" t="n">
        <x:v>50493630</x:v>
      </x:c>
      <x:c r="L78" s="9" t="n">
        <x:v>863</x:v>
      </x:c>
      <x:c r="M78" s="7" t="n">
        <x:v>275.4</x:v>
      </x:c>
      <x:c r="N78" s="7" t="n">
        <x:v>10</x:v>
      </x:c>
      <x:c r="O78" s="7" t="n">
        <x:v>63</x:v>
      </x:c>
      <x:c r="P78" s="3" t="str">
        <x:v>Cloudy</x:v>
      </x:c>
      <x:c r="Q78" s="9" t="n">
        <x:v>140</x:v>
      </x:c>
      <x:c r="R78" s="7" t="n">
        <x:v>86</x:v>
      </x:c>
      <x:c r="S78" s="5" t="n">
        <x:v>0.0974</x:v>
      </x:c>
      <x:c r="T78" s="7" t="n">
        <x:v>20.6</x:v>
      </x:c>
      <x:c r="U78" s="7" t="n">
        <x:f t="shared" si="6"/>
        <x:v>1590</x:v>
      </x:c>
      <x:c r="V78" s="9" t="n">
        <x:f t="shared" si="7"/>
        <x:v>2887</x:v>
      </x:c>
      <x:c r="W78" s="7" t="n">
        <x:f t="shared" si="8"/>
        <x:v>49.3</x:v>
      </x:c>
    </x:row>
    <x:row r="79" ht="13.649999618530273" customHeight="1">
      <x:c r="A79" s="3" t="str">
        <x:v>PJT_78</x:v>
      </x:c>
      <x:c r="B79" s="3" t="str">
        <x:v>Continental</x:v>
      </x:c>
      <x:c r="C79" s="6" t="n">
        <x:v>4110</x:v>
      </x:c>
      <x:c r="D79" s="3" t="n">
        <x:v>3</x:v>
      </x:c>
      <x:c r="E79" s="3" t="str">
        <x:v>Medium</x:v>
      </x:c>
      <x:c r="F79" s="3" t="str">
        <x:v>Residential</x:v>
      </x:c>
      <x:c r="G79" s="3" t="str">
        <x:v>Shear Wall</x:v>
      </x:c>
      <x:c r="H79" s="3" t="str">
        <x:v>Piles</x:v>
      </x:c>
      <x:c r="I79" s="3" t="str">
        <x:v>Sand</x:v>
      </x:c>
      <x:c r="J79" s="3" t="str">
        <x:v>Low</x:v>
      </x:c>
      <x:c r="K79" s="9" t="n">
        <x:v>5647140</x:v>
      </x:c>
      <x:c r="L79" s="9" t="n">
        <x:v>358</x:v>
      </x:c>
      <x:c r="M79" s="7" t="n">
        <x:v>260.2</x:v>
      </x:c>
      <x:c r="N79" s="7" t="n">
        <x:v>-3.6</x:v>
      </x:c>
      <x:c r="O79" s="7" t="n">
        <x:v>51.2</x:v>
      </x:c>
      <x:c r="P79" s="3" t="str">
        <x:v>Cloudy</x:v>
      </x:c>
      <x:c r="Q79" s="9" t="n">
        <x:v>85</x:v>
      </x:c>
      <x:c r="R79" s="7" t="n">
        <x:v>65.9</x:v>
      </x:c>
      <x:c r="S79" s="5" t="n">
        <x:v>0.0703</x:v>
      </x:c>
      <x:c r="T79" s="7" t="n">
        <x:v>12.4</x:v>
      </x:c>
      <x:c r="U79" s="7" t="n">
        <x:f t="shared" si="6"/>
        <x:v>1370</x:v>
      </x:c>
      <x:c r="V79" s="9" t="n">
        <x:f t="shared" si="7"/>
        <x:v>1374</x:v>
      </x:c>
      <x:c r="W79" s="7" t="n">
        <x:f t="shared" si="8"/>
        <x:v>87.1</x:v>
      </x:c>
    </x:row>
    <x:row r="80" ht="13.649999618530273" customHeight="1">
      <x:c r="A80" s="3" t="str">
        <x:v>PJT_79</x:v>
      </x:c>
      <x:c r="B80" s="3" t="str">
        <x:v>Marine</x:v>
      </x:c>
      <x:c r="C80" s="6" t="n">
        <x:v>24020</x:v>
      </x:c>
      <x:c r="D80" s="3" t="n">
        <x:v>24</x:v>
      </x:c>
      <x:c r="E80" s="3" t="str">
        <x:v>High</x:v>
      </x:c>
      <x:c r="F80" s="3" t="str">
        <x:v>Mixed-use</x:v>
      </x:c>
      <x:c r="G80" s="3" t="str">
        <x:v>Shear Wall</x:v>
      </x:c>
      <x:c r="H80" s="3" t="str">
        <x:v>Piles</x:v>
      </x:c>
      <x:c r="I80" s="3" t="str">
        <x:v>Soft Clay</x:v>
      </x:c>
      <x:c r="J80" s="3" t="str">
        <x:v>Medium</x:v>
      </x:c>
      <x:c r="K80" s="9" t="n">
        <x:v>62932400</x:v>
      </x:c>
      <x:c r="L80" s="9" t="n">
        <x:v>1052</x:v>
      </x:c>
      <x:c r="M80" s="7" t="n">
        <x:v>249.4</x:v>
      </x:c>
      <x:c r="N80" s="7" t="n">
        <x:v>9.5</x:v>
      </x:c>
      <x:c r="O80" s="7" t="n">
        <x:v>80.5</x:v>
      </x:c>
      <x:c r="P80" s="3" t="str">
        <x:v>Rainy</x:v>
      </x:c>
      <x:c r="Q80" s="9" t="n">
        <x:v>139</x:v>
      </x:c>
      <x:c r="R80" s="7" t="n">
        <x:v>86</x:v>
      </x:c>
      <x:c r="S80" s="5" t="n">
        <x:v>0.1089</x:v>
      </x:c>
      <x:c r="T80" s="7" t="n">
        <x:v>20.1</x:v>
      </x:c>
      <x:c r="U80" s="7" t="n">
        <x:f t="shared" si="6"/>
        <x:v>1000.8</x:v>
      </x:c>
      <x:c r="V80" s="9" t="n">
        <x:f t="shared" si="7"/>
        <x:v>2620</x:v>
      </x:c>
      <x:c r="W80" s="7" t="n">
        <x:f t="shared" si="8"/>
        <x:v>43.8</x:v>
      </x:c>
    </x:row>
    <x:row r="81" ht="13.649999618530273" customHeight="1">
      <x:c r="A81" s="3" t="str">
        <x:v>PJT_80</x:v>
      </x:c>
      <x:c r="B81" s="3" t="str">
        <x:v>Continental</x:v>
      </x:c>
      <x:c r="C81" s="6" t="n">
        <x:v>19570</x:v>
      </x:c>
      <x:c r="D81" s="3" t="n">
        <x:v>17</x:v>
      </x:c>
      <x:c r="E81" s="3" t="str">
        <x:v>High</x:v>
      </x:c>
      <x:c r="F81" s="3" t="str">
        <x:v>Commercial</x:v>
      </x:c>
      <x:c r="G81" s="3" t="str">
        <x:v>Steel</x:v>
      </x:c>
      <x:c r="H81" s="3" t="str">
        <x:v>Raft</x:v>
      </x:c>
      <x:c r="I81" s="3" t="str">
        <x:v>Rock</x:v>
      </x:c>
      <x:c r="J81" s="3" t="str">
        <x:v>Medium</x:v>
      </x:c>
      <x:c r="K81" s="9" t="n">
        <x:v>43464970</x:v>
      </x:c>
      <x:c r="L81" s="9" t="n">
        <x:v>848</x:v>
      </x:c>
      <x:c r="M81" s="7" t="n">
        <x:v>607.7</x:v>
      </x:c>
      <x:c r="N81" s="7" t="n">
        <x:v>11.9</x:v>
      </x:c>
      <x:c r="O81" s="7" t="n">
        <x:v>49.7</x:v>
      </x:c>
      <x:c r="P81" s="3" t="str">
        <x:v>Cloudy</x:v>
      </x:c>
      <x:c r="Q81" s="9" t="n">
        <x:v>101</x:v>
      </x:c>
      <x:c r="R81" s="7" t="n">
        <x:v>78.1</x:v>
      </x:c>
      <x:c r="S81" s="5" t="n">
        <x:v>0.0919</x:v>
      </x:c>
      <x:c r="T81" s="7" t="n">
        <x:v>18.3</x:v>
      </x:c>
      <x:c r="U81" s="7" t="n">
        <x:f t="shared" si="6"/>
        <x:v>1151.2</x:v>
      </x:c>
      <x:c r="V81" s="9" t="n">
        <x:f t="shared" si="7"/>
        <x:v>2221</x:v>
      </x:c>
      <x:c r="W81" s="7" t="n">
        <x:f t="shared" si="8"/>
        <x:v>43.3</x:v>
      </x:c>
    </x:row>
    <x:row r="82" ht="13.649999618530273" customHeight="1">
      <x:c r="A82" s="3" t="str">
        <x:v>PJT_81</x:v>
      </x:c>
      <x:c r="B82" s="3" t="str">
        <x:v>Mediterranean</x:v>
      </x:c>
      <x:c r="C82" s="6" t="n">
        <x:v>9360</x:v>
      </x:c>
      <x:c r="D82" s="3" t="n">
        <x:v>8</x:v>
      </x:c>
      <x:c r="E82" s="3" t="str">
        <x:v>Medium</x:v>
      </x:c>
      <x:c r="F82" s="3" t="str">
        <x:v>Residential</x:v>
      </x:c>
      <x:c r="G82" s="3" t="str">
        <x:v>RC Frame</x:v>
      </x:c>
      <x:c r="H82" s="3" t="str">
        <x:v>Piles</x:v>
      </x:c>
      <x:c r="I82" s="3" t="str">
        <x:v>Soft Clay</x:v>
      </x:c>
      <x:c r="J82" s="3" t="str">
        <x:v>High</x:v>
      </x:c>
      <x:c r="K82" s="9" t="n">
        <x:v>13618800</x:v>
      </x:c>
      <x:c r="L82" s="9" t="n">
        <x:v>488</x:v>
      </x:c>
      <x:c r="M82" s="7" t="n">
        <x:v>210.4</x:v>
      </x:c>
      <x:c r="N82" s="7" t="n">
        <x:v>29.1</x:v>
      </x:c>
      <x:c r="O82" s="7" t="n">
        <x:v>57.4</x:v>
      </x:c>
      <x:c r="P82" s="3" t="str">
        <x:v>Cloudy</x:v>
      </x:c>
      <x:c r="Q82" s="9" t="n">
        <x:v>102</x:v>
      </x:c>
      <x:c r="R82" s="7" t="n">
        <x:v>64</x:v>
      </x:c>
      <x:c r="S82" s="5" t="n">
        <x:v>0.0738</x:v>
      </x:c>
      <x:c r="T82" s="7" t="n">
        <x:v>12.5</x:v>
      </x:c>
      <x:c r="U82" s="7" t="n">
        <x:f t="shared" si="6"/>
        <x:v>1170</x:v>
      </x:c>
      <x:c r="V82" s="9" t="n">
        <x:f t="shared" si="7"/>
        <x:v>1455</x:v>
      </x:c>
      <x:c r="W82" s="7" t="n">
        <x:f t="shared" si="8"/>
        <x:v>52.1</x:v>
      </x:c>
    </x:row>
    <x:row r="83" ht="13.649999618530273" customHeight="1">
      <x:c r="A83" s="3" t="str">
        <x:v>PJT_82</x:v>
      </x:c>
      <x:c r="B83" s="3" t="str">
        <x:v>Continental</x:v>
      </x:c>
      <x:c r="C83" s="6" t="n">
        <x:v>27670</x:v>
      </x:c>
      <x:c r="D83" s="3" t="n">
        <x:v>27</x:v>
      </x:c>
      <x:c r="E83" s="3" t="str">
        <x:v>High</x:v>
      </x:c>
      <x:c r="F83" s="3" t="str">
        <x:v>Mixed-use</x:v>
      </x:c>
      <x:c r="G83" s="3" t="str">
        <x:v>Steel</x:v>
      </x:c>
      <x:c r="H83" s="3" t="str">
        <x:v>Piles</x:v>
      </x:c>
      <x:c r="I83" s="3" t="str">
        <x:v>Mixed</x:v>
      </x:c>
      <x:c r="J83" s="3" t="str">
        <x:v>Medium</x:v>
      </x:c>
      <x:c r="K83" s="9" t="n">
        <x:v>74155600</x:v>
      </x:c>
      <x:c r="L83" s="9" t="n">
        <x:v>1132</x:v>
      </x:c>
      <x:c r="M83" s="7" t="n">
        <x:v>265.2</x:v>
      </x:c>
      <x:c r="N83" s="7" t="n">
        <x:v>2.6</x:v>
      </x:c>
      <x:c r="O83" s="7" t="n">
        <x:v>52.2</x:v>
      </x:c>
      <x:c r="P83" s="3" t="str">
        <x:v>Cloudy</x:v>
      </x:c>
      <x:c r="Q83" s="9" t="n">
        <x:v>128</x:v>
      </x:c>
      <x:c r="R83" s="7" t="n">
        <x:v>86</x:v>
      </x:c>
      <x:c r="S83" s="5" t="n">
        <x:v>0.1016</x:v>
      </x:c>
      <x:c r="T83" s="7" t="n">
        <x:v>21</x:v>
      </x:c>
      <x:c r="U83" s="7" t="n">
        <x:f t="shared" si="6"/>
        <x:v>1024.8</x:v>
      </x:c>
      <x:c r="V83" s="9" t="n">
        <x:f t="shared" si="7"/>
        <x:v>2680</x:v>
      </x:c>
      <x:c r="W83" s="7" t="n">
        <x:f t="shared" si="8"/>
        <x:v>40.9</x:v>
      </x:c>
    </x:row>
    <x:row r="84" ht="13.649999618530273" customHeight="1">
      <x:c r="A84" s="3" t="str">
        <x:v>PJT_83</x:v>
      </x:c>
      <x:c r="B84" s="3" t="str">
        <x:v>Marine</x:v>
      </x:c>
      <x:c r="C84" s="6" t="n">
        <x:v>10360</x:v>
      </x:c>
      <x:c r="D84" s="3" t="n">
        <x:v>9</x:v>
      </x:c>
      <x:c r="E84" s="3" t="str">
        <x:v>Medium</x:v>
      </x:c>
      <x:c r="F84" s="3" t="str">
        <x:v>Residential</x:v>
      </x:c>
      <x:c r="G84" s="3" t="str">
        <x:v>Shear Wall</x:v>
      </x:c>
      <x:c r="H84" s="3" t="str">
        <x:v>Piles</x:v>
      </x:c>
      <x:c r="I84" s="3" t="str">
        <x:v>Soft Clay</x:v>
      </x:c>
      <x:c r="J84" s="3" t="str">
        <x:v>High</x:v>
      </x:c>
      <x:c r="K84" s="9" t="n">
        <x:v>15954400</x:v>
      </x:c>
      <x:c r="L84" s="9" t="n">
        <x:v>545</x:v>
      </x:c>
      <x:c r="M84" s="7" t="n">
        <x:v>182.8</x:v>
      </x:c>
      <x:c r="N84" s="7" t="n">
        <x:v>9.6</x:v>
      </x:c>
      <x:c r="O84" s="7" t="n">
        <x:v>80.4</x:v>
      </x:c>
      <x:c r="P84" s="3" t="str">
        <x:v>Stormy</x:v>
      </x:c>
      <x:c r="Q84" s="9" t="n">
        <x:v>99</x:v>
      </x:c>
      <x:c r="R84" s="7" t="n">
        <x:v>65.7</x:v>
      </x:c>
      <x:c r="S84" s="5" t="n">
        <x:v>0.0759</x:v>
      </x:c>
      <x:c r="T84" s="7" t="n">
        <x:v>13.2</x:v>
      </x:c>
      <x:c r="U84" s="7" t="n">
        <x:f t="shared" si="6"/>
        <x:v>1151.1</x:v>
      </x:c>
      <x:c r="V84" s="9" t="n">
        <x:f t="shared" si="7"/>
        <x:v>1540</x:v>
      </x:c>
      <x:c r="W84" s="7" t="n">
        <x:f t="shared" si="8"/>
        <x:v>52.6</x:v>
      </x:c>
    </x:row>
    <x:row r="85" ht="27.299999237060547" customHeight="1">
      <x:c r="A85" s="3" t="str">
        <x:v>PJT_84</x:v>
      </x:c>
      <x:c r="B85" s="3" t="str">
        <x:v>Humid Subtropical</x:v>
      </x:c>
      <x:c r="C85" s="6" t="n">
        <x:v>16960</x:v>
      </x:c>
      <x:c r="D85" s="3" t="n">
        <x:v>11</x:v>
      </x:c>
      <x:c r="E85" s="3" t="str">
        <x:v>High</x:v>
      </x:c>
      <x:c r="F85" s="3" t="str">
        <x:v>Hospital</x:v>
      </x:c>
      <x:c r="G85" s="3" t="str">
        <x:v>Shear Wall</x:v>
      </x:c>
      <x:c r="H85" s="3" t="str">
        <x:v>Piles</x:v>
      </x:c>
      <x:c r="I85" s="3" t="str">
        <x:v>Sand</x:v>
      </x:c>
      <x:c r="J85" s="3" t="str">
        <x:v>Medium</x:v>
      </x:c>
      <x:c r="K85" s="9" t="n">
        <x:v>49472320</x:v>
      </x:c>
      <x:c r="L85" s="9" t="n">
        <x:v>860</x:v>
      </x:c>
      <x:c r="M85" s="7" t="n">
        <x:v>290.4</x:v>
      </x:c>
      <x:c r="N85" s="7" t="n">
        <x:v>29.1</x:v>
      </x:c>
      <x:c r="O85" s="7" t="n">
        <x:v>79.5</x:v>
      </x:c>
      <x:c r="P85" s="3" t="str">
        <x:v>Rainy</x:v>
      </x:c>
      <x:c r="Q85" s="9" t="n">
        <x:v>117</x:v>
      </x:c>
      <x:c r="R85" s="7" t="n">
        <x:v>84.8</x:v>
      </x:c>
      <x:c r="S85" s="5" t="n">
        <x:v>0.1052</x:v>
      </x:c>
      <x:c r="T85" s="7" t="n">
        <x:v>20.9</x:v>
      </x:c>
      <x:c r="U85" s="7" t="n">
        <x:f t="shared" si="6"/>
        <x:v>1541.8</x:v>
      </x:c>
      <x:c r="V85" s="9" t="n">
        <x:f t="shared" si="7"/>
        <x:v>2917</x:v>
      </x:c>
      <x:c r="W85" s="7" t="n">
        <x:f t="shared" si="8"/>
        <x:v>50.7</x:v>
      </x:c>
    </x:row>
    <x:row r="86" ht="13.649999618530273" customHeight="1">
      <x:c r="A86" s="3" t="str">
        <x:v>PJT_85</x:v>
      </x:c>
      <x:c r="B86" s="3" t="str">
        <x:v>Marine</x:v>
      </x:c>
      <x:c r="C86" s="6" t="n">
        <x:v>22820</x:v>
      </x:c>
      <x:c r="D86" s="3" t="n">
        <x:v>22</x:v>
      </x:c>
      <x:c r="E86" s="3" t="str">
        <x:v>Medium</x:v>
      </x:c>
      <x:c r="F86" s="3" t="str">
        <x:v>Mixed-use</x:v>
      </x:c>
      <x:c r="G86" s="3" t="str">
        <x:v>Steel</x:v>
      </x:c>
      <x:c r="H86" s="3" t="str">
        <x:v>Piles</x:v>
      </x:c>
      <x:c r="I86" s="3" t="str">
        <x:v>Mixed</x:v>
      </x:c>
      <x:c r="J86" s="3" t="str">
        <x:v>High</x:v>
      </x:c>
      <x:c r="K86" s="9" t="n">
        <x:v>56547960</x:v>
      </x:c>
      <x:c r="L86" s="9" t="n">
        <x:v>976</x:v>
      </x:c>
      <x:c r="M86" s="7" t="n">
        <x:v>270.2</x:v>
      </x:c>
      <x:c r="N86" s="7" t="n">
        <x:v>23.9</x:v>
      </x:c>
      <x:c r="O86" s="7" t="n">
        <x:v>79.8</x:v>
      </x:c>
      <x:c r="P86" s="3" t="str">
        <x:v>Rainy</x:v>
      </x:c>
      <x:c r="Q86" s="9" t="n">
        <x:v>111</x:v>
      </x:c>
      <x:c r="R86" s="7" t="n">
        <x:v>85.5</x:v>
      </x:c>
      <x:c r="S86" s="5" t="n">
        <x:v>0.1026</x:v>
      </x:c>
      <x:c r="T86" s="7" t="n">
        <x:v>18</x:v>
      </x:c>
      <x:c r="U86" s="7" t="n">
        <x:f t="shared" si="6"/>
        <x:v>1037.3</x:v>
      </x:c>
      <x:c r="V86" s="9" t="n">
        <x:f t="shared" si="7"/>
        <x:v>2478</x:v>
      </x:c>
      <x:c r="W86" s="7" t="n">
        <x:f t="shared" si="8"/>
        <x:v>42.8</x:v>
      </x:c>
    </x:row>
    <x:row r="87" ht="13.649999618530273" customHeight="1">
      <x:c r="A87" s="3" t="str">
        <x:v>PJT_86</x:v>
      </x:c>
      <x:c r="B87" s="3" t="str">
        <x:v>Marine</x:v>
      </x:c>
      <x:c r="C87" s="6" t="n">
        <x:v>11630</x:v>
      </x:c>
      <x:c r="D87" s="3" t="n">
        <x:v>11</x:v>
      </x:c>
      <x:c r="E87" s="3" t="str">
        <x:v>High</x:v>
      </x:c>
      <x:c r="F87" s="3" t="str">
        <x:v>Commercial</x:v>
      </x:c>
      <x:c r="G87" s="3" t="str">
        <x:v>Shear Wall</x:v>
      </x:c>
      <x:c r="H87" s="3" t="str">
        <x:v>Piles</x:v>
      </x:c>
      <x:c r="I87" s="3" t="str">
        <x:v>Soft Clay</x:v>
      </x:c>
      <x:c r="J87" s="3" t="str">
        <x:v>High</x:v>
      </x:c>
      <x:c r="K87" s="9" t="n">
        <x:v>25934900</x:v>
      </x:c>
      <x:c r="L87" s="9" t="n">
        <x:v>690</x:v>
      </x:c>
      <x:c r="M87" s="7" t="n">
        <x:v>217.8</x:v>
      </x:c>
      <x:c r="N87" s="7" t="n">
        <x:v>8.5</x:v>
      </x:c>
      <x:c r="O87" s="7" t="n">
        <x:v>81.5</x:v>
      </x:c>
      <x:c r="P87" s="3" t="str">
        <x:v>Stormy</x:v>
      </x:c>
      <x:c r="Q87" s="9" t="n">
        <x:v>141</x:v>
      </x:c>
      <x:c r="R87" s="7" t="n">
        <x:v>78.3</x:v>
      </x:c>
      <x:c r="S87" s="5" t="n">
        <x:v>0.1006</x:v>
      </x:c>
      <x:c r="T87" s="7" t="n">
        <x:v>16.6</x:v>
      </x:c>
      <x:c r="U87" s="7" t="n">
        <x:f t="shared" si="6"/>
        <x:v>1057.3</x:v>
      </x:c>
      <x:c r="V87" s="9" t="n">
        <x:f t="shared" si="7"/>
        <x:v>2230</x:v>
      </x:c>
      <x:c r="W87" s="7" t="n">
        <x:f t="shared" si="8"/>
        <x:v>59.3</x:v>
      </x:c>
    </x:row>
    <x:row r="88" ht="13.649999618530273" customHeight="1">
      <x:c r="A88" s="3" t="str">
        <x:v>PJT_87</x:v>
      </x:c>
      <x:c r="B88" s="3" t="str">
        <x:v>Mediterranean</x:v>
      </x:c>
      <x:c r="C88" s="6" t="n">
        <x:v>7500</x:v>
      </x:c>
      <x:c r="D88" s="3" t="n">
        <x:v>8</x:v>
      </x:c>
      <x:c r="E88" s="3" t="str">
        <x:v>Medium</x:v>
      </x:c>
      <x:c r="F88" s="3" t="str">
        <x:v>Commercial</x:v>
      </x:c>
      <x:c r="G88" s="3" t="str">
        <x:v>RC Frame</x:v>
      </x:c>
      <x:c r="H88" s="3" t="str">
        <x:v>Raft</x:v>
      </x:c>
      <x:c r="I88" s="3" t="str">
        <x:v>Mixed</x:v>
      </x:c>
      <x:c r="J88" s="3" t="str">
        <x:v>High</x:v>
      </x:c>
      <x:c r="K88" s="9" t="n">
        <x:v>13222500</x:v>
      </x:c>
      <x:c r="L88" s="9" t="n">
        <x:v>493</x:v>
      </x:c>
      <x:c r="M88" s="7" t="n">
        <x:v>235.5</x:v>
      </x:c>
      <x:c r="N88" s="7" t="n">
        <x:v>21.2</x:v>
      </x:c>
      <x:c r="O88" s="7" t="n">
        <x:v>64.7</x:v>
      </x:c>
      <x:c r="P88" s="3" t="str">
        <x:v>Cloudy</x:v>
      </x:c>
      <x:c r="Q88" s="9" t="n">
        <x:v>136</x:v>
      </x:c>
      <x:c r="R88" s="7" t="n">
        <x:v>68.4</x:v>
      </x:c>
      <x:c r="S88" s="5" t="n">
        <x:v>0.0903</x:v>
      </x:c>
      <x:c r="T88" s="7" t="n">
        <x:v>13.4</x:v>
      </x:c>
      <x:c r="U88" s="7" t="n">
        <x:f t="shared" si="6"/>
        <x:v>937.5</x:v>
      </x:c>
      <x:c r="V88" s="9" t="n">
        <x:f t="shared" si="7"/>
        <x:v>1763</x:v>
      </x:c>
      <x:c r="W88" s="7" t="n">
        <x:f t="shared" si="8"/>
        <x:v>65.7</x:v>
      </x:c>
    </x:row>
    <x:row r="89" ht="13.649999618530273" customHeight="1">
      <x:c r="A89" s="3" t="str">
        <x:v>PJT_88</x:v>
      </x:c>
      <x:c r="B89" s="3" t="str">
        <x:v>Mediterranean</x:v>
      </x:c>
      <x:c r="C89" s="6" t="n">
        <x:v>9660</x:v>
      </x:c>
      <x:c r="D89" s="3" t="n">
        <x:v>7</x:v>
      </x:c>
      <x:c r="E89" s="3" t="str">
        <x:v>Medium</x:v>
      </x:c>
      <x:c r="F89" s="3" t="str">
        <x:v>Commercial</x:v>
      </x:c>
      <x:c r="G89" s="3" t="str">
        <x:v>RC Frame</x:v>
      </x:c>
      <x:c r="H89" s="3" t="str">
        <x:v>Raft</x:v>
      </x:c>
      <x:c r="I89" s="3" t="str">
        <x:v>Rock</x:v>
      </x:c>
      <x:c r="J89" s="3" t="str">
        <x:v>Medium</x:v>
      </x:c>
      <x:c r="K89" s="9" t="n">
        <x:v>16470300</x:v>
      </x:c>
      <x:c r="L89" s="9" t="n">
        <x:v>507</x:v>
      </x:c>
      <x:c r="M89" s="7" t="n">
        <x:v>641.9</x:v>
      </x:c>
      <x:c r="N89" s="7" t="n">
        <x:v>12.6</x:v>
      </x:c>
      <x:c r="O89" s="7" t="n">
        <x:v>40.2</x:v>
      </x:c>
      <x:c r="P89" s="3" t="str">
        <x:v>Sunny</x:v>
      </x:c>
      <x:c r="Q89" s="9" t="n">
        <x:v>82</x:v>
      </x:c>
      <x:c r="R89" s="7" t="n">
        <x:v>72.3</x:v>
      </x:c>
      <x:c r="S89" s="5" t="n">
        <x:v>0.0825</x:v>
      </x:c>
      <x:c r="T89" s="7" t="n">
        <x:v>13.4</x:v>
      </x:c>
      <x:c r="U89" s="7" t="n">
        <x:f t="shared" si="6"/>
        <x:v>1380</x:v>
      </x:c>
      <x:c r="V89" s="9" t="n">
        <x:f t="shared" si="7"/>
        <x:v>1705</x:v>
      </x:c>
      <x:c r="W89" s="7" t="n">
        <x:f t="shared" si="8"/>
        <x:v>52.5</x:v>
      </x:c>
    </x:row>
    <x:row r="90" ht="13.649999618530273" customHeight="1">
      <x:c r="A90" s="3" t="str">
        <x:v>PJT_89</x:v>
      </x:c>
      <x:c r="B90" s="3" t="str">
        <x:v>Continental</x:v>
      </x:c>
      <x:c r="C90" s="6" t="n">
        <x:v>9960</x:v>
      </x:c>
      <x:c r="D90" s="3" t="n">
        <x:v>10</x:v>
      </x:c>
      <x:c r="E90" s="3" t="str">
        <x:v>Medium</x:v>
      </x:c>
      <x:c r="F90" s="3" t="str">
        <x:v>Commercial</x:v>
      </x:c>
      <x:c r="G90" s="3" t="str">
        <x:v>RC Frame</x:v>
      </x:c>
      <x:c r="H90" s="3" t="str">
        <x:v>Raft</x:v>
      </x:c>
      <x:c r="I90" s="3" t="str">
        <x:v>Mixed</x:v>
      </x:c>
      <x:c r="J90" s="3" t="str">
        <x:v>Medium</x:v>
      </x:c>
      <x:c r="K90" s="9" t="n">
        <x:v>17310480</x:v>
      </x:c>
      <x:c r="L90" s="9" t="n">
        <x:v>557</x:v>
      </x:c>
      <x:c r="M90" s="7" t="n">
        <x:v>241.8</x:v>
      </x:c>
      <x:c r="N90" s="7" t="n">
        <x:v>16.3</x:v>
      </x:c>
      <x:c r="O90" s="7" t="n">
        <x:v>57.9</x:v>
      </x:c>
      <x:c r="P90" s="3" t="str">
        <x:v>Cloudy</x:v>
      </x:c>
      <x:c r="Q90" s="9" t="n">
        <x:v>149</x:v>
      </x:c>
      <x:c r="R90" s="7" t="n">
        <x:v>71.1</x:v>
      </x:c>
      <x:c r="S90" s="5" t="n">
        <x:v>0.0839</x:v>
      </x:c>
      <x:c r="T90" s="7" t="n">
        <x:v>14.2</x:v>
      </x:c>
      <x:c r="U90" s="7" t="n">
        <x:f t="shared" si="6"/>
        <x:v>996</x:v>
      </x:c>
      <x:c r="V90" s="9" t="n">
        <x:f t="shared" si="7"/>
        <x:v>1738</x:v>
      </x:c>
      <x:c r="W90" s="7" t="n">
        <x:f t="shared" si="8"/>
        <x:v>55.9</x:v>
      </x:c>
    </x:row>
    <x:row r="91" ht="27.299999237060547" customHeight="1">
      <x:c r="A91" s="3" t="str">
        <x:v>PJT_90</x:v>
      </x:c>
      <x:c r="B91" s="3" t="str">
        <x:v>Humid Subtropical</x:v>
      </x:c>
      <x:c r="C91" s="6" t="n">
        <x:v>24200</x:v>
      </x:c>
      <x:c r="D91" s="3" t="n">
        <x:v>23</x:v>
      </x:c>
      <x:c r="E91" s="3" t="str">
        <x:v>High</x:v>
      </x:c>
      <x:c r="F91" s="3" t="str">
        <x:v>Mixed-use</x:v>
      </x:c>
      <x:c r="G91" s="3" t="str">
        <x:v>Shear Wall</x:v>
      </x:c>
      <x:c r="H91" s="3" t="str">
        <x:v>Piles</x:v>
      </x:c>
      <x:c r="I91" s="3" t="str">
        <x:v>Soft Clay</x:v>
      </x:c>
      <x:c r="J91" s="3" t="str">
        <x:v>Low</x:v>
      </x:c>
      <x:c r="K91" s="9" t="n">
        <x:v>60984000</x:v>
      </x:c>
      <x:c r="L91" s="9" t="n">
        <x:v>1024</x:v>
      </x:c>
      <x:c r="M91" s="7" t="n">
        <x:v>211.7</x:v>
      </x:c>
      <x:c r="N91" s="7" t="n">
        <x:v>14.3</x:v>
      </x:c>
      <x:c r="O91" s="7" t="n">
        <x:v>87.3</x:v>
      </x:c>
      <x:c r="P91" s="3" t="str">
        <x:v>Rainy</x:v>
      </x:c>
      <x:c r="Q91" s="9" t="n">
        <x:v>112</x:v>
      </x:c>
      <x:c r="R91" s="7" t="n">
        <x:v>86</x:v>
      </x:c>
      <x:c r="S91" s="5" t="n">
        <x:v>0.1026</x:v>
      </x:c>
      <x:c r="T91" s="7" t="n">
        <x:v>19.9</x:v>
      </x:c>
      <x:c r="U91" s="7" t="n">
        <x:f t="shared" si="6"/>
        <x:v>1052.2</x:v>
      </x:c>
      <x:c r="V91" s="9" t="n">
        <x:f t="shared" si="7"/>
        <x:v>2520</x:v>
      </x:c>
      <x:c r="W91" s="7" t="n">
        <x:f t="shared" si="8"/>
        <x:v>42.3</x:v>
      </x:c>
    </x:row>
    <x:row r="92" ht="13.649999618530273" customHeight="1">
      <x:c r="A92" s="3" t="str">
        <x:v>PJT_91</x:v>
      </x:c>
      <x:c r="B92" s="3" t="str">
        <x:v>Marine</x:v>
      </x:c>
      <x:c r="C92" s="6" t="n">
        <x:v>2760</x:v>
      </x:c>
      <x:c r="D92" s="3" t="n">
        <x:v>2</x:v>
      </x:c>
      <x:c r="E92" s="3" t="str">
        <x:v>Medium</x:v>
      </x:c>
      <x:c r="F92" s="3" t="str">
        <x:v>Residential</x:v>
      </x:c>
      <x:c r="G92" s="3" t="str">
        <x:v>RC Frame</x:v>
      </x:c>
      <x:c r="H92" s="3" t="str">
        <x:v>Piles</x:v>
      </x:c>
      <x:c r="I92" s="3" t="str">
        <x:v>Soft Clay</x:v>
      </x:c>
      <x:c r="J92" s="3" t="str">
        <x:v>High</x:v>
      </x:c>
      <x:c r="K92" s="9" t="n">
        <x:v>3916440</x:v>
      </x:c>
      <x:c r="L92" s="9" t="n">
        <x:v>345</x:v>
      </x:c>
      <x:c r="M92" s="7" t="n">
        <x:v>220.9</x:v>
      </x:c>
      <x:c r="N92" s="7" t="n">
        <x:v>23.4</x:v>
      </x:c>
      <x:c r="O92" s="7" t="n">
        <x:v>76.8</x:v>
      </x:c>
      <x:c r="P92" s="3" t="str">
        <x:v>Stormy</x:v>
      </x:c>
      <x:c r="Q92" s="9" t="n">
        <x:v>88</x:v>
      </x:c>
      <x:c r="R92" s="7" t="n">
        <x:v>63</x:v>
      </x:c>
      <x:c r="S92" s="5" t="n">
        <x:v>0.0709</x:v>
      </x:c>
      <x:c r="T92" s="7" t="n">
        <x:v>12.1</x:v>
      </x:c>
      <x:c r="U92" s="7" t="n">
        <x:f t="shared" si="6"/>
        <x:v>1380</x:v>
      </x:c>
      <x:c r="V92" s="9" t="n">
        <x:f t="shared" si="7"/>
        <x:v>1419</x:v>
      </x:c>
      <x:c r="W92" s="7" t="n">
        <x:f t="shared" si="8"/>
        <x:v>125</x:v>
      </x:c>
    </x:row>
    <x:row r="93" ht="13.649999618530273" customHeight="1">
      <x:c r="A93" s="3" t="str">
        <x:v>PJT_92</x:v>
      </x:c>
      <x:c r="B93" s="3" t="str">
        <x:v>Continental</x:v>
      </x:c>
      <x:c r="C93" s="6" t="n">
        <x:v>21280</x:v>
      </x:c>
      <x:c r="D93" s="3" t="n">
        <x:v>23</x:v>
      </x:c>
      <x:c r="E93" s="3" t="str">
        <x:v>High</x:v>
      </x:c>
      <x:c r="F93" s="3" t="str">
        <x:v>Mixed-use</x:v>
      </x:c>
      <x:c r="G93" s="3" t="str">
        <x:v>Shear Wall</x:v>
      </x:c>
      <x:c r="H93" s="3" t="str">
        <x:v>Piles</x:v>
      </x:c>
      <x:c r="I93" s="3" t="str">
        <x:v>Soft Clay</x:v>
      </x:c>
      <x:c r="J93" s="3" t="str">
        <x:v>Medium</x:v>
      </x:c>
      <x:c r="K93" s="9" t="n">
        <x:v>54625760</x:v>
      </x:c>
      <x:c r="L93" s="9" t="n">
        <x:v>982</x:v>
      </x:c>
      <x:c r="M93" s="7" t="n">
        <x:v>206.8</x:v>
      </x:c>
      <x:c r="N93" s="7" t="n">
        <x:v>5</x:v>
      </x:c>
      <x:c r="O93" s="7" t="n">
        <x:v>71.5</x:v>
      </x:c>
      <x:c r="P93" s="3" t="str">
        <x:v>Sunny</x:v>
      </x:c>
      <x:c r="Q93" s="9" t="n">
        <x:v>118</x:v>
      </x:c>
      <x:c r="R93" s="7" t="n">
        <x:v>84.3</x:v>
      </x:c>
      <x:c r="S93" s="5" t="n">
        <x:v>0.1065</x:v>
      </x:c>
      <x:c r="T93" s="7" t="n">
        <x:v>19.5</x:v>
      </x:c>
      <x:c r="U93" s="7" t="n">
        <x:f t="shared" si="6"/>
        <x:v>925.2</x:v>
      </x:c>
      <x:c r="V93" s="9" t="n">
        <x:f t="shared" si="7"/>
        <x:v>2567</x:v>
      </x:c>
      <x:c r="W93" s="7" t="n">
        <x:f t="shared" si="8"/>
        <x:v>46.1</x:v>
      </x:c>
    </x:row>
    <x:row r="94" ht="13.649999618530273" customHeight="1">
      <x:c r="A94" s="3" t="str">
        <x:v>PJT_93</x:v>
      </x:c>
      <x:c r="B94" s="3" t="str">
        <x:v>Continental</x:v>
      </x:c>
      <x:c r="C94" s="6" t="n">
        <x:v>11590</x:v>
      </x:c>
      <x:c r="D94" s="3" t="n">
        <x:v>11</x:v>
      </x:c>
      <x:c r="E94" s="3" t="str">
        <x:v>Medium</x:v>
      </x:c>
      <x:c r="F94" s="3" t="str">
        <x:v>Commercial</x:v>
      </x:c>
      <x:c r="G94" s="3" t="str">
        <x:v>Steel</x:v>
      </x:c>
      <x:c r="H94" s="3" t="str">
        <x:v>Piles</x:v>
      </x:c>
      <x:c r="I94" s="3" t="str">
        <x:v>Sand</x:v>
      </x:c>
      <x:c r="J94" s="3" t="str">
        <x:v>Low</x:v>
      </x:c>
      <x:c r="K94" s="9" t="n">
        <x:v>21650120</x:v>
      </x:c>
      <x:c r="L94" s="9" t="n">
        <x:v>624</x:v>
      </x:c>
      <x:c r="M94" s="7" t="n">
        <x:v>367.5</x:v>
      </x:c>
      <x:c r="N94" s="7" t="n">
        <x:v>16.3</x:v>
      </x:c>
      <x:c r="O94" s="7" t="n">
        <x:v>69.7</x:v>
      </x:c>
      <x:c r="P94" s="3" t="str">
        <x:v>Rainy</x:v>
      </x:c>
      <x:c r="Q94" s="9" t="n">
        <x:v>148</x:v>
      </x:c>
      <x:c r="R94" s="7" t="n">
        <x:v>79.4</x:v>
      </x:c>
      <x:c r="S94" s="5" t="n">
        <x:v>0.082</x:v>
      </x:c>
      <x:c r="T94" s="7" t="n">
        <x:v>15.5</x:v>
      </x:c>
      <x:c r="U94" s="7" t="n">
        <x:f t="shared" si="6"/>
        <x:v>1053.6</x:v>
      </x:c>
      <x:c r="V94" s="9" t="n">
        <x:f t="shared" si="7"/>
        <x:v>1868</x:v>
      </x:c>
      <x:c r="W94" s="7" t="n">
        <x:f t="shared" si="8"/>
        <x:v>53.8</x:v>
      </x:c>
    </x:row>
    <x:row r="95" ht="13.649999618530273" customHeight="1">
      <x:c r="A95" s="3" t="str">
        <x:v>PJT_94</x:v>
      </x:c>
      <x:c r="B95" s="3" t="str">
        <x:v>Continental</x:v>
      </x:c>
      <x:c r="C95" s="6" t="n">
        <x:v>11980</x:v>
      </x:c>
      <x:c r="D95" s="3" t="n">
        <x:v>11</x:v>
      </x:c>
      <x:c r="E95" s="3" t="str">
        <x:v>High</x:v>
      </x:c>
      <x:c r="F95" s="3" t="str">
        <x:v>Commercial</x:v>
      </x:c>
      <x:c r="G95" s="3" t="str">
        <x:v>Shear Wall</x:v>
      </x:c>
      <x:c r="H95" s="3" t="str">
        <x:v>Piles</x:v>
      </x:c>
      <x:c r="I95" s="3" t="str">
        <x:v>Soft Clay</x:v>
      </x:c>
      <x:c r="J95" s="3" t="str">
        <x:v>Low</x:v>
      </x:c>
      <x:c r="K95" s="9" t="n">
        <x:v>25265820</x:v>
      </x:c>
      <x:c r="L95" s="9" t="n">
        <x:v>677</x:v>
      </x:c>
      <x:c r="M95" s="7" t="n">
        <x:v>244.9</x:v>
      </x:c>
      <x:c r="N95" s="7" t="n">
        <x:v>9.9</x:v>
      </x:c>
      <x:c r="O95" s="7" t="n">
        <x:v>78.2</x:v>
      </x:c>
      <x:c r="P95" s="3" t="str">
        <x:v>Cloudy</x:v>
      </x:c>
      <x:c r="Q95" s="9" t="n">
        <x:v>124</x:v>
      </x:c>
      <x:c r="R95" s="7" t="n">
        <x:v>81</x:v>
      </x:c>
      <x:c r="S95" s="5" t="n">
        <x:v>0.094</x:v>
      </x:c>
      <x:c r="T95" s="7" t="n">
        <x:v>17</x:v>
      </x:c>
      <x:c r="U95" s="7" t="n">
        <x:f t="shared" si="6"/>
        <x:v>1089.1</x:v>
      </x:c>
      <x:c r="V95" s="9" t="n">
        <x:f t="shared" si="7"/>
        <x:v>2109</x:v>
      </x:c>
      <x:c r="W95" s="7" t="n">
        <x:f t="shared" si="8"/>
        <x:v>56.5</x:v>
      </x:c>
    </x:row>
    <x:row r="96" ht="27.299999237060547" customHeight="1">
      <x:c r="A96" s="3" t="str">
        <x:v>PJT_95</x:v>
      </x:c>
      <x:c r="B96" s="3" t="str">
        <x:v>Humid Subtropical</x:v>
      </x:c>
      <x:c r="C96" s="6" t="n">
        <x:v>21710</x:v>
      </x:c>
      <x:c r="D96" s="3" t="n">
        <x:v>22</x:v>
      </x:c>
      <x:c r="E96" s="3" t="str">
        <x:v>High</x:v>
      </x:c>
      <x:c r="F96" s="3" t="str">
        <x:v>Commercial</x:v>
      </x:c>
      <x:c r="G96" s="3" t="str">
        <x:v>Steel</x:v>
      </x:c>
      <x:c r="H96" s="3" t="str">
        <x:v>Piles</x:v>
      </x:c>
      <x:c r="I96" s="3" t="str">
        <x:v>Soft Clay</x:v>
      </x:c>
      <x:c r="J96" s="3" t="str">
        <x:v>Low</x:v>
      </x:c>
      <x:c r="K96" s="9" t="n">
        <x:v>48435010</x:v>
      </x:c>
      <x:c r="L96" s="9" t="n">
        <x:v>946</x:v>
      </x:c>
      <x:c r="M96" s="7" t="n">
        <x:v>231.7</x:v>
      </x:c>
      <x:c r="N96" s="7" t="n">
        <x:v>15.9</x:v>
      </x:c>
      <x:c r="O96" s="7" t="n">
        <x:v>88.2</x:v>
      </x:c>
      <x:c r="P96" s="3" t="str">
        <x:v>Rainy</x:v>
      </x:c>
      <x:c r="Q96" s="9" t="n">
        <x:v>137</x:v>
      </x:c>
      <x:c r="R96" s="7" t="n">
        <x:v>83.6</x:v>
      </x:c>
      <x:c r="S96" s="5" t="n">
        <x:v>0.0907</x:v>
      </x:c>
      <x:c r="T96" s="7" t="n">
        <x:v>19.1</x:v>
      </x:c>
      <x:c r="U96" s="7" t="n">
        <x:f t="shared" si="6"/>
        <x:v>986.8</x:v>
      </x:c>
      <x:c r="V96" s="9" t="n">
        <x:f t="shared" si="7"/>
        <x:v>2231</x:v>
      </x:c>
      <x:c r="W96" s="7" t="n">
        <x:f t="shared" si="8"/>
        <x:v>43.6</x:v>
      </x:c>
    </x:row>
    <x:row r="97" ht="13.649999618530273" customHeight="1">
      <x:c r="A97" s="3" t="str">
        <x:v>PJT_96</x:v>
      </x:c>
      <x:c r="B97" s="3" t="str">
        <x:v>Marine</x:v>
      </x:c>
      <x:c r="C97" s="6" t="n">
        <x:v>18100</x:v>
      </x:c>
      <x:c r="D97" s="3" t="n">
        <x:v>19</x:v>
      </x:c>
      <x:c r="E97" s="3" t="str">
        <x:v>Medium</x:v>
      </x:c>
      <x:c r="F97" s="3" t="str">
        <x:v>Mixed-use</x:v>
      </x:c>
      <x:c r="G97" s="3" t="str">
        <x:v>Shear Wall</x:v>
      </x:c>
      <x:c r="H97" s="3" t="str">
        <x:v>Piles</x:v>
      </x:c>
      <x:c r="I97" s="3" t="str">
        <x:v>Sand</x:v>
      </x:c>
      <x:c r="J97" s="3" t="str">
        <x:v>High</x:v>
      </x:c>
      <x:c r="K97" s="9" t="n">
        <x:v>43204700</x:v>
      </x:c>
      <x:c r="L97" s="9" t="n">
        <x:v>859</x:v>
      </x:c>
      <x:c r="M97" s="7" t="n">
        <x:v>347.5</x:v>
      </x:c>
      <x:c r="N97" s="7" t="n">
        <x:v>16.2</x:v>
      </x:c>
      <x:c r="O97" s="7" t="n">
        <x:v>75</x:v>
      </x:c>
      <x:c r="P97" s="3" t="str">
        <x:v>Sunny</x:v>
      </x:c>
      <x:c r="Q97" s="9" t="n">
        <x:v>101</x:v>
      </x:c>
      <x:c r="R97" s="7" t="n">
        <x:v>82</x:v>
      </x:c>
      <x:c r="S97" s="5" t="n">
        <x:v>0.1049</x:v>
      </x:c>
      <x:c r="T97" s="7" t="n">
        <x:v>17.9</x:v>
      </x:c>
      <x:c r="U97" s="7" t="n">
        <x:f t="shared" si="6"/>
        <x:v>952.6</x:v>
      </x:c>
      <x:c r="V97" s="9" t="n">
        <x:f t="shared" si="7"/>
        <x:v>2387</x:v>
      </x:c>
      <x:c r="W97" s="7" t="n">
        <x:f t="shared" si="8"/>
        <x:v>47.5</x:v>
      </x:c>
    </x:row>
    <x:row r="98" ht="13.649999618530273" customHeight="1">
      <x:c r="A98" s="3" t="str">
        <x:v>PJT_97</x:v>
      </x:c>
      <x:c r="B98" s="3" t="str">
        <x:v>Continental</x:v>
      </x:c>
      <x:c r="C98" s="6" t="n">
        <x:v>22120</x:v>
      </x:c>
      <x:c r="D98" s="3" t="n">
        <x:v>23</x:v>
      </x:c>
      <x:c r="E98" s="3" t="str">
        <x:v>High</x:v>
      </x:c>
      <x:c r="F98" s="3" t="str">
        <x:v>Commercial</x:v>
      </x:c>
      <x:c r="G98" s="3" t="str">
        <x:v>Shear Wall</x:v>
      </x:c>
      <x:c r="H98" s="3" t="str">
        <x:v>Raft</x:v>
      </x:c>
      <x:c r="I98" s="3" t="str">
        <x:v>Mixed</x:v>
      </x:c>
      <x:c r="J98" s="3" t="str">
        <x:v>Low</x:v>
      </x:c>
      <x:c r="K98" s="9" t="n">
        <x:v>46297160</x:v>
      </x:c>
      <x:c r="L98" s="9" t="n">
        <x:v>915</x:v>
      </x:c>
      <x:c r="M98" s="7" t="n">
        <x:v>190.9</x:v>
      </x:c>
      <x:c r="N98" s="7" t="n">
        <x:v>1.4</x:v>
      </x:c>
      <x:c r="O98" s="7" t="n">
        <x:v>63.5</x:v>
      </x:c>
      <x:c r="P98" s="3" t="str">
        <x:v>Cloudy</x:v>
      </x:c>
      <x:c r="Q98" s="9" t="n">
        <x:v>117</x:v>
      </x:c>
      <x:c r="R98" s="7" t="n">
        <x:v>79.5</x:v>
      </x:c>
      <x:c r="S98" s="5" t="n">
        <x:v>0.0999</x:v>
      </x:c>
      <x:c r="T98" s="7" t="n">
        <x:v>17.6</x:v>
      </x:c>
      <x:c r="U98" s="7" t="n">
        <x:f t="shared" ref="U98:U129" si="9">ROUND(C98/D98,1)</x:f>
        <x:v>961.7</x:v>
      </x:c>
      <x:c r="V98" s="9" t="n">
        <x:f t="shared" ref="V98:V129" si="10">ROUND(K98/C98,0)</x:f>
        <x:v>2093</x:v>
      </x:c>
      <x:c r="W98" s="7" t="n">
        <x:f t="shared" ref="W98:W129" si="11">ROUND(L98/(C98/1000),1)</x:f>
        <x:v>41.4</x:v>
      </x:c>
    </x:row>
    <x:row r="99" ht="13.649999618530273" customHeight="1">
      <x:c r="A99" s="3" t="str">
        <x:v>PJT_98</x:v>
      </x:c>
      <x:c r="B99" s="3" t="str">
        <x:v>Marine</x:v>
      </x:c>
      <x:c r="C99" s="6" t="n">
        <x:v>12570</x:v>
      </x:c>
      <x:c r="D99" s="3" t="n">
        <x:v>6</x:v>
      </x:c>
      <x:c r="E99" s="3" t="str">
        <x:v>Medium</x:v>
      </x:c>
      <x:c r="F99" s="3" t="str">
        <x:v>School</x:v>
      </x:c>
      <x:c r="G99" s="3" t="str">
        <x:v>RC Frame</x:v>
      </x:c>
      <x:c r="H99" s="3" t="str">
        <x:v>Raft</x:v>
      </x:c>
      <x:c r="I99" s="3" t="str">
        <x:v>Rock</x:v>
      </x:c>
      <x:c r="J99" s="3" t="str">
        <x:v>High</x:v>
      </x:c>
      <x:c r="K99" s="9" t="n">
        <x:v>19282380</x:v>
      </x:c>
      <x:c r="L99" s="9" t="n">
        <x:v>543</x:v>
      </x:c>
      <x:c r="M99" s="7" t="n">
        <x:v>554.8</x:v>
      </x:c>
      <x:c r="N99" s="7" t="n">
        <x:v>11</x:v>
      </x:c>
      <x:c r="O99" s="7" t="n">
        <x:v>82.7</x:v>
      </x:c>
      <x:c r="P99" s="3" t="str">
        <x:v>Rainy</x:v>
      </x:c>
      <x:c r="Q99" s="9" t="n">
        <x:v>117</x:v>
      </x:c>
      <x:c r="R99" s="7" t="n">
        <x:v>64.5</x:v>
      </x:c>
      <x:c r="S99" s="5" t="n">
        <x:v>0.0776</x:v>
      </x:c>
      <x:c r="T99" s="7" t="n">
        <x:v>12.7</x:v>
      </x:c>
      <x:c r="U99" s="7" t="n">
        <x:f t="shared" si="9"/>
        <x:v>2095</x:v>
      </x:c>
      <x:c r="V99" s="9" t="n">
        <x:f t="shared" si="10"/>
        <x:v>1534</x:v>
      </x:c>
      <x:c r="W99" s="7" t="n">
        <x:f t="shared" si="11"/>
        <x:v>43.2</x:v>
      </x:c>
    </x:row>
    <x:row r="100" ht="13.649999618530273" customHeight="1">
      <x:c r="A100" s="3" t="str">
        <x:v>PJT_99</x:v>
      </x:c>
      <x:c r="B100" s="3" t="str">
        <x:v>Marine</x:v>
      </x:c>
      <x:c r="C100" s="6" t="n">
        <x:v>14290</x:v>
      </x:c>
      <x:c r="D100" s="3" t="n">
        <x:v>13</x:v>
      </x:c>
      <x:c r="E100" s="3" t="str">
        <x:v>Medium</x:v>
      </x:c>
      <x:c r="F100" s="3" t="str">
        <x:v>Commercial</x:v>
      </x:c>
      <x:c r="G100" s="3" t="str">
        <x:v>RC Frame</x:v>
      </x:c>
      <x:c r="H100" s="3" t="str">
        <x:v>Piles</x:v>
      </x:c>
      <x:c r="I100" s="3" t="str">
        <x:v>Mixed</x:v>
      </x:c>
      <x:c r="J100" s="3" t="str">
        <x:v>High</x:v>
      </x:c>
      <x:c r="K100" s="9" t="n">
        <x:v>27465380</x:v>
      </x:c>
      <x:c r="L100" s="9" t="n">
        <x:v>684</x:v>
      </x:c>
      <x:c r="M100" s="7" t="n">
        <x:v>276.4</x:v>
      </x:c>
      <x:c r="N100" s="7" t="n">
        <x:v>11.4</x:v>
      </x:c>
      <x:c r="O100" s="7" t="n">
        <x:v>67.4</x:v>
      </x:c>
      <x:c r="P100" s="3" t="str">
        <x:v>Stormy</x:v>
      </x:c>
      <x:c r="Q100" s="9" t="n">
        <x:v>119</x:v>
      </x:c>
      <x:c r="R100" s="7" t="n">
        <x:v>72.5</x:v>
      </x:c>
      <x:c r="S100" s="5" t="n">
        <x:v>0.0904</x:v>
      </x:c>
      <x:c r="T100" s="7" t="n">
        <x:v>14.6</x:v>
      </x:c>
      <x:c r="U100" s="7" t="n">
        <x:f t="shared" si="9"/>
        <x:v>1099.2</x:v>
      </x:c>
      <x:c r="V100" s="9" t="n">
        <x:f t="shared" si="10"/>
        <x:v>1922</x:v>
      </x:c>
      <x:c r="W100" s="7" t="n">
        <x:f t="shared" si="11"/>
        <x:v>47.9</x:v>
      </x:c>
    </x:row>
    <x:row r="101" ht="13.649999618530273" customHeight="1">
      <x:c r="A101" s="3" t="str">
        <x:v>PJT_100</x:v>
      </x:c>
      <x:c r="B101" s="3" t="str">
        <x:v>Marine</x:v>
      </x:c>
      <x:c r="C101" s="6" t="n">
        <x:v>24450</x:v>
      </x:c>
      <x:c r="D101" s="3" t="n">
        <x:v>25</x:v>
      </x:c>
      <x:c r="E101" s="3" t="str">
        <x:v>Medium</x:v>
      </x:c>
      <x:c r="F101" s="3" t="str">
        <x:v>Mixed-use</x:v>
      </x:c>
      <x:c r="G101" s="3" t="str">
        <x:v>Steel</x:v>
      </x:c>
      <x:c r="H101" s="3" t="str">
        <x:v>Piles</x:v>
      </x:c>
      <x:c r="I101" s="3" t="str">
        <x:v>Soft Clay</x:v>
      </x:c>
      <x:c r="J101" s="3" t="str">
        <x:v>High</x:v>
      </x:c>
      <x:c r="K101" s="9" t="n">
        <x:v>60831600</x:v>
      </x:c>
      <x:c r="L101" s="9" t="n">
        <x:v>1044</x:v>
      </x:c>
      <x:c r="M101" s="7" t="n">
        <x:v>188.2</x:v>
      </x:c>
      <x:c r="N101" s="7" t="n">
        <x:v>13.1</x:v>
      </x:c>
      <x:c r="O101" s="7" t="n">
        <x:v>75.6</x:v>
      </x:c>
      <x:c r="P101" s="3" t="str">
        <x:v>Stormy</x:v>
      </x:c>
      <x:c r="Q101" s="9" t="n">
        <x:v>137</x:v>
      </x:c>
      <x:c r="R101" s="7" t="n">
        <x:v>83.8</x:v>
      </x:c>
      <x:c r="S101" s="5" t="n">
        <x:v>0.0998</x:v>
      </x:c>
      <x:c r="T101" s="7" t="n">
        <x:v>18.1</x:v>
      </x:c>
      <x:c r="U101" s="7" t="n">
        <x:f t="shared" si="9"/>
        <x:v>978</x:v>
      </x:c>
      <x:c r="V101" s="9" t="n">
        <x:f t="shared" si="10"/>
        <x:v>2488</x:v>
      </x:c>
      <x:c r="W101" s="7" t="n">
        <x:f t="shared" si="11"/>
        <x:v>42.7</x:v>
      </x:c>
    </x:row>
    <x:row r="102" ht="13.649999618530273" customHeight="1">
      <x:c r="A102" s="3" t="str">
        <x:v>PJT_101</x:v>
      </x:c>
      <x:c r="B102" s="3" t="str">
        <x:v>Marine</x:v>
      </x:c>
      <x:c r="C102" s="6" t="n">
        <x:v>18010</x:v>
      </x:c>
      <x:c r="D102" s="3" t="n">
        <x:v>18</x:v>
      </x:c>
      <x:c r="E102" s="3" t="str">
        <x:v>Medium</x:v>
      </x:c>
      <x:c r="F102" s="3" t="str">
        <x:v>Mixed-use</x:v>
      </x:c>
      <x:c r="G102" s="3" t="str">
        <x:v>Shear Wall</x:v>
      </x:c>
      <x:c r="H102" s="3" t="str">
        <x:v>Piles</x:v>
      </x:c>
      <x:c r="I102" s="3" t="str">
        <x:v>Soft Clay</x:v>
      </x:c>
      <x:c r="J102" s="3" t="str">
        <x:v>High</x:v>
      </x:c>
      <x:c r="K102" s="9" t="n">
        <x:v>42809770</x:v>
      </x:c>
      <x:c r="L102" s="9" t="n">
        <x:v>857</x:v>
      </x:c>
      <x:c r="M102" s="7" t="n">
        <x:v>237.9</x:v>
      </x:c>
      <x:c r="N102" s="7" t="n">
        <x:v>22.8</x:v>
      </x:c>
      <x:c r="O102" s="7" t="n">
        <x:v>70.8</x:v>
      </x:c>
      <x:c r="P102" s="3" t="str">
        <x:v>Cloudy</x:v>
      </x:c>
      <x:c r="Q102" s="9" t="n">
        <x:v>117</x:v>
      </x:c>
      <x:c r="R102" s="7" t="n">
        <x:v>83.2</x:v>
      </x:c>
      <x:c r="S102" s="5" t="n">
        <x:v>0.1005</x:v>
      </x:c>
      <x:c r="T102" s="7" t="n">
        <x:v>18.1</x:v>
      </x:c>
      <x:c r="U102" s="7" t="n">
        <x:f t="shared" si="9"/>
        <x:v>1000.6</x:v>
      </x:c>
      <x:c r="V102" s="9" t="n">
        <x:f t="shared" si="10"/>
        <x:v>2377</x:v>
      </x:c>
      <x:c r="W102" s="7" t="n">
        <x:f t="shared" si="11"/>
        <x:v>47.6</x:v>
      </x:c>
    </x:row>
    <x:row r="103" ht="13.649999618530273" customHeight="1">
      <x:c r="A103" s="3" t="str">
        <x:v>PJT_102</x:v>
      </x:c>
      <x:c r="B103" s="3" t="str">
        <x:v>Continental</x:v>
      </x:c>
      <x:c r="C103" s="6" t="n">
        <x:v>10880</x:v>
      </x:c>
      <x:c r="D103" s="3" t="n">
        <x:v>12</x:v>
      </x:c>
      <x:c r="E103" s="3" t="str">
        <x:v>Medium</x:v>
      </x:c>
      <x:c r="F103" s="3" t="str">
        <x:v>Mixed-use</x:v>
      </x:c>
      <x:c r="G103" s="3" t="str">
        <x:v>Shear Wall</x:v>
      </x:c>
      <x:c r="H103" s="3" t="str">
        <x:v>Piles</x:v>
      </x:c>
      <x:c r="I103" s="3" t="str">
        <x:v>Soft Clay</x:v>
      </x:c>
      <x:c r="J103" s="3" t="str">
        <x:v>Low</x:v>
      </x:c>
      <x:c r="K103" s="9" t="n">
        <x:v>23544320</x:v>
      </x:c>
      <x:c r="L103" s="9" t="n">
        <x:v>657</x:v>
      </x:c>
      <x:c r="M103" s="7" t="n">
        <x:v>218.1</x:v>
      </x:c>
      <x:c r="N103" s="7" t="n">
        <x:v>0.7</x:v>
      </x:c>
      <x:c r="O103" s="7" t="n">
        <x:v>46.8</x:v>
      </x:c>
      <x:c r="P103" s="3" t="str">
        <x:v>Snowy</x:v>
      </x:c>
      <x:c r="Q103" s="9" t="n">
        <x:v>130</x:v>
      </x:c>
      <x:c r="R103" s="7" t="n">
        <x:v>78.7</x:v>
      </x:c>
      <x:c r="S103" s="5" t="n">
        <x:v>0.0941</x:v>
      </x:c>
      <x:c r="T103" s="7" t="n">
        <x:v>16.9</x:v>
      </x:c>
      <x:c r="U103" s="7" t="n">
        <x:f t="shared" si="9"/>
        <x:v>906.7</x:v>
      </x:c>
      <x:c r="V103" s="9" t="n">
        <x:f t="shared" si="10"/>
        <x:v>2164</x:v>
      </x:c>
      <x:c r="W103" s="7" t="n">
        <x:f t="shared" si="11"/>
        <x:v>60.4</x:v>
      </x:c>
    </x:row>
    <x:row r="104" ht="27.299999237060547" customHeight="1">
      <x:c r="A104" s="3" t="str">
        <x:v>PJT_103</x:v>
      </x:c>
      <x:c r="B104" s="3" t="str">
        <x:v>Humid Subtropical</x:v>
      </x:c>
      <x:c r="C104" s="6" t="n">
        <x:v>20020</x:v>
      </x:c>
      <x:c r="D104" s="3" t="n">
        <x:v>21</x:v>
      </x:c>
      <x:c r="E104" s="3" t="str">
        <x:v>High</x:v>
      </x:c>
      <x:c r="F104" s="3" t="str">
        <x:v>Residential</x:v>
      </x:c>
      <x:c r="G104" s="3" t="str">
        <x:v>Shear Wall</x:v>
      </x:c>
      <x:c r="H104" s="3" t="str">
        <x:v>Raft</x:v>
      </x:c>
      <x:c r="I104" s="3" t="str">
        <x:v>Mixed</x:v>
      </x:c>
      <x:c r="J104" s="3" t="str">
        <x:v>Low</x:v>
      </x:c>
      <x:c r="K104" s="9" t="n">
        <x:v>33293260</x:v>
      </x:c>
      <x:c r="L104" s="9" t="n">
        <x:v>807</x:v>
      </x:c>
      <x:c r="M104" s="7" t="n">
        <x:v>182.5</x:v>
      </x:c>
      <x:c r="N104" s="7" t="n">
        <x:v>25.3</x:v>
      </x:c>
      <x:c r="O104" s="7" t="n">
        <x:v>70.4</x:v>
      </x:c>
      <x:c r="P104" s="3" t="str">
        <x:v>Rainy</x:v>
      </x:c>
      <x:c r="Q104" s="9" t="n">
        <x:v>118</x:v>
      </x:c>
      <x:c r="R104" s="7" t="n">
        <x:v>69.9</x:v>
      </x:c>
      <x:c r="S104" s="5" t="n">
        <x:v>0.0801</x:v>
      </x:c>
      <x:c r="T104" s="7" t="n">
        <x:v>15.7</x:v>
      </x:c>
      <x:c r="U104" s="7" t="n">
        <x:f t="shared" si="9"/>
        <x:v>953.3</x:v>
      </x:c>
      <x:c r="V104" s="9" t="n">
        <x:f t="shared" si="10"/>
        <x:v>1663</x:v>
      </x:c>
      <x:c r="W104" s="7" t="n">
        <x:f t="shared" si="11"/>
        <x:v>40.3</x:v>
      </x:c>
    </x:row>
    <x:row r="105" ht="13.649999618530273" customHeight="1">
      <x:c r="A105" s="3" t="str">
        <x:v>PJT_104</x:v>
      </x:c>
      <x:c r="B105" s="3" t="str">
        <x:v>Continental</x:v>
      </x:c>
      <x:c r="C105" s="6" t="n">
        <x:v>17390</x:v>
      </x:c>
      <x:c r="D105" s="3" t="n">
        <x:v>16</x:v>
      </x:c>
      <x:c r="E105" s="3" t="str">
        <x:v>Medium</x:v>
      </x:c>
      <x:c r="F105" s="3" t="str">
        <x:v>Commercial</x:v>
      </x:c>
      <x:c r="G105" s="3" t="str">
        <x:v>Shear Wall</x:v>
      </x:c>
      <x:c r="H105" s="3" t="str">
        <x:v>Raft</x:v>
      </x:c>
      <x:c r="I105" s="3" t="str">
        <x:v>Sand</x:v>
      </x:c>
      <x:c r="J105" s="3" t="str">
        <x:v>Medium</x:v>
      </x:c>
      <x:c r="K105" s="9" t="n">
        <x:v>33058390</x:v>
      </x:c>
      <x:c r="L105" s="9" t="n">
        <x:v>716</x:v>
      </x:c>
      <x:c r="M105" s="7" t="n">
        <x:v>295.4</x:v>
      </x:c>
      <x:c r="N105" s="7" t="n">
        <x:v>21</x:v>
      </x:c>
      <x:c r="O105" s="7" t="n">
        <x:v>51.2</x:v>
      </x:c>
      <x:c r="P105" s="3" t="str">
        <x:v>Sunny</x:v>
      </x:c>
      <x:c r="Q105" s="9" t="n">
        <x:v>122</x:v>
      </x:c>
      <x:c r="R105" s="7" t="n">
        <x:v>72.9</x:v>
      </x:c>
      <x:c r="S105" s="5" t="n">
        <x:v>0.0922</x:v>
      </x:c>
      <x:c r="T105" s="7" t="n">
        <x:v>15.5</x:v>
      </x:c>
      <x:c r="U105" s="7" t="n">
        <x:f t="shared" si="9"/>
        <x:v>1086.9</x:v>
      </x:c>
      <x:c r="V105" s="9" t="n">
        <x:f t="shared" si="10"/>
        <x:v>1901</x:v>
      </x:c>
      <x:c r="W105" s="7" t="n">
        <x:f t="shared" si="11"/>
        <x:v>41.2</x:v>
      </x:c>
    </x:row>
    <x:row r="106" ht="13.649999618530273" customHeight="1">
      <x:c r="A106" s="3" t="str">
        <x:v>PJT_105</x:v>
      </x:c>
      <x:c r="B106" s="3" t="str">
        <x:v>Continental</x:v>
      </x:c>
      <x:c r="C106" s="6" t="n">
        <x:v>4910</x:v>
      </x:c>
      <x:c r="D106" s="3" t="n">
        <x:v>4</x:v>
      </x:c>
      <x:c r="E106" s="3" t="str">
        <x:v>Medium</x:v>
      </x:c>
      <x:c r="F106" s="3" t="str">
        <x:v>School</x:v>
      </x:c>
      <x:c r="G106" s="3" t="str">
        <x:v>RC Frame</x:v>
      </x:c>
      <x:c r="H106" s="3" t="str">
        <x:v>Strip</x:v>
      </x:c>
      <x:c r="I106" s="3" t="str">
        <x:v>Sand</x:v>
      </x:c>
      <x:c r="J106" s="3" t="str">
        <x:v>Medium</x:v>
      </x:c>
      <x:c r="K106" s="9" t="n">
        <x:v>7104770</x:v>
      </x:c>
      <x:c r="L106" s="9" t="n">
        <x:v>380</x:v>
      </x:c>
      <x:c r="M106" s="7" t="n">
        <x:v>189.2</x:v>
      </x:c>
      <x:c r="N106" s="7" t="n">
        <x:v>-0.7</x:v>
      </x:c>
      <x:c r="O106" s="7" t="n">
        <x:v>45.8</x:v>
      </x:c>
      <x:c r="P106" s="3" t="str">
        <x:v>Snowy</x:v>
      </x:c>
      <x:c r="Q106" s="9" t="n">
        <x:v>108</x:v>
      </x:c>
      <x:c r="R106" s="7" t="n">
        <x:v>60.8</x:v>
      </x:c>
      <x:c r="S106" s="5" t="n">
        <x:v>0.0714</x:v>
      </x:c>
      <x:c r="T106" s="7" t="n">
        <x:v>12.7</x:v>
      </x:c>
      <x:c r="U106" s="7" t="n">
        <x:f t="shared" si="9"/>
        <x:v>1227.5</x:v>
      </x:c>
      <x:c r="V106" s="9" t="n">
        <x:f t="shared" si="10"/>
        <x:v>1447</x:v>
      </x:c>
      <x:c r="W106" s="7" t="n">
        <x:f t="shared" si="11"/>
        <x:v>77.4</x:v>
      </x:c>
    </x:row>
    <x:row r="107" ht="13.649999618530273" customHeight="1">
      <x:c r="A107" s="3" t="str">
        <x:v>PJT_106</x:v>
      </x:c>
      <x:c r="B107" s="3" t="str">
        <x:v>Marine</x:v>
      </x:c>
      <x:c r="C107" s="6" t="n">
        <x:v>16810</x:v>
      </x:c>
      <x:c r="D107" s="3" t="n">
        <x:v>17</x:v>
      </x:c>
      <x:c r="E107" s="3" t="str">
        <x:v>High</x:v>
      </x:c>
      <x:c r="F107" s="3" t="str">
        <x:v>Commercial</x:v>
      </x:c>
      <x:c r="G107" s="3" t="str">
        <x:v>Steel</x:v>
      </x:c>
      <x:c r="H107" s="3" t="str">
        <x:v>Raft</x:v>
      </x:c>
      <x:c r="I107" s="3" t="str">
        <x:v>Sand</x:v>
      </x:c>
      <x:c r="J107" s="3" t="str">
        <x:v>Medium</x:v>
      </x:c>
      <x:c r="K107" s="9" t="n">
        <x:v>37385440</x:v>
      </x:c>
      <x:c r="L107" s="9" t="n">
        <x:v>799</x:v>
      </x:c>
      <x:c r="M107" s="7" t="n">
        <x:v>291.5</x:v>
      </x:c>
      <x:c r="N107" s="7" t="n">
        <x:v>15.7</x:v>
      </x:c>
      <x:c r="O107" s="7" t="n">
        <x:v>72.1</x:v>
      </x:c>
      <x:c r="P107" s="3" t="str">
        <x:v>Rainy</x:v>
      </x:c>
      <x:c r="Q107" s="9" t="n">
        <x:v>90</x:v>
      </x:c>
      <x:c r="R107" s="7" t="n">
        <x:v>81</x:v>
      </x:c>
      <x:c r="S107" s="5" t="n">
        <x:v>0.096</x:v>
      </x:c>
      <x:c r="T107" s="7" t="n">
        <x:v>18.9</x:v>
      </x:c>
      <x:c r="U107" s="7" t="n">
        <x:f t="shared" si="9"/>
        <x:v>988.8</x:v>
      </x:c>
      <x:c r="V107" s="9" t="n">
        <x:f t="shared" si="10"/>
        <x:v>2224</x:v>
      </x:c>
      <x:c r="W107" s="7" t="n">
        <x:f t="shared" si="11"/>
        <x:v>47.5</x:v>
      </x:c>
    </x:row>
    <x:row r="108" ht="13.649999618530273" customHeight="1">
      <x:c r="A108" s="3" t="str">
        <x:v>PJT_107</x:v>
      </x:c>
      <x:c r="B108" s="3" t="str">
        <x:v>Continental</x:v>
      </x:c>
      <x:c r="C108" s="6" t="n">
        <x:v>14680</x:v>
      </x:c>
      <x:c r="D108" s="3" t="n">
        <x:v>14</x:v>
      </x:c>
      <x:c r="E108" s="3" t="str">
        <x:v>Medium</x:v>
      </x:c>
      <x:c r="F108" s="3" t="str">
        <x:v>Commercial</x:v>
      </x:c>
      <x:c r="G108" s="3" t="str">
        <x:v>Shear Wall</x:v>
      </x:c>
      <x:c r="H108" s="3" t="str">
        <x:v>Raft</x:v>
      </x:c>
      <x:c r="I108" s="3" t="str">
        <x:v>Sand</x:v>
      </x:c>
      <x:c r="J108" s="3" t="str">
        <x:v>Medium</x:v>
      </x:c>
      <x:c r="K108" s="9" t="n">
        <x:v>27216720</x:v>
      </x:c>
      <x:c r="L108" s="9" t="n">
        <x:v>670</x:v>
      </x:c>
      <x:c r="M108" s="7" t="n">
        <x:v>294.6</x:v>
      </x:c>
      <x:c r="N108" s="7" t="n">
        <x:v>-1.6</x:v>
      </x:c>
      <x:c r="O108" s="7" t="n">
        <x:v>67</x:v>
      </x:c>
      <x:c r="P108" s="3" t="str">
        <x:v>Snowy</x:v>
      </x:c>
      <x:c r="Q108" s="9" t="n">
        <x:v>118</x:v>
      </x:c>
      <x:c r="R108" s="7" t="n">
        <x:v>74.7</x:v>
      </x:c>
      <x:c r="S108" s="5" t="n">
        <x:v>0.0895</x:v>
      </x:c>
      <x:c r="T108" s="7" t="n">
        <x:v>15.4</x:v>
      </x:c>
      <x:c r="U108" s="7" t="n">
        <x:f t="shared" si="9"/>
        <x:v>1048.6</x:v>
      </x:c>
      <x:c r="V108" s="9" t="n">
        <x:f t="shared" si="10"/>
        <x:v>1854</x:v>
      </x:c>
      <x:c r="W108" s="7" t="n">
        <x:f t="shared" si="11"/>
        <x:v>45.6</x:v>
      </x:c>
    </x:row>
    <x:row r="109" ht="13.649999618530273" customHeight="1">
      <x:c r="A109" s="3" t="str">
        <x:v>PJT_108</x:v>
      </x:c>
      <x:c r="B109" s="3" t="str">
        <x:v>Marine</x:v>
      </x:c>
      <x:c r="C109" s="6" t="n">
        <x:v>18760</x:v>
      </x:c>
      <x:c r="D109" s="3" t="n">
        <x:v>15</x:v>
      </x:c>
      <x:c r="E109" s="3" t="str">
        <x:v>High</x:v>
      </x:c>
      <x:c r="F109" s="3" t="str">
        <x:v>Commercial</x:v>
      </x:c>
      <x:c r="G109" s="3" t="str">
        <x:v>RC Frame</x:v>
      </x:c>
      <x:c r="H109" s="3" t="str">
        <x:v>Raft</x:v>
      </x:c>
      <x:c r="I109" s="3" t="str">
        <x:v>Sand</x:v>
      </x:c>
      <x:c r="J109" s="3" t="str">
        <x:v>High</x:v>
      </x:c>
      <x:c r="K109" s="9" t="n">
        <x:v>39227160</x:v>
      </x:c>
      <x:c r="L109" s="9" t="n">
        <x:v>806</x:v>
      </x:c>
      <x:c r="M109" s="7" t="n">
        <x:v>270.4</x:v>
      </x:c>
      <x:c r="N109" s="7" t="n">
        <x:v>13</x:v>
      </x:c>
      <x:c r="O109" s="7" t="n">
        <x:v>87.7</x:v>
      </x:c>
      <x:c r="P109" s="3" t="str">
        <x:v>Stormy</x:v>
      </x:c>
      <x:c r="Q109" s="9" t="n">
        <x:v>88</x:v>
      </x:c>
      <x:c r="R109" s="7" t="n">
        <x:v>75.7</x:v>
      </x:c>
      <x:c r="S109" s="5" t="n">
        <x:v>0.0961</x:v>
      </x:c>
      <x:c r="T109" s="7" t="n">
        <x:v>17.5</x:v>
      </x:c>
      <x:c r="U109" s="7" t="n">
        <x:f t="shared" si="9"/>
        <x:v>1250.7</x:v>
      </x:c>
      <x:c r="V109" s="9" t="n">
        <x:f t="shared" si="10"/>
        <x:v>2091</x:v>
      </x:c>
      <x:c r="W109" s="7" t="n">
        <x:f t="shared" si="11"/>
        <x:v>43</x:v>
      </x:c>
    </x:row>
    <x:row r="110" ht="13.649999618530273" customHeight="1">
      <x:c r="A110" s="3" t="str">
        <x:v>PJT_109</x:v>
      </x:c>
      <x:c r="B110" s="3" t="str">
        <x:v>Marine</x:v>
      </x:c>
      <x:c r="C110" s="6" t="n">
        <x:v>14950</x:v>
      </x:c>
      <x:c r="D110" s="3" t="n">
        <x:v>14</x:v>
      </x:c>
      <x:c r="E110" s="3" t="str">
        <x:v>Medium</x:v>
      </x:c>
      <x:c r="F110" s="3" t="str">
        <x:v>Residential</x:v>
      </x:c>
      <x:c r="G110" s="3" t="str">
        <x:v>RC Frame</x:v>
      </x:c>
      <x:c r="H110" s="3" t="str">
        <x:v>Raft</x:v>
      </x:c>
      <x:c r="I110" s="3" t="str">
        <x:v>Sand</x:v>
      </x:c>
      <x:c r="J110" s="3" t="str">
        <x:v>High</x:v>
      </x:c>
      <x:c r="K110" s="9" t="n">
        <x:v>21632650</x:v>
      </x:c>
      <x:c r="L110" s="9" t="n">
        <x:v>626</x:v>
      </x:c>
      <x:c r="M110" s="7" t="n">
        <x:v>244</x:v>
      </x:c>
      <x:c r="N110" s="7" t="n">
        <x:v>8</x:v>
      </x:c>
      <x:c r="O110" s="7" t="n">
        <x:v>81.5</x:v>
      </x:c>
      <x:c r="P110" s="3" t="str">
        <x:v>Sunny</x:v>
      </x:c>
      <x:c r="Q110" s="9" t="n">
        <x:v>71</x:v>
      </x:c>
      <x:c r="R110" s="7" t="n">
        <x:v>65.1</x:v>
      </x:c>
      <x:c r="S110" s="5" t="n">
        <x:v>0.0775</x:v>
      </x:c>
      <x:c r="T110" s="7" t="n">
        <x:v>12.5</x:v>
      </x:c>
      <x:c r="U110" s="7" t="n">
        <x:f t="shared" si="9"/>
        <x:v>1067.9</x:v>
      </x:c>
      <x:c r="V110" s="9" t="n">
        <x:f t="shared" si="10"/>
        <x:v>1447</x:v>
      </x:c>
      <x:c r="W110" s="7" t="n">
        <x:f t="shared" si="11"/>
        <x:v>41.9</x:v>
      </x:c>
    </x:row>
    <x:row r="111" ht="13.649999618530273" customHeight="1">
      <x:c r="A111" s="3" t="str">
        <x:v>PJT_110</x:v>
      </x:c>
      <x:c r="B111" s="3" t="str">
        <x:v>Continental</x:v>
      </x:c>
      <x:c r="C111" s="6" t="n">
        <x:v>15580</x:v>
      </x:c>
      <x:c r="D111" s="3" t="n">
        <x:v>13</x:v>
      </x:c>
      <x:c r="E111" s="3" t="str">
        <x:v>Medium</x:v>
      </x:c>
      <x:c r="F111" s="3" t="str">
        <x:v>Commercial</x:v>
      </x:c>
      <x:c r="G111" s="3" t="str">
        <x:v>RC Frame</x:v>
      </x:c>
      <x:c r="H111" s="3" t="str">
        <x:v>Raft</x:v>
      </x:c>
      <x:c r="I111" s="3" t="str">
        <x:v>Rock</x:v>
      </x:c>
      <x:c r="J111" s="3" t="str">
        <x:v>Medium</x:v>
      </x:c>
      <x:c r="K111" s="9" t="n">
        <x:v>27966100</x:v>
      </x:c>
      <x:c r="L111" s="9" t="n">
        <x:v>657</x:v>
      </x:c>
      <x:c r="M111" s="7" t="n">
        <x:v>785</x:v>
      </x:c>
      <x:c r="N111" s="7" t="n">
        <x:v>1.2</x:v>
      </x:c>
      <x:c r="O111" s="7" t="n">
        <x:v>61.5</x:v>
      </x:c>
      <x:c r="P111" s="3" t="str">
        <x:v>Snowy</x:v>
      </x:c>
      <x:c r="Q111" s="9" t="n">
        <x:v>126</x:v>
      </x:c>
      <x:c r="R111" s="7" t="n">
        <x:v>72.6</x:v>
      </x:c>
      <x:c r="S111" s="5" t="n">
        <x:v>0.09</x:v>
      </x:c>
      <x:c r="T111" s="7" t="n">
        <x:v>14.1</x:v>
      </x:c>
      <x:c r="U111" s="7" t="n">
        <x:f t="shared" si="9"/>
        <x:v>1198.5</x:v>
      </x:c>
      <x:c r="V111" s="9" t="n">
        <x:f t="shared" si="10"/>
        <x:v>1795</x:v>
      </x:c>
      <x:c r="W111" s="7" t="n">
        <x:f t="shared" si="11"/>
        <x:v>42.2</x:v>
      </x:c>
    </x:row>
    <x:row r="112" ht="27.299999237060547" customHeight="1">
      <x:c r="A112" s="3" t="str">
        <x:v>PJT_111</x:v>
      </x:c>
      <x:c r="B112" s="3" t="str">
        <x:v>Humid Subtropical</x:v>
      </x:c>
      <x:c r="C112" s="6" t="n">
        <x:v>20120</x:v>
      </x:c>
      <x:c r="D112" s="3" t="n">
        <x:v>21</x:v>
      </x:c>
      <x:c r="E112" s="3" t="str">
        <x:v>Medium</x:v>
      </x:c>
      <x:c r="F112" s="3" t="str">
        <x:v>Commercial</x:v>
      </x:c>
      <x:c r="G112" s="3" t="str">
        <x:v>Steel</x:v>
      </x:c>
      <x:c r="H112" s="3" t="str">
        <x:v>Piles</x:v>
      </x:c>
      <x:c r="I112" s="3" t="str">
        <x:v>Soft Clay</x:v>
      </x:c>
      <x:c r="J112" s="3" t="str">
        <x:v>Low</x:v>
      </x:c>
      <x:c r="K112" s="9" t="n">
        <x:v>41427080</x:v>
      </x:c>
      <x:c r="L112" s="9" t="n">
        <x:v>852</x:v>
      </x:c>
      <x:c r="M112" s="7" t="n">
        <x:v>238.2</x:v>
      </x:c>
      <x:c r="N112" s="7" t="n">
        <x:v>24.2</x:v>
      </x:c>
      <x:c r="O112" s="7" t="n">
        <x:v>69.2</x:v>
      </x:c>
      <x:c r="P112" s="3" t="str">
        <x:v>Rainy</x:v>
      </x:c>
      <x:c r="Q112" s="9" t="n">
        <x:v>122</x:v>
      </x:c>
      <x:c r="R112" s="7" t="n">
        <x:v>77.6</x:v>
      </x:c>
      <x:c r="S112" s="5" t="n">
        <x:v>0.0891</x:v>
      </x:c>
      <x:c r="T112" s="7" t="n">
        <x:v>17.1</x:v>
      </x:c>
      <x:c r="U112" s="7" t="n">
        <x:f t="shared" si="9"/>
        <x:v>958.1</x:v>
      </x:c>
      <x:c r="V112" s="9" t="n">
        <x:f t="shared" si="10"/>
        <x:v>2059</x:v>
      </x:c>
      <x:c r="W112" s="7" t="n">
        <x:f t="shared" si="11"/>
        <x:v>42.3</x:v>
      </x:c>
    </x:row>
    <x:row r="113" ht="27.299999237060547" customHeight="1">
      <x:c r="A113" s="3" t="str">
        <x:v>PJT_112</x:v>
      </x:c>
      <x:c r="B113" s="3" t="str">
        <x:v>Humid Subtropical</x:v>
      </x:c>
      <x:c r="C113" s="6" t="n">
        <x:v>13980</x:v>
      </x:c>
      <x:c r="D113" s="3" t="n">
        <x:v>12</x:v>
      </x:c>
      <x:c r="E113" s="3" t="str">
        <x:v>Medium</x:v>
      </x:c>
      <x:c r="F113" s="3" t="str">
        <x:v>Residential</x:v>
      </x:c>
      <x:c r="G113" s="3" t="str">
        <x:v>RC Frame</x:v>
      </x:c>
      <x:c r="H113" s="3" t="str">
        <x:v>Raft</x:v>
      </x:c>
      <x:c r="I113" s="3" t="str">
        <x:v>Mixed</x:v>
      </x:c>
      <x:c r="J113" s="3" t="str">
        <x:v>Medium</x:v>
      </x:c>
      <x:c r="K113" s="9" t="n">
        <x:v>19627920</x:v>
      </x:c>
      <x:c r="L113" s="9" t="n">
        <x:v>572</x:v>
      </x:c>
      <x:c r="M113" s="7" t="n">
        <x:v>200.8</x:v>
      </x:c>
      <x:c r="N113" s="7" t="n">
        <x:v>20.9</x:v>
      </x:c>
      <x:c r="O113" s="7" t="n">
        <x:v>70</x:v>
      </x:c>
      <x:c r="P113" s="3" t="str">
        <x:v>Rainy</x:v>
      </x:c>
      <x:c r="Q113" s="9" t="n">
        <x:v>97</x:v>
      </x:c>
      <x:c r="R113" s="7" t="n">
        <x:v>61.7</x:v>
      </x:c>
      <x:c r="S113" s="5" t="n">
        <x:v>0.0759</x:v>
      </x:c>
      <x:c r="T113" s="7" t="n">
        <x:v>13</x:v>
      </x:c>
      <x:c r="U113" s="7" t="n">
        <x:f t="shared" si="9"/>
        <x:v>1165</x:v>
      </x:c>
      <x:c r="V113" s="9" t="n">
        <x:f t="shared" si="10"/>
        <x:v>1404</x:v>
      </x:c>
      <x:c r="W113" s="7" t="n">
        <x:f t="shared" si="11"/>
        <x:v>40.9</x:v>
      </x:c>
    </x:row>
    <x:row r="114" ht="13.649999618530273" customHeight="1">
      <x:c r="A114" s="3" t="str">
        <x:v>PJT_113</x:v>
      </x:c>
      <x:c r="B114" s="3" t="str">
        <x:v>Mediterranean</x:v>
      </x:c>
      <x:c r="C114" s="6" t="n">
        <x:v>19040</x:v>
      </x:c>
      <x:c r="D114" s="3" t="n">
        <x:v>18</x:v>
      </x:c>
      <x:c r="E114" s="3" t="str">
        <x:v>Medium</x:v>
      </x:c>
      <x:c r="F114" s="3" t="str">
        <x:v>Commercial</x:v>
      </x:c>
      <x:c r="G114" s="3" t="str">
        <x:v>Shear Wall</x:v>
      </x:c>
      <x:c r="H114" s="3" t="str">
        <x:v>Raft</x:v>
      </x:c>
      <x:c r="I114" s="3" t="str">
        <x:v>Sand</x:v>
      </x:c>
      <x:c r="J114" s="3" t="str">
        <x:v>High</x:v>
      </x:c>
      <x:c r="K114" s="9" t="n">
        <x:v>38175200</x:v>
      </x:c>
      <x:c r="L114" s="9" t="n">
        <x:v>781</x:v>
      </x:c>
      <x:c r="M114" s="7" t="n">
        <x:v>246.8</x:v>
      </x:c>
      <x:c r="N114" s="7" t="n">
        <x:v>22.5</x:v>
      </x:c>
      <x:c r="O114" s="7" t="n">
        <x:v>59.8</x:v>
      </x:c>
      <x:c r="P114" s="3" t="str">
        <x:v>Rainy</x:v>
      </x:c>
      <x:c r="Q114" s="9" t="n">
        <x:v>95</x:v>
      </x:c>
      <x:c r="R114" s="7" t="n">
        <x:v>75.5</x:v>
      </x:c>
      <x:c r="S114" s="5" t="n">
        <x:v>0.098</x:v>
      </x:c>
      <x:c r="T114" s="7" t="n">
        <x:v>15.6</x:v>
      </x:c>
      <x:c r="U114" s="7" t="n">
        <x:f t="shared" si="9"/>
        <x:v>1057.8</x:v>
      </x:c>
      <x:c r="V114" s="9" t="n">
        <x:f t="shared" si="10"/>
        <x:v>2005</x:v>
      </x:c>
      <x:c r="W114" s="7" t="n">
        <x:f t="shared" si="11"/>
        <x:v>41</x:v>
      </x:c>
    </x:row>
    <x:row r="115" ht="13.649999618530273" customHeight="1">
      <x:c r="A115" s="3" t="str">
        <x:v>PJT_114</x:v>
      </x:c>
      <x:c r="B115" s="3" t="str">
        <x:v>Continental</x:v>
      </x:c>
      <x:c r="C115" s="6" t="n">
        <x:v>16300</x:v>
      </x:c>
      <x:c r="D115" s="3" t="n">
        <x:v>17</x:v>
      </x:c>
      <x:c r="E115" s="3" t="str">
        <x:v>Medium</x:v>
      </x:c>
      <x:c r="F115" s="3" t="str">
        <x:v>Commercial</x:v>
      </x:c>
      <x:c r="G115" s="3" t="str">
        <x:v>Steel</x:v>
      </x:c>
      <x:c r="H115" s="3" t="str">
        <x:v>Raft</x:v>
      </x:c>
      <x:c r="I115" s="3" t="str">
        <x:v>Rock</x:v>
      </x:c>
      <x:c r="J115" s="3" t="str">
        <x:v>Low</x:v>
      </x:c>
      <x:c r="K115" s="9" t="n">
        <x:v>30562500</x:v>
      </x:c>
      <x:c r="L115" s="9" t="n">
        <x:v>727</x:v>
      </x:c>
      <x:c r="M115" s="7" t="n">
        <x:v>743.6</x:v>
      </x:c>
      <x:c r="N115" s="7" t="n">
        <x:v>6.9</x:v>
      </x:c>
      <x:c r="O115" s="7" t="n">
        <x:v>78.1</x:v>
      </x:c>
      <x:c r="P115" s="3" t="str">
        <x:v>Cloudy</x:v>
      </x:c>
      <x:c r="Q115" s="9" t="n">
        <x:v>99</x:v>
      </x:c>
      <x:c r="R115" s="7" t="n">
        <x:v>78.9</x:v>
      </x:c>
      <x:c r="S115" s="5" t="n">
        <x:v>0.0856</x:v>
      </x:c>
      <x:c r="T115" s="7" t="n">
        <x:v>16.3</x:v>
      </x:c>
      <x:c r="U115" s="7" t="n">
        <x:f t="shared" si="9"/>
        <x:v>958.8</x:v>
      </x:c>
      <x:c r="V115" s="9" t="n">
        <x:f t="shared" si="10"/>
        <x:v>1875</x:v>
      </x:c>
      <x:c r="W115" s="7" t="n">
        <x:f t="shared" si="11"/>
        <x:v>44.6</x:v>
      </x:c>
    </x:row>
    <x:row r="116" ht="13.649999618530273" customHeight="1">
      <x:c r="A116" s="3" t="str">
        <x:v>PJT_115</x:v>
      </x:c>
      <x:c r="B116" s="3" t="str">
        <x:v>Mediterranean</x:v>
      </x:c>
      <x:c r="C116" s="6" t="n">
        <x:v>17770</x:v>
      </x:c>
      <x:c r="D116" s="3" t="n">
        <x:v>19</x:v>
      </x:c>
      <x:c r="E116" s="3" t="str">
        <x:v>Medium</x:v>
      </x:c>
      <x:c r="F116" s="3" t="str">
        <x:v>Mixed-use</x:v>
      </x:c>
      <x:c r="G116" s="3" t="str">
        <x:v>Shear Wall</x:v>
      </x:c>
      <x:c r="H116" s="3" t="str">
        <x:v>Raft</x:v>
      </x:c>
      <x:c r="I116" s="3" t="str">
        <x:v>Mixed</x:v>
      </x:c>
      <x:c r="J116" s="3" t="str">
        <x:v>High</x:v>
      </x:c>
      <x:c r="K116" s="9" t="n">
        <x:v>40249050</x:v>
      </x:c>
      <x:c r="L116" s="9" t="n">
        <x:v>808</x:v>
      </x:c>
      <x:c r="M116" s="7" t="n">
        <x:v>189.4</x:v>
      </x:c>
      <x:c r="N116" s="7" t="n">
        <x:v>27.4</x:v>
      </x:c>
      <x:c r="O116" s="7" t="n">
        <x:v>63.8</x:v>
      </x:c>
      <x:c r="P116" s="3" t="str">
        <x:v>Sunny</x:v>
      </x:c>
      <x:c r="Q116" s="9" t="n">
        <x:v>79</x:v>
      </x:c>
      <x:c r="R116" s="7" t="n">
        <x:v>77.5</x:v>
      </x:c>
      <x:c r="S116" s="5" t="n">
        <x:v>0.1022</x:v>
      </x:c>
      <x:c r="T116" s="7" t="n">
        <x:v>16.7</x:v>
      </x:c>
      <x:c r="U116" s="7" t="n">
        <x:f t="shared" si="9"/>
        <x:v>935.3</x:v>
      </x:c>
      <x:c r="V116" s="9" t="n">
        <x:f t="shared" si="10"/>
        <x:v>2265</x:v>
      </x:c>
      <x:c r="W116" s="7" t="n">
        <x:f t="shared" si="11"/>
        <x:v>45.5</x:v>
      </x:c>
    </x:row>
    <x:row r="117" ht="13.649999618530273" customHeight="1">
      <x:c r="A117" s="3" t="str">
        <x:v>PJT_116</x:v>
      </x:c>
      <x:c r="B117" s="3" t="str">
        <x:v>Continental</x:v>
      </x:c>
      <x:c r="C117" s="6" t="n">
        <x:v>8270</x:v>
      </x:c>
      <x:c r="D117" s="3" t="n">
        <x:v>7</x:v>
      </x:c>
      <x:c r="E117" s="3" t="str">
        <x:v>Medium</x:v>
      </x:c>
      <x:c r="F117" s="3" t="str">
        <x:v>Residential</x:v>
      </x:c>
      <x:c r="G117" s="3" t="str">
        <x:v>Shear Wall</x:v>
      </x:c>
      <x:c r="H117" s="3" t="str">
        <x:v>Piles</x:v>
      </x:c>
      <x:c r="I117" s="3" t="str">
        <x:v>Mixed</x:v>
      </x:c>
      <x:c r="J117" s="3" t="str">
        <x:v>Low</x:v>
      </x:c>
      <x:c r="K117" s="9" t="n">
        <x:v>11321630</x:v>
      </x:c>
      <x:c r="L117" s="9" t="n">
        <x:v>473</x:v>
      </x:c>
      <x:c r="M117" s="7" t="n">
        <x:v>337.8</x:v>
      </x:c>
      <x:c r="N117" s="7" t="n">
        <x:v>-2.6</x:v>
      </x:c>
      <x:c r="O117" s="7" t="n">
        <x:v>70.1</x:v>
      </x:c>
      <x:c r="P117" s="3" t="str">
        <x:v>Snowy</x:v>
      </x:c>
      <x:c r="Q117" s="9" t="n">
        <x:v>88</x:v>
      </x:c>
      <x:c r="R117" s="7" t="n">
        <x:v>65.5</x:v>
      </x:c>
      <x:c r="S117" s="5" t="n">
        <x:v>0.0726</x:v>
      </x:c>
      <x:c r="T117" s="7" t="n">
        <x:v>13.2</x:v>
      </x:c>
      <x:c r="U117" s="7" t="n">
        <x:f t="shared" si="9"/>
        <x:v>1181.4</x:v>
      </x:c>
      <x:c r="V117" s="9" t="n">
        <x:f t="shared" si="10"/>
        <x:v>1369</x:v>
      </x:c>
      <x:c r="W117" s="7" t="n">
        <x:f t="shared" si="11"/>
        <x:v>57.2</x:v>
      </x:c>
    </x:row>
    <x:row r="118" ht="27.299999237060547" customHeight="1">
      <x:c r="A118" s="3" t="str">
        <x:v>PJT_117</x:v>
      </x:c>
      <x:c r="B118" s="3" t="str">
        <x:v>Humid Subtropical</x:v>
      </x:c>
      <x:c r="C118" s="6" t="n">
        <x:v>10030</x:v>
      </x:c>
      <x:c r="D118" s="3" t="n">
        <x:v>9</x:v>
      </x:c>
      <x:c r="E118" s="3" t="str">
        <x:v>Medium</x:v>
      </x:c>
      <x:c r="F118" s="3" t="str">
        <x:v>Residential</x:v>
      </x:c>
      <x:c r="G118" s="3" t="str">
        <x:v>Shear Wall</x:v>
      </x:c>
      <x:c r="H118" s="3" t="str">
        <x:v>Piles</x:v>
      </x:c>
      <x:c r="I118" s="3" t="str">
        <x:v>Soft Clay</x:v>
      </x:c>
      <x:c r="J118" s="3" t="str">
        <x:v>Medium</x:v>
      </x:c>
      <x:c r="K118" s="9" t="n">
        <x:v>15386020</x:v>
      </x:c>
      <x:c r="L118" s="9" t="n">
        <x:v>537</x:v>
      </x:c>
      <x:c r="M118" s="7" t="n">
        <x:v>229.6</x:v>
      </x:c>
      <x:c r="N118" s="7" t="n">
        <x:v>14.9</x:v>
      </x:c>
      <x:c r="O118" s="7" t="n">
        <x:v>71.7</x:v>
      </x:c>
      <x:c r="P118" s="3" t="str">
        <x:v>Rainy</x:v>
      </x:c>
      <x:c r="Q118" s="9" t="n">
        <x:v>113</x:v>
      </x:c>
      <x:c r="R118" s="7" t="n">
        <x:v>65.8</x:v>
      </x:c>
      <x:c r="S118" s="5" t="n">
        <x:v>0.0764</x:v>
      </x:c>
      <x:c r="T118" s="7" t="n">
        <x:v>13</x:v>
      </x:c>
      <x:c r="U118" s="7" t="n">
        <x:f t="shared" si="9"/>
        <x:v>1114.4</x:v>
      </x:c>
      <x:c r="V118" s="9" t="n">
        <x:f t="shared" si="10"/>
        <x:v>1534</x:v>
      </x:c>
      <x:c r="W118" s="7" t="n">
        <x:f t="shared" si="11"/>
        <x:v>53.5</x:v>
      </x:c>
    </x:row>
    <x:row r="119" ht="27.299999237060547" customHeight="1">
      <x:c r="A119" s="3" t="str">
        <x:v>PJT_118</x:v>
      </x:c>
      <x:c r="B119" s="3" t="str">
        <x:v>Humid Subtropical</x:v>
      </x:c>
      <x:c r="C119" s="6" t="n">
        <x:v>14070</x:v>
      </x:c>
      <x:c r="D119" s="3" t="n">
        <x:v>15</x:v>
      </x:c>
      <x:c r="E119" s="3" t="str">
        <x:v>High</x:v>
      </x:c>
      <x:c r="F119" s="3" t="str">
        <x:v>Commercial</x:v>
      </x:c>
      <x:c r="G119" s="3" t="str">
        <x:v>Steel</x:v>
      </x:c>
      <x:c r="H119" s="3" t="str">
        <x:v>Piles</x:v>
      </x:c>
      <x:c r="I119" s="3" t="str">
        <x:v>Soft Clay</x:v>
      </x:c>
      <x:c r="J119" s="3" t="str">
        <x:v>Low</x:v>
      </x:c>
      <x:c r="K119" s="9" t="n">
        <x:v>30827370</x:v>
      </x:c>
      <x:c r="L119" s="9" t="n">
        <x:v>771</x:v>
      </x:c>
      <x:c r="M119" s="7" t="n">
        <x:v>225.6</x:v>
      </x:c>
      <x:c r="N119" s="7" t="n">
        <x:v>16.2</x:v>
      </x:c>
      <x:c r="O119" s="7" t="n">
        <x:v>62.2</x:v>
      </x:c>
      <x:c r="P119" s="3" t="str">
        <x:v>Cloudy</x:v>
      </x:c>
      <x:c r="Q119" s="9" t="n">
        <x:v>145</x:v>
      </x:c>
      <x:c r="R119" s="7" t="n">
        <x:v>83.7</x:v>
      </x:c>
      <x:c r="S119" s="5" t="n">
        <x:v>0.0905</x:v>
      </x:c>
      <x:c r="T119" s="7" t="n">
        <x:v>18.3</x:v>
      </x:c>
      <x:c r="U119" s="7" t="n">
        <x:f t="shared" si="9"/>
        <x:v>938</x:v>
      </x:c>
      <x:c r="V119" s="9" t="n">
        <x:f t="shared" si="10"/>
        <x:v>2191</x:v>
      </x:c>
      <x:c r="W119" s="7" t="n">
        <x:f t="shared" si="11"/>
        <x:v>54.8</x:v>
      </x:c>
    </x:row>
    <x:row r="120" ht="27.299999237060547" customHeight="1">
      <x:c r="A120" s="3" t="str">
        <x:v>PJT_119</x:v>
      </x:c>
      <x:c r="B120" s="3" t="str">
        <x:v>Humid Subtropical</x:v>
      </x:c>
      <x:c r="C120" s="6" t="n">
        <x:v>15860</x:v>
      </x:c>
      <x:c r="D120" s="3" t="n">
        <x:v>15</x:v>
      </x:c>
      <x:c r="E120" s="3" t="str">
        <x:v>Medium</x:v>
      </x:c>
      <x:c r="F120" s="3" t="str">
        <x:v>Commercial</x:v>
      </x:c>
      <x:c r="G120" s="3" t="str">
        <x:v>Shear Wall</x:v>
      </x:c>
      <x:c r="H120" s="3" t="str">
        <x:v>Piles</x:v>
      </x:c>
      <x:c r="I120" s="3" t="str">
        <x:v>Soft Clay</x:v>
      </x:c>
      <x:c r="J120" s="3" t="str">
        <x:v>Medium</x:v>
      </x:c>
      <x:c r="K120" s="9" t="n">
        <x:v>31957900</x:v>
      </x:c>
      <x:c r="L120" s="9" t="n">
        <x:v>731</x:v>
      </x:c>
      <x:c r="M120" s="7" t="n">
        <x:v>239.4</x:v>
      </x:c>
      <x:c r="N120" s="7" t="n">
        <x:v>31</x:v>
      </x:c>
      <x:c r="O120" s="7" t="n">
        <x:v>73.8</x:v>
      </x:c>
      <x:c r="P120" s="3" t="str">
        <x:v>Sunny</x:v>
      </x:c>
      <x:c r="Q120" s="9" t="n">
        <x:v>107</x:v>
      </x:c>
      <x:c r="R120" s="7" t="n">
        <x:v>75.1</x:v>
      </x:c>
      <x:c r="S120" s="5" t="n">
        <x:v>0.0945</x:v>
      </x:c>
      <x:c r="T120" s="7" t="n">
        <x:v>15.7</x:v>
      </x:c>
      <x:c r="U120" s="7" t="n">
        <x:f t="shared" si="9"/>
        <x:v>1057.3</x:v>
      </x:c>
      <x:c r="V120" s="9" t="n">
        <x:f t="shared" si="10"/>
        <x:v>2015</x:v>
      </x:c>
      <x:c r="W120" s="7" t="n">
        <x:f t="shared" si="11"/>
        <x:v>46.1</x:v>
      </x:c>
    </x:row>
    <x:row r="121" ht="13.649999618530273" customHeight="1">
      <x:c r="A121" s="3" t="str">
        <x:v>PJT_120</x:v>
      </x:c>
      <x:c r="B121" s="3" t="str">
        <x:v>Continental</x:v>
      </x:c>
      <x:c r="C121" s="6" t="n">
        <x:v>21810</x:v>
      </x:c>
      <x:c r="D121" s="3" t="n">
        <x:v>22</x:v>
      </x:c>
      <x:c r="E121" s="3" t="str">
        <x:v>High</x:v>
      </x:c>
      <x:c r="F121" s="3" t="str">
        <x:v>Commercial</x:v>
      </x:c>
      <x:c r="G121" s="3" t="str">
        <x:v>Shear Wall</x:v>
      </x:c>
      <x:c r="H121" s="3" t="str">
        <x:v>Piles</x:v>
      </x:c>
      <x:c r="I121" s="3" t="str">
        <x:v>Sand</x:v>
      </x:c>
      <x:c r="J121" s="3" t="str">
        <x:v>Low</x:v>
      </x:c>
      <x:c r="K121" s="9" t="n">
        <x:v>47262270</x:v>
      </x:c>
      <x:c r="L121" s="9" t="n">
        <x:v>935</x:v>
      </x:c>
      <x:c r="M121" s="7" t="n">
        <x:v>296.3</x:v>
      </x:c>
      <x:c r="N121" s="7" t="n">
        <x:v>12.6</x:v>
      </x:c>
      <x:c r="O121" s="7" t="n">
        <x:v>78.2</x:v>
      </x:c>
      <x:c r="P121" s="3" t="str">
        <x:v>Rainy</x:v>
      </x:c>
      <x:c r="Q121" s="9" t="n">
        <x:v>103</x:v>
      </x:c>
      <x:c r="R121" s="7" t="n">
        <x:v>81</x:v>
      </x:c>
      <x:c r="S121" s="5" t="n">
        <x:v>0.0966</x:v>
      </x:c>
      <x:c r="T121" s="7" t="n">
        <x:v>18.5</x:v>
      </x:c>
      <x:c r="U121" s="7" t="n">
        <x:f t="shared" si="9"/>
        <x:v>991.4</x:v>
      </x:c>
      <x:c r="V121" s="9" t="n">
        <x:f t="shared" si="10"/>
        <x:v>2167</x:v>
      </x:c>
      <x:c r="W121" s="7" t="n">
        <x:f t="shared" si="11"/>
        <x:v>42.9</x:v>
      </x:c>
    </x:row>
    <x:row r="122" ht="13.649999618530273" customHeight="1">
      <x:c r="A122" s="3" t="str">
        <x:v>PJT_121</x:v>
      </x:c>
      <x:c r="B122" s="3" t="str">
        <x:v>Mediterranean</x:v>
      </x:c>
      <x:c r="C122" s="6" t="n">
        <x:v>4430</x:v>
      </x:c>
      <x:c r="D122" s="3" t="n">
        <x:v>4</x:v>
      </x:c>
      <x:c r="E122" s="3" t="str">
        <x:v>Low</x:v>
      </x:c>
      <x:c r="F122" s="3" t="str">
        <x:v>Residential</x:v>
      </x:c>
      <x:c r="G122" s="3" t="str">
        <x:v>RC Frame</x:v>
      </x:c>
      <x:c r="H122" s="3" t="str">
        <x:v>Piles</x:v>
      </x:c>
      <x:c r="I122" s="3" t="str">
        <x:v>Soft Clay</x:v>
      </x:c>
      <x:c r="J122" s="3" t="str">
        <x:v>High</x:v>
      </x:c>
      <x:c r="K122" s="9" t="n">
        <x:v>5364730</x:v>
      </x:c>
      <x:c r="L122" s="9" t="n">
        <x:v>347</x:v>
      </x:c>
      <x:c r="M122" s="7" t="n">
        <x:v>224.1</x:v>
      </x:c>
      <x:c r="N122" s="7" t="n">
        <x:v>30.6</x:v>
      </x:c>
      <x:c r="O122" s="7" t="n">
        <x:v>68</x:v>
      </x:c>
      <x:c r="P122" s="3" t="str">
        <x:v>Sunny</x:v>
      </x:c>
      <x:c r="Q122" s="9" t="n">
        <x:v>75</x:v>
      </x:c>
      <x:c r="R122" s="7" t="n">
        <x:v>61.1</x:v>
      </x:c>
      <x:c r="S122" s="5" t="n">
        <x:v>0.0723</x:v>
      </x:c>
      <x:c r="T122" s="7" t="n">
        <x:v>10.1</x:v>
      </x:c>
      <x:c r="U122" s="7" t="n">
        <x:f t="shared" si="9"/>
        <x:v>1107.5</x:v>
      </x:c>
      <x:c r="V122" s="9" t="n">
        <x:f t="shared" si="10"/>
        <x:v>1211</x:v>
      </x:c>
      <x:c r="W122" s="7" t="n">
        <x:f t="shared" si="11"/>
        <x:v>78.3</x:v>
      </x:c>
    </x:row>
    <x:row r="123" ht="27.299999237060547" customHeight="1">
      <x:c r="A123" s="3" t="str">
        <x:v>PJT_122</x:v>
      </x:c>
      <x:c r="B123" s="3" t="str">
        <x:v>Humid Subtropical</x:v>
      </x:c>
      <x:c r="C123" s="6" t="n">
        <x:v>22550</x:v>
      </x:c>
      <x:c r="D123" s="3" t="n">
        <x:v>23</x:v>
      </x:c>
      <x:c r="E123" s="3" t="str">
        <x:v>Medium</x:v>
      </x:c>
      <x:c r="F123" s="3" t="str">
        <x:v>Commercial</x:v>
      </x:c>
      <x:c r="G123" s="3" t="str">
        <x:v>Steel</x:v>
      </x:c>
      <x:c r="H123" s="3" t="str">
        <x:v>Raft</x:v>
      </x:c>
      <x:c r="I123" s="3" t="str">
        <x:v>Mixed</x:v>
      </x:c>
      <x:c r="J123" s="3" t="str">
        <x:v>Medium</x:v>
      </x:c>
      <x:c r="K123" s="9" t="n">
        <x:v>46994200</x:v>
      </x:c>
      <x:c r="L123" s="9" t="n">
        <x:v>886</x:v>
      </x:c>
      <x:c r="M123" s="7" t="n">
        <x:v>211</x:v>
      </x:c>
      <x:c r="N123" s="7" t="n">
        <x:v>14.4</x:v>
      </x:c>
      <x:c r="O123" s="7" t="n">
        <x:v>67.2</x:v>
      </x:c>
      <x:c r="P123" s="3" t="str">
        <x:v>Cloudy</x:v>
      </x:c>
      <x:c r="Q123" s="9" t="n">
        <x:v>89</x:v>
      </x:c>
      <x:c r="R123" s="7" t="n">
        <x:v>75.7</x:v>
      </x:c>
      <x:c r="S123" s="5" t="n">
        <x:v>0.0897</x:v>
      </x:c>
      <x:c r="T123" s="7" t="n">
        <x:v>17.6</x:v>
      </x:c>
      <x:c r="U123" s="7" t="n">
        <x:f t="shared" si="9"/>
        <x:v>980.4</x:v>
      </x:c>
      <x:c r="V123" s="9" t="n">
        <x:f t="shared" si="10"/>
        <x:v>2084</x:v>
      </x:c>
      <x:c r="W123" s="7" t="n">
        <x:f t="shared" si="11"/>
        <x:v>39.3</x:v>
      </x:c>
    </x:row>
    <x:row r="124" ht="13.649999618530273" customHeight="1">
      <x:c r="A124" s="3" t="str">
        <x:v>PJT_123</x:v>
      </x:c>
      <x:c r="B124" s="3" t="str">
        <x:v>Marine</x:v>
      </x:c>
      <x:c r="C124" s="6" t="n">
        <x:v>18950</x:v>
      </x:c>
      <x:c r="D124" s="3" t="n">
        <x:v>20</x:v>
      </x:c>
      <x:c r="E124" s="3" t="str">
        <x:v>High</x:v>
      </x:c>
      <x:c r="F124" s="3" t="str">
        <x:v>Commercial</x:v>
      </x:c>
      <x:c r="G124" s="3" t="str">
        <x:v>Shear Wall</x:v>
      </x:c>
      <x:c r="H124" s="3" t="str">
        <x:v>Piles</x:v>
      </x:c>
      <x:c r="I124" s="3" t="str">
        <x:v>Soft Clay</x:v>
      </x:c>
      <x:c r="J124" s="3" t="str">
        <x:v>Medium</x:v>
      </x:c>
      <x:c r="K124" s="9" t="n">
        <x:v>42429050</x:v>
      </x:c>
      <x:c r="L124" s="9" t="n">
        <x:v>879</x:v>
      </x:c>
      <x:c r="M124" s="7" t="n">
        <x:v>218.4</x:v>
      </x:c>
      <x:c r="N124" s="7" t="n">
        <x:v>12.4</x:v>
      </x:c>
      <x:c r="O124" s="7" t="n">
        <x:v>72.4</x:v>
      </x:c>
      <x:c r="P124" s="3" t="str">
        <x:v>Rainy</x:v>
      </x:c>
      <x:c r="Q124" s="9" t="n">
        <x:v>115</x:v>
      </x:c>
      <x:c r="R124" s="7" t="n">
        <x:v>81.7</x:v>
      </x:c>
      <x:c r="S124" s="5" t="n">
        <x:v>0.0972</x:v>
      </x:c>
      <x:c r="T124" s="7" t="n">
        <x:v>18.4</x:v>
      </x:c>
      <x:c r="U124" s="7" t="n">
        <x:f t="shared" si="9"/>
        <x:v>947.5</x:v>
      </x:c>
      <x:c r="V124" s="9" t="n">
        <x:f t="shared" si="10"/>
        <x:v>2239</x:v>
      </x:c>
      <x:c r="W124" s="7" t="n">
        <x:f t="shared" si="11"/>
        <x:v>46.4</x:v>
      </x:c>
    </x:row>
    <x:row r="125" ht="27.299999237060547" customHeight="1">
      <x:c r="A125" s="3" t="str">
        <x:v>PJT_124</x:v>
      </x:c>
      <x:c r="B125" s="3" t="str">
        <x:v>Humid Subtropical</x:v>
      </x:c>
      <x:c r="C125" s="6" t="n">
        <x:v>24650</x:v>
      </x:c>
      <x:c r="D125" s="3" t="n">
        <x:v>24</x:v>
      </x:c>
      <x:c r="E125" s="3" t="str">
        <x:v>High</x:v>
      </x:c>
      <x:c r="F125" s="3" t="str">
        <x:v>Commercial</x:v>
      </x:c>
      <x:c r="G125" s="3" t="str">
        <x:v>Steel</x:v>
      </x:c>
      <x:c r="H125" s="3" t="str">
        <x:v>Piles</x:v>
      </x:c>
      <x:c r="I125" s="3" t="str">
        <x:v>Mixed</x:v>
      </x:c>
      <x:c r="J125" s="3" t="str">
        <x:v>Medium</x:v>
      </x:c>
      <x:c r="K125" s="9" t="n">
        <x:v>57409850</x:v>
      </x:c>
      <x:c r="L125" s="9" t="n">
        <x:v>1020</x:v>
      </x:c>
      <x:c r="M125" s="7" t="n">
        <x:v>249.5</x:v>
      </x:c>
      <x:c r="N125" s="7" t="n">
        <x:v>21.2</x:v>
      </x:c>
      <x:c r="O125" s="7" t="n">
        <x:v>85.4</x:v>
      </x:c>
      <x:c r="P125" s="3" t="str">
        <x:v>Cloudy</x:v>
      </x:c>
      <x:c r="Q125" s="9" t="n">
        <x:v>131</x:v>
      </x:c>
      <x:c r="R125" s="7" t="n">
        <x:v>86</x:v>
      </x:c>
      <x:c r="S125" s="5" t="n">
        <x:v>0.0996</x:v>
      </x:c>
      <x:c r="T125" s="7" t="n">
        <x:v>19.4</x:v>
      </x:c>
      <x:c r="U125" s="7" t="n">
        <x:f t="shared" si="9"/>
        <x:v>1027.1</x:v>
      </x:c>
      <x:c r="V125" s="9" t="n">
        <x:f t="shared" si="10"/>
        <x:v>2329</x:v>
      </x:c>
      <x:c r="W125" s="7" t="n">
        <x:f t="shared" si="11"/>
        <x:v>41.4</x:v>
      </x:c>
    </x:row>
    <x:row r="126" ht="27.299999237060547" customHeight="1">
      <x:c r="A126" s="3" t="str">
        <x:v>PJT_125</x:v>
      </x:c>
      <x:c r="B126" s="3" t="str">
        <x:v>Humid Subtropical</x:v>
      </x:c>
      <x:c r="C126" s="6" t="n">
        <x:v>20310</x:v>
      </x:c>
      <x:c r="D126" s="3" t="n">
        <x:v>21</x:v>
      </x:c>
      <x:c r="E126" s="3" t="str">
        <x:v>High</x:v>
      </x:c>
      <x:c r="F126" s="3" t="str">
        <x:v>Mixed-use</x:v>
      </x:c>
      <x:c r="G126" s="3" t="str">
        <x:v>Shear Wall</x:v>
      </x:c>
      <x:c r="H126" s="3" t="str">
        <x:v>Piles</x:v>
      </x:c>
      <x:c r="I126" s="3" t="str">
        <x:v>Sand</x:v>
      </x:c>
      <x:c r="J126" s="3" t="str">
        <x:v>Low</x:v>
      </x:c>
      <x:c r="K126" s="9" t="n">
        <x:v>50653140</x:v>
      </x:c>
      <x:c r="L126" s="9" t="n">
        <x:v>950</x:v>
      </x:c>
      <x:c r="M126" s="7" t="n">
        <x:v>369.3</x:v>
      </x:c>
      <x:c r="N126" s="7" t="n">
        <x:v>19</x:v>
      </x:c>
      <x:c r="O126" s="7" t="n">
        <x:v>82.6</x:v>
      </x:c>
      <x:c r="P126" s="3" t="str">
        <x:v>Stormy</x:v>
      </x:c>
      <x:c r="Q126" s="9" t="n">
        <x:v>151</x:v>
      </x:c>
      <x:c r="R126" s="7" t="n">
        <x:v>86</x:v>
      </x:c>
      <x:c r="S126" s="5" t="n">
        <x:v>0.1042</x:v>
      </x:c>
      <x:c r="T126" s="7" t="n">
        <x:v>19.3</x:v>
      </x:c>
      <x:c r="U126" s="7" t="n">
        <x:f t="shared" si="9"/>
        <x:v>967.1</x:v>
      </x:c>
      <x:c r="V126" s="9" t="n">
        <x:f t="shared" si="10"/>
        <x:v>2494</x:v>
      </x:c>
      <x:c r="W126" s="7" t="n">
        <x:f t="shared" si="11"/>
        <x:v>46.8</x:v>
      </x:c>
    </x:row>
    <x:row r="127" ht="27.299999237060547" customHeight="1">
      <x:c r="A127" s="3" t="str">
        <x:v>PJT_126</x:v>
      </x:c>
      <x:c r="B127" s="3" t="str">
        <x:v>Humid Subtropical</x:v>
      </x:c>
      <x:c r="C127" s="6" t="n">
        <x:v>20900</x:v>
      </x:c>
      <x:c r="D127" s="3" t="n">
        <x:v>20</x:v>
      </x:c>
      <x:c r="E127" s="3" t="str">
        <x:v>High</x:v>
      </x:c>
      <x:c r="F127" s="3" t="str">
        <x:v>Commercial</x:v>
      </x:c>
      <x:c r="G127" s="3" t="str">
        <x:v>Steel</x:v>
      </x:c>
      <x:c r="H127" s="3" t="str">
        <x:v>Piles</x:v>
      </x:c>
      <x:c r="I127" s="3" t="str">
        <x:v>Soft Clay</x:v>
      </x:c>
      <x:c r="J127" s="3" t="str">
        <x:v>Medium</x:v>
      </x:c>
      <x:c r="K127" s="9" t="n">
        <x:v>48780600</x:v>
      </x:c>
      <x:c r="L127" s="9" t="n">
        <x:v>918</x:v>
      </x:c>
      <x:c r="M127" s="7" t="n">
        <x:v>257.9</x:v>
      </x:c>
      <x:c r="N127" s="7" t="n">
        <x:v>31.3</x:v>
      </x:c>
      <x:c r="O127" s="7" t="n">
        <x:v>83.8</x:v>
      </x:c>
      <x:c r="P127" s="3" t="str">
        <x:v>Sunny</x:v>
      </x:c>
      <x:c r="Q127" s="9" t="n">
        <x:v>130</x:v>
      </x:c>
      <x:c r="R127" s="7" t="n">
        <x:v>81.8</x:v>
      </x:c>
      <x:c r="S127" s="5" t="n">
        <x:v>0.0931</x:v>
      </x:c>
      <x:c r="T127" s="7" t="n">
        <x:v>18.9</x:v>
      </x:c>
      <x:c r="U127" s="7" t="n">
        <x:f t="shared" si="9"/>
        <x:v>1045</x:v>
      </x:c>
      <x:c r="V127" s="9" t="n">
        <x:f t="shared" si="10"/>
        <x:v>2334</x:v>
      </x:c>
      <x:c r="W127" s="7" t="n">
        <x:f t="shared" si="11"/>
        <x:v>43.9</x:v>
      </x:c>
    </x:row>
    <x:row r="128" ht="13.649999618530273" customHeight="1">
      <x:c r="A128" s="3" t="str">
        <x:v>PJT_127</x:v>
      </x:c>
      <x:c r="B128" s="3" t="str">
        <x:v>Mediterranean</x:v>
      </x:c>
      <x:c r="C128" s="6" t="n">
        <x:v>25010</x:v>
      </x:c>
      <x:c r="D128" s="3" t="n">
        <x:v>24</x:v>
      </x:c>
      <x:c r="E128" s="3" t="str">
        <x:v>High</x:v>
      </x:c>
      <x:c r="F128" s="3" t="str">
        <x:v>Mixed-use</x:v>
      </x:c>
      <x:c r="G128" s="3" t="str">
        <x:v>Shear Wall</x:v>
      </x:c>
      <x:c r="H128" s="3" t="str">
        <x:v>Piles</x:v>
      </x:c>
      <x:c r="I128" s="3" t="str">
        <x:v>Mixed</x:v>
      </x:c>
      <x:c r="J128" s="3" t="str">
        <x:v>High</x:v>
      </x:c>
      <x:c r="K128" s="9" t="n">
        <x:v>65601230</x:v>
      </x:c>
      <x:c r="L128" s="9" t="n">
        <x:v>1056</x:v>
      </x:c>
      <x:c r="M128" s="7" t="n">
        <x:v>294.7</x:v>
      </x:c>
      <x:c r="N128" s="7" t="n">
        <x:v>26.8</x:v>
      </x:c>
      <x:c r="O128" s="7" t="n">
        <x:v>56.6</x:v>
      </x:c>
      <x:c r="P128" s="3" t="str">
        <x:v>Sunny</x:v>
      </x:c>
      <x:c r="Q128" s="9" t="n">
        <x:v>124</x:v>
      </x:c>
      <x:c r="R128" s="7" t="n">
        <x:v>86</x:v>
      </x:c>
      <x:c r="S128" s="5" t="n">
        <x:v>0.11</x:v>
      </x:c>
      <x:c r="T128" s="7" t="n">
        <x:v>19.4</x:v>
      </x:c>
      <x:c r="U128" s="7" t="n">
        <x:f t="shared" si="9"/>
        <x:v>1042.1</x:v>
      </x:c>
      <x:c r="V128" s="9" t="n">
        <x:f t="shared" si="10"/>
        <x:v>2623</x:v>
      </x:c>
      <x:c r="W128" s="7" t="n">
        <x:f t="shared" si="11"/>
        <x:v>42.2</x:v>
      </x:c>
    </x:row>
    <x:row r="129" ht="27.299999237060547" customHeight="1">
      <x:c r="A129" s="3" t="str">
        <x:v>PJT_128</x:v>
      </x:c>
      <x:c r="B129" s="3" t="str">
        <x:v>Humid Subtropical</x:v>
      </x:c>
      <x:c r="C129" s="6" t="n">
        <x:v>6320</x:v>
      </x:c>
      <x:c r="D129" s="3" t="n">
        <x:v>6</x:v>
      </x:c>
      <x:c r="E129" s="3" t="str">
        <x:v>Medium</x:v>
      </x:c>
      <x:c r="F129" s="3" t="str">
        <x:v>Residential</x:v>
      </x:c>
      <x:c r="G129" s="3" t="str">
        <x:v>RC Frame</x:v>
      </x:c>
      <x:c r="H129" s="3" t="str">
        <x:v>Raft</x:v>
      </x:c>
      <x:c r="I129" s="3" t="str">
        <x:v>Mixed</x:v>
      </x:c>
      <x:c r="J129" s="3" t="str">
        <x:v>Low</x:v>
      </x:c>
      <x:c r="K129" s="9" t="n">
        <x:v>7748320</x:v>
      </x:c>
      <x:c r="L129" s="9" t="n">
        <x:v>383</x:v>
      </x:c>
      <x:c r="M129" s="7" t="n">
        <x:v>215.8</x:v>
      </x:c>
      <x:c r="N129" s="7" t="n">
        <x:v>34.8</x:v>
      </x:c>
      <x:c r="O129" s="7" t="n">
        <x:v>72.4</x:v>
      </x:c>
      <x:c r="P129" s="3" t="str">
        <x:v>Sunny</x:v>
      </x:c>
      <x:c r="Q129" s="9" t="n">
        <x:v>83</x:v>
      </x:c>
      <x:c r="R129" s="7" t="n">
        <x:v>62.5</x:v>
      </x:c>
      <x:c r="S129" s="5" t="n">
        <x:v>0.066</x:v>
      </x:c>
      <x:c r="T129" s="7" t="n">
        <x:v>12.5</x:v>
      </x:c>
      <x:c r="U129" s="7" t="n">
        <x:f t="shared" si="9"/>
        <x:v>1053.3</x:v>
      </x:c>
      <x:c r="V129" s="9" t="n">
        <x:f t="shared" si="10"/>
        <x:v>1226</x:v>
      </x:c>
      <x:c r="W129" s="7" t="n">
        <x:f t="shared" si="11"/>
        <x:v>60.6</x:v>
      </x:c>
    </x:row>
    <x:row r="130" ht="27.299999237060547" customHeight="1">
      <x:c r="A130" s="3" t="str">
        <x:v>PJT_129</x:v>
      </x:c>
      <x:c r="B130" s="3" t="str">
        <x:v>Humid Subtropical</x:v>
      </x:c>
      <x:c r="C130" s="6" t="n">
        <x:v>5160</x:v>
      </x:c>
      <x:c r="D130" s="3" t="n">
        <x:v>5</x:v>
      </x:c>
      <x:c r="E130" s="3" t="str">
        <x:v>Medium</x:v>
      </x:c>
      <x:c r="F130" s="3" t="str">
        <x:v>School</x:v>
      </x:c>
      <x:c r="G130" s="3" t="str">
        <x:v>RC Frame</x:v>
      </x:c>
      <x:c r="H130" s="3" t="str">
        <x:v>Raft</x:v>
      </x:c>
      <x:c r="I130" s="3" t="str">
        <x:v>Mixed</x:v>
      </x:c>
      <x:c r="J130" s="3" t="str">
        <x:v>Low</x:v>
      </x:c>
      <x:c r="K130" s="9" t="n">
        <x:v>7394280</x:v>
      </x:c>
      <x:c r="L130" s="9" t="n">
        <x:v>388</x:v>
      </x:c>
      <x:c r="M130" s="7" t="n">
        <x:v>224.4</x:v>
      </x:c>
      <x:c r="N130" s="7" t="n">
        <x:v>20.1</x:v>
      </x:c>
      <x:c r="O130" s="7" t="n">
        <x:v>70.4</x:v>
      </x:c>
      <x:c r="P130" s="3" t="str">
        <x:v>Rainy</x:v>
      </x:c>
      <x:c r="Q130" s="9" t="n">
        <x:v>137</x:v>
      </x:c>
      <x:c r="R130" s="7" t="n">
        <x:v>66.1</x:v>
      </x:c>
      <x:c r="S130" s="5" t="n">
        <x:v>0.0687</x:v>
      </x:c>
      <x:c r="T130" s="7" t="n">
        <x:v>13.2</x:v>
      </x:c>
      <x:c r="U130" s="7" t="n">
        <x:f t="shared" ref="U130:U161" si="12">ROUND(C130/D130,1)</x:f>
        <x:v>1032</x:v>
      </x:c>
      <x:c r="V130" s="9" t="n">
        <x:f t="shared" ref="V130:V161" si="13">ROUND(K130/C130,0)</x:f>
        <x:v>1433</x:v>
      </x:c>
      <x:c r="W130" s="7" t="n">
        <x:f t="shared" ref="W130:W161" si="14">ROUND(L130/(C130/1000),1)</x:f>
        <x:v>75.2</x:v>
      </x:c>
    </x:row>
    <x:row r="131" ht="13.649999618530273" customHeight="1">
      <x:c r="A131" s="3" t="str">
        <x:v>PJT_130</x:v>
      </x:c>
      <x:c r="B131" s="3" t="str">
        <x:v>Continental</x:v>
      </x:c>
      <x:c r="C131" s="6" t="n">
        <x:v>23080</x:v>
      </x:c>
      <x:c r="D131" s="3" t="n">
        <x:v>24</x:v>
      </x:c>
      <x:c r="E131" s="3" t="str">
        <x:v>Medium</x:v>
      </x:c>
      <x:c r="F131" s="3" t="str">
        <x:v>Mixed-use</x:v>
      </x:c>
      <x:c r="G131" s="3" t="str">
        <x:v>Steel</x:v>
      </x:c>
      <x:c r="H131" s="3" t="str">
        <x:v>Piles</x:v>
      </x:c>
      <x:c r="I131" s="3" t="str">
        <x:v>Soft Clay</x:v>
      </x:c>
      <x:c r="J131" s="3" t="str">
        <x:v>Low</x:v>
      </x:c>
      <x:c r="K131" s="9" t="n">
        <x:v>53661000</x:v>
      </x:c>
      <x:c r="L131" s="9" t="n">
        <x:v>976</x:v>
      </x:c>
      <x:c r="M131" s="7" t="n">
        <x:v>220.4</x:v>
      </x:c>
      <x:c r="N131" s="7" t="n">
        <x:v>5</x:v>
      </x:c>
      <x:c r="O131" s="7" t="n">
        <x:v>60.6</x:v>
      </x:c>
      <x:c r="P131" s="3" t="str">
        <x:v>Stormy</x:v>
      </x:c>
      <x:c r="Q131" s="9" t="n">
        <x:v>113</x:v>
      </x:c>
      <x:c r="R131" s="7" t="n">
        <x:v>84.7</x:v>
      </x:c>
      <x:c r="S131" s="5" t="n">
        <x:v>0.0936</x:v>
      </x:c>
      <x:c r="T131" s="7" t="n">
        <x:v>18.5</x:v>
      </x:c>
      <x:c r="U131" s="7" t="n">
        <x:f t="shared" si="12"/>
        <x:v>961.7</x:v>
      </x:c>
      <x:c r="V131" s="9" t="n">
        <x:f t="shared" si="13"/>
        <x:v>2325</x:v>
      </x:c>
      <x:c r="W131" s="7" t="n">
        <x:f t="shared" si="14"/>
        <x:v>42.3</x:v>
      </x:c>
    </x:row>
    <x:row r="132" ht="27.299999237060547" customHeight="1">
      <x:c r="A132" s="3" t="str">
        <x:v>PJT_131</x:v>
      </x:c>
      <x:c r="B132" s="3" t="str">
        <x:v>Humid Subtropical</x:v>
      </x:c>
      <x:c r="C132" s="6" t="n">
        <x:v>22640</x:v>
      </x:c>
      <x:c r="D132" s="3" t="n">
        <x:v>23</x:v>
      </x:c>
      <x:c r="E132" s="3" t="str">
        <x:v>High</x:v>
      </x:c>
      <x:c r="F132" s="3" t="str">
        <x:v>Mixed-use</x:v>
      </x:c>
      <x:c r="G132" s="3" t="str">
        <x:v>Shear Wall</x:v>
      </x:c>
      <x:c r="H132" s="3" t="str">
        <x:v>Raft</x:v>
      </x:c>
      <x:c r="I132" s="3" t="str">
        <x:v>Mixed</x:v>
      </x:c>
      <x:c r="J132" s="3" t="str">
        <x:v>Low</x:v>
      </x:c>
      <x:c r="K132" s="9" t="n">
        <x:v>54698240</x:v>
      </x:c>
      <x:c r="L132" s="9" t="n">
        <x:v>966</x:v>
      </x:c>
      <x:c r="M132" s="7" t="n">
        <x:v>257.5</x:v>
      </x:c>
      <x:c r="N132" s="7" t="n">
        <x:v>26.3</x:v>
      </x:c>
      <x:c r="O132" s="7" t="n">
        <x:v>91</x:v>
      </x:c>
      <x:c r="P132" s="3" t="str">
        <x:v>Rainy</x:v>
      </x:c>
      <x:c r="Q132" s="9" t="n">
        <x:v>105</x:v>
      </x:c>
      <x:c r="R132" s="7" t="n">
        <x:v>84.5</x:v>
      </x:c>
      <x:c r="S132" s="5" t="n">
        <x:v>0.1057</x:v>
      </x:c>
      <x:c r="T132" s="7" t="n">
        <x:v>19.5</x:v>
      </x:c>
      <x:c r="U132" s="7" t="n">
        <x:f t="shared" si="12"/>
        <x:v>984.3</x:v>
      </x:c>
      <x:c r="V132" s="9" t="n">
        <x:f t="shared" si="13"/>
        <x:v>2416</x:v>
      </x:c>
      <x:c r="W132" s="7" t="n">
        <x:f t="shared" si="14"/>
        <x:v>42.7</x:v>
      </x:c>
    </x:row>
    <x:row r="133" ht="13.649999618530273" customHeight="1">
      <x:c r="A133" s="3" t="str">
        <x:v>PJT_132</x:v>
      </x:c>
      <x:c r="B133" s="3" t="str">
        <x:v>Continental</x:v>
      </x:c>
      <x:c r="C133" s="6" t="n">
        <x:v>17200</x:v>
      </x:c>
      <x:c r="D133" s="3" t="n">
        <x:v>12</x:v>
      </x:c>
      <x:c r="E133" s="3" t="str">
        <x:v>High</x:v>
      </x:c>
      <x:c r="F133" s="3" t="str">
        <x:v>Commercial</x:v>
      </x:c>
      <x:c r="G133" s="3" t="str">
        <x:v>Shear Wall</x:v>
      </x:c>
      <x:c r="H133" s="3" t="str">
        <x:v>Raft</x:v>
      </x:c>
      <x:c r="I133" s="3" t="str">
        <x:v>Rock</x:v>
      </x:c>
      <x:c r="J133" s="3" t="str">
        <x:v>Low</x:v>
      </x:c>
      <x:c r="K133" s="9" t="n">
        <x:v>35328800</x:v>
      </x:c>
      <x:c r="L133" s="9" t="n">
        <x:v>718</x:v>
      </x:c>
      <x:c r="M133" s="7" t="n">
        <x:v>576.9</x:v>
      </x:c>
      <x:c r="N133" s="7" t="n">
        <x:v>-3.8</x:v>
      </x:c>
      <x:c r="O133" s="7" t="n">
        <x:v>59.3</x:v>
      </x:c>
      <x:c r="P133" s="3" t="str">
        <x:v>Cloudy</x:v>
      </x:c>
      <x:c r="Q133" s="9" t="n">
        <x:v>120</x:v>
      </x:c>
      <x:c r="R133" s="7" t="n">
        <x:v>79</x:v>
      </x:c>
      <x:c r="S133" s="5" t="n">
        <x:v>0.0916</x:v>
      </x:c>
      <x:c r="T133" s="7" t="n">
        <x:v>17.5</x:v>
      </x:c>
      <x:c r="U133" s="7" t="n">
        <x:f t="shared" si="12"/>
        <x:v>1433.3</x:v>
      </x:c>
      <x:c r="V133" s="9" t="n">
        <x:f t="shared" si="13"/>
        <x:v>2054</x:v>
      </x:c>
      <x:c r="W133" s="7" t="n">
        <x:f t="shared" si="14"/>
        <x:v>41.7</x:v>
      </x:c>
    </x:row>
    <x:row r="134" ht="27.299999237060547" customHeight="1">
      <x:c r="A134" s="3" t="str">
        <x:v>PJT_133</x:v>
      </x:c>
      <x:c r="B134" s="3" t="str">
        <x:v>Humid Subtropical</x:v>
      </x:c>
      <x:c r="C134" s="6" t="n">
        <x:v>19660</x:v>
      </x:c>
      <x:c r="D134" s="3" t="n">
        <x:v>20</x:v>
      </x:c>
      <x:c r="E134" s="3" t="str">
        <x:v>High</x:v>
      </x:c>
      <x:c r="F134" s="3" t="str">
        <x:v>Commercial</x:v>
      </x:c>
      <x:c r="G134" s="3" t="str">
        <x:v>Shear Wall</x:v>
      </x:c>
      <x:c r="H134" s="3" t="str">
        <x:v>Piles</x:v>
      </x:c>
      <x:c r="I134" s="3" t="str">
        <x:v>Soft Clay</x:v>
      </x:c>
      <x:c r="J134" s="3" t="str">
        <x:v>Low</x:v>
      </x:c>
      <x:c r="K134" s="9" t="n">
        <x:v>43173360</x:v>
      </x:c>
      <x:c r="L134" s="9" t="n">
        <x:v>875</x:v>
      </x:c>
      <x:c r="M134" s="7" t="n">
        <x:v>200.9</x:v>
      </x:c>
      <x:c r="N134" s="7" t="n">
        <x:v>27.2</x:v>
      </x:c>
      <x:c r="O134" s="7" t="n">
        <x:v>85.5</x:v>
      </x:c>
      <x:c r="P134" s="3" t="str">
        <x:v>Rainy</x:v>
      </x:c>
      <x:c r="Q134" s="9" t="n">
        <x:v>106</x:v>
      </x:c>
      <x:c r="R134" s="7" t="n">
        <x:v>81.1</x:v>
      </x:c>
      <x:c r="S134" s="5" t="n">
        <x:v>0.0945</x:v>
      </x:c>
      <x:c r="T134" s="7" t="n">
        <x:v>18</x:v>
      </x:c>
      <x:c r="U134" s="7" t="n">
        <x:f t="shared" si="12"/>
        <x:v>983</x:v>
      </x:c>
      <x:c r="V134" s="9" t="n">
        <x:f t="shared" si="13"/>
        <x:v>2196</x:v>
      </x:c>
      <x:c r="W134" s="7" t="n">
        <x:f t="shared" si="14"/>
        <x:v>44.5</x:v>
      </x:c>
    </x:row>
    <x:row r="135" ht="13.649999618530273" customHeight="1">
      <x:c r="A135" s="3" t="str">
        <x:v>PJT_134</x:v>
      </x:c>
      <x:c r="B135" s="3" t="str">
        <x:v>Mediterranean</x:v>
      </x:c>
      <x:c r="C135" s="6" t="n">
        <x:v>16580</x:v>
      </x:c>
      <x:c r="D135" s="3" t="n">
        <x:v>18</x:v>
      </x:c>
      <x:c r="E135" s="3" t="str">
        <x:v>Medium</x:v>
      </x:c>
      <x:c r="F135" s="3" t="str">
        <x:v>Mixed-use</x:v>
      </x:c>
      <x:c r="G135" s="3" t="str">
        <x:v>Shear Wall</x:v>
      </x:c>
      <x:c r="H135" s="3" t="str">
        <x:v>Piles</x:v>
      </x:c>
      <x:c r="I135" s="3" t="str">
        <x:v>Soft Clay</x:v>
      </x:c>
      <x:c r="J135" s="3" t="str">
        <x:v>High</x:v>
      </x:c>
      <x:c r="K135" s="9" t="n">
        <x:v>39808580</x:v>
      </x:c>
      <x:c r="L135" s="9" t="n">
        <x:v>830</x:v>
      </x:c>
      <x:c r="M135" s="7" t="n">
        <x:v>258.2</x:v>
      </x:c>
      <x:c r="N135" s="7" t="n">
        <x:v>33.4</x:v>
      </x:c>
      <x:c r="O135" s="7" t="n">
        <x:v>50.3</x:v>
      </x:c>
      <x:c r="P135" s="3" t="str">
        <x:v>Sunny</x:v>
      </x:c>
      <x:c r="Q135" s="9" t="n">
        <x:v>78</x:v>
      </x:c>
      <x:c r="R135" s="7" t="n">
        <x:v>84.1</x:v>
      </x:c>
      <x:c r="S135" s="5" t="n">
        <x:v>0.1019</x:v>
      </x:c>
      <x:c r="T135" s="7" t="n">
        <x:v>17.3</x:v>
      </x:c>
      <x:c r="U135" s="7" t="n">
        <x:f t="shared" si="12"/>
        <x:v>921.1</x:v>
      </x:c>
      <x:c r="V135" s="9" t="n">
        <x:f t="shared" si="13"/>
        <x:v>2401</x:v>
      </x:c>
      <x:c r="W135" s="7" t="n">
        <x:f t="shared" si="14"/>
        <x:v>50.1</x:v>
      </x:c>
    </x:row>
    <x:row r="136" ht="13.649999618530273" customHeight="1">
      <x:c r="A136" s="3" t="str">
        <x:v>PJT_135</x:v>
      </x:c>
      <x:c r="B136" s="3" t="str">
        <x:v>Continental</x:v>
      </x:c>
      <x:c r="C136" s="6" t="n">
        <x:v>25180</x:v>
      </x:c>
      <x:c r="D136" s="3" t="n">
        <x:v>26</x:v>
      </x:c>
      <x:c r="E136" s="3" t="str">
        <x:v>Medium</x:v>
      </x:c>
      <x:c r="F136" s="3" t="str">
        <x:v>Mixed-use</x:v>
      </x:c>
      <x:c r="G136" s="3" t="str">
        <x:v>Steel</x:v>
      </x:c>
      <x:c r="H136" s="3" t="str">
        <x:v>Raft</x:v>
      </x:c>
      <x:c r="I136" s="3" t="str">
        <x:v>Mixed</x:v>
      </x:c>
      <x:c r="J136" s="3" t="str">
        <x:v>Low</x:v>
      </x:c>
      <x:c r="K136" s="9" t="n">
        <x:v>57762920</x:v>
      </x:c>
      <x:c r="L136" s="9" t="n">
        <x:v>991</x:v>
      </x:c>
      <x:c r="M136" s="7" t="n">
        <x:v>241.2</x:v>
      </x:c>
      <x:c r="N136" s="7" t="n">
        <x:v>0.5</x:v>
      </x:c>
      <x:c r="O136" s="7" t="n">
        <x:v>59</x:v>
      </x:c>
      <x:c r="P136" s="3" t="str">
        <x:v>Cloudy</x:v>
      </x:c>
      <x:c r="Q136" s="9" t="n">
        <x:v>111</x:v>
      </x:c>
      <x:c r="R136" s="7" t="n">
        <x:v>83.1</x:v>
      </x:c>
      <x:c r="S136" s="5" t="n">
        <x:v>0.097</x:v>
      </x:c>
      <x:c r="T136" s="7" t="n">
        <x:v>18.3</x:v>
      </x:c>
      <x:c r="U136" s="7" t="n">
        <x:f t="shared" si="12"/>
        <x:v>968.5</x:v>
      </x:c>
      <x:c r="V136" s="9" t="n">
        <x:f t="shared" si="13"/>
        <x:v>2294</x:v>
      </x:c>
      <x:c r="W136" s="7" t="n">
        <x:f t="shared" si="14"/>
        <x:v>39.4</x:v>
      </x:c>
    </x:row>
    <x:row r="137" ht="13.649999618530273" customHeight="1">
      <x:c r="A137" s="3" t="str">
        <x:v>PJT_136</x:v>
      </x:c>
      <x:c r="B137" s="3" t="str">
        <x:v>Marine</x:v>
      </x:c>
      <x:c r="C137" s="6" t="n">
        <x:v>2670</x:v>
      </x:c>
      <x:c r="D137" s="3" t="n">
        <x:v>2</x:v>
      </x:c>
      <x:c r="E137" s="3" t="str">
        <x:v>Medium</x:v>
      </x:c>
      <x:c r="F137" s="3" t="str">
        <x:v>Residential</x:v>
      </x:c>
      <x:c r="G137" s="3" t="str">
        <x:v>RC Frame</x:v>
      </x:c>
      <x:c r="H137" s="3" t="str">
        <x:v>Piles</x:v>
      </x:c>
      <x:c r="I137" s="3" t="str">
        <x:v>Soft Clay</x:v>
      </x:c>
      <x:c r="J137" s="3" t="str">
        <x:v>Medium</x:v>
      </x:c>
      <x:c r="K137" s="9" t="n">
        <x:v>3631200</x:v>
      </x:c>
      <x:c r="L137" s="9" t="n">
        <x:v>341</x:v>
      </x:c>
      <x:c r="M137" s="7" t="n">
        <x:v>242.5</x:v>
      </x:c>
      <x:c r="N137" s="7" t="n">
        <x:v>9.2</x:v>
      </x:c>
      <x:c r="O137" s="7" t="n">
        <x:v>86.2</x:v>
      </x:c>
      <x:c r="P137" s="3" t="str">
        <x:v>Rainy</x:v>
      </x:c>
      <x:c r="Q137" s="9" t="n">
        <x:v>76</x:v>
      </x:c>
      <x:c r="R137" s="7" t="n">
        <x:v>63.4</x:v>
      </x:c>
      <x:c r="S137" s="5" t="n">
        <x:v>0.0686</x:v>
      </x:c>
      <x:c r="T137" s="7" t="n">
        <x:v>12.3</x:v>
      </x:c>
      <x:c r="U137" s="7" t="n">
        <x:f t="shared" si="12"/>
        <x:v>1335</x:v>
      </x:c>
      <x:c r="V137" s="9" t="n">
        <x:f t="shared" si="13"/>
        <x:v>1360</x:v>
      </x:c>
      <x:c r="W137" s="7" t="n">
        <x:f t="shared" si="14"/>
        <x:v>127.7</x:v>
      </x:c>
    </x:row>
    <x:row r="138" ht="13.649999618530273" customHeight="1">
      <x:c r="A138" s="3" t="str">
        <x:v>PJT_137</x:v>
      </x:c>
      <x:c r="B138" s="3" t="str">
        <x:v>Marine</x:v>
      </x:c>
      <x:c r="C138" s="6" t="n">
        <x:v>12720</x:v>
      </x:c>
      <x:c r="D138" s="3" t="n">
        <x:v>10</x:v>
      </x:c>
      <x:c r="E138" s="3" t="str">
        <x:v>High</x:v>
      </x:c>
      <x:c r="F138" s="3" t="str">
        <x:v>Commercial</x:v>
      </x:c>
      <x:c r="G138" s="3" t="str">
        <x:v>RC Frame</x:v>
      </x:c>
      <x:c r="H138" s="3" t="str">
        <x:v>Raft</x:v>
      </x:c>
      <x:c r="I138" s="3" t="str">
        <x:v>Mixed</x:v>
      </x:c>
      <x:c r="J138" s="3" t="str">
        <x:v>Medium</x:v>
      </x:c>
      <x:c r="K138" s="9" t="n">
        <x:v>25376400</x:v>
      </x:c>
      <x:c r="L138" s="9" t="n">
        <x:v>639</x:v>
      </x:c>
      <x:c r="M138" s="7" t="n">
        <x:v>226.3</x:v>
      </x:c>
      <x:c r="N138" s="7" t="n">
        <x:v>15.2</x:v>
      </x:c>
      <x:c r="O138" s="7" t="n">
        <x:v>81.4</x:v>
      </x:c>
      <x:c r="P138" s="3" t="str">
        <x:v>Cloudy</x:v>
      </x:c>
      <x:c r="Q138" s="9" t="n">
        <x:v>132</x:v>
      </x:c>
      <x:c r="R138" s="7" t="n">
        <x:v>72.6</x:v>
      </x:c>
      <x:c r="S138" s="5" t="n">
        <x:v>0.0895</x:v>
      </x:c>
      <x:c r="T138" s="7" t="n">
        <x:v>16.6</x:v>
      </x:c>
      <x:c r="U138" s="7" t="n">
        <x:f t="shared" si="12"/>
        <x:v>1272</x:v>
      </x:c>
      <x:c r="V138" s="9" t="n">
        <x:f t="shared" si="13"/>
        <x:v>1995</x:v>
      </x:c>
      <x:c r="W138" s="7" t="n">
        <x:f t="shared" si="14"/>
        <x:v>50.2</x:v>
      </x:c>
    </x:row>
    <x:row r="139" ht="13.649999618530273" customHeight="1">
      <x:c r="A139" s="3" t="str">
        <x:v>PJT_138</x:v>
      </x:c>
      <x:c r="B139" s="3" t="str">
        <x:v>Continental</x:v>
      </x:c>
      <x:c r="C139" s="6" t="n">
        <x:v>14000</x:v>
      </x:c>
      <x:c r="D139" s="3" t="n">
        <x:v>13</x:v>
      </x:c>
      <x:c r="E139" s="3" t="str">
        <x:v>Medium</x:v>
      </x:c>
      <x:c r="F139" s="3" t="str">
        <x:v>Residential</x:v>
      </x:c>
      <x:c r="G139" s="3" t="str">
        <x:v>RC Frame</x:v>
      </x:c>
      <x:c r="H139" s="3" t="str">
        <x:v>Piles</x:v>
      </x:c>
      <x:c r="I139" s="3" t="str">
        <x:v>Sand</x:v>
      </x:c>
      <x:c r="J139" s="3" t="str">
        <x:v>Low</x:v>
      </x:c>
      <x:c r="K139" s="9" t="n">
        <x:v>18578000</x:v>
      </x:c>
      <x:c r="L139" s="9" t="n">
        <x:v>593</x:v>
      </x:c>
      <x:c r="M139" s="7" t="n">
        <x:v>334.6</x:v>
      </x:c>
      <x:c r="N139" s="7" t="n">
        <x:v>9.6</x:v>
      </x:c>
      <x:c r="O139" s="7" t="n">
        <x:v>69.4</x:v>
      </x:c>
      <x:c r="P139" s="3" t="str">
        <x:v>Rainy</x:v>
      </x:c>
      <x:c r="Q139" s="9" t="n">
        <x:v>98</x:v>
      </x:c>
      <x:c r="R139" s="7" t="n">
        <x:v>66.8</x:v>
      </x:c>
      <x:c r="S139" s="5" t="n">
        <x:v>0.0702</x:v>
      </x:c>
      <x:c r="T139" s="7" t="n">
        <x:v>13</x:v>
      </x:c>
      <x:c r="U139" s="7" t="n">
        <x:f t="shared" si="12"/>
        <x:v>1076.9</x:v>
      </x:c>
      <x:c r="V139" s="9" t="n">
        <x:f t="shared" si="13"/>
        <x:v>1327</x:v>
      </x:c>
      <x:c r="W139" s="7" t="n">
        <x:f t="shared" si="14"/>
        <x:v>42.4</x:v>
      </x:c>
    </x:row>
    <x:row r="140" ht="13.649999618530273" customHeight="1">
      <x:c r="A140" s="3" t="str">
        <x:v>PJT_139</x:v>
      </x:c>
      <x:c r="B140" s="3" t="str">
        <x:v>Mediterranean</x:v>
      </x:c>
      <x:c r="C140" s="6" t="n">
        <x:v>18870</x:v>
      </x:c>
      <x:c r="D140" s="3" t="n">
        <x:v>20</x:v>
      </x:c>
      <x:c r="E140" s="3" t="str">
        <x:v>Medium</x:v>
      </x:c>
      <x:c r="F140" s="3" t="str">
        <x:v>Mixed-use</x:v>
      </x:c>
      <x:c r="G140" s="3" t="str">
        <x:v>Steel</x:v>
      </x:c>
      <x:c r="H140" s="3" t="str">
        <x:v>Raft</x:v>
      </x:c>
      <x:c r="I140" s="3" t="str">
        <x:v>Mixed</x:v>
      </x:c>
      <x:c r="J140" s="3" t="str">
        <x:v>High</x:v>
      </x:c>
      <x:c r="K140" s="9" t="n">
        <x:v>44269020</x:v>
      </x:c>
      <x:c r="L140" s="9" t="n">
        <x:v>869</x:v>
      </x:c>
      <x:c r="M140" s="7" t="n">
        <x:v>253.9</x:v>
      </x:c>
      <x:c r="N140" s="7" t="n">
        <x:v>22.2</x:v>
      </x:c>
      <x:c r="O140" s="7" t="n">
        <x:v>55.7</x:v>
      </x:c>
      <x:c r="P140" s="3" t="str">
        <x:v>Sunny</x:v>
      </x:c>
      <x:c r="Q140" s="9" t="n">
        <x:v>121</x:v>
      </x:c>
      <x:c r="R140" s="7" t="n">
        <x:v>82</x:v>
      </x:c>
      <x:c r="S140" s="5" t="n">
        <x:v>0.0962</x:v>
      </x:c>
      <x:c r="T140" s="7" t="n">
        <x:v>17.9</x:v>
      </x:c>
      <x:c r="U140" s="7" t="n">
        <x:f t="shared" si="12"/>
        <x:v>943.5</x:v>
      </x:c>
      <x:c r="V140" s="9" t="n">
        <x:f t="shared" si="13"/>
        <x:v>2346</x:v>
      </x:c>
      <x:c r="W140" s="7" t="n">
        <x:f t="shared" si="14"/>
        <x:v>46.1</x:v>
      </x:c>
    </x:row>
    <x:row r="141" ht="27.299999237060547" customHeight="1">
      <x:c r="A141" s="3" t="str">
        <x:v>PJT_140</x:v>
      </x:c>
      <x:c r="B141" s="3" t="str">
        <x:v>Humid Subtropical</x:v>
      </x:c>
      <x:c r="C141" s="6" t="n">
        <x:v>23510</x:v>
      </x:c>
      <x:c r="D141" s="3" t="n">
        <x:v>26</x:v>
      </x:c>
      <x:c r="E141" s="3" t="str">
        <x:v>Medium</x:v>
      </x:c>
      <x:c r="F141" s="3" t="str">
        <x:v>Mixed-use</x:v>
      </x:c>
      <x:c r="G141" s="3" t="str">
        <x:v>Steel</x:v>
      </x:c>
      <x:c r="H141" s="3" t="str">
        <x:v>Raft</x:v>
      </x:c>
      <x:c r="I141" s="3" t="str">
        <x:v>Rock</x:v>
      </x:c>
      <x:c r="J141" s="3" t="str">
        <x:v>Medium</x:v>
      </x:c>
      <x:c r="K141" s="9" t="n">
        <x:v>56800160</x:v>
      </x:c>
      <x:c r="L141" s="9" t="n">
        <x:v>983</x:v>
      </x:c>
      <x:c r="M141" s="7" t="n">
        <x:v>788.2</x:v>
      </x:c>
      <x:c r="N141" s="7" t="n">
        <x:v>16.8</x:v>
      </x:c>
      <x:c r="O141" s="7" t="n">
        <x:v>82.8</x:v>
      </x:c>
      <x:c r="P141" s="3" t="str">
        <x:v>Sunny</x:v>
      </x:c>
      <x:c r="Q141" s="9" t="n">
        <x:v>126</x:v>
      </x:c>
      <x:c r="R141" s="7" t="n">
        <x:v>81.1</x:v>
      </x:c>
      <x:c r="S141" s="5" t="n">
        <x:v>0.0979</x:v>
      </x:c>
      <x:c r="T141" s="7" t="n">
        <x:v>18.1</x:v>
      </x:c>
      <x:c r="U141" s="7" t="n">
        <x:f t="shared" si="12"/>
        <x:v>904.2</x:v>
      </x:c>
      <x:c r="V141" s="9" t="n">
        <x:f t="shared" si="13"/>
        <x:v>2416</x:v>
      </x:c>
      <x:c r="W141" s="7" t="n">
        <x:f t="shared" si="14"/>
        <x:v>41.8</x:v>
      </x:c>
    </x:row>
    <x:row r="142" ht="13.649999618530273" customHeight="1">
      <x:c r="A142" s="3" t="str">
        <x:v>PJT_141</x:v>
      </x:c>
      <x:c r="B142" s="3" t="str">
        <x:v>Continental</x:v>
      </x:c>
      <x:c r="C142" s="6" t="n">
        <x:v>20760</x:v>
      </x:c>
      <x:c r="D142" s="3" t="n">
        <x:v>21</x:v>
      </x:c>
      <x:c r="E142" s="3" t="str">
        <x:v>High</x:v>
      </x:c>
      <x:c r="F142" s="3" t="str">
        <x:v>Commercial</x:v>
      </x:c>
      <x:c r="G142" s="3" t="str">
        <x:v>Steel</x:v>
      </x:c>
      <x:c r="H142" s="3" t="str">
        <x:v>Piles</x:v>
      </x:c>
      <x:c r="I142" s="3" t="str">
        <x:v>Mixed</x:v>
      </x:c>
      <x:c r="J142" s="3" t="str">
        <x:v>Low</x:v>
      </x:c>
      <x:c r="K142" s="9" t="n">
        <x:v>46377840</x:v>
      </x:c>
      <x:c r="L142" s="9" t="n">
        <x:v>915</x:v>
      </x:c>
      <x:c r="M142" s="7" t="n">
        <x:v>290.7</x:v>
      </x:c>
      <x:c r="N142" s="7" t="n">
        <x:v>23.8</x:v>
      </x:c>
      <x:c r="O142" s="7" t="n">
        <x:v>79.2</x:v>
      </x:c>
      <x:c r="P142" s="3" t="str">
        <x:v>Cloudy</x:v>
      </x:c>
      <x:c r="Q142" s="9" t="n">
        <x:v>110</x:v>
      </x:c>
      <x:c r="R142" s="7" t="n">
        <x:v>85.3</x:v>
      </x:c>
      <x:c r="S142" s="5" t="n">
        <x:v>0.0912</x:v>
      </x:c>
      <x:c r="T142" s="7" t="n">
        <x:v>18.1</x:v>
      </x:c>
      <x:c r="U142" s="7" t="n">
        <x:f t="shared" si="12"/>
        <x:v>988.6</x:v>
      </x:c>
      <x:c r="V142" s="9" t="n">
        <x:f t="shared" si="13"/>
        <x:v>2234</x:v>
      </x:c>
      <x:c r="W142" s="7" t="n">
        <x:f t="shared" si="14"/>
        <x:v>44.1</x:v>
      </x:c>
    </x:row>
    <x:row r="143" ht="13.649999618530273" customHeight="1">
      <x:c r="A143" s="3" t="str">
        <x:v>PJT_142</x:v>
      </x:c>
      <x:c r="B143" s="3" t="str">
        <x:v>Continental</x:v>
      </x:c>
      <x:c r="C143" s="6" t="n">
        <x:v>24330</x:v>
      </x:c>
      <x:c r="D143" s="3" t="n">
        <x:v>27</x:v>
      </x:c>
      <x:c r="E143" s="3" t="str">
        <x:v>High</x:v>
      </x:c>
      <x:c r="F143" s="3" t="str">
        <x:v>Mixed-use</x:v>
      </x:c>
      <x:c r="G143" s="3" t="str">
        <x:v>Steel</x:v>
      </x:c>
      <x:c r="H143" s="3" t="str">
        <x:v>Piles</x:v>
      </x:c>
      <x:c r="I143" s="3" t="str">
        <x:v>Soft Clay</x:v>
      </x:c>
      <x:c r="J143" s="3" t="str">
        <x:v>Medium</x:v>
      </x:c>
      <x:c r="K143" s="9" t="n">
        <x:v>64085220</x:v>
      </x:c>
      <x:c r="L143" s="9" t="n">
        <x:v>1076</x:v>
      </x:c>
      <x:c r="M143" s="7" t="n">
        <x:v>259.9</x:v>
      </x:c>
      <x:c r="N143" s="7" t="n">
        <x:v>15.7</x:v>
      </x:c>
      <x:c r="O143" s="7" t="n">
        <x:v>71.7</x:v>
      </x:c>
      <x:c r="P143" s="3" t="str">
        <x:v>Sunny</x:v>
      </x:c>
      <x:c r="Q143" s="9" t="n">
        <x:v>112</x:v>
      </x:c>
      <x:c r="R143" s="7" t="n">
        <x:v>86</x:v>
      </x:c>
      <x:c r="S143" s="5" t="n">
        <x:v>0.1004</x:v>
      </x:c>
      <x:c r="T143" s="7" t="n">
        <x:v>20.5</x:v>
      </x:c>
      <x:c r="U143" s="7" t="n">
        <x:f t="shared" si="12"/>
        <x:v>901.1</x:v>
      </x:c>
      <x:c r="V143" s="9" t="n">
        <x:f t="shared" si="13"/>
        <x:v>2634</x:v>
      </x:c>
      <x:c r="W143" s="7" t="n">
        <x:f t="shared" si="14"/>
        <x:v>44.2</x:v>
      </x:c>
    </x:row>
    <x:row r="144" ht="13.649999618530273" customHeight="1">
      <x:c r="A144" s="3" t="str">
        <x:v>PJT_143</x:v>
      </x:c>
      <x:c r="B144" s="3" t="str">
        <x:v>Marine</x:v>
      </x:c>
      <x:c r="C144" s="6" t="n">
        <x:v>16270</x:v>
      </x:c>
      <x:c r="D144" s="3" t="n">
        <x:v>18</x:v>
      </x:c>
      <x:c r="E144" s="3" t="str">
        <x:v>High</x:v>
      </x:c>
      <x:c r="F144" s="3" t="str">
        <x:v>Mixed-use</x:v>
      </x:c>
      <x:c r="G144" s="3" t="str">
        <x:v>Shear Wall</x:v>
      </x:c>
      <x:c r="H144" s="3" t="str">
        <x:v>Raft</x:v>
      </x:c>
      <x:c r="I144" s="3" t="str">
        <x:v>Sand</x:v>
      </x:c>
      <x:c r="J144" s="3" t="str">
        <x:v>Medium</x:v>
      </x:c>
      <x:c r="K144" s="9" t="n">
        <x:v>40740080</x:v>
      </x:c>
      <x:c r="L144" s="9" t="n">
        <x:v>844</x:v>
      </x:c>
      <x:c r="M144" s="7" t="n">
        <x:v>233.7</x:v>
      </x:c>
      <x:c r="N144" s="7" t="n">
        <x:v>18.6</x:v>
      </x:c>
      <x:c r="O144" s="7" t="n">
        <x:v>88.4</x:v>
      </x:c>
      <x:c r="P144" s="3" t="str">
        <x:v>Cloudy</x:v>
      </x:c>
      <x:c r="Q144" s="9" t="n">
        <x:v>117</x:v>
      </x:c>
      <x:c r="R144" s="7" t="n">
        <x:v>83.2</x:v>
      </x:c>
      <x:c r="S144" s="5" t="n">
        <x:v>0.1049</x:v>
      </x:c>
      <x:c r="T144" s="7" t="n">
        <x:v>19.9</x:v>
      </x:c>
      <x:c r="U144" s="7" t="n">
        <x:f t="shared" si="12"/>
        <x:v>903.9</x:v>
      </x:c>
      <x:c r="V144" s="9" t="n">
        <x:f t="shared" si="13"/>
        <x:v>2504</x:v>
      </x:c>
      <x:c r="W144" s="7" t="n">
        <x:f t="shared" si="14"/>
        <x:v>51.9</x:v>
      </x:c>
    </x:row>
    <x:row r="145" ht="13.649999618530273" customHeight="1">
      <x:c r="A145" s="3" t="str">
        <x:v>PJT_144</x:v>
      </x:c>
      <x:c r="B145" s="3" t="str">
        <x:v>Mediterranean</x:v>
      </x:c>
      <x:c r="C145" s="6" t="n">
        <x:v>16770</x:v>
      </x:c>
      <x:c r="D145" s="3" t="n">
        <x:v>10</x:v>
      </x:c>
      <x:c r="E145" s="3" t="str">
        <x:v>High</x:v>
      </x:c>
      <x:c r="F145" s="3" t="str">
        <x:v>Hospital</x:v>
      </x:c>
      <x:c r="G145" s="3" t="str">
        <x:v>Shear Wall</x:v>
      </x:c>
      <x:c r="H145" s="3" t="str">
        <x:v>Raft</x:v>
      </x:c>
      <x:c r="I145" s="3" t="str">
        <x:v>Rock</x:v>
      </x:c>
      <x:c r="J145" s="3" t="str">
        <x:v>High</x:v>
      </x:c>
      <x:c r="K145" s="9" t="n">
        <x:v>48985170</x:v>
      </x:c>
      <x:c r="L145" s="9" t="n">
        <x:v>808</x:v>
      </x:c>
      <x:c r="M145" s="7" t="n">
        <x:v>766.8</x:v>
      </x:c>
      <x:c r="N145" s="7" t="n">
        <x:v>25</x:v>
      </x:c>
      <x:c r="O145" s="7" t="n">
        <x:v>67.8</x:v>
      </x:c>
      <x:c r="P145" s="3" t="str">
        <x:v>Sunny</x:v>
      </x:c>
      <x:c r="Q145" s="9" t="n">
        <x:v>71</x:v>
      </x:c>
      <x:c r="R145" s="7" t="n">
        <x:v>83.3</x:v>
      </x:c>
      <x:c r="S145" s="5" t="n">
        <x:v>0.11</x:v>
      </x:c>
      <x:c r="T145" s="7" t="n">
        <x:v>20.7</x:v>
      </x:c>
      <x:c r="U145" s="7" t="n">
        <x:f t="shared" si="12"/>
        <x:v>1677</x:v>
      </x:c>
      <x:c r="V145" s="9" t="n">
        <x:f t="shared" si="13"/>
        <x:v>2921</x:v>
      </x:c>
      <x:c r="W145" s="7" t="n">
        <x:f t="shared" si="14"/>
        <x:v>48.2</x:v>
      </x:c>
    </x:row>
    <x:row r="146" ht="13.649999618530273" customHeight="1">
      <x:c r="A146" s="3" t="str">
        <x:v>PJT_145</x:v>
      </x:c>
      <x:c r="B146" s="3" t="str">
        <x:v>Continental</x:v>
      </x:c>
      <x:c r="C146" s="6" t="n">
        <x:v>21800</x:v>
      </x:c>
      <x:c r="D146" s="3" t="n">
        <x:v>24</x:v>
      </x:c>
      <x:c r="E146" s="3" t="str">
        <x:v>High</x:v>
      </x:c>
      <x:c r="F146" s="3" t="str">
        <x:v>Commercial</x:v>
      </x:c>
      <x:c r="G146" s="3" t="str">
        <x:v>Shear Wall</x:v>
      </x:c>
      <x:c r="H146" s="3" t="str">
        <x:v>Raft</x:v>
      </x:c>
      <x:c r="I146" s="3" t="str">
        <x:v>Sand</x:v>
      </x:c>
      <x:c r="J146" s="3" t="str">
        <x:v>Low</x:v>
      </x:c>
      <x:c r="K146" s="9" t="n">
        <x:v>47436800</x:v>
      </x:c>
      <x:c r="L146" s="9" t="n">
        <x:v>913</x:v>
      </x:c>
      <x:c r="M146" s="7" t="n">
        <x:v>297.7</x:v>
      </x:c>
      <x:c r="N146" s="7" t="n">
        <x:v>10.8</x:v>
      </x:c>
      <x:c r="O146" s="7" t="n">
        <x:v>80</x:v>
      </x:c>
      <x:c r="P146" s="3" t="str">
        <x:v>Stormy</x:v>
      </x:c>
      <x:c r="Q146" s="9" t="n">
        <x:v>127</x:v>
      </x:c>
      <x:c r="R146" s="7" t="n">
        <x:v>79.6</x:v>
      </x:c>
      <x:c r="S146" s="5" t="n">
        <x:v>0.0979</x:v>
      </x:c>
      <x:c r="T146" s="7" t="n">
        <x:v>19</x:v>
      </x:c>
      <x:c r="U146" s="7" t="n">
        <x:f t="shared" si="12"/>
        <x:v>908.3</x:v>
      </x:c>
      <x:c r="V146" s="9" t="n">
        <x:f t="shared" si="13"/>
        <x:v>2176</x:v>
      </x:c>
      <x:c r="W146" s="7" t="n">
        <x:f t="shared" si="14"/>
        <x:v>41.9</x:v>
      </x:c>
    </x:row>
    <x:row r="147" ht="13.649999618530273" customHeight="1">
      <x:c r="A147" s="3" t="str">
        <x:v>PJT_146</x:v>
      </x:c>
      <x:c r="B147" s="3" t="str">
        <x:v>Continental</x:v>
      </x:c>
      <x:c r="C147" s="6" t="n">
        <x:v>24090</x:v>
      </x:c>
      <x:c r="D147" s="3" t="n">
        <x:v>16</x:v>
      </x:c>
      <x:c r="E147" s="3" t="str">
        <x:v>High</x:v>
      </x:c>
      <x:c r="F147" s="3" t="str">
        <x:v>Hospital</x:v>
      </x:c>
      <x:c r="G147" s="3" t="str">
        <x:v>Shear Wall</x:v>
      </x:c>
      <x:c r="H147" s="3" t="str">
        <x:v>Piles</x:v>
      </x:c>
      <x:c r="I147" s="3" t="str">
        <x:v>Soft Clay</x:v>
      </x:c>
      <x:c r="J147" s="3" t="str">
        <x:v>Medium</x:v>
      </x:c>
      <x:c r="K147" s="9" t="n">
        <x:v>70945050</x:v>
      </x:c>
      <x:c r="L147" s="9" t="n">
        <x:v>1003</x:v>
      </x:c>
      <x:c r="M147" s="7" t="n">
        <x:v>227.8</x:v>
      </x:c>
      <x:c r="N147" s="7" t="n">
        <x:v>6.2</x:v>
      </x:c>
      <x:c r="O147" s="7" t="n">
        <x:v>62.2</x:v>
      </x:c>
      <x:c r="P147" s="3" t="str">
        <x:v>Cloudy</x:v>
      </x:c>
      <x:c r="Q147" s="9" t="n">
        <x:v>121</x:v>
      </x:c>
      <x:c r="R147" s="7" t="n">
        <x:v>86</x:v>
      </x:c>
      <x:c r="S147" s="5" t="n">
        <x:v>0.1055</x:v>
      </x:c>
      <x:c r="T147" s="7" t="n">
        <x:v>20.8</x:v>
      </x:c>
      <x:c r="U147" s="7" t="n">
        <x:f t="shared" si="12"/>
        <x:v>1505.6</x:v>
      </x:c>
      <x:c r="V147" s="9" t="n">
        <x:f t="shared" si="13"/>
        <x:v>2945</x:v>
      </x:c>
      <x:c r="W147" s="7" t="n">
        <x:f t="shared" si="14"/>
        <x:v>41.6</x:v>
      </x:c>
    </x:row>
    <x:row r="148" ht="13.649999618530273" customHeight="1">
      <x:c r="A148" s="3" t="str">
        <x:v>PJT_147</x:v>
      </x:c>
      <x:c r="B148" s="3" t="str">
        <x:v>Continental</x:v>
      </x:c>
      <x:c r="C148" s="6" t="n">
        <x:v>4420</x:v>
      </x:c>
      <x:c r="D148" s="3" t="n">
        <x:v>4</x:v>
      </x:c>
      <x:c r="E148" s="3" t="str">
        <x:v>Medium</x:v>
      </x:c>
      <x:c r="F148" s="3" t="str">
        <x:v>School</x:v>
      </x:c>
      <x:c r="G148" s="3" t="str">
        <x:v>Steel</x:v>
      </x:c>
      <x:c r="H148" s="3" t="str">
        <x:v>Piles</x:v>
      </x:c>
      <x:c r="I148" s="3" t="str">
        <x:v>Mixed</x:v>
      </x:c>
      <x:c r="J148" s="3" t="str">
        <x:v>Medium</x:v>
      </x:c>
      <x:c r="K148" s="9" t="n">
        <x:v>7474220</x:v>
      </x:c>
      <x:c r="L148" s="9" t="n">
        <x:v>449</x:v>
      </x:c>
      <x:c r="M148" s="7" t="n">
        <x:v>332.3</x:v>
      </x:c>
      <x:c r="N148" s="7" t="n">
        <x:v>13.8</x:v>
      </x:c>
      <x:c r="O148" s="7" t="n">
        <x:v>74.8</x:v>
      </x:c>
      <x:c r="P148" s="3" t="str">
        <x:v>Cloudy</x:v>
      </x:c>
      <x:c r="Q148" s="9" t="n">
        <x:v>112</x:v>
      </x:c>
      <x:c r="R148" s="7" t="n">
        <x:v>68.8</x:v>
      </x:c>
      <x:c r="S148" s="5" t="n">
        <x:v>0.0708</x:v>
      </x:c>
      <x:c r="T148" s="7" t="n">
        <x:v>13.8</x:v>
      </x:c>
      <x:c r="U148" s="7" t="n">
        <x:f t="shared" si="12"/>
        <x:v>1105</x:v>
      </x:c>
      <x:c r="V148" s="9" t="n">
        <x:f t="shared" si="13"/>
        <x:v>1691</x:v>
      </x:c>
      <x:c r="W148" s="7" t="n">
        <x:f t="shared" si="14"/>
        <x:v>101.6</x:v>
      </x:c>
    </x:row>
    <x:row r="149" ht="27.299999237060547" customHeight="1">
      <x:c r="A149" s="3" t="str">
        <x:v>PJT_148</x:v>
      </x:c>
      <x:c r="B149" s="3" t="str">
        <x:v>Humid Subtropical</x:v>
      </x:c>
      <x:c r="C149" s="6" t="n">
        <x:v>16870</x:v>
      </x:c>
      <x:c r="D149" s="3" t="n">
        <x:v>17</x:v>
      </x:c>
      <x:c r="E149" s="3" t="str">
        <x:v>Medium</x:v>
      </x:c>
      <x:c r="F149" s="3" t="str">
        <x:v>Mixed-use</x:v>
      </x:c>
      <x:c r="G149" s="3" t="str">
        <x:v>Steel</x:v>
      </x:c>
      <x:c r="H149" s="3" t="str">
        <x:v>Piles</x:v>
      </x:c>
      <x:c r="I149" s="3" t="str">
        <x:v>Soft Clay</x:v>
      </x:c>
      <x:c r="J149" s="3" t="str">
        <x:v>Low</x:v>
      </x:c>
      <x:c r="K149" s="9" t="n">
        <x:v>38615430</x:v>
      </x:c>
      <x:c r="L149" s="9" t="n">
        <x:v>832</x:v>
      </x:c>
      <x:c r="M149" s="7" t="n">
        <x:v>227.2</x:v>
      </x:c>
      <x:c r="N149" s="7" t="n">
        <x:v>25.1</x:v>
      </x:c>
      <x:c r="O149" s="7" t="n">
        <x:v>77.7</x:v>
      </x:c>
      <x:c r="P149" s="3" t="str">
        <x:v>Rainy</x:v>
      </x:c>
      <x:c r="Q149" s="9" t="n">
        <x:v>93</x:v>
      </x:c>
      <x:c r="R149" s="7" t="n">
        <x:v>81.7</x:v>
      </x:c>
      <x:c r="S149" s="5" t="n">
        <x:v>0.0921</x:v>
      </x:c>
      <x:c r="T149" s="7" t="n">
        <x:v>18.2</x:v>
      </x:c>
      <x:c r="U149" s="7" t="n">
        <x:f t="shared" si="12"/>
        <x:v>992.4</x:v>
      </x:c>
      <x:c r="V149" s="9" t="n">
        <x:f t="shared" si="13"/>
        <x:v>2289</x:v>
      </x:c>
      <x:c r="W149" s="7" t="n">
        <x:f t="shared" si="14"/>
        <x:v>49.3</x:v>
      </x:c>
    </x:row>
    <x:row r="150" ht="13.649999618530273" customHeight="1">
      <x:c r="A150" s="3" t="str">
        <x:v>PJT_149</x:v>
      </x:c>
      <x:c r="B150" s="3" t="str">
        <x:v>Continental</x:v>
      </x:c>
      <x:c r="C150" s="6" t="n">
        <x:v>17310</x:v>
      </x:c>
      <x:c r="D150" s="3" t="n">
        <x:v>11</x:v>
      </x:c>
      <x:c r="E150" s="3" t="str">
        <x:v>High</x:v>
      </x:c>
      <x:c r="F150" s="3" t="str">
        <x:v>Commercial</x:v>
      </x:c>
      <x:c r="G150" s="3" t="str">
        <x:v>RC Frame</x:v>
      </x:c>
      <x:c r="H150" s="3" t="str">
        <x:v>Raft</x:v>
      </x:c>
      <x:c r="I150" s="3" t="str">
        <x:v>Sand</x:v>
      </x:c>
      <x:c r="J150" s="3" t="str">
        <x:v>Low</x:v>
      </x:c>
      <x:c r="K150" s="9" t="n">
        <x:v>33685260</x:v>
      </x:c>
      <x:c r="L150" s="9" t="n">
        <x:v>709</x:v>
      </x:c>
      <x:c r="M150" s="7" t="n">
        <x:v>278.9</x:v>
      </x:c>
      <x:c r="N150" s="7" t="n">
        <x:v>2.8</x:v>
      </x:c>
      <x:c r="O150" s="7" t="n">
        <x:v>68</x:v>
      </x:c>
      <x:c r="P150" s="3" t="str">
        <x:v>Rainy</x:v>
      </x:c>
      <x:c r="Q150" s="9" t="n">
        <x:v>124</x:v>
      </x:c>
      <x:c r="R150" s="7" t="n">
        <x:v>77.2</x:v>
      </x:c>
      <x:c r="S150" s="5" t="n">
        <x:v>0.0889</x:v>
      </x:c>
      <x:c r="T150" s="7" t="n">
        <x:v>16</x:v>
      </x:c>
      <x:c r="U150" s="7" t="n">
        <x:f t="shared" si="12"/>
        <x:v>1573.6</x:v>
      </x:c>
      <x:c r="V150" s="9" t="n">
        <x:f t="shared" si="13"/>
        <x:v>1946</x:v>
      </x:c>
      <x:c r="W150" s="7" t="n">
        <x:f t="shared" si="14"/>
        <x:v>41</x:v>
      </x:c>
    </x:row>
    <x:row r="151" ht="13.649999618530273" customHeight="1">
      <x:c r="A151" s="3" t="str">
        <x:v>PJT_150</x:v>
      </x:c>
      <x:c r="B151" s="3" t="str">
        <x:v>Continental</x:v>
      </x:c>
      <x:c r="C151" s="6" t="n">
        <x:v>10140</x:v>
      </x:c>
      <x:c r="D151" s="3" t="n">
        <x:v>9</x:v>
      </x:c>
      <x:c r="E151" s="3" t="str">
        <x:v>High</x:v>
      </x:c>
      <x:c r="F151" s="3" t="str">
        <x:v>Residential</x:v>
      </x:c>
      <x:c r="G151" s="3" t="str">
        <x:v>Shear Wall</x:v>
      </x:c>
      <x:c r="H151" s="3" t="str">
        <x:v>Piles</x:v>
      </x:c>
      <x:c r="I151" s="3" t="str">
        <x:v>Mixed</x:v>
      </x:c>
      <x:c r="J151" s="3" t="str">
        <x:v>Low</x:v>
      </x:c>
      <x:c r="K151" s="9" t="n">
        <x:v>15899520</x:v>
      </x:c>
      <x:c r="L151" s="9" t="n">
        <x:v>566</x:v>
      </x:c>
      <x:c r="M151" s="7" t="n">
        <x:v>272.1</x:v>
      </x:c>
      <x:c r="N151" s="7" t="n">
        <x:v>12.2</x:v>
      </x:c>
      <x:c r="O151" s="7" t="n">
        <x:v>66.8</x:v>
      </x:c>
      <x:c r="P151" s="3" t="str">
        <x:v>Cloudy</x:v>
      </x:c>
      <x:c r="Q151" s="9" t="n">
        <x:v>132</x:v>
      </x:c>
      <x:c r="R151" s="7" t="n">
        <x:v>72.6</x:v>
      </x:c>
      <x:c r="S151" s="5" t="n">
        <x:v>0.0765</x:v>
      </x:c>
      <x:c r="T151" s="7" t="n">
        <x:v>15.6</x:v>
      </x:c>
      <x:c r="U151" s="7" t="n">
        <x:f t="shared" si="12"/>
        <x:v>1126.7</x:v>
      </x:c>
      <x:c r="V151" s="9" t="n">
        <x:f t="shared" si="13"/>
        <x:v>1568</x:v>
      </x:c>
      <x:c r="W151" s="7" t="n">
        <x:f t="shared" si="14"/>
        <x:v>55.8</x:v>
      </x:c>
    </x:row>
    <x:row r="152" ht="13.649999618530273" customHeight="1">
      <x:c r="A152" s="3" t="str">
        <x:v>PJT_151</x:v>
      </x:c>
      <x:c r="B152" s="3" t="str">
        <x:v>Marine</x:v>
      </x:c>
      <x:c r="C152" s="6" t="n">
        <x:v>3930</x:v>
      </x:c>
      <x:c r="D152" s="3" t="n">
        <x:v>3</x:v>
      </x:c>
      <x:c r="E152" s="3" t="str">
        <x:v>Low</x:v>
      </x:c>
      <x:c r="F152" s="3" t="str">
        <x:v>Residential</x:v>
      </x:c>
      <x:c r="G152" s="3" t="str">
        <x:v>Steel</x:v>
      </x:c>
      <x:c r="H152" s="3" t="str">
        <x:v>Piles</x:v>
      </x:c>
      <x:c r="I152" s="3" t="str">
        <x:v>Mixed</x:v>
      </x:c>
      <x:c r="J152" s="3" t="str">
        <x:v>High</x:v>
      </x:c>
      <x:c r="K152" s="9" t="n">
        <x:v>5505930</x:v>
      </x:c>
      <x:c r="L152" s="9" t="n">
        <x:v>382</x:v>
      </x:c>
      <x:c r="M152" s="7" t="n">
        <x:v>267</x:v>
      </x:c>
      <x:c r="N152" s="7" t="n">
        <x:v>13.9</x:v>
      </x:c>
      <x:c r="O152" s="7" t="n">
        <x:v>84.1</x:v>
      </x:c>
      <x:c r="P152" s="3" t="str">
        <x:v>Stormy</x:v>
      </x:c>
      <x:c r="Q152" s="9" t="n">
        <x:v>121</x:v>
      </x:c>
      <x:c r="R152" s="7" t="n">
        <x:v>62</x:v>
      </x:c>
      <x:c r="S152" s="5" t="n">
        <x:v>0.0673</x:v>
      </x:c>
      <x:c r="T152" s="7" t="n">
        <x:v>11.2</x:v>
      </x:c>
      <x:c r="U152" s="7" t="n">
        <x:f t="shared" si="12"/>
        <x:v>1310</x:v>
      </x:c>
      <x:c r="V152" s="9" t="n">
        <x:f t="shared" si="13"/>
        <x:v>1401</x:v>
      </x:c>
      <x:c r="W152" s="7" t="n">
        <x:f t="shared" si="14"/>
        <x:v>97.2</x:v>
      </x:c>
    </x:row>
    <x:row r="153" ht="13.649999618530273" customHeight="1">
      <x:c r="A153" s="3" t="str">
        <x:v>PJT_152</x:v>
      </x:c>
      <x:c r="B153" s="3" t="str">
        <x:v>Mediterranean</x:v>
      </x:c>
      <x:c r="C153" s="6" t="n">
        <x:v>27530</x:v>
      </x:c>
      <x:c r="D153" s="3" t="n">
        <x:v>27</x:v>
      </x:c>
      <x:c r="E153" s="3" t="str">
        <x:v>High</x:v>
      </x:c>
      <x:c r="F153" s="3" t="str">
        <x:v>Mixed-use</x:v>
      </x:c>
      <x:c r="G153" s="3" t="str">
        <x:v>Steel</x:v>
      </x:c>
      <x:c r="H153" s="3" t="str">
        <x:v>Raft</x:v>
      </x:c>
      <x:c r="I153" s="3" t="str">
        <x:v>Mixed</x:v>
      </x:c>
      <x:c r="J153" s="3" t="str">
        <x:v>High</x:v>
      </x:c>
      <x:c r="K153" s="9" t="n">
        <x:v>71027400</x:v>
      </x:c>
      <x:c r="L153" s="9" t="n">
        <x:v>1102</x:v>
      </x:c>
      <x:c r="M153" s="7" t="n">
        <x:v>250.3</x:v>
      </x:c>
      <x:c r="N153" s="7" t="n">
        <x:v>33.5</x:v>
      </x:c>
      <x:c r="O153" s="7" t="n">
        <x:v>68.6</x:v>
      </x:c>
      <x:c r="P153" s="3" t="str">
        <x:v>Stormy</x:v>
      </x:c>
      <x:c r="Q153" s="9" t="n">
        <x:v>134</x:v>
      </x:c>
      <x:c r="R153" s="7" t="n">
        <x:v>85.6</x:v>
      </x:c>
      <x:c r="S153" s="5" t="n">
        <x:v>0.1084</x:v>
      </x:c>
      <x:c r="T153" s="7" t="n">
        <x:v>19.5</x:v>
      </x:c>
      <x:c r="U153" s="7" t="n">
        <x:f t="shared" si="12"/>
        <x:v>1019.6</x:v>
      </x:c>
      <x:c r="V153" s="9" t="n">
        <x:f t="shared" si="13"/>
        <x:v>2580</x:v>
      </x:c>
      <x:c r="W153" s="7" t="n">
        <x:f t="shared" si="14"/>
        <x:v>40</x:v>
      </x:c>
    </x:row>
    <x:row r="154" ht="13.649999618530273" customHeight="1">
      <x:c r="A154" s="3" t="str">
        <x:v>PJT_153</x:v>
      </x:c>
      <x:c r="B154" s="3" t="str">
        <x:v>Continental</x:v>
      </x:c>
      <x:c r="C154" s="6" t="n">
        <x:v>24920</x:v>
      </x:c>
      <x:c r="D154" s="3" t="n">
        <x:v>24</x:v>
      </x:c>
      <x:c r="E154" s="3" t="str">
        <x:v>Medium</x:v>
      </x:c>
      <x:c r="F154" s="3" t="str">
        <x:v>Commercial</x:v>
      </x:c>
      <x:c r="G154" s="3" t="str">
        <x:v>Shear Wall</x:v>
      </x:c>
      <x:c r="H154" s="3" t="str">
        <x:v>Raft</x:v>
      </x:c>
      <x:c r="I154" s="3" t="str">
        <x:v>Sand</x:v>
      </x:c>
      <x:c r="J154" s="3" t="str">
        <x:v>Medium</x:v>
      </x:c>
      <x:c r="K154" s="9" t="n">
        <x:v>49615720</x:v>
      </x:c>
      <x:c r="L154" s="9" t="n">
        <x:v>916</x:v>
      </x:c>
      <x:c r="M154" s="7" t="n">
        <x:v>262.7</x:v>
      </x:c>
      <x:c r="N154" s="7" t="n">
        <x:v>9.3</x:v>
      </x:c>
      <x:c r="O154" s="7" t="n">
        <x:v>71.1</x:v>
      </x:c>
      <x:c r="P154" s="3" t="str">
        <x:v>Cloudy</x:v>
      </x:c>
      <x:c r="Q154" s="9" t="n">
        <x:v>141</x:v>
      </x:c>
      <x:c r="R154" s="7" t="n">
        <x:v>76.3</x:v>
      </x:c>
      <x:c r="S154" s="5" t="n">
        <x:v>0.0985</x:v>
      </x:c>
      <x:c r="T154" s="7" t="n">
        <x:v>16.6</x:v>
      </x:c>
      <x:c r="U154" s="7" t="n">
        <x:f t="shared" si="12"/>
        <x:v>1038.3</x:v>
      </x:c>
      <x:c r="V154" s="9" t="n">
        <x:f t="shared" si="13"/>
        <x:v>1991</x:v>
      </x:c>
      <x:c r="W154" s="7" t="n">
        <x:f t="shared" si="14"/>
        <x:v>36.8</x:v>
      </x:c>
    </x:row>
    <x:row r="155" ht="13.649999618530273" customHeight="1">
      <x:c r="A155" s="3" t="str">
        <x:v>PJT_154</x:v>
      </x:c>
      <x:c r="B155" s="3" t="str">
        <x:v>Continental</x:v>
      </x:c>
      <x:c r="C155" s="6" t="n">
        <x:v>6570</x:v>
      </x:c>
      <x:c r="D155" s="3" t="n">
        <x:v>7</x:v>
      </x:c>
      <x:c r="E155" s="3" t="str">
        <x:v>Medium</x:v>
      </x:c>
      <x:c r="F155" s="3" t="str">
        <x:v>Residential</x:v>
      </x:c>
      <x:c r="G155" s="3" t="str">
        <x:v>RC Frame</x:v>
      </x:c>
      <x:c r="H155" s="3" t="str">
        <x:v>Raft</x:v>
      </x:c>
      <x:c r="I155" s="3" t="str">
        <x:v>Mixed</x:v>
      </x:c>
      <x:c r="J155" s="3" t="str">
        <x:v>Low</x:v>
      </x:c>
      <x:c r="K155" s="9" t="n">
        <x:v>7989120</x:v>
      </x:c>
      <x:c r="L155" s="9" t="n">
        <x:v>390</x:v>
      </x:c>
      <x:c r="M155" s="7" t="n">
        <x:v>255.2</x:v>
      </x:c>
      <x:c r="N155" s="7" t="n">
        <x:v>25.6</x:v>
      </x:c>
      <x:c r="O155" s="7" t="n">
        <x:v>47.5</x:v>
      </x:c>
      <x:c r="P155" s="3" t="str">
        <x:v>Cloudy</x:v>
      </x:c>
      <x:c r="Q155" s="9" t="n">
        <x:v>122</x:v>
      </x:c>
      <x:c r="R155" s="7" t="n">
        <x:v>63.1</x:v>
      </x:c>
      <x:c r="S155" s="5" t="n">
        <x:v>0.0672</x:v>
      </x:c>
      <x:c r="T155" s="7" t="n">
        <x:v>12.1</x:v>
      </x:c>
      <x:c r="U155" s="7" t="n">
        <x:f t="shared" si="12"/>
        <x:v>938.6</x:v>
      </x:c>
      <x:c r="V155" s="9" t="n">
        <x:f t="shared" si="13"/>
        <x:v>1216</x:v>
      </x:c>
      <x:c r="W155" s="7" t="n">
        <x:f t="shared" si="14"/>
        <x:v>59.4</x:v>
      </x:c>
    </x:row>
    <x:row r="156" ht="13.649999618530273" customHeight="1">
      <x:c r="A156" s="3" t="str">
        <x:v>PJT_155</x:v>
      </x:c>
      <x:c r="B156" s="3" t="str">
        <x:v>Mediterranean</x:v>
      </x:c>
      <x:c r="C156" s="6" t="n">
        <x:v>24490</x:v>
      </x:c>
      <x:c r="D156" s="3" t="n">
        <x:v>23</x:v>
      </x:c>
      <x:c r="E156" s="3" t="str">
        <x:v>High</x:v>
      </x:c>
      <x:c r="F156" s="3" t="str">
        <x:v>Mixed-use</x:v>
      </x:c>
      <x:c r="G156" s="3" t="str">
        <x:v>Shear Wall</x:v>
      </x:c>
      <x:c r="H156" s="3" t="str">
        <x:v>Piles</x:v>
      </x:c>
      <x:c r="I156" s="3" t="str">
        <x:v>Mixed</x:v>
      </x:c>
      <x:c r="J156" s="3" t="str">
        <x:v>High</x:v>
      </x:c>
      <x:c r="K156" s="9" t="n">
        <x:v>63943390</x:v>
      </x:c>
      <x:c r="L156" s="9" t="n">
        <x:v>1030</x:v>
      </x:c>
      <x:c r="M156" s="7" t="n">
        <x:v>254.1</x:v>
      </x:c>
      <x:c r="N156" s="7" t="n">
        <x:v>24.1</x:v>
      </x:c>
      <x:c r="O156" s="7" t="n">
        <x:v>44.2</x:v>
      </x:c>
      <x:c r="P156" s="3" t="str">
        <x:v>Sunny</x:v>
      </x:c>
      <x:c r="Q156" s="9" t="n">
        <x:v>125</x:v>
      </x:c>
      <x:c r="R156" s="7" t="n">
        <x:v>86</x:v>
      </x:c>
      <x:c r="S156" s="5" t="n">
        <x:v>0.1097</x:v>
      </x:c>
      <x:c r="T156" s="7" t="n">
        <x:v>19.7</x:v>
      </x:c>
      <x:c r="U156" s="7" t="n">
        <x:f t="shared" si="12"/>
        <x:v>1064.8</x:v>
      </x:c>
      <x:c r="V156" s="9" t="n">
        <x:f t="shared" si="13"/>
        <x:v>2611</x:v>
      </x:c>
      <x:c r="W156" s="7" t="n">
        <x:f t="shared" si="14"/>
        <x:v>42.1</x:v>
      </x:c>
    </x:row>
    <x:row r="157" ht="13.649999618530273" customHeight="1">
      <x:c r="A157" s="3" t="str">
        <x:v>PJT_156</x:v>
      </x:c>
      <x:c r="B157" s="3" t="str">
        <x:v>Mediterranean</x:v>
      </x:c>
      <x:c r="C157" s="6" t="n">
        <x:v>23390</x:v>
      </x:c>
      <x:c r="D157" s="3" t="n">
        <x:v>24</x:v>
      </x:c>
      <x:c r="E157" s="3" t="str">
        <x:v>High</x:v>
      </x:c>
      <x:c r="F157" s="3" t="str">
        <x:v>Mixed-use</x:v>
      </x:c>
      <x:c r="G157" s="3" t="str">
        <x:v>Steel</x:v>
      </x:c>
      <x:c r="H157" s="3" t="str">
        <x:v>Piles</x:v>
      </x:c>
      <x:c r="I157" s="3" t="str">
        <x:v>Mixed</x:v>
      </x:c>
      <x:c r="J157" s="3" t="str">
        <x:v>High</x:v>
      </x:c>
      <x:c r="K157" s="9" t="n">
        <x:v>61960110</x:v>
      </x:c>
      <x:c r="L157" s="9" t="n">
        <x:v>1055</x:v>
      </x:c>
      <x:c r="M157" s="7" t="n">
        <x:v>325.8</x:v>
      </x:c>
      <x:c r="N157" s="7" t="n">
        <x:v>25.4</x:v>
      </x:c>
      <x:c r="O157" s="7" t="n">
        <x:v>64.2</x:v>
      </x:c>
      <x:c r="P157" s="3" t="str">
        <x:v>Stormy</x:v>
      </x:c>
      <x:c r="Q157" s="9" t="n">
        <x:v>152</x:v>
      </x:c>
      <x:c r="R157" s="7" t="n">
        <x:v>86</x:v>
      </x:c>
      <x:c r="S157" s="5" t="n">
        <x:v>0.1075</x:v>
      </x:c>
      <x:c r="T157" s="7" t="n">
        <x:v>20</x:v>
      </x:c>
      <x:c r="U157" s="7" t="n">
        <x:f t="shared" si="12"/>
        <x:v>974.6</x:v>
      </x:c>
      <x:c r="V157" s="9" t="n">
        <x:f t="shared" si="13"/>
        <x:v>2649</x:v>
      </x:c>
      <x:c r="W157" s="7" t="n">
        <x:f t="shared" si="14"/>
        <x:v>45.1</x:v>
      </x:c>
    </x:row>
    <x:row r="158" ht="13.649999618530273" customHeight="1">
      <x:c r="A158" s="3" t="str">
        <x:v>PJT_157</x:v>
      </x:c>
      <x:c r="B158" s="3" t="str">
        <x:v>Mediterranean</x:v>
      </x:c>
      <x:c r="C158" s="6" t="n">
        <x:v>23380</x:v>
      </x:c>
      <x:c r="D158" s="3" t="n">
        <x:v>23</x:v>
      </x:c>
      <x:c r="E158" s="3" t="str">
        <x:v>High</x:v>
      </x:c>
      <x:c r="F158" s="3" t="str">
        <x:v>Mixed-use</x:v>
      </x:c>
      <x:c r="G158" s="3" t="str">
        <x:v>Shear Wall</x:v>
      </x:c>
      <x:c r="H158" s="3" t="str">
        <x:v>Piles</x:v>
      </x:c>
      <x:c r="I158" s="3" t="str">
        <x:v>Mixed</x:v>
      </x:c>
      <x:c r="J158" s="3" t="str">
        <x:v>High</x:v>
      </x:c>
      <x:c r="K158" s="9" t="n">
        <x:v>61138700</x:v>
      </x:c>
      <x:c r="L158" s="9" t="n">
        <x:v>1034</x:v>
      </x:c>
      <x:c r="M158" s="7" t="n">
        <x:v>276.3</x:v>
      </x:c>
      <x:c r="N158" s="7" t="n">
        <x:v>28.2</x:v>
      </x:c>
      <x:c r="O158" s="7" t="n">
        <x:v>46.5</x:v>
      </x:c>
      <x:c r="P158" s="3" t="str">
        <x:v>Stormy</x:v>
      </x:c>
      <x:c r="Q158" s="9" t="n">
        <x:v>146</x:v>
      </x:c>
      <x:c r="R158" s="7" t="n">
        <x:v>86</x:v>
      </x:c>
      <x:c r="S158" s="5" t="n">
        <x:v>0.108</x:v>
      </x:c>
      <x:c r="T158" s="7" t="n">
        <x:v>19.6</x:v>
      </x:c>
      <x:c r="U158" s="7" t="n">
        <x:f t="shared" si="12"/>
        <x:v>1016.5</x:v>
      </x:c>
      <x:c r="V158" s="9" t="n">
        <x:f t="shared" si="13"/>
        <x:v>2615</x:v>
      </x:c>
      <x:c r="W158" s="7" t="n">
        <x:f t="shared" si="14"/>
        <x:v>44.2</x:v>
      </x:c>
    </x:row>
    <x:row r="159" ht="13.649999618530273" customHeight="1">
      <x:c r="A159" s="3" t="str">
        <x:v>PJT_158</x:v>
      </x:c>
      <x:c r="B159" s="3" t="str">
        <x:v>Continental</x:v>
      </x:c>
      <x:c r="C159" s="6" t="n">
        <x:v>16890</x:v>
      </x:c>
      <x:c r="D159" s="3" t="n">
        <x:v>15</x:v>
      </x:c>
      <x:c r="E159" s="3" t="str">
        <x:v>Medium</x:v>
      </x:c>
      <x:c r="F159" s="3" t="str">
        <x:v>Commercial</x:v>
      </x:c>
      <x:c r="G159" s="3" t="str">
        <x:v>Steel</x:v>
      </x:c>
      <x:c r="H159" s="3" t="str">
        <x:v>Raft</x:v>
      </x:c>
      <x:c r="I159" s="3" t="str">
        <x:v>Mixed</x:v>
      </x:c>
      <x:c r="J159" s="3" t="str">
        <x:v>Medium</x:v>
      </x:c>
      <x:c r="K159" s="9" t="n">
        <x:v>32378130</x:v>
      </x:c>
      <x:c r="L159" s="9" t="n">
        <x:v>726</x:v>
      </x:c>
      <x:c r="M159" s="7" t="n">
        <x:v>227.3</x:v>
      </x:c>
      <x:c r="N159" s="7" t="n">
        <x:v>-2.7</x:v>
      </x:c>
      <x:c r="O159" s="7" t="n">
        <x:v>50</x:v>
      </x:c>
      <x:c r="P159" s="3" t="str">
        <x:v>Snowy</x:v>
      </x:c>
      <x:c r="Q159" s="9" t="n">
        <x:v>151</x:v>
      </x:c>
      <x:c r="R159" s="7" t="n">
        <x:v>74.8</x:v>
      </x:c>
      <x:c r="S159" s="5" t="n">
        <x:v>0.0858</x:v>
      </x:c>
      <x:c r="T159" s="7" t="n">
        <x:v>16.4</x:v>
      </x:c>
      <x:c r="U159" s="7" t="n">
        <x:f t="shared" si="12"/>
        <x:v>1126</x:v>
      </x:c>
      <x:c r="V159" s="9" t="n">
        <x:f t="shared" si="13"/>
        <x:v>1917</x:v>
      </x:c>
      <x:c r="W159" s="7" t="n">
        <x:f t="shared" si="14"/>
        <x:v>43</x:v>
      </x:c>
    </x:row>
    <x:row r="160" ht="13.649999618530273" customHeight="1">
      <x:c r="A160" s="3" t="str">
        <x:v>PJT_159</x:v>
      </x:c>
      <x:c r="B160" s="3" t="str">
        <x:v>Continental</x:v>
      </x:c>
      <x:c r="C160" s="6" t="n">
        <x:v>12780</x:v>
      </x:c>
      <x:c r="D160" s="3" t="n">
        <x:v>8</x:v>
      </x:c>
      <x:c r="E160" s="3" t="str">
        <x:v>Medium</x:v>
      </x:c>
      <x:c r="F160" s="3" t="str">
        <x:v>Commercial</x:v>
      </x:c>
      <x:c r="G160" s="3" t="str">
        <x:v>RC Frame</x:v>
      </x:c>
      <x:c r="H160" s="3" t="str">
        <x:v>Raft</x:v>
      </x:c>
      <x:c r="I160" s="3" t="str">
        <x:v>Sand</x:v>
      </x:c>
      <x:c r="J160" s="3" t="str">
        <x:v>Low</x:v>
      </x:c>
      <x:c r="K160" s="9" t="n">
        <x:v>21291480</x:v>
      </x:c>
      <x:c r="L160" s="9" t="n">
        <x:v>549</x:v>
      </x:c>
      <x:c r="M160" s="7" t="n">
        <x:v>274.9</x:v>
      </x:c>
      <x:c r="N160" s="7" t="n">
        <x:v>17.8</x:v>
      </x:c>
      <x:c r="O160" s="7" t="n">
        <x:v>47.8</x:v>
      </x:c>
      <x:c r="P160" s="3" t="str">
        <x:v>Cloudy</x:v>
      </x:c>
      <x:c r="Q160" s="9" t="n">
        <x:v>92</x:v>
      </x:c>
      <x:c r="R160" s="7" t="n">
        <x:v>68.9</x:v>
      </x:c>
      <x:c r="S160" s="5" t="n">
        <x:v>0.0827</x:v>
      </x:c>
      <x:c r="T160" s="7" t="n">
        <x:v>14.2</x:v>
      </x:c>
      <x:c r="U160" s="7" t="n">
        <x:f t="shared" si="12"/>
        <x:v>1597.5</x:v>
      </x:c>
      <x:c r="V160" s="9" t="n">
        <x:f t="shared" si="13"/>
        <x:v>1666</x:v>
      </x:c>
      <x:c r="W160" s="7" t="n">
        <x:f t="shared" si="14"/>
        <x:v>43</x:v>
      </x:c>
    </x:row>
    <x:row r="161" ht="13.649999618530273" customHeight="1">
      <x:c r="A161" s="3" t="str">
        <x:v>PJT_160</x:v>
      </x:c>
      <x:c r="B161" s="3" t="str">
        <x:v>Mediterranean</x:v>
      </x:c>
      <x:c r="C161" s="6" t="n">
        <x:v>23660</x:v>
      </x:c>
      <x:c r="D161" s="3" t="n">
        <x:v>23</x:v>
      </x:c>
      <x:c r="E161" s="3" t="str">
        <x:v>Medium</x:v>
      </x:c>
      <x:c r="F161" s="3" t="str">
        <x:v>Commercial</x:v>
      </x:c>
      <x:c r="G161" s="3" t="str">
        <x:v>Shear Wall</x:v>
      </x:c>
      <x:c r="H161" s="3" t="str">
        <x:v>Raft</x:v>
      </x:c>
      <x:c r="I161" s="3" t="str">
        <x:v>Rock</x:v>
      </x:c>
      <x:c r="J161" s="3" t="str">
        <x:v>High</x:v>
      </x:c>
      <x:c r="K161" s="9" t="n">
        <x:v>46586540</x:v>
      </x:c>
      <x:c r="L161" s="9" t="n">
        <x:v>879</x:v>
      </x:c>
      <x:c r="M161" s="7" t="n">
        <x:v>768.7</x:v>
      </x:c>
      <x:c r="N161" s="7" t="n">
        <x:v>25</x:v>
      </x:c>
      <x:c r="O161" s="7" t="n">
        <x:v>50.9</x:v>
      </x:c>
      <x:c r="P161" s="3" t="str">
        <x:v>Sunny</x:v>
      </x:c>
      <x:c r="Q161" s="9" t="n">
        <x:v>122</x:v>
      </x:c>
      <x:c r="R161" s="7" t="n">
        <x:v>77.5</x:v>
      </x:c>
      <x:c r="S161" s="5" t="n">
        <x:v>0.0959</x:v>
      </x:c>
      <x:c r="T161" s="7" t="n">
        <x:v>15.2</x:v>
      </x:c>
      <x:c r="U161" s="7" t="n">
        <x:f t="shared" si="12"/>
        <x:v>1028.7</x:v>
      </x:c>
      <x:c r="V161" s="9" t="n">
        <x:f t="shared" si="13"/>
        <x:v>1969</x:v>
      </x:c>
      <x:c r="W161" s="7" t="n">
        <x:f t="shared" si="14"/>
        <x:v>37.2</x:v>
      </x:c>
    </x:row>
    <x:row r="162" ht="27.299999237060547" customHeight="1">
      <x:c r="A162" s="3" t="str">
        <x:v>PJT_161</x:v>
      </x:c>
      <x:c r="B162" s="3" t="str">
        <x:v>Humid Subtropical</x:v>
      </x:c>
      <x:c r="C162" s="6" t="n">
        <x:v>17910</x:v>
      </x:c>
      <x:c r="D162" s="3" t="n">
        <x:v>18</x:v>
      </x:c>
      <x:c r="E162" s="3" t="str">
        <x:v>High</x:v>
      </x:c>
      <x:c r="F162" s="3" t="str">
        <x:v>Mixed-use</x:v>
      </x:c>
      <x:c r="G162" s="3" t="str">
        <x:v>Shear Wall</x:v>
      </x:c>
      <x:c r="H162" s="3" t="str">
        <x:v>Piles</x:v>
      </x:c>
      <x:c r="I162" s="3" t="str">
        <x:v>Soft Clay</x:v>
      </x:c>
      <x:c r="J162" s="3" t="str">
        <x:v>Medium</x:v>
      </x:c>
      <x:c r="K162" s="9" t="n">
        <x:v>45688410</x:v>
      </x:c>
      <x:c r="L162" s="9" t="n">
        <x:v>885</x:v>
      </x:c>
      <x:c r="M162" s="7" t="n">
        <x:v>237</x:v>
      </x:c>
      <x:c r="N162" s="7" t="n">
        <x:v>15</x:v>
      </x:c>
      <x:c r="O162" s="7" t="n">
        <x:v>75.3</x:v>
      </x:c>
      <x:c r="P162" s="3" t="str">
        <x:v>Rainy</x:v>
      </x:c>
      <x:c r="Q162" s="9" t="n">
        <x:v>147</x:v>
      </x:c>
      <x:c r="R162" s="7" t="n">
        <x:v>85.6</x:v>
      </x:c>
      <x:c r="S162" s="5" t="n">
        <x:v>0.1021</x:v>
      </x:c>
      <x:c r="T162" s="7" t="n">
        <x:v>19.1</x:v>
      </x:c>
      <x:c r="U162" s="7" t="n">
        <x:f t="shared" ref="U162:U191" si="15">ROUND(C162/D162,1)</x:f>
        <x:v>995</x:v>
      </x:c>
      <x:c r="V162" s="9" t="n">
        <x:f t="shared" ref="V162:V191" si="16">ROUND(K162/C162,0)</x:f>
        <x:v>2551</x:v>
      </x:c>
      <x:c r="W162" s="7" t="n">
        <x:f t="shared" ref="W162:W191" si="17">ROUND(L162/(C162/1000),1)</x:f>
        <x:v>49.4</x:v>
      </x:c>
    </x:row>
    <x:row r="163" ht="13.649999618530273" customHeight="1">
      <x:c r="A163" s="3" t="str">
        <x:v>PJT_162</x:v>
      </x:c>
      <x:c r="B163" s="3" t="str">
        <x:v>Continental</x:v>
      </x:c>
      <x:c r="C163" s="6" t="n">
        <x:v>9610</x:v>
      </x:c>
      <x:c r="D163" s="3" t="n">
        <x:v>5</x:v>
      </x:c>
      <x:c r="E163" s="3" t="str">
        <x:v>Medium</x:v>
      </x:c>
      <x:c r="F163" s="3" t="str">
        <x:v>School</x:v>
      </x:c>
      <x:c r="G163" s="3" t="str">
        <x:v>RC Frame</x:v>
      </x:c>
      <x:c r="H163" s="3" t="str">
        <x:v>Piles</x:v>
      </x:c>
      <x:c r="I163" s="3" t="str">
        <x:v>Soft Clay</x:v>
      </x:c>
      <x:c r="J163" s="3" t="str">
        <x:v>Low</x:v>
      </x:c>
      <x:c r="K163" s="9" t="n">
        <x:v>14184360</x:v>
      </x:c>
      <x:c r="L163" s="9" t="n">
        <x:v>485</x:v>
      </x:c>
      <x:c r="M163" s="7" t="n">
        <x:v>191</x:v>
      </x:c>
      <x:c r="N163" s="7" t="n">
        <x:v>0.6</x:v>
      </x:c>
      <x:c r="O163" s="7" t="n">
        <x:v>73.9</x:v>
      </x:c>
      <x:c r="P163" s="3" t="str">
        <x:v>Snowy</x:v>
      </x:c>
      <x:c r="Q163" s="9" t="n">
        <x:v>135</x:v>
      </x:c>
      <x:c r="R163" s="7" t="n">
        <x:v>68.5</x:v>
      </x:c>
      <x:c r="S163" s="5" t="n">
        <x:v>0.0726</x:v>
      </x:c>
      <x:c r="T163" s="7" t="n">
        <x:v>13.3</x:v>
      </x:c>
      <x:c r="U163" s="7" t="n">
        <x:f t="shared" si="15"/>
        <x:v>1922</x:v>
      </x:c>
      <x:c r="V163" s="9" t="n">
        <x:f t="shared" si="16"/>
        <x:v>1476</x:v>
      </x:c>
      <x:c r="W163" s="7" t="n">
        <x:f t="shared" si="17"/>
        <x:v>50.5</x:v>
      </x:c>
    </x:row>
    <x:row r="164" ht="13.649999618530273" customHeight="1">
      <x:c r="A164" s="3" t="str">
        <x:v>PJT_163</x:v>
      </x:c>
      <x:c r="B164" s="3" t="str">
        <x:v>Marine</x:v>
      </x:c>
      <x:c r="C164" s="6" t="n">
        <x:v>18680</x:v>
      </x:c>
      <x:c r="D164" s="3" t="n">
        <x:v>18</x:v>
      </x:c>
      <x:c r="E164" s="3" t="str">
        <x:v>High</x:v>
      </x:c>
      <x:c r="F164" s="3" t="str">
        <x:v>Commercial</x:v>
      </x:c>
      <x:c r="G164" s="3" t="str">
        <x:v>Steel</x:v>
      </x:c>
      <x:c r="H164" s="3" t="str">
        <x:v>Raft</x:v>
      </x:c>
      <x:c r="I164" s="3" t="str">
        <x:v>Sand</x:v>
      </x:c>
      <x:c r="J164" s="3" t="str">
        <x:v>High</x:v>
      </x:c>
      <x:c r="K164" s="9" t="n">
        <x:v>42067360</x:v>
      </x:c>
      <x:c r="L164" s="9" t="n">
        <x:v>860</x:v>
      </x:c>
      <x:c r="M164" s="7" t="n">
        <x:v>223.3</x:v>
      </x:c>
      <x:c r="N164" s="7" t="n">
        <x:v>10.3</x:v>
      </x:c>
      <x:c r="O164" s="7" t="n">
        <x:v>76.2</x:v>
      </x:c>
      <x:c r="P164" s="3" t="str">
        <x:v>Cloudy</x:v>
      </x:c>
      <x:c r="Q164" s="9" t="n">
        <x:v>96</x:v>
      </x:c>
      <x:c r="R164" s="7" t="n">
        <x:v>82.9</x:v>
      </x:c>
      <x:c r="S164" s="5" t="n">
        <x:v>0.0987</x:v>
      </x:c>
      <x:c r="T164" s="7" t="n">
        <x:v>18.9</x:v>
      </x:c>
      <x:c r="U164" s="7" t="n">
        <x:f t="shared" si="15"/>
        <x:v>1037.8</x:v>
      </x:c>
      <x:c r="V164" s="9" t="n">
        <x:f t="shared" si="16"/>
        <x:v>2252</x:v>
      </x:c>
      <x:c r="W164" s="7" t="n">
        <x:f t="shared" si="17"/>
        <x:v>46</x:v>
      </x:c>
    </x:row>
    <x:row r="165" ht="13.649999618530273" customHeight="1">
      <x:c r="A165" s="3" t="str">
        <x:v>PJT_164</x:v>
      </x:c>
      <x:c r="B165" s="3" t="str">
        <x:v>Marine</x:v>
      </x:c>
      <x:c r="C165" s="6" t="n">
        <x:v>25320</x:v>
      </x:c>
      <x:c r="D165" s="3" t="n">
        <x:v>28</x:v>
      </x:c>
      <x:c r="E165" s="3" t="str">
        <x:v>High</x:v>
      </x:c>
      <x:c r="F165" s="3" t="str">
        <x:v>Mixed-use</x:v>
      </x:c>
      <x:c r="G165" s="3" t="str">
        <x:v>Steel</x:v>
      </x:c>
      <x:c r="H165" s="3" t="str">
        <x:v>Piles</x:v>
      </x:c>
      <x:c r="I165" s="3" t="str">
        <x:v>Mixed</x:v>
      </x:c>
      <x:c r="J165" s="3" t="str">
        <x:v>High</x:v>
      </x:c>
      <x:c r="K165" s="9" t="n">
        <x:v>68186760</x:v>
      </x:c>
      <x:c r="L165" s="9" t="n">
        <x:v>1123</x:v>
      </x:c>
      <x:c r="M165" s="7" t="n">
        <x:v>299.6</x:v>
      </x:c>
      <x:c r="N165" s="7" t="n">
        <x:v>9.2</x:v>
      </x:c>
      <x:c r="O165" s="7" t="n">
        <x:v>89.6</x:v>
      </x:c>
      <x:c r="P165" s="3" t="str">
        <x:v>Sunny</x:v>
      </x:c>
      <x:c r="Q165" s="9" t="n">
        <x:v>72</x:v>
      </x:c>
      <x:c r="R165" s="7" t="n">
        <x:v>86</x:v>
      </x:c>
      <x:c r="S165" s="5" t="n">
        <x:v>0.1085</x:v>
      </x:c>
      <x:c r="T165" s="7" t="n">
        <x:v>19.9</x:v>
      </x:c>
      <x:c r="U165" s="7" t="n">
        <x:f t="shared" si="15"/>
        <x:v>904.3</x:v>
      </x:c>
      <x:c r="V165" s="9" t="n">
        <x:f t="shared" si="16"/>
        <x:v>2693</x:v>
      </x:c>
      <x:c r="W165" s="7" t="n">
        <x:f t="shared" si="17"/>
        <x:v>44.4</x:v>
      </x:c>
    </x:row>
    <x:row r="166" ht="13.649999618530273" customHeight="1">
      <x:c r="A166" s="3" t="str">
        <x:v>PJT_165</x:v>
      </x:c>
      <x:c r="B166" s="3" t="str">
        <x:v>Continental</x:v>
      </x:c>
      <x:c r="C166" s="6" t="n">
        <x:v>20790</x:v>
      </x:c>
      <x:c r="D166" s="3" t="n">
        <x:v>20</x:v>
      </x:c>
      <x:c r="E166" s="3" t="str">
        <x:v>Medium</x:v>
      </x:c>
      <x:c r="F166" s="3" t="str">
        <x:v>Mixed-use</x:v>
      </x:c>
      <x:c r="G166" s="3" t="str">
        <x:v>Shear Wall</x:v>
      </x:c>
      <x:c r="H166" s="3" t="str">
        <x:v>Raft</x:v>
      </x:c>
      <x:c r="I166" s="3" t="str">
        <x:v>Rock</x:v>
      </x:c>
      <x:c r="J166" s="3" t="str">
        <x:v>Medium</x:v>
      </x:c>
      <x:c r="K166" s="9" t="n">
        <x:v>47338830</x:v>
      </x:c>
      <x:c r="L166" s="9" t="n">
        <x:v>856</x:v>
      </x:c>
      <x:c r="M166" s="7" t="n">
        <x:v>786.6</x:v>
      </x:c>
      <x:c r="N166" s="7" t="n">
        <x:v>10</x:v>
      </x:c>
      <x:c r="O166" s="7" t="n">
        <x:v>63.3</x:v>
      </x:c>
      <x:c r="P166" s="3" t="str">
        <x:v>Stormy</x:v>
      </x:c>
      <x:c r="Q166" s="9" t="n">
        <x:v>135</x:v>
      </x:c>
      <x:c r="R166" s="7" t="n">
        <x:v>78.1</x:v>
      </x:c>
      <x:c r="S166" s="5" t="n">
        <x:v>0.1014</x:v>
      </x:c>
      <x:c r="T166" s="7" t="n">
        <x:v>17.3</x:v>
      </x:c>
      <x:c r="U166" s="7" t="n">
        <x:f t="shared" si="15"/>
        <x:v>1039.5</x:v>
      </x:c>
      <x:c r="V166" s="9" t="n">
        <x:f t="shared" si="16"/>
        <x:v>2277</x:v>
      </x:c>
      <x:c r="W166" s="7" t="n">
        <x:f t="shared" si="17"/>
        <x:v>41.2</x:v>
      </x:c>
    </x:row>
    <x:row r="167" ht="27.299999237060547" customHeight="1">
      <x:c r="A167" s="3" t="str">
        <x:v>PJT_166</x:v>
      </x:c>
      <x:c r="B167" s="3" t="str">
        <x:v>Humid Subtropical</x:v>
      </x:c>
      <x:c r="C167" s="6" t="n">
        <x:v>18290</x:v>
      </x:c>
      <x:c r="D167" s="3" t="n">
        <x:v>17</x:v>
      </x:c>
      <x:c r="E167" s="3" t="str">
        <x:v>High</x:v>
      </x:c>
      <x:c r="F167" s="3" t="str">
        <x:v>Commercial</x:v>
      </x:c>
      <x:c r="G167" s="3" t="str">
        <x:v>Shear Wall</x:v>
      </x:c>
      <x:c r="H167" s="3" t="str">
        <x:v>Piles</x:v>
      </x:c>
      <x:c r="I167" s="3" t="str">
        <x:v>Mixed</x:v>
      </x:c>
      <x:c r="J167" s="3" t="str">
        <x:v>Medium</x:v>
      </x:c>
      <x:c r="K167" s="9" t="n">
        <x:v>41353690</x:v>
      </x:c>
      <x:c r="L167" s="9" t="n">
        <x:v>846</x:v>
      </x:c>
      <x:c r="M167" s="7" t="n">
        <x:v>267.3</x:v>
      </x:c>
      <x:c r="N167" s="7" t="n">
        <x:v>16.9</x:v>
      </x:c>
      <x:c r="O167" s="7" t="n">
        <x:v>75.9</x:v>
      </x:c>
      <x:c r="P167" s="3" t="str">
        <x:v>Rainy</x:v>
      </x:c>
      <x:c r="Q167" s="9" t="n">
        <x:v>142</x:v>
      </x:c>
      <x:c r="R167" s="7" t="n">
        <x:v>79.2</x:v>
      </x:c>
      <x:c r="S167" s="5" t="n">
        <x:v>0.0993</x:v>
      </x:c>
      <x:c r="T167" s="7" t="n">
        <x:v>18.3</x:v>
      </x:c>
      <x:c r="U167" s="7" t="n">
        <x:f t="shared" si="15"/>
        <x:v>1075.9</x:v>
      </x:c>
      <x:c r="V167" s="9" t="n">
        <x:f t="shared" si="16"/>
        <x:v>2261</x:v>
      </x:c>
      <x:c r="W167" s="7" t="n">
        <x:f t="shared" si="17"/>
        <x:v>46.3</x:v>
      </x:c>
    </x:row>
    <x:row r="168" ht="13.649999618530273" customHeight="1">
      <x:c r="A168" s="3" t="str">
        <x:v>PJT_167</x:v>
      </x:c>
      <x:c r="B168" s="3" t="str">
        <x:v>Marine</x:v>
      </x:c>
      <x:c r="C168" s="6" t="n">
        <x:v>15990</x:v>
      </x:c>
      <x:c r="D168" s="3" t="n">
        <x:v>15</x:v>
      </x:c>
      <x:c r="E168" s="3" t="str">
        <x:v>Medium</x:v>
      </x:c>
      <x:c r="F168" s="3" t="str">
        <x:v>Commercial</x:v>
      </x:c>
      <x:c r="G168" s="3" t="str">
        <x:v>RC Frame</x:v>
      </x:c>
      <x:c r="H168" s="3" t="str">
        <x:v>Piles</x:v>
      </x:c>
      <x:c r="I168" s="3" t="str">
        <x:v>Mixed</x:v>
      </x:c>
      <x:c r="J168" s="3" t="str">
        <x:v>High</x:v>
      </x:c>
      <x:c r="K168" s="9" t="n">
        <x:v>31820100</x:v>
      </x:c>
      <x:c r="L168" s="9" t="n">
        <x:v>739</x:v>
      </x:c>
      <x:c r="M168" s="7" t="n">
        <x:v>319.5</x:v>
      </x:c>
      <x:c r="N168" s="7" t="n">
        <x:v>6.4</x:v>
      </x:c>
      <x:c r="O168" s="7" t="n">
        <x:v>84.4</x:v>
      </x:c>
      <x:c r="P168" s="3" t="str">
        <x:v>Cloudy</x:v>
      </x:c>
      <x:c r="Q168" s="9" t="n">
        <x:v>86</x:v>
      </x:c>
      <x:c r="R168" s="7" t="n">
        <x:v>73.2</x:v>
      </x:c>
      <x:c r="S168" s="5" t="n">
        <x:v>0.089</x:v>
      </x:c>
      <x:c r="T168" s="7" t="n">
        <x:v>14.5</x:v>
      </x:c>
      <x:c r="U168" s="7" t="n">
        <x:f t="shared" si="15"/>
        <x:v>1066</x:v>
      </x:c>
      <x:c r="V168" s="9" t="n">
        <x:f t="shared" si="16"/>
        <x:v>1990</x:v>
      </x:c>
      <x:c r="W168" s="7" t="n">
        <x:f t="shared" si="17"/>
        <x:v>46.2</x:v>
      </x:c>
    </x:row>
    <x:row r="169" ht="13.649999618530273" customHeight="1">
      <x:c r="A169" s="3" t="str">
        <x:v>PJT_168</x:v>
      </x:c>
      <x:c r="B169" s="3" t="str">
        <x:v>Marine</x:v>
      </x:c>
      <x:c r="C169" s="6" t="n">
        <x:v>24290</x:v>
      </x:c>
      <x:c r="D169" s="3" t="n">
        <x:v>17</x:v>
      </x:c>
      <x:c r="E169" s="3" t="str">
        <x:v>High</x:v>
      </x:c>
      <x:c r="F169" s="3" t="str">
        <x:v>Hospital</x:v>
      </x:c>
      <x:c r="G169" s="3" t="str">
        <x:v>Shear Wall</x:v>
      </x:c>
      <x:c r="H169" s="3" t="str">
        <x:v>Raft</x:v>
      </x:c>
      <x:c r="I169" s="3" t="str">
        <x:v>Mixed</x:v>
      </x:c>
      <x:c r="J169" s="3" t="str">
        <x:v>High</x:v>
      </x:c>
      <x:c r="K169" s="9" t="n">
        <x:v>72870000</x:v>
      </x:c>
      <x:c r="L169" s="9" t="n">
        <x:v>998</x:v>
      </x:c>
      <x:c r="M169" s="7" t="n">
        <x:v>188</x:v>
      </x:c>
      <x:c r="N169" s="7" t="n">
        <x:v>9.4</x:v>
      </x:c>
      <x:c r="O169" s="7" t="n">
        <x:v>71.1</x:v>
      </x:c>
      <x:c r="P169" s="3" t="str">
        <x:v>Cloudy</x:v>
      </x:c>
      <x:c r="Q169" s="9" t="n">
        <x:v>130</x:v>
      </x:c>
      <x:c r="R169" s="7" t="n">
        <x:v>86</x:v>
      </x:c>
      <x:c r="S169" s="5" t="n">
        <x:v>0.11</x:v>
      </x:c>
      <x:c r="T169" s="7" t="n">
        <x:v>21.1</x:v>
      </x:c>
      <x:c r="U169" s="7" t="n">
        <x:f t="shared" si="15"/>
        <x:v>1428.8</x:v>
      </x:c>
      <x:c r="V169" s="9" t="n">
        <x:f t="shared" si="16"/>
        <x:v>3000</x:v>
      </x:c>
      <x:c r="W169" s="7" t="n">
        <x:f t="shared" si="17"/>
        <x:v>41.1</x:v>
      </x:c>
    </x:row>
    <x:row r="170" ht="13.649999618530273" customHeight="1">
      <x:c r="A170" s="3" t="str">
        <x:v>PJT_169</x:v>
      </x:c>
      <x:c r="B170" s="3" t="str">
        <x:v>Mediterranean</x:v>
      </x:c>
      <x:c r="C170" s="6" t="n">
        <x:v>22530</x:v>
      </x:c>
      <x:c r="D170" s="3" t="n">
        <x:v>24</x:v>
      </x:c>
      <x:c r="E170" s="3" t="str">
        <x:v>High</x:v>
      </x:c>
      <x:c r="F170" s="3" t="str">
        <x:v>Mixed-use</x:v>
      </x:c>
      <x:c r="G170" s="3" t="str">
        <x:v>Shear Wall</x:v>
      </x:c>
      <x:c r="H170" s="3" t="str">
        <x:v>Raft</x:v>
      </x:c>
      <x:c r="I170" s="3" t="str">
        <x:v>Mixed</x:v>
      </x:c>
      <x:c r="J170" s="3" t="str">
        <x:v>High</x:v>
      </x:c>
      <x:c r="K170" s="9" t="n">
        <x:v>56978370</x:v>
      </x:c>
      <x:c r="L170" s="9" t="n">
        <x:v>1000</x:v>
      </x:c>
      <x:c r="M170" s="7" t="n">
        <x:v>236.4</x:v>
      </x:c>
      <x:c r="N170" s="7" t="n">
        <x:v>29.2</x:v>
      </x:c>
      <x:c r="O170" s="7" t="n">
        <x:v>65</x:v>
      </x:c>
      <x:c r="P170" s="3" t="str">
        <x:v>Cloudy</x:v>
      </x:c>
      <x:c r="Q170" s="9" t="n">
        <x:v>126</x:v>
      </x:c>
      <x:c r="R170" s="7" t="n">
        <x:v>84.1</x:v>
      </x:c>
      <x:c r="S170" s="5" t="n">
        <x:v>0.11</x:v>
      </x:c>
      <x:c r="T170" s="7" t="n">
        <x:v>19.8</x:v>
      </x:c>
      <x:c r="U170" s="7" t="n">
        <x:f t="shared" si="15"/>
        <x:v>938.8</x:v>
      </x:c>
      <x:c r="V170" s="9" t="n">
        <x:f t="shared" si="16"/>
        <x:v>2529</x:v>
      </x:c>
      <x:c r="W170" s="7" t="n">
        <x:f t="shared" si="17"/>
        <x:v>44.4</x:v>
      </x:c>
    </x:row>
    <x:row r="171" ht="27.299999237060547" customHeight="1">
      <x:c r="A171" s="3" t="str">
        <x:v>PJT_170</x:v>
      </x:c>
      <x:c r="B171" s="3" t="str">
        <x:v>Humid Subtropical</x:v>
      </x:c>
      <x:c r="C171" s="6" t="n">
        <x:v>3650</x:v>
      </x:c>
      <x:c r="D171" s="3" t="n">
        <x:v>7</x:v>
      </x:c>
      <x:c r="E171" s="3" t="str">
        <x:v>High</x:v>
      </x:c>
      <x:c r="F171" s="3" t="str">
        <x:v>Residential</x:v>
      </x:c>
      <x:c r="G171" s="3" t="str">
        <x:v>RC Frame</x:v>
      </x:c>
      <x:c r="H171" s="3" t="str">
        <x:v>Raft</x:v>
      </x:c>
      <x:c r="I171" s="3" t="str">
        <x:v>Mixed</x:v>
      </x:c>
      <x:c r="J171" s="3" t="str">
        <x:v>Low</x:v>
      </x:c>
      <x:c r="K171" s="9" t="n">
        <x:v>5354550</x:v>
      </x:c>
      <x:c r="L171" s="9" t="n">
        <x:v>410</x:v>
      </x:c>
      <x:c r="M171" s="7" t="n">
        <x:v>190.8</x:v>
      </x:c>
      <x:c r="N171" s="7" t="n">
        <x:v>18.5</x:v>
      </x:c>
      <x:c r="O171" s="7" t="n">
        <x:v>72.3</x:v>
      </x:c>
      <x:c r="P171" s="3" t="str">
        <x:v>Rainy</x:v>
      </x:c>
      <x:c r="Q171" s="9" t="n">
        <x:v>129</x:v>
      </x:c>
      <x:c r="R171" s="7" t="n">
        <x:v>68</x:v>
      </x:c>
      <x:c r="S171" s="5" t="n">
        <x:v>0.0705</x:v>
      </x:c>
      <x:c r="T171" s="7" t="n">
        <x:v>15.1</x:v>
      </x:c>
      <x:c r="U171" s="7" t="n">
        <x:f t="shared" si="15"/>
        <x:v>521.4</x:v>
      </x:c>
      <x:c r="V171" s="9" t="n">
        <x:f t="shared" si="16"/>
        <x:v>1467</x:v>
      </x:c>
      <x:c r="W171" s="7" t="n">
        <x:f t="shared" si="17"/>
        <x:v>112.3</x:v>
      </x:c>
    </x:row>
    <x:row r="172" ht="13.649999618530273" customHeight="1">
      <x:c r="A172" s="3" t="str">
        <x:v>PJT_171</x:v>
      </x:c>
      <x:c r="B172" s="3" t="str">
        <x:v>Marine</x:v>
      </x:c>
      <x:c r="C172" s="6" t="n">
        <x:v>4560</x:v>
      </x:c>
      <x:c r="D172" s="3" t="n">
        <x:v>4</x:v>
      </x:c>
      <x:c r="E172" s="3" t="str">
        <x:v>Medium</x:v>
      </x:c>
      <x:c r="F172" s="3" t="str">
        <x:v>Residential</x:v>
      </x:c>
      <x:c r="G172" s="3" t="str">
        <x:v>RC Frame</x:v>
      </x:c>
      <x:c r="H172" s="3" t="str">
        <x:v>Piles</x:v>
      </x:c>
      <x:c r="I172" s="3" t="str">
        <x:v>Soft Clay</x:v>
      </x:c>
      <x:c r="J172" s="3" t="str">
        <x:v>High</x:v>
      </x:c>
      <x:c r="K172" s="9" t="n">
        <x:v>6557280</x:v>
      </x:c>
      <x:c r="L172" s="9" t="n">
        <x:v>405</x:v>
      </x:c>
      <x:c r="M172" s="7" t="n">
        <x:v>187</x:v>
      </x:c>
      <x:c r="N172" s="7" t="n">
        <x:v>21.7</x:v>
      </x:c>
      <x:c r="O172" s="7" t="n">
        <x:v>86.7</x:v>
      </x:c>
      <x:c r="P172" s="3" t="str">
        <x:v>Cloudy</x:v>
      </x:c>
      <x:c r="Q172" s="9" t="n">
        <x:v>67</x:v>
      </x:c>
      <x:c r="R172" s="7" t="n">
        <x:v>64.6</x:v>
      </x:c>
      <x:c r="S172" s="5" t="n">
        <x:v>0.0699</x:v>
      </x:c>
      <x:c r="T172" s="7" t="n">
        <x:v>12.7</x:v>
      </x:c>
      <x:c r="U172" s="7" t="n">
        <x:f t="shared" si="15"/>
        <x:v>1140</x:v>
      </x:c>
      <x:c r="V172" s="9" t="n">
        <x:f t="shared" si="16"/>
        <x:v>1438</x:v>
      </x:c>
      <x:c r="W172" s="7" t="n">
        <x:f t="shared" si="17"/>
        <x:v>88.8</x:v>
      </x:c>
    </x:row>
    <x:row r="173" ht="13.649999618530273" customHeight="1">
      <x:c r="A173" s="3" t="str">
        <x:v>PJT_172</x:v>
      </x:c>
      <x:c r="B173" s="3" t="str">
        <x:v>Continental</x:v>
      </x:c>
      <x:c r="C173" s="6" t="n">
        <x:v>19560</x:v>
      </x:c>
      <x:c r="D173" s="3" t="n">
        <x:v>20</x:v>
      </x:c>
      <x:c r="E173" s="3" t="str">
        <x:v>High</x:v>
      </x:c>
      <x:c r="F173" s="3" t="str">
        <x:v>Mixed-use</x:v>
      </x:c>
      <x:c r="G173" s="3" t="str">
        <x:v>Shear Wall</x:v>
      </x:c>
      <x:c r="H173" s="3" t="str">
        <x:v>Raft</x:v>
      </x:c>
      <x:c r="I173" s="3" t="str">
        <x:v>Rock</x:v>
      </x:c>
      <x:c r="J173" s="3" t="str">
        <x:v>Low</x:v>
      </x:c>
      <x:c r="K173" s="9" t="n">
        <x:v>46767960</x:v>
      </x:c>
      <x:c r="L173" s="9" t="n">
        <x:v>892</x:v>
      </x:c>
      <x:c r="M173" s="7" t="n">
        <x:v>579.2</x:v>
      </x:c>
      <x:c r="N173" s="7" t="n">
        <x:v>0.6</x:v>
      </x:c>
      <x:c r="O173" s="7" t="n">
        <x:v>63.6</x:v>
      </x:c>
      <x:c r="P173" s="3" t="str">
        <x:v>Snowy</x:v>
      </x:c>
      <x:c r="Q173" s="9" t="n">
        <x:v>158</x:v>
      </x:c>
      <x:c r="R173" s="7" t="n">
        <x:v>86</x:v>
      </x:c>
      <x:c r="S173" s="5" t="n">
        <x:v>0.1049</x:v>
      </x:c>
      <x:c r="T173" s="7" t="n">
        <x:v>19.6</x:v>
      </x:c>
      <x:c r="U173" s="7" t="n">
        <x:f t="shared" si="15"/>
        <x:v>978</x:v>
      </x:c>
      <x:c r="V173" s="9" t="n">
        <x:f t="shared" si="16"/>
        <x:v>2391</x:v>
      </x:c>
      <x:c r="W173" s="7" t="n">
        <x:f t="shared" si="17"/>
        <x:v>45.6</x:v>
      </x:c>
    </x:row>
    <x:row r="174" ht="27.299999237060547" customHeight="1">
      <x:c r="A174" s="3" t="str">
        <x:v>PJT_173</x:v>
      </x:c>
      <x:c r="B174" s="3" t="str">
        <x:v>Humid Subtropical</x:v>
      </x:c>
      <x:c r="C174" s="6" t="n">
        <x:v>2680</x:v>
      </x:c>
      <x:c r="D174" s="3" t="n">
        <x:v>2</x:v>
      </x:c>
      <x:c r="E174" s="3" t="str">
        <x:v>Medium</x:v>
      </x:c>
      <x:c r="F174" s="3" t="str">
        <x:v>Residential</x:v>
      </x:c>
      <x:c r="G174" s="3" t="str">
        <x:v>RC Frame</x:v>
      </x:c>
      <x:c r="H174" s="3" t="str">
        <x:v>Piles</x:v>
      </x:c>
      <x:c r="I174" s="3" t="str">
        <x:v>Soft Clay</x:v>
      </x:c>
      <x:c r="J174" s="3" t="str">
        <x:v>Medium</x:v>
      </x:c>
      <x:c r="K174" s="9" t="n">
        <x:v>3626040</x:v>
      </x:c>
      <x:c r="L174" s="9" t="n">
        <x:v>339</x:v>
      </x:c>
      <x:c r="M174" s="7" t="n">
        <x:v>238.7</x:v>
      </x:c>
      <x:c r="N174" s="7" t="n">
        <x:v>26.6</x:v>
      </x:c>
      <x:c r="O174" s="7" t="n">
        <x:v>88.7</x:v>
      </x:c>
      <x:c r="P174" s="3" t="str">
        <x:v>Rainy</x:v>
      </x:c>
      <x:c r="Q174" s="9" t="n">
        <x:v>104</x:v>
      </x:c>
      <x:c r="R174" s="7" t="n">
        <x:v>64.2</x:v>
      </x:c>
      <x:c r="S174" s="5" t="n">
        <x:v>0.0667</x:v>
      </x:c>
      <x:c r="T174" s="7" t="n">
        <x:v>12.5</x:v>
      </x:c>
      <x:c r="U174" s="7" t="n">
        <x:f t="shared" si="15"/>
        <x:v>1340</x:v>
      </x:c>
      <x:c r="V174" s="9" t="n">
        <x:f t="shared" si="16"/>
        <x:v>1353</x:v>
      </x:c>
      <x:c r="W174" s="7" t="n">
        <x:f t="shared" si="17"/>
        <x:v>126.5</x:v>
      </x:c>
    </x:row>
    <x:row r="175" ht="13.649999618530273" customHeight="1">
      <x:c r="A175" s="3" t="str">
        <x:v>PJT_174</x:v>
      </x:c>
      <x:c r="B175" s="3" t="str">
        <x:v>Marine</x:v>
      </x:c>
      <x:c r="C175" s="6" t="n">
        <x:v>21090</x:v>
      </x:c>
      <x:c r="D175" s="3" t="n">
        <x:v>22</x:v>
      </x:c>
      <x:c r="E175" s="3" t="str">
        <x:v>High</x:v>
      </x:c>
      <x:c r="F175" s="3" t="str">
        <x:v>Commercial</x:v>
      </x:c>
      <x:c r="G175" s="3" t="str">
        <x:v>Steel</x:v>
      </x:c>
      <x:c r="H175" s="3" t="str">
        <x:v>Piles</x:v>
      </x:c>
      <x:c r="I175" s="3" t="str">
        <x:v>Soft Clay</x:v>
      </x:c>
      <x:c r="J175" s="3" t="str">
        <x:v>High</x:v>
      </x:c>
      <x:c r="K175" s="9" t="n">
        <x:v>50384010</x:v>
      </x:c>
      <x:c r="L175" s="9" t="n">
        <x:v>970</x:v>
      </x:c>
      <x:c r="M175" s="7" t="n">
        <x:v>241.7</x:v>
      </x:c>
      <x:c r="N175" s="7" t="n">
        <x:v>15.2</x:v>
      </x:c>
      <x:c r="O175" s="7" t="n">
        <x:v>75.5</x:v>
      </x:c>
      <x:c r="P175" s="3" t="str">
        <x:v>Cloudy</x:v>
      </x:c>
      <x:c r="Q175" s="9" t="n">
        <x:v>76</x:v>
      </x:c>
      <x:c r="R175" s="7" t="n">
        <x:v>84.2</x:v>
      </x:c>
      <x:c r="S175" s="5" t="n">
        <x:v>0.0975</x:v>
      </x:c>
      <x:c r="T175" s="7" t="n">
        <x:v>18.7</x:v>
      </x:c>
      <x:c r="U175" s="7" t="n">
        <x:f t="shared" si="15"/>
        <x:v>958.6</x:v>
      </x:c>
      <x:c r="V175" s="9" t="n">
        <x:f t="shared" si="16"/>
        <x:v>2389</x:v>
      </x:c>
      <x:c r="W175" s="7" t="n">
        <x:f t="shared" si="17"/>
        <x:v>46</x:v>
      </x:c>
    </x:row>
    <x:row r="176" ht="13.649999618530273" customHeight="1">
      <x:c r="A176" s="3" t="str">
        <x:v>PJT_175</x:v>
      </x:c>
      <x:c r="B176" s="3" t="str">
        <x:v>Continental</x:v>
      </x:c>
      <x:c r="C176" s="6" t="n">
        <x:v>9550</x:v>
      </x:c>
      <x:c r="D176" s="3" t="n">
        <x:v>5</x:v>
      </x:c>
      <x:c r="E176" s="3" t="str">
        <x:v>Medium</x:v>
      </x:c>
      <x:c r="F176" s="3" t="str">
        <x:v>School</x:v>
      </x:c>
      <x:c r="G176" s="3" t="str">
        <x:v>Shear Wall</x:v>
      </x:c>
      <x:c r="H176" s="3" t="str">
        <x:v>Piles</x:v>
      </x:c>
      <x:c r="I176" s="3" t="str">
        <x:v>Sand</x:v>
      </x:c>
      <x:c r="J176" s="3" t="str">
        <x:v>Low</x:v>
      </x:c>
      <x:c r="K176" s="9" t="n">
        <x:v>15222700</x:v>
      </x:c>
      <x:c r="L176" s="9" t="n">
        <x:v>506</x:v>
      </x:c>
      <x:c r="M176" s="7" t="n">
        <x:v>323.4</x:v>
      </x:c>
      <x:c r="N176" s="7" t="n">
        <x:v>24.1</x:v>
      </x:c>
      <x:c r="O176" s="7" t="n">
        <x:v>42.8</x:v>
      </x:c>
      <x:c r="P176" s="3" t="str">
        <x:v>Cloudy</x:v>
      </x:c>
      <x:c r="Q176" s="9" t="n">
        <x:v>130</x:v>
      </x:c>
      <x:c r="R176" s="7" t="n">
        <x:v>70.1</x:v>
      </x:c>
      <x:c r="S176" s="5" t="n">
        <x:v>0.0766</x:v>
      </x:c>
      <x:c r="T176" s="7" t="n">
        <x:v>13.9</x:v>
      </x:c>
      <x:c r="U176" s="7" t="n">
        <x:f t="shared" si="15"/>
        <x:v>1910</x:v>
      </x:c>
      <x:c r="V176" s="9" t="n">
        <x:f t="shared" si="16"/>
        <x:v>1594</x:v>
      </x:c>
      <x:c r="W176" s="7" t="n">
        <x:f t="shared" si="17"/>
        <x:v>53</x:v>
      </x:c>
    </x:row>
    <x:row r="177" ht="13.649999618530273" customHeight="1">
      <x:c r="A177" s="3" t="str">
        <x:v>PJT_176</x:v>
      </x:c>
      <x:c r="B177" s="3" t="str">
        <x:v>Marine</x:v>
      </x:c>
      <x:c r="C177" s="6" t="n">
        <x:v>21310</x:v>
      </x:c>
      <x:c r="D177" s="3" t="n">
        <x:v>13</x:v>
      </x:c>
      <x:c r="E177" s="3" t="str">
        <x:v>Medium</x:v>
      </x:c>
      <x:c r="F177" s="3" t="str">
        <x:v>Hospital</x:v>
      </x:c>
      <x:c r="G177" s="3" t="str">
        <x:v>Shear Wall</x:v>
      </x:c>
      <x:c r="H177" s="3" t="str">
        <x:v>Raft</x:v>
      </x:c>
      <x:c r="I177" s="3" t="str">
        <x:v>Rock</x:v>
      </x:c>
      <x:c r="J177" s="3" t="str">
        <x:v>High</x:v>
      </x:c>
      <x:c r="K177" s="9" t="n">
        <x:v>59113940</x:v>
      </x:c>
      <x:c r="L177" s="9" t="n">
        <x:v>872</x:v>
      </x:c>
      <x:c r="M177" s="7" t="n">
        <x:v>682.3</x:v>
      </x:c>
      <x:c r="N177" s="7" t="n">
        <x:v>10.9</x:v>
      </x:c>
      <x:c r="O177" s="7" t="n">
        <x:v>69.4</x:v>
      </x:c>
      <x:c r="P177" s="3" t="str">
        <x:v>Rainy</x:v>
      </x:c>
      <x:c r="Q177" s="9" t="n">
        <x:v>132</x:v>
      </x:c>
      <x:c r="R177" s="7" t="n">
        <x:v>81</x:v>
      </x:c>
      <x:c r="S177" s="5" t="n">
        <x:v>0.1059</x:v>
      </x:c>
      <x:c r="T177" s="7" t="n">
        <x:v>18.4</x:v>
      </x:c>
      <x:c r="U177" s="7" t="n">
        <x:f t="shared" si="15"/>
        <x:v>1639.2</x:v>
      </x:c>
      <x:c r="V177" s="9" t="n">
        <x:f t="shared" si="16"/>
        <x:v>2774</x:v>
      </x:c>
      <x:c r="W177" s="7" t="n">
        <x:f t="shared" si="17"/>
        <x:v>40.9</x:v>
      </x:c>
    </x:row>
    <x:row r="178" ht="27.299999237060547" customHeight="1">
      <x:c r="A178" s="3" t="str">
        <x:v>PJT_177</x:v>
      </x:c>
      <x:c r="B178" s="3" t="str">
        <x:v>Humid Subtropical</x:v>
      </x:c>
      <x:c r="C178" s="6" t="n">
        <x:v>18090</x:v>
      </x:c>
      <x:c r="D178" s="3" t="n">
        <x:v>18</x:v>
      </x:c>
      <x:c r="E178" s="3" t="str">
        <x:v>High</x:v>
      </x:c>
      <x:c r="F178" s="3" t="str">
        <x:v>Commercial</x:v>
      </x:c>
      <x:c r="G178" s="3" t="str">
        <x:v>Shear Wall</x:v>
      </x:c>
      <x:c r="H178" s="3" t="str">
        <x:v>Piles</x:v>
      </x:c>
      <x:c r="I178" s="3" t="str">
        <x:v>Soft Clay</x:v>
      </x:c>
      <x:c r="J178" s="3" t="str">
        <x:v>Medium</x:v>
      </x:c>
      <x:c r="K178" s="9" t="n">
        <x:v>40358790</x:v>
      </x:c>
      <x:c r="L178" s="9" t="n">
        <x:v>841</x:v>
      </x:c>
      <x:c r="M178" s="7" t="n">
        <x:v>201.1</x:v>
      </x:c>
      <x:c r="N178" s="7" t="n">
        <x:v>26.5</x:v>
      </x:c>
      <x:c r="O178" s="7" t="n">
        <x:v>85.7</x:v>
      </x:c>
      <x:c r="P178" s="3" t="str">
        <x:v>Sunny</x:v>
      </x:c>
      <x:c r="Q178" s="9" t="n">
        <x:v>98</x:v>
      </x:c>
      <x:c r="R178" s="7" t="n">
        <x:v>79.5</x:v>
      </x:c>
      <x:c r="S178" s="5" t="n">
        <x:v>0.096</x:v>
      </x:c>
      <x:c r="T178" s="7" t="n">
        <x:v>18.2</x:v>
      </x:c>
      <x:c r="U178" s="7" t="n">
        <x:f t="shared" si="15"/>
        <x:v>1005</x:v>
      </x:c>
      <x:c r="V178" s="9" t="n">
        <x:f t="shared" si="16"/>
        <x:v>2231</x:v>
      </x:c>
      <x:c r="W178" s="7" t="n">
        <x:f t="shared" si="17"/>
        <x:v>46.5</x:v>
      </x:c>
    </x:row>
    <x:row r="179" ht="13.649999618530273" customHeight="1">
      <x:c r="A179" s="3" t="str">
        <x:v>PJT_178</x:v>
      </x:c>
      <x:c r="B179" s="3" t="str">
        <x:v>Mediterranean</x:v>
      </x:c>
      <x:c r="C179" s="6" t="n">
        <x:v>19420</x:v>
      </x:c>
      <x:c r="D179" s="3" t="n">
        <x:v>20</x:v>
      </x:c>
      <x:c r="E179" s="3" t="str">
        <x:v>High</x:v>
      </x:c>
      <x:c r="F179" s="3" t="str">
        <x:v>Mixed-use</x:v>
      </x:c>
      <x:c r="G179" s="3" t="str">
        <x:v>Steel</x:v>
      </x:c>
      <x:c r="H179" s="3" t="str">
        <x:v>Raft</x:v>
      </x:c>
      <x:c r="I179" s="3" t="str">
        <x:v>Sand</x:v>
      </x:c>
      <x:c r="J179" s="3" t="str">
        <x:v>High</x:v>
      </x:c>
      <x:c r="K179" s="9" t="n">
        <x:v>50278380</x:v>
      </x:c>
      <x:c r="L179" s="9" t="n">
        <x:v>921</x:v>
      </x:c>
      <x:c r="M179" s="7" t="n">
        <x:v>255.4</x:v>
      </x:c>
      <x:c r="N179" s="7" t="n">
        <x:v>27.3</x:v>
      </x:c>
      <x:c r="O179" s="7" t="n">
        <x:v>69.2</x:v>
      </x:c>
      <x:c r="P179" s="3" t="str">
        <x:v>Cloudy</x:v>
      </x:c>
      <x:c r="Q179" s="9" t="n">
        <x:v>82</x:v>
      </x:c>
      <x:c r="R179" s="7" t="n">
        <x:v>85.7</x:v>
      </x:c>
      <x:c r="S179" s="5" t="n">
        <x:v>0.1069</x:v>
      </x:c>
      <x:c r="T179" s="7" t="n">
        <x:v>19.3</x:v>
      </x:c>
      <x:c r="U179" s="7" t="n">
        <x:f t="shared" si="15"/>
        <x:v>971</x:v>
      </x:c>
      <x:c r="V179" s="9" t="n">
        <x:f t="shared" si="16"/>
        <x:v>2589</x:v>
      </x:c>
      <x:c r="W179" s="7" t="n">
        <x:f t="shared" si="17"/>
        <x:v>47.4</x:v>
      </x:c>
    </x:row>
    <x:row r="180" ht="13.649999618530273" customHeight="1">
      <x:c r="A180" s="3" t="str">
        <x:v>PJT_179</x:v>
      </x:c>
      <x:c r="B180" s="3" t="str">
        <x:v>Continental</x:v>
      </x:c>
      <x:c r="C180" s="6" t="n">
        <x:v>5670</x:v>
      </x:c>
      <x:c r="D180" s="3" t="n">
        <x:v>5</x:v>
      </x:c>
      <x:c r="E180" s="3" t="str">
        <x:v>Medium</x:v>
      </x:c>
      <x:c r="F180" s="3" t="str">
        <x:v>Residential</x:v>
      </x:c>
      <x:c r="G180" s="3" t="str">
        <x:v>RC Frame</x:v>
      </x:c>
      <x:c r="H180" s="3" t="str">
        <x:v>Raft</x:v>
      </x:c>
      <x:c r="I180" s="3" t="str">
        <x:v>Rock</x:v>
      </x:c>
      <x:c r="J180" s="3" t="str">
        <x:v>Low</x:v>
      </x:c>
      <x:c r="K180" s="9" t="n">
        <x:v>6667920</x:v>
      </x:c>
      <x:c r="L180" s="9" t="n">
        <x:v>361</x:v>
      </x:c>
      <x:c r="M180" s="7" t="n">
        <x:v>726.2</x:v>
      </x:c>
      <x:c r="N180" s="7" t="n">
        <x:v>2.1</x:v>
      </x:c>
      <x:c r="O180" s="7" t="n">
        <x:v>58.9</x:v>
      </x:c>
      <x:c r="P180" s="3" t="str">
        <x:v>Stormy</x:v>
      </x:c>
      <x:c r="Q180" s="9" t="n">
        <x:v>107</x:v>
      </x:c>
      <x:c r="R180" s="7" t="n">
        <x:v>62</x:v>
      </x:c>
      <x:c r="S180" s="5" t="n">
        <x:v>0.0658</x:v>
      </x:c>
      <x:c r="T180" s="7" t="n">
        <x:v>12.3</x:v>
      </x:c>
      <x:c r="U180" s="7" t="n">
        <x:f t="shared" si="15"/>
        <x:v>1134</x:v>
      </x:c>
      <x:c r="V180" s="9" t="n">
        <x:f t="shared" si="16"/>
        <x:v>1176</x:v>
      </x:c>
      <x:c r="W180" s="7" t="n">
        <x:f t="shared" si="17"/>
        <x:v>63.7</x:v>
      </x:c>
    </x:row>
    <x:row r="181" ht="13.649999618530273" customHeight="1">
      <x:c r="A181" s="3" t="str">
        <x:v>PJT_180</x:v>
      </x:c>
      <x:c r="B181" s="3" t="str">
        <x:v>Mediterranean</x:v>
      </x:c>
      <x:c r="C181" s="6" t="n">
        <x:v>17930</x:v>
      </x:c>
      <x:c r="D181" s="3" t="n">
        <x:v>17</x:v>
      </x:c>
      <x:c r="E181" s="3" t="str">
        <x:v>High</x:v>
      </x:c>
      <x:c r="F181" s="3" t="str">
        <x:v>Commercial</x:v>
      </x:c>
      <x:c r="G181" s="3" t="str">
        <x:v>Shear Wall</x:v>
      </x:c>
      <x:c r="H181" s="3" t="str">
        <x:v>Piles</x:v>
      </x:c>
      <x:c r="I181" s="3" t="str">
        <x:v>Mixed</x:v>
      </x:c>
      <x:c r="J181" s="3" t="str">
        <x:v>High</x:v>
      </x:c>
      <x:c r="K181" s="9" t="n">
        <x:v>39481860</x:v>
      </x:c>
      <x:c r="L181" s="9" t="n">
        <x:v>844</x:v>
      </x:c>
      <x:c r="M181" s="7" t="n">
        <x:v>262</x:v>
      </x:c>
      <x:c r="N181" s="7" t="n">
        <x:v>17.7</x:v>
      </x:c>
      <x:c r="O181" s="7" t="n">
        <x:v>64.9</x:v>
      </x:c>
      <x:c r="P181" s="3" t="str">
        <x:v>Sunny</x:v>
      </x:c>
      <x:c r="Q181" s="9" t="n">
        <x:v>122</x:v>
      </x:c>
      <x:c r="R181" s="7" t="n">
        <x:v>82.3</x:v>
      </x:c>
      <x:c r="S181" s="5" t="n">
        <x:v>0.098</x:v>
      </x:c>
      <x:c r="T181" s="7" t="n">
        <x:v>16.7</x:v>
      </x:c>
      <x:c r="U181" s="7" t="n">
        <x:f t="shared" si="15"/>
        <x:v>1054.7</x:v>
      </x:c>
      <x:c r="V181" s="9" t="n">
        <x:f t="shared" si="16"/>
        <x:v>2202</x:v>
      </x:c>
      <x:c r="W181" s="7" t="n">
        <x:f t="shared" si="17"/>
        <x:v>47.1</x:v>
      </x:c>
    </x:row>
    <x:row r="182" ht="27.299999237060547" customHeight="1">
      <x:c r="A182" s="3" t="str">
        <x:v>PJT_181</x:v>
      </x:c>
      <x:c r="B182" s="3" t="str">
        <x:v>Humid Subtropical</x:v>
      </x:c>
      <x:c r="C182" s="6" t="n">
        <x:v>8520</x:v>
      </x:c>
      <x:c r="D182" s="3" t="n">
        <x:v>7</x:v>
      </x:c>
      <x:c r="E182" s="3" t="str">
        <x:v>Medium</x:v>
      </x:c>
      <x:c r="F182" s="3" t="str">
        <x:v>Commercial</x:v>
      </x:c>
      <x:c r="G182" s="3" t="str">
        <x:v>RC Frame</x:v>
      </x:c>
      <x:c r="H182" s="3" t="str">
        <x:v>Raft</x:v>
      </x:c>
      <x:c r="I182" s="3" t="str">
        <x:v>Mixed</x:v>
      </x:c>
      <x:c r="J182" s="3" t="str">
        <x:v>Low</x:v>
      </x:c>
      <x:c r="K182" s="9" t="n">
        <x:v>14594760</x:v>
      </x:c>
      <x:c r="L182" s="9" t="n">
        <x:v>490</x:v>
      </x:c>
      <x:c r="M182" s="7" t="n">
        <x:v>221.9</x:v>
      </x:c>
      <x:c r="N182" s="7" t="n">
        <x:v>19.3</x:v>
      </x:c>
      <x:c r="O182" s="7" t="n">
        <x:v>68.5</x:v>
      </x:c>
      <x:c r="P182" s="3" t="str">
        <x:v>Sunny</x:v>
      </x:c>
      <x:c r="Q182" s="9" t="n">
        <x:v>118</x:v>
      </x:c>
      <x:c r="R182" s="7" t="n">
        <x:v>69.8</x:v>
      </x:c>
      <x:c r="S182" s="5" t="n">
        <x:v>0.085</x:v>
      </x:c>
      <x:c r="T182" s="7" t="n">
        <x:v>14.4</x:v>
      </x:c>
      <x:c r="U182" s="7" t="n">
        <x:f t="shared" si="15"/>
        <x:v>1217.1</x:v>
      </x:c>
      <x:c r="V182" s="9" t="n">
        <x:f t="shared" si="16"/>
        <x:v>1713</x:v>
      </x:c>
      <x:c r="W182" s="7" t="n">
        <x:f t="shared" si="17"/>
        <x:v>57.5</x:v>
      </x:c>
    </x:row>
    <x:row r="183" ht="27.299999237060547" customHeight="1">
      <x:c r="A183" s="3" t="str">
        <x:v>PJT_182</x:v>
      </x:c>
      <x:c r="B183" s="3" t="str">
        <x:v>Humid Subtropical</x:v>
      </x:c>
      <x:c r="C183" s="6" t="n">
        <x:v>19550</x:v>
      </x:c>
      <x:c r="D183" s="3" t="n">
        <x:v>12</x:v>
      </x:c>
      <x:c r="E183" s="3" t="str">
        <x:v>High</x:v>
      </x:c>
      <x:c r="F183" s="3" t="str">
        <x:v>Hospital</x:v>
      </x:c>
      <x:c r="G183" s="3" t="str">
        <x:v>Steel</x:v>
      </x:c>
      <x:c r="H183" s="3" t="str">
        <x:v>Piles</x:v>
      </x:c>
      <x:c r="I183" s="3" t="str">
        <x:v>Soft Clay</x:v>
      </x:c>
      <x:c r="J183" s="3" t="str">
        <x:v>Low</x:v>
      </x:c>
      <x:c r="K183" s="9" t="n">
        <x:v>57301050</x:v>
      </x:c>
      <x:c r="L183" s="9" t="n">
        <x:v>901</x:v>
      </x:c>
      <x:c r="M183" s="7" t="n">
        <x:v>211.5</x:v>
      </x:c>
      <x:c r="N183" s="7" t="n">
        <x:v>24.2</x:v>
      </x:c>
      <x:c r="O183" s="7" t="n">
        <x:v>80.2</x:v>
      </x:c>
      <x:c r="P183" s="3" t="str">
        <x:v>Rainy</x:v>
      </x:c>
      <x:c r="Q183" s="9" t="n">
        <x:v>142</x:v>
      </x:c>
      <x:c r="R183" s="7" t="n">
        <x:v>86</x:v>
      </x:c>
      <x:c r="S183" s="5" t="n">
        <x:v>0.0985</x:v>
      </x:c>
      <x:c r="T183" s="7" t="n">
        <x:v>21.8</x:v>
      </x:c>
      <x:c r="U183" s="7" t="n">
        <x:f t="shared" si="15"/>
        <x:v>1629.2</x:v>
      </x:c>
      <x:c r="V183" s="9" t="n">
        <x:f t="shared" si="16"/>
        <x:v>2931</x:v>
      </x:c>
      <x:c r="W183" s="7" t="n">
        <x:f t="shared" si="17"/>
        <x:v>46.1</x:v>
      </x:c>
    </x:row>
    <x:row r="184" ht="13.649999618530273" customHeight="1">
      <x:c r="A184" s="3" t="str">
        <x:v>PJT_183</x:v>
      </x:c>
      <x:c r="B184" s="3" t="str">
        <x:v>Mediterranean</x:v>
      </x:c>
      <x:c r="C184" s="6" t="n">
        <x:v>10420</x:v>
      </x:c>
      <x:c r="D184" s="3" t="n">
        <x:v>6</x:v>
      </x:c>
      <x:c r="E184" s="3" t="str">
        <x:v>Medium</x:v>
      </x:c>
      <x:c r="F184" s="3" t="str">
        <x:v>School</x:v>
      </x:c>
      <x:c r="G184" s="3" t="str">
        <x:v>Shear Wall</x:v>
      </x:c>
      <x:c r="H184" s="3" t="str">
        <x:v>Raft</x:v>
      </x:c>
      <x:c r="I184" s="3" t="str">
        <x:v>Rock</x:v>
      </x:c>
      <x:c r="J184" s="3" t="str">
        <x:v>High</x:v>
      </x:c>
      <x:c r="K184" s="9" t="n">
        <x:v>17307620</x:v>
      </x:c>
      <x:c r="L184" s="9" t="n">
        <x:v>514</x:v>
      </x:c>
      <x:c r="M184" s="7" t="n">
        <x:v>691.6</x:v>
      </x:c>
      <x:c r="N184" s="7" t="n">
        <x:v>19.8</x:v>
      </x:c>
      <x:c r="O184" s="7" t="n">
        <x:v>71.1</x:v>
      </x:c>
      <x:c r="P184" s="3" t="str">
        <x:v>Cloudy</x:v>
      </x:c>
      <x:c r="Q184" s="9" t="n">
        <x:v>110</x:v>
      </x:c>
      <x:c r="R184" s="7" t="n">
        <x:v>67</x:v>
      </x:c>
      <x:c r="S184" s="5" t="n">
        <x:v>0.0805</x:v>
      </x:c>
      <x:c r="T184" s="7" t="n">
        <x:v>13.4</x:v>
      </x:c>
      <x:c r="U184" s="7" t="n">
        <x:f t="shared" si="15"/>
        <x:v>1736.7</x:v>
      </x:c>
      <x:c r="V184" s="9" t="n">
        <x:f t="shared" si="16"/>
        <x:v>1661</x:v>
      </x:c>
      <x:c r="W184" s="7" t="n">
        <x:f t="shared" si="17"/>
        <x:v>49.3</x:v>
      </x:c>
    </x:row>
    <x:row r="185" ht="13.649999618530273" customHeight="1">
      <x:c r="A185" s="3" t="str">
        <x:v>PJT_184</x:v>
      </x:c>
      <x:c r="B185" s="3" t="str">
        <x:v>Continental</x:v>
      </x:c>
      <x:c r="C185" s="6" t="n">
        <x:v>17680</x:v>
      </x:c>
      <x:c r="D185" s="3" t="n">
        <x:v>18</x:v>
      </x:c>
      <x:c r="E185" s="3" t="str">
        <x:v>Medium</x:v>
      </x:c>
      <x:c r="F185" s="3" t="str">
        <x:v>Commercial</x:v>
      </x:c>
      <x:c r="G185" s="3" t="str">
        <x:v>Steel</x:v>
      </x:c>
      <x:c r="H185" s="3" t="str">
        <x:v>Piles</x:v>
      </x:c>
      <x:c r="I185" s="3" t="str">
        <x:v>Mixed</x:v>
      </x:c>
      <x:c r="J185" s="3" t="str">
        <x:v>Low</x:v>
      </x:c>
      <x:c r="K185" s="9" t="n">
        <x:v>35554480</x:v>
      </x:c>
      <x:c r="L185" s="9" t="n">
        <x:v>798</x:v>
      </x:c>
      <x:c r="M185" s="7" t="n">
        <x:v>310.4</x:v>
      </x:c>
      <x:c r="N185" s="7" t="n">
        <x:v>-2.4</x:v>
      </x:c>
      <x:c r="O185" s="7" t="n">
        <x:v>56.2</x:v>
      </x:c>
      <x:c r="P185" s="3" t="str">
        <x:v>Snowy</x:v>
      </x:c>
      <x:c r="Q185" s="9" t="n">
        <x:v>95</x:v>
      </x:c>
      <x:c r="R185" s="7" t="n">
        <x:v>80</x:v>
      </x:c>
      <x:c r="S185" s="5" t="n">
        <x:v>0.0852</x:v>
      </x:c>
      <x:c r="T185" s="7" t="n">
        <x:v>16.6</x:v>
      </x:c>
      <x:c r="U185" s="7" t="n">
        <x:f t="shared" si="15"/>
        <x:v>982.2</x:v>
      </x:c>
      <x:c r="V185" s="9" t="n">
        <x:f t="shared" si="16"/>
        <x:v>2011</x:v>
      </x:c>
      <x:c r="W185" s="7" t="n">
        <x:f t="shared" si="17"/>
        <x:v>45.1</x:v>
      </x:c>
    </x:row>
    <x:row r="186" ht="27.299999237060547" customHeight="1">
      <x:c r="A186" s="3" t="str">
        <x:v>PJT_185</x:v>
      </x:c>
      <x:c r="B186" s="3" t="str">
        <x:v>Humid Subtropical</x:v>
      </x:c>
      <x:c r="C186" s="6" t="n">
        <x:v>14700</x:v>
      </x:c>
      <x:c r="D186" s="3" t="n">
        <x:v>13</x:v>
      </x:c>
      <x:c r="E186" s="3" t="str">
        <x:v>Medium</x:v>
      </x:c>
      <x:c r="F186" s="3" t="str">
        <x:v>Residential</x:v>
      </x:c>
      <x:c r="G186" s="3" t="str">
        <x:v>RC Frame</x:v>
      </x:c>
      <x:c r="H186" s="3" t="str">
        <x:v>Raft</x:v>
      </x:c>
      <x:c r="I186" s="3" t="str">
        <x:v>Sand</x:v>
      </x:c>
      <x:c r="J186" s="3" t="str">
        <x:v>Low</x:v>
      </x:c>
      <x:c r="K186" s="9" t="n">
        <x:v>19315800</x:v>
      </x:c>
      <x:c r="L186" s="9" t="n">
        <x:v>587</x:v>
      </x:c>
      <x:c r="M186" s="7" t="n">
        <x:v>232.7</x:v>
      </x:c>
      <x:c r="N186" s="7" t="n">
        <x:v>21</x:v>
      </x:c>
      <x:c r="O186" s="7" t="n">
        <x:v>74</x:v>
      </x:c>
      <x:c r="P186" s="3" t="str">
        <x:v>Sunny</x:v>
      </x:c>
      <x:c r="Q186" s="9" t="n">
        <x:v>126</x:v>
      </x:c>
      <x:c r="R186" s="7" t="n">
        <x:v>65</x:v>
      </x:c>
      <x:c r="S186" s="5" t="n">
        <x:v>0.0683</x:v>
      </x:c>
      <x:c r="T186" s="7" t="n">
        <x:v>12.6</x:v>
      </x:c>
      <x:c r="U186" s="7" t="n">
        <x:f t="shared" si="15"/>
        <x:v>1130.8</x:v>
      </x:c>
      <x:c r="V186" s="9" t="n">
        <x:f t="shared" si="16"/>
        <x:v>1314</x:v>
      </x:c>
      <x:c r="W186" s="7" t="n">
        <x:f t="shared" si="17"/>
        <x:v>39.9</x:v>
      </x:c>
    </x:row>
    <x:row r="187" ht="13.649999618530273" customHeight="1">
      <x:c r="A187" s="3" t="str">
        <x:v>PJT_186</x:v>
      </x:c>
      <x:c r="B187" s="3" t="str">
        <x:v>Mediterranean</x:v>
      </x:c>
      <x:c r="C187" s="6" t="n">
        <x:v>21250</x:v>
      </x:c>
      <x:c r="D187" s="3" t="n">
        <x:v>21</x:v>
      </x:c>
      <x:c r="E187" s="3" t="str">
        <x:v>Medium</x:v>
      </x:c>
      <x:c r="F187" s="3" t="str">
        <x:v>Residential</x:v>
      </x:c>
      <x:c r="G187" s="3" t="str">
        <x:v>Shear Wall</x:v>
      </x:c>
      <x:c r="H187" s="3" t="str">
        <x:v>Piles</x:v>
      </x:c>
      <x:c r="I187" s="3" t="str">
        <x:v>Soft Clay</x:v>
      </x:c>
      <x:c r="J187" s="3" t="str">
        <x:v>High</x:v>
      </x:c>
      <x:c r="K187" s="9" t="n">
        <x:v>34786250</x:v>
      </x:c>
      <x:c r="L187" s="9" t="n">
        <x:v>797</x:v>
      </x:c>
      <x:c r="M187" s="7" t="n">
        <x:v>214.2</x:v>
      </x:c>
      <x:c r="N187" s="7" t="n">
        <x:v>31.3</x:v>
      </x:c>
      <x:c r="O187" s="7" t="n">
        <x:v>68.7</x:v>
      </x:c>
      <x:c r="P187" s="3" t="str">
        <x:v>Sunny</x:v>
      </x:c>
      <x:c r="Q187" s="9" t="n">
        <x:v>115</x:v>
      </x:c>
      <x:c r="R187" s="7" t="n">
        <x:v>69.2</x:v>
      </x:c>
      <x:c r="S187" s="5" t="n">
        <x:v>0.082</x:v>
      </x:c>
      <x:c r="T187" s="7" t="n">
        <x:v>14.1</x:v>
      </x:c>
      <x:c r="U187" s="7" t="n">
        <x:f t="shared" si="15"/>
        <x:v>1011.9</x:v>
      </x:c>
      <x:c r="V187" s="9" t="n">
        <x:f t="shared" si="16"/>
        <x:v>1637</x:v>
      </x:c>
      <x:c r="W187" s="7" t="n">
        <x:f t="shared" si="17"/>
        <x:v>37.5</x:v>
      </x:c>
    </x:row>
    <x:row r="188" ht="13.649999618530273" customHeight="1">
      <x:c r="A188" s="3" t="str">
        <x:v>PJT_187</x:v>
      </x:c>
      <x:c r="B188" s="3" t="str">
        <x:v>Continental</x:v>
      </x:c>
      <x:c r="C188" s="6" t="n">
        <x:v>5140</x:v>
      </x:c>
      <x:c r="D188" s="3" t="n">
        <x:v>2</x:v>
      </x:c>
      <x:c r="E188" s="3" t="str">
        <x:v>Medium</x:v>
      </x:c>
      <x:c r="F188" s="3" t="str">
        <x:v>School</x:v>
      </x:c>
      <x:c r="G188" s="3" t="str">
        <x:v>RC Frame</x:v>
      </x:c>
      <x:c r="H188" s="3" t="str">
        <x:v>Raft</x:v>
      </x:c>
      <x:c r="I188" s="3" t="str">
        <x:v>Mixed</x:v>
      </x:c>
      <x:c r="J188" s="3" t="str">
        <x:v>Low</x:v>
      </x:c>
      <x:c r="K188" s="9" t="n">
        <x:v>7519820</x:v>
      </x:c>
      <x:c r="L188" s="9" t="n">
        <x:v>364</x:v>
      </x:c>
      <x:c r="M188" s="7" t="n">
        <x:v>210.3</x:v>
      </x:c>
      <x:c r="N188" s="7" t="n">
        <x:v>20.9</x:v>
      </x:c>
      <x:c r="O188" s="7" t="n">
        <x:v>74.3</x:v>
      </x:c>
      <x:c r="P188" s="3" t="str">
        <x:v>Sunny</x:v>
      </x:c>
      <x:c r="Q188" s="9" t="n">
        <x:v>79</x:v>
      </x:c>
      <x:c r="R188" s="7" t="n">
        <x:v>63.2</x:v>
      </x:c>
      <x:c r="S188" s="5" t="n">
        <x:v>0.0726</x:v>
      </x:c>
      <x:c r="T188" s="7" t="n">
        <x:v>13.2</x:v>
      </x:c>
      <x:c r="U188" s="7" t="n">
        <x:f t="shared" si="15"/>
        <x:v>2570</x:v>
      </x:c>
      <x:c r="V188" s="9" t="n">
        <x:f t="shared" si="16"/>
        <x:v>1463</x:v>
      </x:c>
      <x:c r="W188" s="7" t="n">
        <x:f t="shared" si="17"/>
        <x:v>70.8</x:v>
      </x:c>
    </x:row>
    <x:row r="189" ht="13.649999618530273" customHeight="1">
      <x:c r="A189" s="3" t="str">
        <x:v>PJT_188</x:v>
      </x:c>
      <x:c r="B189" s="3" t="str">
        <x:v>Continental</x:v>
      </x:c>
      <x:c r="C189" s="6" t="n">
        <x:v>21960</x:v>
      </x:c>
      <x:c r="D189" s="3" t="n">
        <x:v>21</x:v>
      </x:c>
      <x:c r="E189" s="3" t="str">
        <x:v>High</x:v>
      </x:c>
      <x:c r="F189" s="3" t="str">
        <x:v>Mixed-use</x:v>
      </x:c>
      <x:c r="G189" s="3" t="str">
        <x:v>Steel</x:v>
      </x:c>
      <x:c r="H189" s="3" t="str">
        <x:v>Raft</x:v>
      </x:c>
      <x:c r="I189" s="3" t="str">
        <x:v>Rock</x:v>
      </x:c>
      <x:c r="J189" s="3" t="str">
        <x:v>Medium</x:v>
      </x:c>
      <x:c r="K189" s="9" t="n">
        <x:v>54856080</x:v>
      </x:c>
      <x:c r="L189" s="9" t="n">
        <x:v>951</x:v>
      </x:c>
      <x:c r="M189" s="7" t="n">
        <x:v>505.7</x:v>
      </x:c>
      <x:c r="N189" s="7" t="n">
        <x:v>9.2</x:v>
      </x:c>
      <x:c r="O189" s="7" t="n">
        <x:v>61</x:v>
      </x:c>
      <x:c r="P189" s="3" t="str">
        <x:v>Rainy</x:v>
      </x:c>
      <x:c r="Q189" s="9" t="n">
        <x:v>99</x:v>
      </x:c>
      <x:c r="R189" s="7" t="n">
        <x:v>86</x:v>
      </x:c>
      <x:c r="S189" s="5" t="n">
        <x:v>0.1003</x:v>
      </x:c>
      <x:c r="T189" s="7" t="n">
        <x:v>20.6</x:v>
      </x:c>
      <x:c r="U189" s="7" t="n">
        <x:f t="shared" si="15"/>
        <x:v>1045.7</x:v>
      </x:c>
      <x:c r="V189" s="9" t="n">
        <x:f t="shared" si="16"/>
        <x:v>2498</x:v>
      </x:c>
      <x:c r="W189" s="7" t="n">
        <x:f t="shared" si="17"/>
        <x:v>43.3</x:v>
      </x:c>
    </x:row>
    <x:row r="190" ht="13.649999618530273" customHeight="1">
      <x:c r="A190" s="3" t="str">
        <x:v>PJT_189</x:v>
      </x:c>
      <x:c r="B190" s="3" t="str">
        <x:v>Continental</x:v>
      </x:c>
      <x:c r="C190" s="6" t="n">
        <x:v>12860</x:v>
      </x:c>
      <x:c r="D190" s="3" t="n">
        <x:v>11</x:v>
      </x:c>
      <x:c r="E190" s="3" t="str">
        <x:v>High</x:v>
      </x:c>
      <x:c r="F190" s="3" t="str">
        <x:v>Residential</x:v>
      </x:c>
      <x:c r="G190" s="3" t="str">
        <x:v>RC Frame</x:v>
      </x:c>
      <x:c r="H190" s="3" t="str">
        <x:v>Raft</x:v>
      </x:c>
      <x:c r="I190" s="3" t="str">
        <x:v>Rock</x:v>
      </x:c>
      <x:c r="J190" s="3" t="str">
        <x:v>Low</x:v>
      </x:c>
      <x:c r="K190" s="9" t="n">
        <x:v>19032800</x:v>
      </x:c>
      <x:c r="L190" s="9" t="n">
        <x:v>574</x:v>
      </x:c>
      <x:c r="M190" s="7" t="n">
        <x:v>713.9</x:v>
      </x:c>
      <x:c r="N190" s="7" t="n">
        <x:v>17.8</x:v>
      </x:c>
      <x:c r="O190" s="7" t="n">
        <x:v>74.8</x:v>
      </x:c>
      <x:c r="P190" s="3" t="str">
        <x:v>Rainy</x:v>
      </x:c>
      <x:c r="Q190" s="9" t="n">
        <x:v>80</x:v>
      </x:c>
      <x:c r="R190" s="7" t="n">
        <x:v>66.8</x:v>
      </x:c>
      <x:c r="S190" s="5" t="n">
        <x:v>0.0743</x:v>
      </x:c>
      <x:c r="T190" s="7" t="n">
        <x:v>13.9</x:v>
      </x:c>
      <x:c r="U190" s="7" t="n">
        <x:f t="shared" si="15"/>
        <x:v>1169.1</x:v>
      </x:c>
      <x:c r="V190" s="9" t="n">
        <x:f t="shared" si="16"/>
        <x:v>1480</x:v>
      </x:c>
      <x:c r="W190" s="7" t="n">
        <x:f t="shared" si="17"/>
        <x:v>44.6</x:v>
      </x:c>
    </x:row>
    <x:row r="191" ht="13.649999618530273" customHeight="1">
      <x:c r="A191" s="3" t="str">
        <x:v>PJT_190</x:v>
      </x:c>
      <x:c r="B191" s="3" t="str">
        <x:v>Continental</x:v>
      </x:c>
      <x:c r="C191" s="6" t="n">
        <x:v>9400</x:v>
      </x:c>
      <x:c r="D191" s="3" t="n">
        <x:v>8</x:v>
      </x:c>
      <x:c r="E191" s="3" t="str">
        <x:v>Medium</x:v>
      </x:c>
      <x:c r="F191" s="3" t="str">
        <x:v>Residential</x:v>
      </x:c>
      <x:c r="G191" s="3" t="str">
        <x:v>RC Frame</x:v>
      </x:c>
      <x:c r="H191" s="3" t="str">
        <x:v>Raft</x:v>
      </x:c>
      <x:c r="I191" s="3" t="str">
        <x:v>Sand</x:v>
      </x:c>
      <x:c r="J191" s="3" t="str">
        <x:v>Medium</x:v>
      </x:c>
      <x:c r="K191" s="9" t="n">
        <x:v>12925000</x:v>
      </x:c>
      <x:c r="L191" s="9" t="n">
        <x:v>467</x:v>
      </x:c>
      <x:c r="M191" s="7" t="n">
        <x:v>233.7</x:v>
      </x:c>
      <x:c r="N191" s="7" t="n">
        <x:v>19.8</x:v>
      </x:c>
      <x:c r="O191" s="7" t="n">
        <x:v>68.2</x:v>
      </x:c>
      <x:c r="P191" s="3" t="str">
        <x:v>Cloudy</x:v>
      </x:c>
      <x:c r="Q191" s="9" t="n">
        <x:v>137</x:v>
      </x:c>
      <x:c r="R191" s="7" t="n">
        <x:v>61.8</x:v>
      </x:c>
      <x:c r="S191" s="5" t="n">
        <x:v>0.0744</x:v>
      </x:c>
      <x:c r="T191" s="7" t="n">
        <x:v>12.8</x:v>
      </x:c>
      <x:c r="U191" s="7" t="n">
        <x:f t="shared" si="15"/>
        <x:v>1175</x:v>
      </x:c>
      <x:c r="V191" s="9" t="n">
        <x:f t="shared" si="16"/>
        <x:v>1375</x:v>
      </x:c>
      <x:c r="W191" s="7" t="n">
        <x:f t="shared" si="17"/>
        <x:v>49.7</x:v>
      </x:c>
    </x:row>
    <x:row r="192">
      <x:c r="A192" s="3" t="str">
        <x:v>PJT_191</x:v>
      </x:c>
      <x:c r="B192" s="3" t="str">
        <x:v>Humid Subtropical</x:v>
      </x:c>
      <x:c r="C192" s="3" t="n">
        <x:v>2950</x:v>
      </x:c>
      <x:c r="D192" s="3" t="n">
        <x:v>3</x:v>
      </x:c>
      <x:c r="E192" s="3" t="str">
        <x:v>Low</x:v>
      </x:c>
      <x:c r="F192" s="3" t="str">
        <x:v>Residential</x:v>
      </x:c>
      <x:c r="G192" s="3" t="str">
        <x:v>RC Frame</x:v>
      </x:c>
      <x:c r="H192" s="3" t="str">
        <x:v>Strip</x:v>
      </x:c>
      <x:c r="I192" s="3" t="str">
        <x:v>Sand</x:v>
      </x:c>
      <x:c r="J192" s="3" t="str">
        <x:v>Medium</x:v>
      </x:c>
      <x:c r="K192" s="3" t="n">
        <x:v>3767150</x:v>
      </x:c>
      <x:c r="L192" s="3" t="n">
        <x:v>180</x:v>
      </x:c>
      <x:c r="M192" s="3" t="n">
        <x:v>250.4</x:v>
      </x:c>
      <x:c r="N192" s="3" t="n">
        <x:v>23.4</x:v>
      </x:c>
      <x:c r="O192" s="3" t="n">
        <x:v>86.4</x:v>
      </x:c>
      <x:c r="P192" s="3" t="str">
        <x:v>Stormy</x:v>
      </x:c>
      <x:c r="Q192" s="3" t="n">
        <x:v>85</x:v>
      </x:c>
      <x:c r="R192" s="3" t="n">
        <x:v>59.8</x:v>
      </x:c>
      <x:c r="S192" s="3" t="n">
        <x:v>0.0705</x:v>
      </x:c>
      <x:c r="T192" s="3" t="n">
        <x:v>11.3</x:v>
      </x:c>
      <x:c r="U192" s="3" t="n">
        <x:v>983.3</x:v>
      </x:c>
      <x:c r="V192" s="3" t="n">
        <x:v>1277</x:v>
      </x:c>
      <x:c r="W192" s="3" t="n">
        <x:v>33</x:v>
      </x:c>
    </x:row>
    <x:row r="193">
      <x:c r="A193" s="3" t="str">
        <x:v>PJT_192</x:v>
      </x:c>
      <x:c r="B193" s="3" t="str">
        <x:v>Continental</x:v>
      </x:c>
      <x:c r="C193" s="3" t="n">
        <x:v>15180</x:v>
      </x:c>
      <x:c r="D193" s="3" t="n">
        <x:v>10</x:v>
      </x:c>
      <x:c r="E193" s="3" t="str">
        <x:v>Medium</x:v>
      </x:c>
      <x:c r="F193" s="3" t="str">
        <x:v>Mixed-use</x:v>
      </x:c>
      <x:c r="G193" s="3" t="str">
        <x:v>Shear Wall</x:v>
      </x:c>
      <x:c r="H193" s="3" t="str">
        <x:v>Piles</x:v>
      </x:c>
      <x:c r="I193" s="3" t="str">
        <x:v>Soft Clay</x:v>
      </x:c>
      <x:c r="J193" s="3" t="str">
        <x:v>Low</x:v>
      </x:c>
      <x:c r="K193" s="3" t="n">
        <x:v>37297260</x:v>
      </x:c>
      <x:c r="L193" s="3" t="n">
        <x:v>789</x:v>
      </x:c>
      <x:c r="M193" s="3" t="n">
        <x:v>204</x:v>
      </x:c>
      <x:c r="N193" s="3" t="n">
        <x:v>-5.6</x:v>
      </x:c>
      <x:c r="O193" s="3" t="n">
        <x:v>77.8</x:v>
      </x:c>
      <x:c r="P193" s="3" t="str">
        <x:v>Snowy</x:v>
      </x:c>
      <x:c r="Q193" s="3" t="n">
        <x:v>97</x:v>
      </x:c>
      <x:c r="R193" s="3" t="n">
        <x:v>80.2</x:v>
      </x:c>
      <x:c r="S193" s="3" t="n">
        <x:v>0.0967</x:v>
      </x:c>
      <x:c r="T193" s="3" t="n">
        <x:v>17.2</x:v>
      </x:c>
      <x:c r="U193" s="3" t="n">
        <x:v>1518</x:v>
      </x:c>
      <x:c r="V193" s="3" t="n">
        <x:v>2457</x:v>
      </x:c>
      <x:c r="W193" s="3" t="n">
        <x:v>52</x:v>
      </x:c>
    </x:row>
    <x:row r="194">
      <x:c r="A194" s="3" t="str">
        <x:v>PJT_193</x:v>
      </x:c>
      <x:c r="B194" s="3" t="str">
        <x:v>Mediterranean</x:v>
      </x:c>
      <x:c r="C194" s="3" t="n">
        <x:v>10690</x:v>
      </x:c>
      <x:c r="D194" s="3" t="n">
        <x:v>8</x:v>
      </x:c>
      <x:c r="E194" s="3" t="str">
        <x:v>Low</x:v>
      </x:c>
      <x:c r="F194" s="3" t="str">
        <x:v>Residential</x:v>
      </x:c>
      <x:c r="G194" s="3" t="str">
        <x:v>RC Frame</x:v>
      </x:c>
      <x:c r="H194" s="3" t="str">
        <x:v>Raft</x:v>
      </x:c>
      <x:c r="I194" s="3" t="str">
        <x:v>Mixed</x:v>
      </x:c>
      <x:c r="J194" s="3" t="str">
        <x:v>Low</x:v>
      </x:c>
      <x:c r="K194" s="3" t="n">
        <x:v>13426640</x:v>
      </x:c>
      <x:c r="L194" s="3" t="n">
        <x:v>369</x:v>
      </x:c>
      <x:c r="M194" s="3" t="n">
        <x:v>337</x:v>
      </x:c>
      <x:c r="N194" s="3" t="n">
        <x:v>16.1</x:v>
      </x:c>
      <x:c r="O194" s="3" t="n">
        <x:v>75.6</x:v>
      </x:c>
      <x:c r="P194" s="3" t="str">
        <x:v>Stormy</x:v>
      </x:c>
      <x:c r="Q194" s="3" t="n">
        <x:v>83</x:v>
      </x:c>
      <x:c r="R194" s="3" t="n">
        <x:v>61.3</x:v>
      </x:c>
      <x:c r="S194" s="3" t="n">
        <x:v>0.0757</x:v>
      </x:c>
      <x:c r="T194" s="3" t="n">
        <x:v>11.1</x:v>
      </x:c>
      <x:c r="U194" s="3" t="n">
        <x:v>1336.2</x:v>
      </x:c>
      <x:c r="V194" s="3" t="n">
        <x:v>1256</x:v>
      </x:c>
      <x:c r="W194" s="3" t="n">
        <x:v>34.5</x:v>
      </x:c>
    </x:row>
    <x:row r="195">
      <x:c r="A195" s="3" t="str">
        <x:v>PJT_194</x:v>
      </x:c>
      <x:c r="B195" s="3" t="str">
        <x:v>Marine</x:v>
      </x:c>
      <x:c r="C195" s="3" t="n">
        <x:v>19760</x:v>
      </x:c>
      <x:c r="D195" s="3" t="n">
        <x:v>10</x:v>
      </x:c>
      <x:c r="E195" s="3" t="str">
        <x:v>Medium</x:v>
      </x:c>
      <x:c r="F195" s="3" t="str">
        <x:v>Commercial</x:v>
      </x:c>
      <x:c r="G195" s="3" t="str">
        <x:v>RC Frame</x:v>
      </x:c>
      <x:c r="H195" s="3" t="str">
        <x:v>Piles</x:v>
      </x:c>
      <x:c r="I195" s="3" t="str">
        <x:v>Soft Clay</x:v>
      </x:c>
      <x:c r="J195" s="3" t="str">
        <x:v>High</x:v>
      </x:c>
      <x:c r="K195" s="3" t="n">
        <x:v>46218640</x:v>
      </x:c>
      <x:c r="L195" s="3" t="n">
        <x:v>907</x:v>
      </x:c>
      <x:c r="M195" s="3" t="n">
        <x:v>169.2</x:v>
      </x:c>
      <x:c r="N195" s="3" t="n">
        <x:v>14.7</x:v>
      </x:c>
      <x:c r="O195" s="3" t="n">
        <x:v>86.6</x:v>
      </x:c>
      <x:c r="P195" s="3" t="str">
        <x:v>Rainy</x:v>
      </x:c>
      <x:c r="Q195" s="3" t="n">
        <x:v>73</x:v>
      </x:c>
      <x:c r="R195" s="3" t="n">
        <x:v>72.4</x:v>
      </x:c>
      <x:c r="S195" s="3" t="n">
        <x:v>0.0916</x:v>
      </x:c>
      <x:c r="T195" s="3" t="n">
        <x:v>16.1</x:v>
      </x:c>
      <x:c r="U195" s="3" t="n">
        <x:v>1976</x:v>
      </x:c>
      <x:c r="V195" s="3" t="n">
        <x:v>2339</x:v>
      </x:c>
      <x:c r="W195" s="3" t="n">
        <x:v>45.9</x:v>
      </x:c>
    </x:row>
    <x:row r="196">
      <x:c r="A196" s="3" t="str">
        <x:v>PJT_195</x:v>
      </x:c>
      <x:c r="B196" s="3" t="str">
        <x:v>Humid Subtropical</x:v>
      </x:c>
      <x:c r="C196" s="3" t="n">
        <x:v>12760</x:v>
      </x:c>
      <x:c r="D196" s="3" t="n">
        <x:v>9</x:v>
      </x:c>
      <x:c r="E196" s="3" t="str">
        <x:v>Medium</x:v>
      </x:c>
      <x:c r="F196" s="3" t="str">
        <x:v>Commercial</x:v>
      </x:c>
      <x:c r="G196" s="3" t="str">
        <x:v>Steel</x:v>
      </x:c>
      <x:c r="H196" s="3" t="str">
        <x:v>Raft</x:v>
      </x:c>
      <x:c r="I196" s="3" t="str">
        <x:v>Mixed</x:v>
      </x:c>
      <x:c r="J196" s="3" t="str">
        <x:v>High</x:v>
      </x:c>
      <x:c r="K196" s="3" t="n">
        <x:v>31108880</x:v>
      </x:c>
      <x:c r="L196" s="3" t="n">
        <x:v>510</x:v>
      </x:c>
      <x:c r="M196" s="3" t="n">
        <x:v>291.7</x:v>
      </x:c>
      <x:c r="N196" s="3" t="n">
        <x:v>29.5</x:v>
      </x:c>
      <x:c r="O196" s="3" t="n">
        <x:v>64.5</x:v>
      </x:c>
      <x:c r="P196" s="3" t="str">
        <x:v>Sunny</x:v>
      </x:c>
      <x:c r="Q196" s="3" t="n">
        <x:v>97</x:v>
      </x:c>
      <x:c r="R196" s="3" t="n">
        <x:v>72</x:v>
      </x:c>
      <x:c r="S196" s="3" t="n">
        <x:v>0.0935</x:v>
      </x:c>
      <x:c r="T196" s="3" t="n">
        <x:v>16.7</x:v>
      </x:c>
      <x:c r="U196" s="3" t="n">
        <x:v>1417.8</x:v>
      </x:c>
      <x:c r="V196" s="3" t="n">
        <x:v>2438</x:v>
      </x:c>
      <x:c r="W196" s="3" t="n">
        <x:v>40</x:v>
      </x:c>
    </x:row>
    <x:row r="197">
      <x:c r="A197" s="3" t="str">
        <x:v>PJT_196</x:v>
      </x:c>
      <x:c r="B197" s="3" t="str">
        <x:v>Humid Subtropical</x:v>
      </x:c>
      <x:c r="C197" s="3" t="n">
        <x:v>22630</x:v>
      </x:c>
      <x:c r="D197" s="3" t="n">
        <x:v>17</x:v>
      </x:c>
      <x:c r="E197" s="3" t="str">
        <x:v>High</x:v>
      </x:c>
      <x:c r="F197" s="3" t="str">
        <x:v>Mixed-use</x:v>
      </x:c>
      <x:c r="G197" s="3" t="str">
        <x:v>Shear Wall</x:v>
      </x:c>
      <x:c r="H197" s="3" t="str">
        <x:v>Raft</x:v>
      </x:c>
      <x:c r="I197" s="3" t="str">
        <x:v>Rock</x:v>
      </x:c>
      <x:c r="J197" s="3" t="str">
        <x:v>Low</x:v>
      </x:c>
      <x:c r="K197" s="3" t="n">
        <x:v>61553600</x:v>
      </x:c>
      <x:c r="L197" s="3" t="n">
        <x:v>1152</x:v>
      </x:c>
      <x:c r="M197" s="3" t="n">
        <x:v>751.2</x:v>
      </x:c>
      <x:c r="N197" s="3" t="n">
        <x:v>29.8</x:v>
      </x:c>
      <x:c r="O197" s="3" t="n">
        <x:v>68.2</x:v>
      </x:c>
      <x:c r="P197" s="3" t="str">
        <x:v>Sunny</x:v>
      </x:c>
      <x:c r="Q197" s="3" t="n">
        <x:v>81</x:v>
      </x:c>
      <x:c r="R197" s="3" t="n">
        <x:v>84.5</x:v>
      </x:c>
      <x:c r="S197" s="3" t="n">
        <x:v>0.1023</x:v>
      </x:c>
      <x:c r="T197" s="3" t="n">
        <x:v>19.1</x:v>
      </x:c>
      <x:c r="U197" s="3" t="n">
        <x:v>1331.2</x:v>
      </x:c>
      <x:c r="V197" s="3" t="n">
        <x:v>2720</x:v>
      </x:c>
      <x:c r="W197" s="3" t="n">
        <x:v>50.9</x:v>
      </x:c>
    </x:row>
    <x:row r="198">
      <x:c r="A198" s="3" t="str">
        <x:v>PJT_197</x:v>
      </x:c>
      <x:c r="B198" s="3" t="str">
        <x:v>Marine</x:v>
      </x:c>
      <x:c r="C198" s="3" t="n">
        <x:v>11570</x:v>
      </x:c>
      <x:c r="D198" s="3" t="n">
        <x:v>4</x:v>
      </x:c>
      <x:c r="E198" s="3" t="str">
        <x:v>Low</x:v>
      </x:c>
      <x:c r="F198" s="3" t="str">
        <x:v>School</x:v>
      </x:c>
      <x:c r="G198" s="3" t="str">
        <x:v>RC Frame</x:v>
      </x:c>
      <x:c r="H198" s="3" t="str">
        <x:v>Raft</x:v>
      </x:c>
      <x:c r="I198" s="3" t="str">
        <x:v>Mixed</x:v>
      </x:c>
      <x:c r="J198" s="3" t="str">
        <x:v>Medium</x:v>
      </x:c>
      <x:c r="K198" s="3" t="n">
        <x:v>20351630</x:v>
      </x:c>
      <x:c r="L198" s="3" t="n">
        <x:v>322</x:v>
      </x:c>
      <x:c r="M198" s="3" t="n">
        <x:v>321.5</x:v>
      </x:c>
      <x:c r="N198" s="3" t="n">
        <x:v>11</x:v>
      </x:c>
      <x:c r="O198" s="3" t="n">
        <x:v>80.6</x:v>
      </x:c>
      <x:c r="P198" s="3" t="str">
        <x:v>Cloudy</x:v>
      </x:c>
      <x:c r="Q198" s="3" t="n">
        <x:v>57</x:v>
      </x:c>
      <x:c r="R198" s="3" t="n">
        <x:v>66.5</x:v>
      </x:c>
      <x:c r="S198" s="3" t="n">
        <x:v>0.0742</x:v>
      </x:c>
      <x:c r="T198" s="3" t="n">
        <x:v>13.2</x:v>
      </x:c>
      <x:c r="U198" s="3" t="n">
        <x:v>2892.5</x:v>
      </x:c>
      <x:c r="V198" s="3" t="n">
        <x:v>1759</x:v>
      </x:c>
      <x:c r="W198" s="3" t="n">
        <x:v>27.8</x:v>
      </x:c>
    </x:row>
    <x:row r="199">
      <x:c r="A199" s="3" t="str">
        <x:v>PJT_198</x:v>
      </x:c>
      <x:c r="B199" s="3" t="str">
        <x:v>Continental</x:v>
      </x:c>
      <x:c r="C199" s="3" t="n">
        <x:v>19460</x:v>
      </x:c>
      <x:c r="D199" s="3" t="n">
        <x:v>13</x:v>
      </x:c>
      <x:c r="E199" s="3" t="str">
        <x:v>Medium</x:v>
      </x:c>
      <x:c r="F199" s="3" t="str">
        <x:v>Mixed-use</x:v>
      </x:c>
      <x:c r="G199" s="3" t="str">
        <x:v>Steel</x:v>
      </x:c>
      <x:c r="H199" s="3" t="str">
        <x:v>Piles</x:v>
      </x:c>
      <x:c r="I199" s="3" t="str">
        <x:v>Soft Clay</x:v>
      </x:c>
      <x:c r="J199" s="3" t="str">
        <x:v>Medium</x:v>
      </x:c>
      <x:c r="K199" s="3" t="n">
        <x:v>50654380</x:v>
      </x:c>
      <x:c r="L199" s="3" t="n">
        <x:v>1059</x:v>
      </x:c>
      <x:c r="M199" s="3" t="n">
        <x:v>203.7</x:v>
      </x:c>
      <x:c r="N199" s="3" t="n">
        <x:v>16.5</x:v>
      </x:c>
      <x:c r="O199" s="3" t="n">
        <x:v>73.5</x:v>
      </x:c>
      <x:c r="P199" s="3" t="str">
        <x:v>Stormy</x:v>
      </x:c>
      <x:c r="Q199" s="3" t="n">
        <x:v>106</x:v>
      </x:c>
      <x:c r="R199" s="3" t="n">
        <x:v>79.5</x:v>
      </x:c>
      <x:c r="S199" s="3" t="n">
        <x:v>0.0987</x:v>
      </x:c>
      <x:c r="T199" s="3" t="n">
        <x:v>18.9</x:v>
      </x:c>
      <x:c r="U199" s="3" t="n">
        <x:v>1496.9</x:v>
      </x:c>
      <x:c r="V199" s="3" t="n">
        <x:v>2603</x:v>
      </x:c>
      <x:c r="W199" s="3" t="n">
        <x:v>54.4</x:v>
      </x:c>
    </x:row>
    <x:row r="200">
      <x:c r="A200" s="3" t="str">
        <x:v>PJT_199</x:v>
      </x:c>
      <x:c r="B200" s="3" t="str">
        <x:v>Humid Subtropical</x:v>
      </x:c>
      <x:c r="C200" s="3" t="n">
        <x:v>20620</x:v>
      </x:c>
      <x:c r="D200" s="3" t="n">
        <x:v>17</x:v>
      </x:c>
      <x:c r="E200" s="3" t="str">
        <x:v>Medium</x:v>
      </x:c>
      <x:c r="F200" s="3" t="str">
        <x:v>Mixed-use</x:v>
      </x:c>
      <x:c r="G200" s="3" t="str">
        <x:v>Steel</x:v>
      </x:c>
      <x:c r="H200" s="3" t="str">
        <x:v>Piles</x:v>
      </x:c>
      <x:c r="I200" s="3" t="str">
        <x:v>Soft Clay</x:v>
      </x:c>
      <x:c r="J200" s="3" t="str">
        <x:v>Medium</x:v>
      </x:c>
      <x:c r="K200" s="3" t="n">
        <x:v>55797720</x:v>
      </x:c>
      <x:c r="L200" s="3" t="n">
        <x:v>1017</x:v>
      </x:c>
      <x:c r="M200" s="3" t="n">
        <x:v>205</x:v>
      </x:c>
      <x:c r="N200" s="3" t="n">
        <x:v>26.1</x:v>
      </x:c>
      <x:c r="O200" s="3" t="n">
        <x:v>70.5</x:v>
      </x:c>
      <x:c r="P200" s="3" t="str">
        <x:v>Cloudy</x:v>
      </x:c>
      <x:c r="Q200" s="3" t="n">
        <x:v>104</x:v>
      </x:c>
      <x:c r="R200" s="3" t="n">
        <x:v>86.8</x:v>
      </x:c>
      <x:c r="S200" s="3" t="n">
        <x:v>0.1007</x:v>
      </x:c>
      <x:c r="T200" s="3" t="n">
        <x:v>18</x:v>
      </x:c>
      <x:c r="U200" s="3" t="n">
        <x:v>1212.9</x:v>
      </x:c>
      <x:c r="V200" s="3" t="n">
        <x:v>2706</x:v>
      </x:c>
      <x:c r="W200" s="3" t="n">
        <x:v>49.3</x:v>
      </x:c>
    </x:row>
    <x:row r="201">
      <x:c r="A201" s="3" t="str">
        <x:v>PJT_200</x:v>
      </x:c>
      <x:c r="B201" s="3" t="str">
        <x:v>Mediterranean</x:v>
      </x:c>
      <x:c r="C201" s="3" t="n">
        <x:v>31550</x:v>
      </x:c>
      <x:c r="D201" s="3" t="n">
        <x:v>21</x:v>
      </x:c>
      <x:c r="E201" s="3" t="str">
        <x:v>High</x:v>
      </x:c>
      <x:c r="F201" s="3" t="str">
        <x:v>Mixed-use</x:v>
      </x:c>
      <x:c r="G201" s="3" t="str">
        <x:v>Steel</x:v>
      </x:c>
      <x:c r="H201" s="3" t="str">
        <x:v>Piles</x:v>
      </x:c>
      <x:c r="I201" s="3" t="str">
        <x:v>Soft Clay</x:v>
      </x:c>
      <x:c r="J201" s="3" t="str">
        <x:v>Low</x:v>
      </x:c>
      <x:c r="K201" s="3" t="n">
        <x:v>92346850</x:v>
      </x:c>
      <x:c r="L201" s="3" t="n">
        <x:v>1786</x:v>
      </x:c>
      <x:c r="M201" s="3" t="n">
        <x:v>218.2</x:v>
      </x:c>
      <x:c r="N201" s="3" t="n">
        <x:v>14.7</x:v>
      </x:c>
      <x:c r="O201" s="3" t="n">
        <x:v>66</x:v>
      </x:c>
      <x:c r="P201" s="3" t="str">
        <x:v>Cloudy</x:v>
      </x:c>
      <x:c r="Q201" s="3" t="n">
        <x:v>74</x:v>
      </x:c>
      <x:c r="R201" s="3" t="n">
        <x:v>87.5</x:v>
      </x:c>
      <x:c r="S201" s="3" t="n">
        <x:v>0.1044</x:v>
      </x:c>
      <x:c r="T201" s="3" t="n">
        <x:v>20.3</x:v>
      </x:c>
      <x:c r="U201" s="3" t="n">
        <x:v>1502.4</x:v>
      </x:c>
      <x:c r="V201" s="3" t="n">
        <x:v>2927</x:v>
      </x:c>
      <x:c r="W201" s="3" t="n">
        <x:v>56.6</x:v>
      </x:c>
    </x:row>
    <x:row r="202">
      <x:c r="A202" s="3" t="str">
        <x:v>PJT_201</x:v>
      </x:c>
      <x:c r="B202" s="3" t="str">
        <x:v>Humid Subtropical</x:v>
      </x:c>
      <x:c r="C202" s="3" t="n">
        <x:v>26630</x:v>
      </x:c>
      <x:c r="D202" s="3" t="n">
        <x:v>13</x:v>
      </x:c>
      <x:c r="E202" s="3" t="str">
        <x:v>Medium</x:v>
      </x:c>
      <x:c r="F202" s="3" t="str">
        <x:v>Mixed-use</x:v>
      </x:c>
      <x:c r="G202" s="3" t="str">
        <x:v>Shear Wall</x:v>
      </x:c>
      <x:c r="H202" s="3" t="str">
        <x:v>Piles</x:v>
      </x:c>
      <x:c r="I202" s="3" t="str">
        <x:v>Mixed</x:v>
      </x:c>
      <x:c r="J202" s="3" t="str">
        <x:v>Medium</x:v>
      </x:c>
      <x:c r="K202" s="3" t="n">
        <x:v>68359210</x:v>
      </x:c>
      <x:c r="L202" s="3" t="n">
        <x:v>1284</x:v>
      </x:c>
      <x:c r="M202" s="3" t="n">
        <x:v>416</x:v>
      </x:c>
      <x:c r="N202" s="3" t="n">
        <x:v>29.7</x:v>
      </x:c>
      <x:c r="O202" s="3" t="n">
        <x:v>72</x:v>
      </x:c>
      <x:c r="P202" s="3" t="str">
        <x:v>Sunny</x:v>
      </x:c>
      <x:c r="Q202" s="3" t="n">
        <x:v>81</x:v>
      </x:c>
      <x:c r="R202" s="3" t="n">
        <x:v>77.9</x:v>
      </x:c>
      <x:c r="S202" s="3" t="n">
        <x:v>0.0973</x:v>
      </x:c>
      <x:c r="T202" s="3" t="n">
        <x:v>18.6</x:v>
      </x:c>
      <x:c r="U202" s="3" t="n">
        <x:v>2048.5</x:v>
      </x:c>
      <x:c r="V202" s="3" t="n">
        <x:v>2567</x:v>
      </x:c>
      <x:c r="W202" s="3" t="n">
        <x:v>48.2</x:v>
      </x:c>
    </x:row>
    <x:row r="203">
      <x:c r="A203" s="3" t="str">
        <x:v>PJT_202</x:v>
      </x:c>
      <x:c r="B203" s="3" t="str">
        <x:v>Marine</x:v>
      </x:c>
      <x:c r="C203" s="3" t="n">
        <x:v>19420</x:v>
      </x:c>
      <x:c r="D203" s="3" t="n">
        <x:v>14</x:v>
      </x:c>
      <x:c r="E203" s="3" t="str">
        <x:v>Medium</x:v>
      </x:c>
      <x:c r="F203" s="3" t="str">
        <x:v>Commercial</x:v>
      </x:c>
      <x:c r="G203" s="3" t="str">
        <x:v>Steel</x:v>
      </x:c>
      <x:c r="H203" s="3" t="str">
        <x:v>Piles</x:v>
      </x:c>
      <x:c r="I203" s="3" t="str">
        <x:v>Soft Clay</x:v>
      </x:c>
      <x:c r="J203" s="3" t="str">
        <x:v>Medium</x:v>
      </x:c>
      <x:c r="K203" s="3" t="n">
        <x:v>46180760</x:v>
      </x:c>
      <x:c r="L203" s="3" t="n">
        <x:v>901</x:v>
      </x:c>
      <x:c r="M203" s="3" t="n">
        <x:v>183.2</x:v>
      </x:c>
      <x:c r="N203" s="3" t="n">
        <x:v>14.8</x:v>
      </x:c>
      <x:c r="O203" s="3" t="n">
        <x:v>65.9</x:v>
      </x:c>
      <x:c r="P203" s="3" t="str">
        <x:v>Cloudy</x:v>
      </x:c>
      <x:c r="Q203" s="3" t="n">
        <x:v>77</x:v>
      </x:c>
      <x:c r="R203" s="3" t="n">
        <x:v>82.9</x:v>
      </x:c>
      <x:c r="S203" s="3" t="n">
        <x:v>0.0946</x:v>
      </x:c>
      <x:c r="T203" s="3" t="n">
        <x:v>16.4</x:v>
      </x:c>
      <x:c r="U203" s="3" t="n">
        <x:v>1387.1</x:v>
      </x:c>
      <x:c r="V203" s="3" t="n">
        <x:v>2378</x:v>
      </x:c>
      <x:c r="W203" s="3" t="n">
        <x:v>46.4</x:v>
      </x:c>
    </x:row>
    <x:row r="204">
      <x:c r="A204" s="3" t="str">
        <x:v>PJT_203</x:v>
      </x:c>
      <x:c r="B204" s="3" t="str">
        <x:v>Marine</x:v>
      </x:c>
      <x:c r="C204" s="3" t="n">
        <x:v>21900</x:v>
      </x:c>
      <x:c r="D204" s="3" t="n">
        <x:v>17</x:v>
      </x:c>
      <x:c r="E204" s="3" t="str">
        <x:v>Medium</x:v>
      </x:c>
      <x:c r="F204" s="3" t="str">
        <x:v>Commercial</x:v>
      </x:c>
      <x:c r="G204" s="3" t="str">
        <x:v>Steel</x:v>
      </x:c>
      <x:c r="H204" s="3" t="str">
        <x:v>Piles</x:v>
      </x:c>
      <x:c r="I204" s="3" t="str">
        <x:v>Mixed</x:v>
      </x:c>
      <x:c r="J204" s="3" t="str">
        <x:v>High</x:v>
      </x:c>
      <x:c r="K204" s="3" t="n">
        <x:v>56742900</x:v>
      </x:c>
      <x:c r="L204" s="3" t="n">
        <x:v>1095</x:v>
      </x:c>
      <x:c r="M204" s="3" t="n">
        <x:v>309.5</x:v>
      </x:c>
      <x:c r="N204" s="3" t="n">
        <x:v>8.5</x:v>
      </x:c>
      <x:c r="O204" s="3" t="n">
        <x:v>90.2</x:v>
      </x:c>
      <x:c r="P204" s="3" t="str">
        <x:v>Stormy</x:v>
      </x:c>
      <x:c r="Q204" s="3" t="n">
        <x:v>95</x:v>
      </x:c>
      <x:c r="R204" s="3" t="n">
        <x:v>78.5</x:v>
      </x:c>
      <x:c r="S204" s="3" t="n">
        <x:v>0.0999</x:v>
      </x:c>
      <x:c r="T204" s="3" t="n">
        <x:v>18</x:v>
      </x:c>
      <x:c r="U204" s="3" t="n">
        <x:v>1288.2</x:v>
      </x:c>
      <x:c r="V204" s="3" t="n">
        <x:v>2591</x:v>
      </x:c>
      <x:c r="W204" s="3" t="n">
        <x:v>50</x:v>
      </x:c>
    </x:row>
    <x:row r="205">
      <x:c r="A205" s="3" t="str">
        <x:v>PJT_204</x:v>
      </x:c>
      <x:c r="B205" s="3" t="str">
        <x:v>Marine</x:v>
      </x:c>
      <x:c r="C205" s="3" t="n">
        <x:v>22450</x:v>
      </x:c>
      <x:c r="D205" s="3" t="n">
        <x:v>17</x:v>
      </x:c>
      <x:c r="E205" s="3" t="str">
        <x:v>High</x:v>
      </x:c>
      <x:c r="F205" s="3" t="str">
        <x:v>Mixed-use</x:v>
      </x:c>
      <x:c r="G205" s="3" t="str">
        <x:v>Shear Wall</x:v>
      </x:c>
      <x:c r="H205" s="3" t="str">
        <x:v>Piles</x:v>
      </x:c>
      <x:c r="I205" s="3" t="str">
        <x:v>Sand</x:v>
      </x:c>
      <x:c r="J205" s="3" t="str">
        <x:v>High</x:v>
      </x:c>
      <x:c r="K205" s="3" t="n">
        <x:v>64341700</x:v>
      </x:c>
      <x:c r="L205" s="3" t="n">
        <x:v>1300</x:v>
      </x:c>
      <x:c r="M205" s="3" t="n">
        <x:v>352.3</x:v>
      </x:c>
      <x:c r="N205" s="3" t="n">
        <x:v>1.4</x:v>
      </x:c>
      <x:c r="O205" s="3" t="n">
        <x:v>69.5</x:v>
      </x:c>
      <x:c r="P205" s="3" t="str">
        <x:v>Snowy</x:v>
      </x:c>
      <x:c r="Q205" s="3" t="n">
        <x:v>90</x:v>
      </x:c>
      <x:c r="R205" s="3" t="n">
        <x:v>88.8</x:v>
      </x:c>
      <x:c r="S205" s="3" t="n">
        <x:v>0.1063</x:v>
      </x:c>
      <x:c r="T205" s="3" t="n">
        <x:v>19.3</x:v>
      </x:c>
      <x:c r="U205" s="3" t="n">
        <x:v>1320.6</x:v>
      </x:c>
      <x:c r="V205" s="3" t="n">
        <x:v>2866</x:v>
      </x:c>
      <x:c r="W205" s="3" t="n">
        <x:v>57.9</x:v>
      </x:c>
    </x:row>
    <x:row r="206">
      <x:c r="A206" s="3" t="str">
        <x:v>PJT_205</x:v>
      </x:c>
      <x:c r="B206" s="3" t="str">
        <x:v>Marine</x:v>
      </x:c>
      <x:c r="C206" s="3" t="n">
        <x:v>9700</x:v>
      </x:c>
      <x:c r="D206" s="3" t="n">
        <x:v>4</x:v>
      </x:c>
      <x:c r="E206" s="3" t="str">
        <x:v>Low</x:v>
      </x:c>
      <x:c r="F206" s="3" t="str">
        <x:v>School</x:v>
      </x:c>
      <x:c r="G206" s="3" t="str">
        <x:v>RC Frame</x:v>
      </x:c>
      <x:c r="H206" s="3" t="str">
        <x:v>Raft</x:v>
      </x:c>
      <x:c r="I206" s="3" t="str">
        <x:v>Mixed</x:v>
      </x:c>
      <x:c r="J206" s="3" t="str">
        <x:v>Medium</x:v>
      </x:c>
      <x:c r="K206" s="3" t="n">
        <x:v>16160200</x:v>
      </x:c>
      <x:c r="L206" s="3" t="n">
        <x:v>266</x:v>
      </x:c>
      <x:c r="M206" s="3" t="n">
        <x:v>307.6</x:v>
      </x:c>
      <x:c r="N206" s="3" t="n">
        <x:v>20.5</x:v>
      </x:c>
      <x:c r="O206" s="3" t="n">
        <x:v>61.3</x:v>
      </x:c>
      <x:c r="P206" s="3" t="str">
        <x:v>Sunny</x:v>
      </x:c>
      <x:c r="Q206" s="3" t="n">
        <x:v>87</x:v>
      </x:c>
      <x:c r="R206" s="3" t="n">
        <x:v>61.9</x:v>
      </x:c>
      <x:c r="S206" s="3" t="n">
        <x:v>0.078</x:v>
      </x:c>
      <x:c r="T206" s="3" t="n">
        <x:v>12.4</x:v>
      </x:c>
      <x:c r="U206" s="3" t="n">
        <x:v>2425</x:v>
      </x:c>
      <x:c r="V206" s="3" t="n">
        <x:v>1666</x:v>
      </x:c>
      <x:c r="W206" s="3" t="n">
        <x:v>27.4</x:v>
      </x:c>
    </x:row>
    <x:row r="207">
      <x:c r="A207" s="3" t="str">
        <x:v>PJT_206</x:v>
      </x:c>
      <x:c r="B207" s="3" t="str">
        <x:v>Mediterranean</x:v>
      </x:c>
      <x:c r="C207" s="3" t="n">
        <x:v>20270</x:v>
      </x:c>
      <x:c r="D207" s="3" t="n">
        <x:v>15</x:v>
      </x:c>
      <x:c r="E207" s="3" t="str">
        <x:v>Medium</x:v>
      </x:c>
      <x:c r="F207" s="3" t="str">
        <x:v>Mixed-use</x:v>
      </x:c>
      <x:c r="G207" s="3" t="str">
        <x:v>Shear Wall</x:v>
      </x:c>
      <x:c r="H207" s="3" t="str">
        <x:v>Piles</x:v>
      </x:c>
      <x:c r="I207" s="3" t="str">
        <x:v>Sand</x:v>
      </x:c>
      <x:c r="J207" s="3" t="str">
        <x:v>Medium</x:v>
      </x:c>
      <x:c r="K207" s="3" t="n">
        <x:v>51911470</x:v>
      </x:c>
      <x:c r="L207" s="3" t="n">
        <x:v>973</x:v>
      </x:c>
      <x:c r="M207" s="3" t="n">
        <x:v>303.4</x:v>
      </x:c>
      <x:c r="N207" s="3" t="n">
        <x:v>21.9</x:v>
      </x:c>
      <x:c r="O207" s="3" t="n">
        <x:v>41.9</x:v>
      </x:c>
      <x:c r="P207" s="3" t="str">
        <x:v>Sunny</x:v>
      </x:c>
      <x:c r="Q207" s="3" t="n">
        <x:v>96</x:v>
      </x:c>
      <x:c r="R207" s="3" t="n">
        <x:v>84.5</x:v>
      </x:c>
      <x:c r="S207" s="3" t="n">
        <x:v>0.1028</x:v>
      </x:c>
      <x:c r="T207" s="3" t="n">
        <x:v>18.4</x:v>
      </x:c>
      <x:c r="U207" s="3" t="n">
        <x:v>1351.3</x:v>
      </x:c>
      <x:c r="V207" s="3" t="n">
        <x:v>2561</x:v>
      </x:c>
      <x:c r="W207" s="3" t="n">
        <x:v>48</x:v>
      </x:c>
    </x:row>
    <x:row r="208">
      <x:c r="A208" s="3" t="str">
        <x:v>PJT_207</x:v>
      </x:c>
      <x:c r="B208" s="3" t="str">
        <x:v>Humid Subtropical</x:v>
      </x:c>
      <x:c r="C208" s="3" t="n">
        <x:v>23880</x:v>
      </x:c>
      <x:c r="D208" s="3" t="n">
        <x:v>12</x:v>
      </x:c>
      <x:c r="E208" s="3" t="str">
        <x:v>Medium</x:v>
      </x:c>
      <x:c r="F208" s="3" t="str">
        <x:v>Hospital</x:v>
      </x:c>
      <x:c r="G208" s="3" t="str">
        <x:v>Steel</x:v>
      </x:c>
      <x:c r="H208" s="3" t="str">
        <x:v>Piles</x:v>
      </x:c>
      <x:c r="I208" s="3" t="str">
        <x:v>Soft Clay</x:v>
      </x:c>
      <x:c r="J208" s="3" t="str">
        <x:v>Low</x:v>
      </x:c>
      <x:c r="K208" s="3" t="n">
        <x:v>75222000</x:v>
      </x:c>
      <x:c r="L208" s="3" t="n">
        <x:v>1192</x:v>
      </x:c>
      <x:c r="M208" s="3" t="n">
        <x:v>226.5</x:v>
      </x:c>
      <x:c r="N208" s="3" t="n">
        <x:v>30</x:v>
      </x:c>
      <x:c r="O208" s="3" t="n">
        <x:v>70.8</x:v>
      </x:c>
      <x:c r="P208" s="3" t="str">
        <x:v>Sunny</x:v>
      </x:c>
      <x:c r="Q208" s="3" t="n">
        <x:v>96</x:v>
      </x:c>
      <x:c r="R208" s="3" t="n">
        <x:v>84.6</x:v>
      </x:c>
      <x:c r="S208" s="3" t="n">
        <x:v>0.1086</x:v>
      </x:c>
      <x:c r="T208" s="3" t="n">
        <x:v>21</x:v>
      </x:c>
      <x:c r="U208" s="3" t="n">
        <x:v>1990</x:v>
      </x:c>
      <x:c r="V208" s="3" t="n">
        <x:v>3150</x:v>
      </x:c>
      <x:c r="W208" s="3" t="n">
        <x:v>49.9</x:v>
      </x:c>
    </x:row>
    <x:row r="209">
      <x:c r="A209" s="3" t="str">
        <x:v>PJT_208</x:v>
      </x:c>
      <x:c r="B209" s="3" t="str">
        <x:v>Marine</x:v>
      </x:c>
      <x:c r="C209" s="3" t="n">
        <x:v>11980</x:v>
      </x:c>
      <x:c r="D209" s="3" t="n">
        <x:v>14</x:v>
      </x:c>
      <x:c r="E209" s="3" t="str">
        <x:v>Medium</x:v>
      </x:c>
      <x:c r="F209" s="3" t="str">
        <x:v>Residential</x:v>
      </x:c>
      <x:c r="G209" s="3" t="str">
        <x:v>Shear Wall</x:v>
      </x:c>
      <x:c r="H209" s="3" t="str">
        <x:v>Raft</x:v>
      </x:c>
      <x:c r="I209" s="3" t="str">
        <x:v>Mixed</x:v>
      </x:c>
      <x:c r="J209" s="3" t="str">
        <x:v>High</x:v>
      </x:c>
      <x:c r="K209" s="3" t="n">
        <x:v>21048860</x:v>
      </x:c>
      <x:c r="L209" s="3" t="n">
        <x:v>437</x:v>
      </x:c>
      <x:c r="M209" s="3" t="n">
        <x:v>335.6</x:v>
      </x:c>
      <x:c r="N209" s="3" t="n">
        <x:v>22</x:v>
      </x:c>
      <x:c r="O209" s="3" t="n">
        <x:v>57.8</x:v>
      </x:c>
      <x:c r="P209" s="3" t="str">
        <x:v>Sunny</x:v>
      </x:c>
      <x:c r="Q209" s="3" t="n">
        <x:v>72</x:v>
      </x:c>
      <x:c r="R209" s="3" t="n">
        <x:v>71.4</x:v>
      </x:c>
      <x:c r="S209" s="3" t="n">
        <x:v>0.0811</x:v>
      </x:c>
      <x:c r="T209" s="3" t="n">
        <x:v>13.2</x:v>
      </x:c>
      <x:c r="U209" s="3" t="n">
        <x:v>855.7</x:v>
      </x:c>
      <x:c r="V209" s="3" t="n">
        <x:v>1757</x:v>
      </x:c>
      <x:c r="W209" s="3" t="n">
        <x:v>36.5</x:v>
      </x:c>
    </x:row>
    <x:row r="210">
      <x:c r="A210" s="3" t="str">
        <x:v>PJT_209</x:v>
      </x:c>
      <x:c r="B210" s="3" t="str">
        <x:v>Humid Subtropical</x:v>
      </x:c>
      <x:c r="C210" s="3" t="n">
        <x:v>12050</x:v>
      </x:c>
      <x:c r="D210" s="3" t="n">
        <x:v>13</x:v>
      </x:c>
      <x:c r="E210" s="3" t="str">
        <x:v>Low</x:v>
      </x:c>
      <x:c r="F210" s="3" t="str">
        <x:v>Residential</x:v>
      </x:c>
      <x:c r="G210" s="3" t="str">
        <x:v>RC Frame</x:v>
      </x:c>
      <x:c r="H210" s="3" t="str">
        <x:v>Raft</x:v>
      </x:c>
      <x:c r="I210" s="3" t="str">
        <x:v>Mixed</x:v>
      </x:c>
      <x:c r="J210" s="3" t="str">
        <x:v>Low</x:v>
      </x:c>
      <x:c r="K210" s="3" t="n">
        <x:v>15869850</x:v>
      </x:c>
      <x:c r="L210" s="3" t="n">
        <x:v>392</x:v>
      </x:c>
      <x:c r="M210" s="3" t="n">
        <x:v>278.1</x:v>
      </x:c>
      <x:c r="N210" s="3" t="n">
        <x:v>24.6</x:v>
      </x:c>
      <x:c r="O210" s="3" t="n">
        <x:v>90.3</x:v>
      </x:c>
      <x:c r="P210" s="3" t="str">
        <x:v>Rainy</x:v>
      </x:c>
      <x:c r="Q210" s="3" t="n">
        <x:v>84</x:v>
      </x:c>
      <x:c r="R210" s="3" t="n">
        <x:v>62.7</x:v>
      </x:c>
      <x:c r="S210" s="3" t="n">
        <x:v>0.0765</x:v>
      </x:c>
      <x:c r="T210" s="3" t="n">
        <x:v>11.1</x:v>
      </x:c>
      <x:c r="U210" s="3" t="n">
        <x:v>926.9</x:v>
      </x:c>
      <x:c r="V210" s="3" t="n">
        <x:v>1317</x:v>
      </x:c>
      <x:c r="W210" s="3" t="n">
        <x:v>32.5</x:v>
      </x:c>
    </x:row>
    <x:row r="211">
      <x:c r="A211" s="3" t="str">
        <x:v>PJT_210</x:v>
      </x:c>
      <x:c r="B211" s="3" t="str">
        <x:v>Continental</x:v>
      </x:c>
      <x:c r="C211" s="3" t="n">
        <x:v>9190</x:v>
      </x:c>
      <x:c r="D211" s="3" t="n">
        <x:v>5</x:v>
      </x:c>
      <x:c r="E211" s="3" t="str">
        <x:v>Low</x:v>
      </x:c>
      <x:c r="F211" s="3" t="str">
        <x:v>Commercial</x:v>
      </x:c>
      <x:c r="G211" s="3" t="str">
        <x:v>RC Frame</x:v>
      </x:c>
      <x:c r="H211" s="3" t="str">
        <x:v>Raft</x:v>
      </x:c>
      <x:c r="I211" s="3" t="str">
        <x:v>Sand</x:v>
      </x:c>
      <x:c r="J211" s="3" t="str">
        <x:v>Medium</x:v>
      </x:c>
      <x:c r="K211" s="3" t="n">
        <x:v>19234670</x:v>
      </x:c>
      <x:c r="L211" s="3" t="n">
        <x:v>327</x:v>
      </x:c>
      <x:c r="M211" s="3" t="n">
        <x:v>225</x:v>
      </x:c>
      <x:c r="N211" s="3" t="n">
        <x:v>24.4</x:v>
      </x:c>
      <x:c r="O211" s="3" t="n">
        <x:v>63.1</x:v>
      </x:c>
      <x:c r="P211" s="3" t="str">
        <x:v>Sunny</x:v>
      </x:c>
      <x:c r="Q211" s="3" t="n">
        <x:v>80</x:v>
      </x:c>
      <x:c r="R211" s="3" t="n">
        <x:v>64</x:v>
      </x:c>
      <x:c r="S211" s="3" t="n">
        <x:v>0.0907</x:v>
      </x:c>
      <x:c r="T211" s="3" t="n">
        <x:v>15.2</x:v>
      </x:c>
      <x:c r="U211" s="3" t="n">
        <x:v>1838</x:v>
      </x:c>
      <x:c r="V211" s="3" t="n">
        <x:v>2093</x:v>
      </x:c>
      <x:c r="W211" s="3" t="n">
        <x:v>35.6</x:v>
      </x:c>
    </x:row>
    <x:row r="212">
      <x:c r="A212" s="3" t="str">
        <x:v>PJT_211</x:v>
      </x:c>
      <x:c r="B212" s="3" t="str">
        <x:v>Humid Subtropical</x:v>
      </x:c>
      <x:c r="C212" s="3" t="n">
        <x:v>9510</x:v>
      </x:c>
      <x:c r="D212" s="3" t="n">
        <x:v>4</x:v>
      </x:c>
      <x:c r="E212" s="3" t="str">
        <x:v>Medium</x:v>
      </x:c>
      <x:c r="F212" s="3" t="str">
        <x:v>School</x:v>
      </x:c>
      <x:c r="G212" s="3" t="str">
        <x:v>RC Frame</x:v>
      </x:c>
      <x:c r="H212" s="3" t="str">
        <x:v>Raft</x:v>
      </x:c>
      <x:c r="I212" s="3" t="str">
        <x:v>Rock</x:v>
      </x:c>
      <x:c r="J212" s="3" t="str">
        <x:v>High</x:v>
      </x:c>
      <x:c r="K212" s="3" t="n">
        <x:v>18763230</x:v>
      </x:c>
      <x:c r="L212" s="3" t="n">
        <x:v>299</x:v>
      </x:c>
      <x:c r="M212" s="3" t="n">
        <x:v>595.3</x:v>
      </x:c>
      <x:c r="N212" s="3" t="n">
        <x:v>30.1</x:v>
      </x:c>
      <x:c r="O212" s="3" t="n">
        <x:v>59.2</x:v>
      </x:c>
      <x:c r="P212" s="3" t="str">
        <x:v>Sunny</x:v>
      </x:c>
      <x:c r="Q212" s="3" t="n">
        <x:v>86</x:v>
      </x:c>
      <x:c r="R212" s="3" t="n">
        <x:v>71.5</x:v>
      </x:c>
      <x:c r="S212" s="3" t="n">
        <x:v>0.0858</x:v>
      </x:c>
      <x:c r="T212" s="3" t="n">
        <x:v>14.5</x:v>
      </x:c>
      <x:c r="U212" s="3" t="n">
        <x:v>2377.5</x:v>
      </x:c>
      <x:c r="V212" s="3" t="n">
        <x:v>1973</x:v>
      </x:c>
      <x:c r="W212" s="3" t="n">
        <x:v>31.4</x:v>
      </x:c>
    </x:row>
    <x:row r="213">
      <x:c r="A213" s="3" t="str">
        <x:v>PJT_212</x:v>
      </x:c>
      <x:c r="B213" s="3" t="str">
        <x:v>Continental</x:v>
      </x:c>
      <x:c r="C213" s="3" t="n">
        <x:v>18430</x:v>
      </x:c>
      <x:c r="D213" s="3" t="n">
        <x:v>22</x:v>
      </x:c>
      <x:c r="E213" s="3" t="str">
        <x:v>High</x:v>
      </x:c>
      <x:c r="F213" s="3" t="str">
        <x:v>Mixed-use</x:v>
      </x:c>
      <x:c r="G213" s="3" t="str">
        <x:v>Steel</x:v>
      </x:c>
      <x:c r="H213" s="3" t="str">
        <x:v>Piles</x:v>
      </x:c>
      <x:c r="I213" s="3" t="str">
        <x:v>Sand</x:v>
      </x:c>
      <x:c r="J213" s="3" t="str">
        <x:v>Medium</x:v>
      </x:c>
      <x:c r="K213" s="3" t="n">
        <x:v>53944610</x:v>
      </x:c>
      <x:c r="L213" s="3" t="n">
        <x:v>1069</x:v>
      </x:c>
      <x:c r="M213" s="3" t="n">
        <x:v>319.6</x:v>
      </x:c>
      <x:c r="N213" s="3" t="n">
        <x:v>13</x:v>
      </x:c>
      <x:c r="O213" s="3" t="n">
        <x:v>74.8</x:v>
      </x:c>
      <x:c r="P213" s="3" t="str">
        <x:v>Stormy</x:v>
      </x:c>
      <x:c r="Q213" s="3" t="n">
        <x:v>108</x:v>
      </x:c>
      <x:c r="R213" s="3" t="n">
        <x:v>90.6</x:v>
      </x:c>
      <x:c r="S213" s="3" t="n">
        <x:v>0.1073</x:v>
      </x:c>
      <x:c r="T213" s="3" t="n">
        <x:v>21.1</x:v>
      </x:c>
      <x:c r="U213" s="3" t="n">
        <x:v>837.7</x:v>
      </x:c>
      <x:c r="V213" s="3" t="n">
        <x:v>2927</x:v>
      </x:c>
      <x:c r="W213" s="3" t="n">
        <x:v>58</x:v>
      </x:c>
    </x:row>
    <x:row r="214">
      <x:c r="A214" s="3" t="str">
        <x:v>PJT_213</x:v>
      </x:c>
      <x:c r="B214" s="3" t="str">
        <x:v>Continental</x:v>
      </x:c>
      <x:c r="C214" s="3" t="n">
        <x:v>25360</x:v>
      </x:c>
      <x:c r="D214" s="3" t="n">
        <x:v>16</x:v>
      </x:c>
      <x:c r="E214" s="3" t="str">
        <x:v>Medium</x:v>
      </x:c>
      <x:c r="F214" s="3" t="str">
        <x:v>Commercial</x:v>
      </x:c>
      <x:c r="G214" s="3" t="str">
        <x:v>Steel</x:v>
      </x:c>
      <x:c r="H214" s="3" t="str">
        <x:v>Piles</x:v>
      </x:c>
      <x:c r="I214" s="3" t="str">
        <x:v>Mixed</x:v>
      </x:c>
      <x:c r="J214" s="3" t="str">
        <x:v>Low</x:v>
      </x:c>
      <x:c r="K214" s="3" t="n">
        <x:v>60052480</x:v>
      </x:c>
      <x:c r="L214" s="3" t="n">
        <x:v>1298</x:v>
      </x:c>
      <x:c r="M214" s="3" t="n">
        <x:v>388</x:v>
      </x:c>
      <x:c r="N214" s="3" t="n">
        <x:v>19.8</x:v>
      </x:c>
      <x:c r="O214" s="3" t="n">
        <x:v>70.5</x:v>
      </x:c>
      <x:c r="P214" s="3" t="str">
        <x:v>Stormy</x:v>
      </x:c>
      <x:c r="Q214" s="3" t="n">
        <x:v>85</x:v>
      </x:c>
      <x:c r="R214" s="3" t="n">
        <x:v>83.7</x:v>
      </x:c>
      <x:c r="S214" s="3" t="n">
        <x:v>0.0995</x:v>
      </x:c>
      <x:c r="T214" s="3" t="n">
        <x:v>17.2</x:v>
      </x:c>
      <x:c r="U214" s="3" t="n">
        <x:v>1585</x:v>
      </x:c>
      <x:c r="V214" s="3" t="n">
        <x:v>2368</x:v>
      </x:c>
      <x:c r="W214" s="3" t="n">
        <x:v>51.2</x:v>
      </x:c>
    </x:row>
    <x:row r="215">
      <x:c r="A215" s="3" t="str">
        <x:v>PJT_214</x:v>
      </x:c>
      <x:c r="B215" s="3" t="str">
        <x:v>Humid Subtropical</x:v>
      </x:c>
      <x:c r="C215" s="3" t="n">
        <x:v>22250</x:v>
      </x:c>
      <x:c r="D215" s="3" t="n">
        <x:v>17</x:v>
      </x:c>
      <x:c r="E215" s="3" t="str">
        <x:v>Medium</x:v>
      </x:c>
      <x:c r="F215" s="3" t="str">
        <x:v>Commercial</x:v>
      </x:c>
      <x:c r="G215" s="3" t="str">
        <x:v>Steel</x:v>
      </x:c>
      <x:c r="H215" s="3" t="str">
        <x:v>Piles</x:v>
      </x:c>
      <x:c r="I215" s="3" t="str">
        <x:v>Mixed</x:v>
      </x:c>
      <x:c r="J215" s="3" t="str">
        <x:v>Medium</x:v>
      </x:c>
      <x:c r="K215" s="3" t="n">
        <x:v>56381500</x:v>
      </x:c>
      <x:c r="L215" s="3" t="n">
        <x:v>992</x:v>
      </x:c>
      <x:c r="M215" s="3" t="n">
        <x:v>343.6</x:v>
      </x:c>
      <x:c r="N215" s="3" t="n">
        <x:v>29</x:v>
      </x:c>
      <x:c r="O215" s="3" t="n">
        <x:v>62.4</x:v>
      </x:c>
      <x:c r="P215" s="3" t="str">
        <x:v>Sunny</x:v>
      </x:c>
      <x:c r="Q215" s="3" t="n">
        <x:v>79</x:v>
      </x:c>
      <x:c r="R215" s="3" t="n">
        <x:v>75.6</x:v>
      </x:c>
      <x:c r="S215" s="3" t="n">
        <x:v>0.0986</x:v>
      </x:c>
      <x:c r="T215" s="3" t="n">
        <x:v>17.3</x:v>
      </x:c>
      <x:c r="U215" s="3" t="n">
        <x:v>1308.8</x:v>
      </x:c>
      <x:c r="V215" s="3" t="n">
        <x:v>2534</x:v>
      </x:c>
      <x:c r="W215" s="3" t="n">
        <x:v>44.6</x:v>
      </x:c>
    </x:row>
    <x:row r="216">
      <x:c r="A216" s="3" t="str">
        <x:v>PJT_215</x:v>
      </x:c>
      <x:c r="B216" s="3" t="str">
        <x:v>Continental</x:v>
      </x:c>
      <x:c r="C216" s="3" t="n">
        <x:v>23890</x:v>
      </x:c>
      <x:c r="D216" s="3" t="n">
        <x:v>15</x:v>
      </x:c>
      <x:c r="E216" s="3" t="str">
        <x:v>High</x:v>
      </x:c>
      <x:c r="F216" s="3" t="str">
        <x:v>Mixed-use</x:v>
      </x:c>
      <x:c r="G216" s="3" t="str">
        <x:v>Steel</x:v>
      </x:c>
      <x:c r="H216" s="3" t="str">
        <x:v>Piles</x:v>
      </x:c>
      <x:c r="I216" s="3" t="str">
        <x:v>Sand</x:v>
      </x:c>
      <x:c r="J216" s="3" t="str">
        <x:v>Medium</x:v>
      </x:c>
      <x:c r="K216" s="3" t="n">
        <x:v>67345910</x:v>
      </x:c>
      <x:c r="L216" s="3" t="n">
        <x:v>1381</x:v>
      </x:c>
      <x:c r="M216" s="3" t="n">
        <x:v>323.3</x:v>
      </x:c>
      <x:c r="N216" s="3" t="n">
        <x:v>1.8</x:v>
      </x:c>
      <x:c r="O216" s="3" t="n">
        <x:v>67.6</x:v>
      </x:c>
      <x:c r="P216" s="3" t="str">
        <x:v>Snowy</x:v>
      </x:c>
      <x:c r="Q216" s="3" t="n">
        <x:v>102</x:v>
      </x:c>
      <x:c r="R216" s="3" t="n">
        <x:v>83.1</x:v>
      </x:c>
      <x:c r="S216" s="3" t="n">
        <x:v>0.1077</x:v>
      </x:c>
      <x:c r="T216" s="3" t="n">
        <x:v>19.4</x:v>
      </x:c>
      <x:c r="U216" s="3" t="n">
        <x:v>1592.7</x:v>
      </x:c>
      <x:c r="V216" s="3" t="n">
        <x:v>2819</x:v>
      </x:c>
      <x:c r="W216" s="3" t="n">
        <x:v>57.8</x:v>
      </x:c>
    </x:row>
    <x:row r="217">
      <x:c r="A217" s="3" t="str">
        <x:v>PJT_216</x:v>
      </x:c>
      <x:c r="B217" s="3" t="str">
        <x:v>Humid Subtropical</x:v>
      </x:c>
      <x:c r="C217" s="3" t="n">
        <x:v>18430</x:v>
      </x:c>
      <x:c r="D217" s="3" t="n">
        <x:v>11</x:v>
      </x:c>
      <x:c r="E217" s="3" t="str">
        <x:v>Medium</x:v>
      </x:c>
      <x:c r="F217" s="3" t="str">
        <x:v>Commercial</x:v>
      </x:c>
      <x:c r="G217" s="3" t="str">
        <x:v>RC Frame</x:v>
      </x:c>
      <x:c r="H217" s="3" t="str">
        <x:v>Raft</x:v>
      </x:c>
      <x:c r="I217" s="3" t="str">
        <x:v>Mixed</x:v>
      </x:c>
      <x:c r="J217" s="3" t="str">
        <x:v>High</x:v>
      </x:c>
      <x:c r="K217" s="3" t="n">
        <x:v>41872960</x:v>
      </x:c>
      <x:c r="L217" s="3" t="n">
        <x:v>785</x:v>
      </x:c>
      <x:c r="M217" s="3" t="n">
        <x:v>377</x:v>
      </x:c>
      <x:c r="N217" s="3" t="n">
        <x:v>23.2</x:v>
      </x:c>
      <x:c r="O217" s="3" t="n">
        <x:v>76.5</x:v>
      </x:c>
      <x:c r="P217" s="3" t="str">
        <x:v>Rainy</x:v>
      </x:c>
      <x:c r="Q217" s="3" t="n">
        <x:v>100</x:v>
      </x:c>
      <x:c r="R217" s="3" t="n">
        <x:v>76.8</x:v>
      </x:c>
      <x:c r="S217" s="3" t="n">
        <x:v>0.0922</x:v>
      </x:c>
      <x:c r="T217" s="3" t="n">
        <x:v>17.4</x:v>
      </x:c>
      <x:c r="U217" s="3" t="n">
        <x:v>1675.5</x:v>
      </x:c>
      <x:c r="V217" s="3" t="n">
        <x:v>2272</x:v>
      </x:c>
      <x:c r="W217" s="3" t="n">
        <x:v>42.6</x:v>
      </x:c>
    </x:row>
    <x:row r="218">
      <x:c r="A218" s="3" t="str">
        <x:v>PJT_217</x:v>
      </x:c>
      <x:c r="B218" s="3" t="str">
        <x:v>Continental</x:v>
      </x:c>
      <x:c r="C218" s="3" t="n">
        <x:v>26620</x:v>
      </x:c>
      <x:c r="D218" s="3" t="n">
        <x:v>14</x:v>
      </x:c>
      <x:c r="E218" s="3" t="str">
        <x:v>High</x:v>
      </x:c>
      <x:c r="F218" s="3" t="str">
        <x:v>Hospital</x:v>
      </x:c>
      <x:c r="G218" s="3" t="str">
        <x:v>Shear Wall</x:v>
      </x:c>
      <x:c r="H218" s="3" t="str">
        <x:v>Piles</x:v>
      </x:c>
      <x:c r="I218" s="3" t="str">
        <x:v>Soft Clay</x:v>
      </x:c>
      <x:c r="J218" s="3" t="str">
        <x:v>High</x:v>
      </x:c>
      <x:c r="K218" s="3" t="n">
        <x:v>88458260</x:v>
      </x:c>
      <x:c r="L218" s="3" t="n">
        <x:v>1411</x:v>
      </x:c>
      <x:c r="M218" s="3" t="n">
        <x:v>199.6</x:v>
      </x:c>
      <x:c r="N218" s="3" t="n">
        <x:v>7</x:v>
      </x:c>
      <x:c r="O218" s="3" t="n">
        <x:v>62.6</x:v>
      </x:c>
      <x:c r="P218" s="3" t="str">
        <x:v>Sunny</x:v>
      </x:c>
      <x:c r="Q218" s="3" t="n">
        <x:v>93</x:v>
      </x:c>
      <x:c r="R218" s="3" t="n">
        <x:v>85.3</x:v>
      </x:c>
      <x:c r="S218" s="3" t="n">
        <x:v>0.1165</x:v>
      </x:c>
      <x:c r="T218" s="3" t="n">
        <x:v>23.3</x:v>
      </x:c>
      <x:c r="U218" s="3" t="n">
        <x:v>1901.4</x:v>
      </x:c>
      <x:c r="V218" s="3" t="n">
        <x:v>3323</x:v>
      </x:c>
      <x:c r="W218" s="3" t="n">
        <x:v>53</x:v>
      </x:c>
    </x:row>
    <x:row r="219">
      <x:c r="A219" s="3" t="str">
        <x:v>PJT_218</x:v>
      </x:c>
      <x:c r="B219" s="3" t="str">
        <x:v>Marine</x:v>
      </x:c>
      <x:c r="C219" s="3" t="n">
        <x:v>12680</x:v>
      </x:c>
      <x:c r="D219" s="3" t="n">
        <x:v>7</x:v>
      </x:c>
      <x:c r="E219" s="3" t="str">
        <x:v>Medium</x:v>
      </x:c>
      <x:c r="F219" s="3" t="str">
        <x:v>Hospital</x:v>
      </x:c>
      <x:c r="G219" s="3" t="str">
        <x:v>RC Frame</x:v>
      </x:c>
      <x:c r="H219" s="3" t="str">
        <x:v>Raft</x:v>
      </x:c>
      <x:c r="I219" s="3" t="str">
        <x:v>Soft Clay</x:v>
      </x:c>
      <x:c r="J219" s="3" t="str">
        <x:v>Medium</x:v>
      </x:c>
      <x:c r="K219" s="3" t="n">
        <x:v>37520120</x:v>
      </x:c>
      <x:c r="L219" s="3" t="n">
        <x:v>602</x:v>
      </x:c>
      <x:c r="M219" s="3" t="n">
        <x:v>192.2</x:v>
      </x:c>
      <x:c r="N219" s="3" t="n">
        <x:v>11.6</x:v>
      </x:c>
      <x:c r="O219" s="3" t="n">
        <x:v>67.9</x:v>
      </x:c>
      <x:c r="P219" s="3" t="str">
        <x:v>Cloudy</x:v>
      </x:c>
      <x:c r="Q219" s="3" t="n">
        <x:v>86</x:v>
      </x:c>
      <x:c r="R219" s="3" t="n">
        <x:v>77.7</x:v>
      </x:c>
      <x:c r="S219" s="3" t="n">
        <x:v>0.1054</x:v>
      </x:c>
      <x:c r="T219" s="3" t="n">
        <x:v>20</x:v>
      </x:c>
      <x:c r="U219" s="3" t="n">
        <x:v>1811.4</x:v>
      </x:c>
      <x:c r="V219" s="3" t="n">
        <x:v>2959</x:v>
      </x:c>
      <x:c r="W219" s="3" t="n">
        <x:v>47.5</x:v>
      </x:c>
    </x:row>
    <x:row r="220">
      <x:c r="A220" s="3" t="str">
        <x:v>PJT_219</x:v>
      </x:c>
      <x:c r="B220" s="3" t="str">
        <x:v>Marine</x:v>
      </x:c>
      <x:c r="C220" s="3" t="n">
        <x:v>11490</x:v>
      </x:c>
      <x:c r="D220" s="3" t="n">
        <x:v>10</x:v>
      </x:c>
      <x:c r="E220" s="3" t="str">
        <x:v>Medium</x:v>
      </x:c>
      <x:c r="F220" s="3" t="str">
        <x:v>Commercial</x:v>
      </x:c>
      <x:c r="G220" s="3" t="str">
        <x:v>Steel</x:v>
      </x:c>
      <x:c r="H220" s="3" t="str">
        <x:v>Raft</x:v>
      </x:c>
      <x:c r="I220" s="3" t="str">
        <x:v>Rock</x:v>
      </x:c>
      <x:c r="J220" s="3" t="str">
        <x:v>High</x:v>
      </x:c>
      <x:c r="K220" s="3" t="n">
        <x:v>28001130</x:v>
      </x:c>
      <x:c r="L220" s="3" t="n">
        <x:v>534</x:v>
      </x:c>
      <x:c r="M220" s="3" t="n">
        <x:v>771</x:v>
      </x:c>
      <x:c r="N220" s="3" t="n">
        <x:v>8</x:v>
      </x:c>
      <x:c r="O220" s="3" t="n">
        <x:v>86.4</x:v>
      </x:c>
      <x:c r="P220" s="3" t="str">
        <x:v>Stormy</x:v>
      </x:c>
      <x:c r="Q220" s="3" t="n">
        <x:v>104</x:v>
      </x:c>
      <x:c r="R220" s="3" t="n">
        <x:v>74.9</x:v>
      </x:c>
      <x:c r="S220" s="3" t="n">
        <x:v>0.0933</x:v>
      </x:c>
      <x:c r="T220" s="3" t="n">
        <x:v>17.9</x:v>
      </x:c>
      <x:c r="U220" s="3" t="n">
        <x:v>1149</x:v>
      </x:c>
      <x:c r="V220" s="3" t="n">
        <x:v>2437</x:v>
      </x:c>
      <x:c r="W220" s="3" t="n">
        <x:v>46.5</x:v>
      </x:c>
    </x:row>
    <x:row r="221">
      <x:c r="A221" s="3" t="str">
        <x:v>PJT_220</x:v>
      </x:c>
      <x:c r="B221" s="3" t="str">
        <x:v>Marine</x:v>
      </x:c>
      <x:c r="C221" s="3" t="n">
        <x:v>12480</x:v>
      </x:c>
      <x:c r="D221" s="3" t="n">
        <x:v>8</x:v>
      </x:c>
      <x:c r="E221" s="3" t="str">
        <x:v>Medium</x:v>
      </x:c>
      <x:c r="F221" s="3" t="str">
        <x:v>Hospital</x:v>
      </x:c>
      <x:c r="G221" s="3" t="str">
        <x:v>Steel</x:v>
      </x:c>
      <x:c r="H221" s="3" t="str">
        <x:v>Raft</x:v>
      </x:c>
      <x:c r="I221" s="3" t="str">
        <x:v>Rock</x:v>
      </x:c>
      <x:c r="J221" s="3" t="str">
        <x:v>Low</x:v>
      </x:c>
      <x:c r="K221" s="3" t="n">
        <x:v>39224640</x:v>
      </x:c>
      <x:c r="L221" s="3" t="n">
        <x:v>631</x:v>
      </x:c>
      <x:c r="M221" s="3" t="n">
        <x:v>712.6</x:v>
      </x:c>
      <x:c r="N221" s="3" t="n">
        <x:v>8.7</x:v>
      </x:c>
      <x:c r="O221" s="3" t="n">
        <x:v>78.4</x:v>
      </x:c>
      <x:c r="P221" s="3" t="str">
        <x:v>Rainy</x:v>
      </x:c>
      <x:c r="Q221" s="3" t="n">
        <x:v>79</x:v>
      </x:c>
      <x:c r="R221" s="3" t="n">
        <x:v>76.1</x:v>
      </x:c>
      <x:c r="S221" s="3" t="n">
        <x:v>0.114</x:v>
      </x:c>
      <x:c r="T221" s="3" t="n">
        <x:v>21.5</x:v>
      </x:c>
      <x:c r="U221" s="3" t="n">
        <x:v>1560</x:v>
      </x:c>
      <x:c r="V221" s="3" t="n">
        <x:v>3143</x:v>
      </x:c>
      <x:c r="W221" s="3" t="n">
        <x:v>50.6</x:v>
      </x:c>
    </x:row>
    <x:row r="222">
      <x:c r="A222" s="3" t="str">
        <x:v>PJT_221</x:v>
      </x:c>
      <x:c r="B222" s="3" t="str">
        <x:v>Marine</x:v>
      </x:c>
      <x:c r="C222" s="3" t="n">
        <x:v>20940</x:v>
      </x:c>
      <x:c r="D222" s="3" t="n">
        <x:v>19</x:v>
      </x:c>
      <x:c r="E222" s="3" t="str">
        <x:v>Medium</x:v>
      </x:c>
      <x:c r="F222" s="3" t="str">
        <x:v>Residential</x:v>
      </x:c>
      <x:c r="G222" s="3" t="str">
        <x:v>RC Frame</x:v>
      </x:c>
      <x:c r="H222" s="3" t="str">
        <x:v>Piles</x:v>
      </x:c>
      <x:c r="I222" s="3" t="str">
        <x:v>Mixed</x:v>
      </x:c>
      <x:c r="J222" s="3" t="str">
        <x:v>Low</x:v>
      </x:c>
      <x:c r="K222" s="3" t="n">
        <x:v>32875800</x:v>
      </x:c>
      <x:c r="L222" s="3" t="n">
        <x:v>831</x:v>
      </x:c>
      <x:c r="M222" s="3" t="n">
        <x:v>382.5</x:v>
      </x:c>
      <x:c r="N222" s="3" t="n">
        <x:v>7.2</x:v>
      </x:c>
      <x:c r="O222" s="3" t="n">
        <x:v>82.5</x:v>
      </x:c>
      <x:c r="P222" s="3" t="str">
        <x:v>Rainy</x:v>
      </x:c>
      <x:c r="Q222" s="3" t="n">
        <x:v>64</x:v>
      </x:c>
      <x:c r="R222" s="3" t="n">
        <x:v>70.2</x:v>
      </x:c>
      <x:c r="S222" s="3" t="n">
        <x:v>0.0769</x:v>
      </x:c>
      <x:c r="T222" s="3" t="n">
        <x:v>13</x:v>
      </x:c>
      <x:c r="U222" s="3" t="n">
        <x:v>1102.1</x:v>
      </x:c>
      <x:c r="V222" s="3" t="n">
        <x:v>1570</x:v>
      </x:c>
      <x:c r="W222" s="3" t="n">
        <x:v>39.7</x:v>
      </x:c>
    </x:row>
    <x:row r="223">
      <x:c r="A223" s="3" t="str">
        <x:v>PJT_222</x:v>
      </x:c>
      <x:c r="B223" s="3" t="str">
        <x:v>Continental</x:v>
      </x:c>
      <x:c r="C223" s="3" t="n">
        <x:v>14090</x:v>
      </x:c>
      <x:c r="D223" s="3" t="n">
        <x:v>10</x:v>
      </x:c>
      <x:c r="E223" s="3" t="str">
        <x:v>Medium</x:v>
      </x:c>
      <x:c r="F223" s="3" t="str">
        <x:v>Mixed-use</x:v>
      </x:c>
      <x:c r="G223" s="3" t="str">
        <x:v>Steel</x:v>
      </x:c>
      <x:c r="H223" s="3" t="str">
        <x:v>Raft</x:v>
      </x:c>
      <x:c r="I223" s="3" t="str">
        <x:v>Mixed</x:v>
      </x:c>
      <x:c r="J223" s="3" t="str">
        <x:v>Low</x:v>
      </x:c>
      <x:c r="K223" s="3" t="n">
        <x:v>33421480</x:v>
      </x:c>
      <x:c r="L223" s="3" t="n">
        <x:v>744</x:v>
      </x:c>
      <x:c r="M223" s="3" t="n">
        <x:v>263.4</x:v>
      </x:c>
      <x:c r="N223" s="3" t="n">
        <x:v>10.9</x:v>
      </x:c>
      <x:c r="O223" s="3" t="n">
        <x:v>81.8</x:v>
      </x:c>
      <x:c r="P223" s="3" t="str">
        <x:v>Stormy</x:v>
      </x:c>
      <x:c r="Q223" s="3" t="n">
        <x:v>82</x:v>
      </x:c>
      <x:c r="R223" s="3" t="n">
        <x:v>83.7</x:v>
      </x:c>
      <x:c r="S223" s="3" t="n">
        <x:v>0.1027</x:v>
      </x:c>
      <x:c r="T223" s="3" t="n">
        <x:v>17.5</x:v>
      </x:c>
      <x:c r="U223" s="3" t="n">
        <x:v>1409</x:v>
      </x:c>
      <x:c r="V223" s="3" t="n">
        <x:v>2372</x:v>
      </x:c>
      <x:c r="W223" s="3" t="n">
        <x:v>52.8</x:v>
      </x:c>
    </x:row>
    <x:row r="224">
      <x:c r="A224" s="3" t="str">
        <x:v>PJT_223</x:v>
      </x:c>
      <x:c r="B224" s="3" t="str">
        <x:v>Marine</x:v>
      </x:c>
      <x:c r="C224" s="3" t="n">
        <x:v>12430</x:v>
      </x:c>
      <x:c r="D224" s="3" t="n">
        <x:v>7</x:v>
      </x:c>
      <x:c r="E224" s="3" t="str">
        <x:v>Medium</x:v>
      </x:c>
      <x:c r="F224" s="3" t="str">
        <x:v>Commercial</x:v>
      </x:c>
      <x:c r="G224" s="3" t="str">
        <x:v>RC Frame</x:v>
      </x:c>
      <x:c r="H224" s="3" t="str">
        <x:v>Raft</x:v>
      </x:c>
      <x:c r="I224" s="3" t="str">
        <x:v>Mixed</x:v>
      </x:c>
      <x:c r="J224" s="3" t="str">
        <x:v>High</x:v>
      </x:c>
      <x:c r="K224" s="3" t="n">
        <x:v>28601430</x:v>
      </x:c>
      <x:c r="L224" s="3" t="n">
        <x:v>485</x:v>
      </x:c>
      <x:c r="M224" s="3" t="n">
        <x:v>374.7</x:v>
      </x:c>
      <x:c r="N224" s="3" t="n">
        <x:v>21.9</x:v>
      </x:c>
      <x:c r="O224" s="3" t="n">
        <x:v>60.6</x:v>
      </x:c>
      <x:c r="P224" s="3" t="str">
        <x:v>Sunny</x:v>
      </x:c>
      <x:c r="Q224" s="3" t="n">
        <x:v>91</x:v>
      </x:c>
      <x:c r="R224" s="3" t="n">
        <x:v>73.6</x:v>
      </x:c>
      <x:c r="S224" s="3" t="n">
        <x:v>0.0871</x:v>
      </x:c>
      <x:c r="T224" s="3" t="n">
        <x:v>16.9</x:v>
      </x:c>
      <x:c r="U224" s="3" t="n">
        <x:v>1775.7</x:v>
      </x:c>
      <x:c r="V224" s="3" t="n">
        <x:v>2301</x:v>
      </x:c>
      <x:c r="W224" s="3" t="n">
        <x:v>39</x:v>
      </x:c>
    </x:row>
    <x:row r="225">
      <x:c r="A225" s="3" t="str">
        <x:v>PJT_224</x:v>
      </x:c>
      <x:c r="B225" s="3" t="str">
        <x:v>Mediterranean</x:v>
      </x:c>
      <x:c r="C225" s="3" t="n">
        <x:v>14360</x:v>
      </x:c>
      <x:c r="D225" s="3" t="n">
        <x:v>13</x:v>
      </x:c>
      <x:c r="E225" s="3" t="str">
        <x:v>Medium</x:v>
      </x:c>
      <x:c r="F225" s="3" t="str">
        <x:v>Mixed-use</x:v>
      </x:c>
      <x:c r="G225" s="3" t="str">
        <x:v>Shear Wall</x:v>
      </x:c>
      <x:c r="H225" s="3" t="str">
        <x:v>Raft</x:v>
      </x:c>
      <x:c r="I225" s="3" t="str">
        <x:v>Rock</x:v>
      </x:c>
      <x:c r="J225" s="3" t="str">
        <x:v>High</x:v>
      </x:c>
      <x:c r="K225" s="3" t="n">
        <x:v>36072320</x:v>
      </x:c>
      <x:c r="L225" s="3" t="n">
        <x:v>751</x:v>
      </x:c>
      <x:c r="M225" s="3" t="n">
        <x:v>680.6</x:v>
      </x:c>
      <x:c r="N225" s="3" t="n">
        <x:v>17</x:v>
      </x:c>
      <x:c r="O225" s="3" t="n">
        <x:v>84.2</x:v>
      </x:c>
      <x:c r="P225" s="3" t="str">
        <x:v>Stormy</x:v>
      </x:c>
      <x:c r="Q225" s="3" t="n">
        <x:v>105</x:v>
      </x:c>
      <x:c r="R225" s="3" t="n">
        <x:v>82.1</x:v>
      </x:c>
      <x:c r="S225" s="3" t="n">
        <x:v>0.101</x:v>
      </x:c>
      <x:c r="T225" s="3" t="n">
        <x:v>17.7</x:v>
      </x:c>
      <x:c r="U225" s="3" t="n">
        <x:v>1104.6</x:v>
      </x:c>
      <x:c r="V225" s="3" t="n">
        <x:v>2512</x:v>
      </x:c>
      <x:c r="W225" s="3" t="n">
        <x:v>52.3</x:v>
      </x:c>
    </x:row>
    <x:row r="226">
      <x:c r="A226" s="3" t="str">
        <x:v>PJT_225</x:v>
      </x:c>
      <x:c r="B226" s="3" t="str">
        <x:v>Continental</x:v>
      </x:c>
      <x:c r="C226" s="3" t="n">
        <x:v>21210</x:v>
      </x:c>
      <x:c r="D226" s="3" t="n">
        <x:v>12</x:v>
      </x:c>
      <x:c r="E226" s="3" t="str">
        <x:v>Medium</x:v>
      </x:c>
      <x:c r="F226" s="3" t="str">
        <x:v>Commercial</x:v>
      </x:c>
      <x:c r="G226" s="3" t="str">
        <x:v>Steel</x:v>
      </x:c>
      <x:c r="H226" s="3" t="str">
        <x:v>Raft</x:v>
      </x:c>
      <x:c r="I226" s="3" t="str">
        <x:v>Rock</x:v>
      </x:c>
      <x:c r="J226" s="3" t="str">
        <x:v>Medium</x:v>
      </x:c>
      <x:c r="K226" s="3" t="n">
        <x:v>47531610</x:v>
      </x:c>
      <x:c r="L226" s="3" t="n">
        <x:v>910</x:v>
      </x:c>
      <x:c r="M226" s="3" t="n">
        <x:v>762.8</x:v>
      </x:c>
      <x:c r="N226" s="3" t="n">
        <x:v>17.1</x:v>
      </x:c>
      <x:c r="O226" s="3" t="n">
        <x:v>58.4</x:v>
      </x:c>
      <x:c r="P226" s="3" t="str">
        <x:v>Cloudy</x:v>
      </x:c>
      <x:c r="Q226" s="3" t="n">
        <x:v>88</x:v>
      </x:c>
      <x:c r="R226" s="3" t="n">
        <x:v>78.5</x:v>
      </x:c>
      <x:c r="S226" s="3" t="n">
        <x:v>0.0949</x:v>
      </x:c>
      <x:c r="T226" s="3" t="n">
        <x:v>17.7</x:v>
      </x:c>
      <x:c r="U226" s="3" t="n">
        <x:v>1767.5</x:v>
      </x:c>
      <x:c r="V226" s="3" t="n">
        <x:v>2241</x:v>
      </x:c>
      <x:c r="W226" s="3" t="n">
        <x:v>42.9</x:v>
      </x:c>
    </x:row>
    <x:row r="227">
      <x:c r="A227" s="3" t="str">
        <x:v>PJT_226</x:v>
      </x:c>
      <x:c r="B227" s="3" t="str">
        <x:v>Marine</x:v>
      </x:c>
      <x:c r="C227" s="3" t="n">
        <x:v>24070</x:v>
      </x:c>
      <x:c r="D227" s="3" t="n">
        <x:v>17</x:v>
      </x:c>
      <x:c r="E227" s="3" t="str">
        <x:v>Medium</x:v>
      </x:c>
      <x:c r="F227" s="3" t="str">
        <x:v>Mixed-use</x:v>
      </x:c>
      <x:c r="G227" s="3" t="str">
        <x:v>Steel</x:v>
      </x:c>
      <x:c r="H227" s="3" t="str">
        <x:v>Piles</x:v>
      </x:c>
      <x:c r="I227" s="3" t="str">
        <x:v>Soft Clay</x:v>
      </x:c>
      <x:c r="J227" s="3" t="str">
        <x:v>Low</x:v>
      </x:c>
      <x:c r="K227" s="3" t="n">
        <x:v>63544800</x:v>
      </x:c>
      <x:c r="L227" s="3" t="n">
        <x:v>1225</x:v>
      </x:c>
      <x:c r="M227" s="3" t="n">
        <x:v>174.4</x:v>
      </x:c>
      <x:c r="N227" s="3" t="n">
        <x:v>13.9</x:v>
      </x:c>
      <x:c r="O227" s="3" t="n">
        <x:v>80.1</x:v>
      </x:c>
      <x:c r="P227" s="3" t="str">
        <x:v>Cloudy</x:v>
      </x:c>
      <x:c r="Q227" s="3" t="n">
        <x:v>87</x:v>
      </x:c>
      <x:c r="R227" s="3" t="n">
        <x:v>78.5</x:v>
      </x:c>
      <x:c r="S227" s="3" t="n">
        <x:v>0.1</x:v>
      </x:c>
      <x:c r="T227" s="3" t="n">
        <x:v>18</x:v>
      </x:c>
      <x:c r="U227" s="3" t="n">
        <x:v>1415.9</x:v>
      </x:c>
      <x:c r="V227" s="3" t="n">
        <x:v>2640</x:v>
      </x:c>
      <x:c r="W227" s="3" t="n">
        <x:v>50.9</x:v>
      </x:c>
    </x:row>
    <x:row r="228">
      <x:c r="A228" s="3" t="str">
        <x:v>PJT_227</x:v>
      </x:c>
      <x:c r="B228" s="3" t="str">
        <x:v>Continental</x:v>
      </x:c>
      <x:c r="C228" s="3" t="n">
        <x:v>21030</x:v>
      </x:c>
      <x:c r="D228" s="3" t="n">
        <x:v>11</x:v>
      </x:c>
      <x:c r="E228" s="3" t="str">
        <x:v>High</x:v>
      </x:c>
      <x:c r="F228" s="3" t="str">
        <x:v>Hospital</x:v>
      </x:c>
      <x:c r="G228" s="3" t="str">
        <x:v>Shear Wall</x:v>
      </x:c>
      <x:c r="H228" s="3" t="str">
        <x:v>Raft</x:v>
      </x:c>
      <x:c r="I228" s="3" t="str">
        <x:v>Sand</x:v>
      </x:c>
      <x:c r="J228" s="3" t="str">
        <x:v>High</x:v>
      </x:c>
      <x:c r="K228" s="3" t="n">
        <x:v>68578830</x:v>
      </x:c>
      <x:c r="L228" s="3" t="n">
        <x:v>1100</x:v>
      </x:c>
      <x:c r="M228" s="3" t="n">
        <x:v>268.4</x:v>
      </x:c>
      <x:c r="N228" s="3" t="n">
        <x:v>7.4</x:v>
      </x:c>
      <x:c r="O228" s="3" t="n">
        <x:v>70.2</x:v>
      </x:c>
      <x:c r="P228" s="3" t="str">
        <x:v>Cloudy</x:v>
      </x:c>
      <x:c r="Q228" s="3" t="n">
        <x:v>78</x:v>
      </x:c>
      <x:c r="R228" s="3" t="n">
        <x:v>88.2</x:v>
      </x:c>
      <x:c r="S228" s="3" t="n">
        <x:v>0.1178</x:v>
      </x:c>
      <x:c r="T228" s="3" t="n">
        <x:v>22.9</x:v>
      </x:c>
      <x:c r="U228" s="3" t="n">
        <x:v>1911.8</x:v>
      </x:c>
      <x:c r="V228" s="3" t="n">
        <x:v>3261</x:v>
      </x:c>
      <x:c r="W228" s="3" t="n">
        <x:v>52.3</x:v>
      </x:c>
    </x:row>
    <x:row r="229">
      <x:c r="A229" s="3" t="str">
        <x:v>PJT_228</x:v>
      </x:c>
      <x:c r="B229" s="3" t="str">
        <x:v>Mediterranean</x:v>
      </x:c>
      <x:c r="C229" s="3" t="n">
        <x:v>23100</x:v>
      </x:c>
      <x:c r="D229" s="3" t="n">
        <x:v>19</x:v>
      </x:c>
      <x:c r="E229" s="3" t="str">
        <x:v>Medium</x:v>
      </x:c>
      <x:c r="F229" s="3" t="str">
        <x:v>Mixed-use</x:v>
      </x:c>
      <x:c r="G229" s="3" t="str">
        <x:v>Steel</x:v>
      </x:c>
      <x:c r="H229" s="3" t="str">
        <x:v>Piles</x:v>
      </x:c>
      <x:c r="I229" s="3" t="str">
        <x:v>Mixed</x:v>
      </x:c>
      <x:c r="J229" s="3" t="str">
        <x:v>Medium</x:v>
      </x:c>
      <x:c r="K229" s="3" t="n">
        <x:v>64010100</x:v>
      </x:c>
      <x:c r="L229" s="3" t="n">
        <x:v>1206</x:v>
      </x:c>
      <x:c r="M229" s="3" t="n">
        <x:v>333.4</x:v>
      </x:c>
      <x:c r="N229" s="3" t="n">
        <x:v>14.8</x:v>
      </x:c>
      <x:c r="O229" s="3" t="n">
        <x:v>56</x:v>
      </x:c>
      <x:c r="P229" s="3" t="str">
        <x:v>Cloudy</x:v>
      </x:c>
      <x:c r="Q229" s="3" t="n">
        <x:v>77</x:v>
      </x:c>
      <x:c r="R229" s="3" t="n">
        <x:v>87.3</x:v>
      </x:c>
      <x:c r="S229" s="3" t="n">
        <x:v>0.1042</x:v>
      </x:c>
      <x:c r="T229" s="3" t="n">
        <x:v>18.3</x:v>
      </x:c>
      <x:c r="U229" s="3" t="n">
        <x:v>1215.8</x:v>
      </x:c>
      <x:c r="V229" s="3" t="n">
        <x:v>2771</x:v>
      </x:c>
      <x:c r="W229" s="3" t="n">
        <x:v>52.2</x:v>
      </x:c>
    </x:row>
    <x:row r="230">
      <x:c r="A230" s="3" t="str">
        <x:v>PJT_229</x:v>
      </x:c>
      <x:c r="B230" s="3" t="str">
        <x:v>Continental</x:v>
      </x:c>
      <x:c r="C230" s="3" t="n">
        <x:v>14080</x:v>
      </x:c>
      <x:c r="D230" s="3" t="n">
        <x:v>14</x:v>
      </x:c>
      <x:c r="E230" s="3" t="str">
        <x:v>Low</x:v>
      </x:c>
      <x:c r="F230" s="3" t="str">
        <x:v>Residential</x:v>
      </x:c>
      <x:c r="G230" s="3" t="str">
        <x:v>Shear Wall</x:v>
      </x:c>
      <x:c r="H230" s="3" t="str">
        <x:v>Raft</x:v>
      </x:c>
      <x:c r="I230" s="3" t="str">
        <x:v>Mixed</x:v>
      </x:c>
      <x:c r="J230" s="3" t="str">
        <x:v>Medium</x:v>
      </x:c>
      <x:c r="K230" s="3" t="n">
        <x:v>20725760</x:v>
      </x:c>
      <x:c r="L230" s="3" t="n">
        <x:v>482</x:v>
      </x:c>
      <x:c r="M230" s="3" t="n">
        <x:v>300.8</x:v>
      </x:c>
      <x:c r="N230" s="3" t="n">
        <x:v>18.7</x:v>
      </x:c>
      <x:c r="O230" s="3" t="n">
        <x:v>55.4</x:v>
      </x:c>
      <x:c r="P230" s="3" t="str">
        <x:v>Cloudy</x:v>
      </x:c>
      <x:c r="Q230" s="3" t="n">
        <x:v>63</x:v>
      </x:c>
      <x:c r="R230" s="3" t="n">
        <x:v>71.1</x:v>
      </x:c>
      <x:c r="S230" s="3" t="n">
        <x:v>0.0764</x:v>
      </x:c>
      <x:c r="T230" s="3" t="n">
        <x:v>12</x:v>
      </x:c>
      <x:c r="U230" s="3" t="n">
        <x:v>1005.7</x:v>
      </x:c>
      <x:c r="V230" s="3" t="n">
        <x:v>1472</x:v>
      </x:c>
      <x:c r="W230" s="3" t="n">
        <x:v>34.2</x:v>
      </x:c>
    </x:row>
    <x:row r="231">
      <x:c r="A231" s="3" t="str">
        <x:v>PJT_230</x:v>
      </x:c>
      <x:c r="B231" s="3" t="str">
        <x:v>Marine</x:v>
      </x:c>
      <x:c r="C231" s="3" t="n">
        <x:v>21850</x:v>
      </x:c>
      <x:c r="D231" s="3" t="n">
        <x:v>17</x:v>
      </x:c>
      <x:c r="E231" s="3" t="str">
        <x:v>Medium</x:v>
      </x:c>
      <x:c r="F231" s="3" t="str">
        <x:v>Commercial</x:v>
      </x:c>
      <x:c r="G231" s="3" t="str">
        <x:v>Steel</x:v>
      </x:c>
      <x:c r="H231" s="3" t="str">
        <x:v>Piles</x:v>
      </x:c>
      <x:c r="I231" s="3" t="str">
        <x:v>Sand</x:v>
      </x:c>
      <x:c r="J231" s="3" t="str">
        <x:v>Low</x:v>
      </x:c>
      <x:c r="K231" s="3" t="n">
        <x:v>54887200</x:v>
      </x:c>
      <x:c r="L231" s="3" t="n">
        <x:v>1018</x:v>
      </x:c>
      <x:c r="M231" s="3" t="n">
        <x:v>272.2</x:v>
      </x:c>
      <x:c r="N231" s="3" t="n">
        <x:v>15.6</x:v>
      </x:c>
      <x:c r="O231" s="3" t="n">
        <x:v>79.3</x:v>
      </x:c>
      <x:c r="P231" s="3" t="str">
        <x:v>Cloudy</x:v>
      </x:c>
      <x:c r="Q231" s="3" t="n">
        <x:v>72</x:v>
      </x:c>
      <x:c r="R231" s="3" t="n">
        <x:v>77.6</x:v>
      </x:c>
      <x:c r="S231" s="3" t="n">
        <x:v>0.1002</x:v>
      </x:c>
      <x:c r="T231" s="3" t="n">
        <x:v>17.3</x:v>
      </x:c>
      <x:c r="U231" s="3" t="n">
        <x:v>1285.3</x:v>
      </x:c>
      <x:c r="V231" s="3" t="n">
        <x:v>2512</x:v>
      </x:c>
      <x:c r="W231" s="3" t="n">
        <x:v>46.6</x:v>
      </x:c>
    </x:row>
    <x:row r="232">
      <x:c r="A232" s="3" t="str">
        <x:v>PJT_231</x:v>
      </x:c>
      <x:c r="B232" s="3" t="str">
        <x:v>Continental</x:v>
      </x:c>
      <x:c r="C232" s="3" t="n">
        <x:v>18770</x:v>
      </x:c>
      <x:c r="D232" s="3" t="n">
        <x:v>13</x:v>
      </x:c>
      <x:c r="E232" s="3" t="str">
        <x:v>Medium</x:v>
      </x:c>
      <x:c r="F232" s="3" t="str">
        <x:v>Commercial</x:v>
      </x:c>
      <x:c r="G232" s="3" t="str">
        <x:v>Steel</x:v>
      </x:c>
      <x:c r="H232" s="3" t="str">
        <x:v>Raft</x:v>
      </x:c>
      <x:c r="I232" s="3" t="str">
        <x:v>Mixed</x:v>
      </x:c>
      <x:c r="J232" s="3" t="str">
        <x:v>Medium</x:v>
      </x:c>
      <x:c r="K232" s="3" t="n">
        <x:v>41950950</x:v>
      </x:c>
      <x:c r="L232" s="3" t="n">
        <x:v>822</x:v>
      </x:c>
      <x:c r="M232" s="3" t="n">
        <x:v>371.2</x:v>
      </x:c>
      <x:c r="N232" s="3" t="n">
        <x:v>4.1</x:v>
      </x:c>
      <x:c r="O232" s="3" t="n">
        <x:v>86.8</x:v>
      </x:c>
      <x:c r="P232" s="3" t="str">
        <x:v>Rainy</x:v>
      </x:c>
      <x:c r="Q232" s="3" t="n">
        <x:v>79</x:v>
      </x:c>
      <x:c r="R232" s="3" t="n">
        <x:v>77</x:v>
      </x:c>
      <x:c r="S232" s="3" t="n">
        <x:v>0.0983</x:v>
      </x:c>
      <x:c r="T232" s="3" t="n">
        <x:v>17.1</x:v>
      </x:c>
      <x:c r="U232" s="3" t="n">
        <x:v>1443.8</x:v>
      </x:c>
      <x:c r="V232" s="3" t="n">
        <x:v>2235</x:v>
      </x:c>
      <x:c r="W232" s="3" t="n">
        <x:v>43.8</x:v>
      </x:c>
    </x:row>
    <x:row r="233">
      <x:c r="A233" s="3" t="str">
        <x:v>PJT_232</x:v>
      </x:c>
      <x:c r="B233" s="3" t="str">
        <x:v>Humid Subtropical</x:v>
      </x:c>
      <x:c r="C233" s="3" t="n">
        <x:v>18240</x:v>
      </x:c>
      <x:c r="D233" s="3" t="n">
        <x:v>9</x:v>
      </x:c>
      <x:c r="E233" s="3" t="str">
        <x:v>Medium</x:v>
      </x:c>
      <x:c r="F233" s="3" t="str">
        <x:v>Hospital</x:v>
      </x:c>
      <x:c r="G233" s="3" t="str">
        <x:v>RC Frame</x:v>
      </x:c>
      <x:c r="H233" s="3" t="str">
        <x:v>Raft</x:v>
      </x:c>
      <x:c r="I233" s="3" t="str">
        <x:v>Rock</x:v>
      </x:c>
      <x:c r="J233" s="3" t="str">
        <x:v>Medium</x:v>
      </x:c>
      <x:c r="K233" s="3" t="n">
        <x:v>55960320</x:v>
      </x:c>
      <x:c r="L233" s="3" t="n">
        <x:v>874</x:v>
      </x:c>
      <x:c r="M233" s="3" t="n">
        <x:v>765.2</x:v>
      </x:c>
      <x:c r="N233" s="3" t="n">
        <x:v>25.1</x:v>
      </x:c>
      <x:c r="O233" s="3" t="n">
        <x:v>79.2</x:v>
      </x:c>
      <x:c r="P233" s="3" t="str">
        <x:v>Rainy</x:v>
      </x:c>
      <x:c r="Q233" s="3" t="n">
        <x:v>91</x:v>
      </x:c>
      <x:c r="R233" s="3" t="n">
        <x:v>85.5</x:v>
      </x:c>
      <x:c r="S233" s="3" t="n">
        <x:v>0.1068</x:v>
      </x:c>
      <x:c r="T233" s="3" t="n">
        <x:v>20.7</x:v>
      </x:c>
      <x:c r="U233" s="3" t="n">
        <x:v>2026.7</x:v>
      </x:c>
      <x:c r="V233" s="3" t="n">
        <x:v>3068</x:v>
      </x:c>
      <x:c r="W233" s="3" t="n">
        <x:v>47.9</x:v>
      </x:c>
    </x:row>
    <x:row r="234">
      <x:c r="A234" s="3" t="str">
        <x:v>PJT_233</x:v>
      </x:c>
      <x:c r="B234" s="3" t="str">
        <x:v>Mediterranean</x:v>
      </x:c>
      <x:c r="C234" s="3" t="n">
        <x:v>12660</x:v>
      </x:c>
      <x:c r="D234" s="3" t="n">
        <x:v>10</x:v>
      </x:c>
      <x:c r="E234" s="3" t="str">
        <x:v>Medium</x:v>
      </x:c>
      <x:c r="F234" s="3" t="str">
        <x:v>Mixed-use</x:v>
      </x:c>
      <x:c r="G234" s="3" t="str">
        <x:v>Steel</x:v>
      </x:c>
      <x:c r="H234" s="3" t="str">
        <x:v>Raft</x:v>
      </x:c>
      <x:c r="I234" s="3" t="str">
        <x:v>Sand</x:v>
      </x:c>
      <x:c r="J234" s="3" t="str">
        <x:v>High</x:v>
      </x:c>
      <x:c r="K234" s="3" t="n">
        <x:v>33004620</x:v>
      </x:c>
      <x:c r="L234" s="3" t="n">
        <x:v>582</x:v>
      </x:c>
      <x:c r="M234" s="3" t="n">
        <x:v>243.7</x:v>
      </x:c>
      <x:c r="N234" s="3" t="n">
        <x:v>16.6</x:v>
      </x:c>
      <x:c r="O234" s="3" t="n">
        <x:v>62.1</x:v>
      </x:c>
      <x:c r="P234" s="3" t="str">
        <x:v>Cloudy</x:v>
      </x:c>
      <x:c r="Q234" s="3" t="n">
        <x:v>68</x:v>
      </x:c>
      <x:c r="R234" s="3" t="n">
        <x:v>79</x:v>
      </x:c>
      <x:c r="S234" s="3" t="n">
        <x:v>0.1059</x:v>
      </x:c>
      <x:c r="T234" s="3" t="n">
        <x:v>18.3</x:v>
      </x:c>
      <x:c r="U234" s="3" t="n">
        <x:v>1266</x:v>
      </x:c>
      <x:c r="V234" s="3" t="n">
        <x:v>2607</x:v>
      </x:c>
      <x:c r="W234" s="3" t="n">
        <x:v>46</x:v>
      </x:c>
    </x:row>
    <x:row r="235">
      <x:c r="A235" s="3" t="str">
        <x:v>PJT_234</x:v>
      </x:c>
      <x:c r="B235" s="3" t="str">
        <x:v>Mediterranean</x:v>
      </x:c>
      <x:c r="C235" s="3" t="n">
        <x:v>10400</x:v>
      </x:c>
      <x:c r="D235" s="3" t="n">
        <x:v>5</x:v>
      </x:c>
      <x:c r="E235" s="3" t="str">
        <x:v>Medium</x:v>
      </x:c>
      <x:c r="F235" s="3" t="str">
        <x:v>Commercial</x:v>
      </x:c>
      <x:c r="G235" s="3" t="str">
        <x:v>RC Frame</x:v>
      </x:c>
      <x:c r="H235" s="3" t="str">
        <x:v>Raft</x:v>
      </x:c>
      <x:c r="I235" s="3" t="str">
        <x:v>Soft Clay</x:v>
      </x:c>
      <x:c r="J235" s="3" t="str">
        <x:v>High</x:v>
      </x:c>
      <x:c r="K235" s="3" t="n">
        <x:v>23743200</x:v>
      </x:c>
      <x:c r="L235" s="3" t="n">
        <x:v>401</x:v>
      </x:c>
      <x:c r="M235" s="3" t="n">
        <x:v>181.7</x:v>
      </x:c>
      <x:c r="N235" s="3" t="n">
        <x:v>19</x:v>
      </x:c>
      <x:c r="O235" s="3" t="n">
        <x:v>50.5</x:v>
      </x:c>
      <x:c r="P235" s="3" t="str">
        <x:v>Cloudy</x:v>
      </x:c>
      <x:c r="Q235" s="3" t="n">
        <x:v>63</x:v>
      </x:c>
      <x:c r="R235" s="3" t="n">
        <x:v>75.9</x:v>
      </x:c>
      <x:c r="S235" s="3" t="n">
        <x:v>0.0912</x:v>
      </x:c>
      <x:c r="T235" s="3" t="n">
        <x:v>16.8</x:v>
      </x:c>
      <x:c r="U235" s="3" t="n">
        <x:v>2080</x:v>
      </x:c>
      <x:c r="V235" s="3" t="n">
        <x:v>2283</x:v>
      </x:c>
      <x:c r="W235" s="3" t="n">
        <x:v>38.6</x:v>
      </x:c>
    </x:row>
    <x:row r="236">
      <x:c r="A236" s="3" t="str">
        <x:v>PJT_235</x:v>
      </x:c>
      <x:c r="B236" s="3" t="str">
        <x:v>Mediterranean</x:v>
      </x:c>
      <x:c r="C236" s="3" t="n">
        <x:v>16890</x:v>
      </x:c>
      <x:c r="D236" s="3" t="n">
        <x:v>11</x:v>
      </x:c>
      <x:c r="E236" s="3" t="str">
        <x:v>Medium</x:v>
      </x:c>
      <x:c r="F236" s="3" t="str">
        <x:v>Mixed-use</x:v>
      </x:c>
      <x:c r="G236" s="3" t="str">
        <x:v>Shear Wall</x:v>
      </x:c>
      <x:c r="H236" s="3" t="str">
        <x:v>Piles</x:v>
      </x:c>
      <x:c r="I236" s="3" t="str">
        <x:v>Soft Clay</x:v>
      </x:c>
      <x:c r="J236" s="3" t="str">
        <x:v>Low</x:v>
      </x:c>
      <x:c r="K236" s="3" t="n">
        <x:v>42951270</x:v>
      </x:c>
      <x:c r="L236" s="3" t="n">
        <x:v>797</x:v>
      </x:c>
      <x:c r="M236" s="3" t="n">
        <x:v>221.1</x:v>
      </x:c>
      <x:c r="N236" s="3" t="n">
        <x:v>19.6</x:v>
      </x:c>
      <x:c r="O236" s="3" t="n">
        <x:v>64.2</x:v>
      </x:c>
      <x:c r="P236" s="3" t="str">
        <x:v>Cloudy</x:v>
      </x:c>
      <x:c r="Q236" s="3" t="n">
        <x:v>73</x:v>
      </x:c>
      <x:c r="R236" s="3" t="n">
        <x:v>84.8</x:v>
      </x:c>
      <x:c r="S236" s="3" t="n">
        <x:v>0.1004</x:v>
      </x:c>
      <x:c r="T236" s="3" t="n">
        <x:v>17.5</x:v>
      </x:c>
      <x:c r="U236" s="3" t="n">
        <x:v>1535.5</x:v>
      </x:c>
      <x:c r="V236" s="3" t="n">
        <x:v>2543</x:v>
      </x:c>
      <x:c r="W236" s="3" t="n">
        <x:v>47.2</x:v>
      </x:c>
    </x:row>
    <x:row r="237">
      <x:c r="A237" s="3" t="str">
        <x:v>PJT_236</x:v>
      </x:c>
      <x:c r="B237" s="3" t="str">
        <x:v>Continental</x:v>
      </x:c>
      <x:c r="C237" s="3" t="n">
        <x:v>5220</x:v>
      </x:c>
      <x:c r="D237" s="3" t="n">
        <x:v>4</x:v>
      </x:c>
      <x:c r="E237" s="3" t="str">
        <x:v>Medium</x:v>
      </x:c>
      <x:c r="F237" s="3" t="str">
        <x:v>Commercial</x:v>
      </x:c>
      <x:c r="G237" s="3" t="str">
        <x:v>RC Frame</x:v>
      </x:c>
      <x:c r="H237" s="3" t="str">
        <x:v>Raft</x:v>
      </x:c>
      <x:c r="I237" s="3" t="str">
        <x:v>Sand</x:v>
      </x:c>
      <x:c r="J237" s="3" t="str">
        <x:v>High</x:v>
      </x:c>
      <x:c r="K237" s="3" t="n">
        <x:v>11656260</x:v>
      </x:c>
      <x:c r="L237" s="3" t="n">
        <x:v>205</x:v>
      </x:c>
      <x:c r="M237" s="3" t="n">
        <x:v>217.7</x:v>
      </x:c>
      <x:c r="N237" s="3" t="n">
        <x:v>15.9</x:v>
      </x:c>
      <x:c r="O237" s="3" t="n">
        <x:v>61.8</x:v>
      </x:c>
      <x:c r="P237" s="3" t="str">
        <x:v>Cloudy</x:v>
      </x:c>
      <x:c r="Q237" s="3" t="n">
        <x:v>99</x:v>
      </x:c>
      <x:c r="R237" s="3" t="n">
        <x:v>74.6</x:v>
      </x:c>
      <x:c r="S237" s="3" t="n">
        <x:v>0.0888</x:v>
      </x:c>
      <x:c r="T237" s="3" t="n">
        <x:v>16</x:v>
      </x:c>
      <x:c r="U237" s="3" t="n">
        <x:v>1305</x:v>
      </x:c>
      <x:c r="V237" s="3" t="n">
        <x:v>2233</x:v>
      </x:c>
      <x:c r="W237" s="3" t="n">
        <x:v>39.2</x:v>
      </x:c>
    </x:row>
    <x:row r="238">
      <x:c r="A238" s="3" t="str">
        <x:v>PJT_237</x:v>
      </x:c>
      <x:c r="B238" s="3" t="str">
        <x:v>Humid Subtropical</x:v>
      </x:c>
      <x:c r="C238" s="3" t="n">
        <x:v>14460</x:v>
      </x:c>
      <x:c r="D238" s="3" t="n">
        <x:v>8</x:v>
      </x:c>
      <x:c r="E238" s="3" t="str">
        <x:v>Medium</x:v>
      </x:c>
      <x:c r="F238" s="3" t="str">
        <x:v>Commercial</x:v>
      </x:c>
      <x:c r="G238" s="3" t="str">
        <x:v>RC Frame</x:v>
      </x:c>
      <x:c r="H238" s="3" t="str">
        <x:v>Raft</x:v>
      </x:c>
      <x:c r="I238" s="3" t="str">
        <x:v>Rock</x:v>
      </x:c>
      <x:c r="J238" s="3" t="str">
        <x:v>Low</x:v>
      </x:c>
      <x:c r="K238" s="3" t="n">
        <x:v>30539520</x:v>
      </x:c>
      <x:c r="L238" s="3" t="n">
        <x:v>613</x:v>
      </x:c>
      <x:c r="M238" s="3" t="n">
        <x:v>635.6</x:v>
      </x:c>
      <x:c r="N238" s="3" t="n">
        <x:v>21.8</x:v>
      </x:c>
      <x:c r="O238" s="3" t="n">
        <x:v>89.8</x:v>
      </x:c>
      <x:c r="P238" s="3" t="str">
        <x:v>Rainy</x:v>
      </x:c>
      <x:c r="Q238" s="3" t="n">
        <x:v>97</x:v>
      </x:c>
      <x:c r="R238" s="3" t="n">
        <x:v>76.7</x:v>
      </x:c>
      <x:c r="S238" s="3" t="n">
        <x:v>0.0924</x:v>
      </x:c>
      <x:c r="T238" s="3" t="n">
        <x:v>15.7</x:v>
      </x:c>
      <x:c r="U238" s="3" t="n">
        <x:v>1807.5</x:v>
      </x:c>
      <x:c r="V238" s="3" t="n">
        <x:v>2112</x:v>
      </x:c>
      <x:c r="W238" s="3" t="n">
        <x:v>42.4</x:v>
      </x:c>
    </x:row>
    <x:row r="239">
      <x:c r="A239" s="3" t="str">
        <x:v>PJT_238</x:v>
      </x:c>
      <x:c r="B239" s="3" t="str">
        <x:v>Marine</x:v>
      </x:c>
      <x:c r="C239" s="3" t="n">
        <x:v>20010</x:v>
      </x:c>
      <x:c r="D239" s="3" t="n">
        <x:v>9</x:v>
      </x:c>
      <x:c r="E239" s="3" t="str">
        <x:v>Medium</x:v>
      </x:c>
      <x:c r="F239" s="3" t="str">
        <x:v>Hospital</x:v>
      </x:c>
      <x:c r="G239" s="3" t="str">
        <x:v>RC Frame</x:v>
      </x:c>
      <x:c r="H239" s="3" t="str">
        <x:v>Piles</x:v>
      </x:c>
      <x:c r="I239" s="3" t="str">
        <x:v>Soft Clay</x:v>
      </x:c>
      <x:c r="J239" s="3" t="str">
        <x:v>Low</x:v>
      </x:c>
      <x:c r="K239" s="3" t="n">
        <x:v>61350660</x:v>
      </x:c>
      <x:c r="L239" s="3" t="n">
        <x:v>994</x:v>
      </x:c>
      <x:c r="M239" s="3" t="n">
        <x:v>231.7</x:v>
      </x:c>
      <x:c r="N239" s="3" t="n">
        <x:v>10.6</x:v>
      </x:c>
      <x:c r="O239" s="3" t="n">
        <x:v>79.8</x:v>
      </x:c>
      <x:c r="P239" s="3" t="str">
        <x:v>Rainy</x:v>
      </x:c>
      <x:c r="Q239" s="3" t="n">
        <x:v>100</x:v>
      </x:c>
      <x:c r="R239" s="3" t="n">
        <x:v>78</x:v>
      </x:c>
      <x:c r="S239" s="3" t="n">
        <x:v>0.1067</x:v>
      </x:c>
      <x:c r="T239" s="3" t="n">
        <x:v>21.4</x:v>
      </x:c>
      <x:c r="U239" s="3" t="n">
        <x:v>2223.3</x:v>
      </x:c>
      <x:c r="V239" s="3" t="n">
        <x:v>3066</x:v>
      </x:c>
      <x:c r="W239" s="3" t="n">
        <x:v>49.7</x:v>
      </x:c>
    </x:row>
    <x:row r="240">
      <x:c r="A240" s="3" t="str">
        <x:v>PJT_239</x:v>
      </x:c>
      <x:c r="B240" s="3" t="str">
        <x:v>Marine</x:v>
      </x:c>
      <x:c r="C240" s="3" t="n">
        <x:v>22730</x:v>
      </x:c>
      <x:c r="D240" s="3" t="n">
        <x:v>14</x:v>
      </x:c>
      <x:c r="E240" s="3" t="str">
        <x:v>Medium</x:v>
      </x:c>
      <x:c r="F240" s="3" t="str">
        <x:v>Mixed-use</x:v>
      </x:c>
      <x:c r="G240" s="3" t="str">
        <x:v>Steel</x:v>
      </x:c>
      <x:c r="H240" s="3" t="str">
        <x:v>Piles</x:v>
      </x:c>
      <x:c r="I240" s="3" t="str">
        <x:v>Soft Clay</x:v>
      </x:c>
      <x:c r="J240" s="3" t="str">
        <x:v>Low</x:v>
      </x:c>
      <x:c r="K240" s="3" t="n">
        <x:v>59393490</x:v>
      </x:c>
      <x:c r="L240" s="3" t="n">
        <x:v>1237</x:v>
      </x:c>
      <x:c r="M240" s="3" t="n">
        <x:v>227.1</x:v>
      </x:c>
      <x:c r="N240" s="3" t="n">
        <x:v>15.4</x:v>
      </x:c>
      <x:c r="O240" s="3" t="n">
        <x:v>80.4</x:v>
      </x:c>
      <x:c r="P240" s="3" t="str">
        <x:v>Stormy</x:v>
      </x:c>
      <x:c r="Q240" s="3" t="n">
        <x:v>89</x:v>
      </x:c>
      <x:c r="R240" s="3" t="n">
        <x:v>83.3</x:v>
      </x:c>
      <x:c r="S240" s="3" t="n">
        <x:v>0.1004</x:v>
      </x:c>
      <x:c r="T240" s="3" t="n">
        <x:v>18.8</x:v>
      </x:c>
      <x:c r="U240" s="3" t="n">
        <x:v>1623.6</x:v>
      </x:c>
      <x:c r="V240" s="3" t="n">
        <x:v>2613</x:v>
      </x:c>
      <x:c r="W240" s="3" t="n">
        <x:v>54.4</x:v>
      </x:c>
    </x:row>
    <x:row r="241">
      <x:c r="A241" s="3" t="str">
        <x:v>PJT_240</x:v>
      </x:c>
      <x:c r="B241" s="3" t="str">
        <x:v>Marine</x:v>
      </x:c>
      <x:c r="C241" s="3" t="n">
        <x:v>12340</x:v>
      </x:c>
      <x:c r="D241" s="3" t="n">
        <x:v>5</x:v>
      </x:c>
      <x:c r="E241" s="3" t="str">
        <x:v>Low</x:v>
      </x:c>
      <x:c r="F241" s="3" t="str">
        <x:v>School</x:v>
      </x:c>
      <x:c r="G241" s="3" t="str">
        <x:v>RC Frame</x:v>
      </x:c>
      <x:c r="H241" s="3" t="str">
        <x:v>Raft</x:v>
      </x:c>
      <x:c r="I241" s="3" t="str">
        <x:v>Soft Clay</x:v>
      </x:c>
      <x:c r="J241" s="3" t="str">
        <x:v>Medium</x:v>
      </x:c>
      <x:c r="K241" s="3" t="n">
        <x:v>21706060</x:v>
      </x:c>
      <x:c r="L241" s="3" t="n">
        <x:v>365</x:v>
      </x:c>
      <x:c r="M241" s="3" t="n">
        <x:v>186.8</x:v>
      </x:c>
      <x:c r="N241" s="3" t="n">
        <x:v>9.2</x:v>
      </x:c>
      <x:c r="O241" s="3" t="n">
        <x:v>75.7</x:v>
      </x:c>
      <x:c r="P241" s="3" t="str">
        <x:v>Rainy</x:v>
      </x:c>
      <x:c r="Q241" s="3" t="n">
        <x:v>85</x:v>
      </x:c>
      <x:c r="R241" s="3" t="n">
        <x:v>64</x:v>
      </x:c>
      <x:c r="S241" s="3" t="n">
        <x:v>0.0816</x:v>
      </x:c>
      <x:c r="T241" s="3" t="n">
        <x:v>14</x:v>
      </x:c>
      <x:c r="U241" s="3" t="n">
        <x:v>2468</x:v>
      </x:c>
      <x:c r="V241" s="3" t="n">
        <x:v>1759</x:v>
      </x:c>
      <x:c r="W241" s="3" t="n">
        <x:v>29.6</x:v>
      </x:c>
    </x:row>
    <x:row r="242">
      <x:c r="A242" s="3" t="str">
        <x:v>PJT_241</x:v>
      </x:c>
      <x:c r="B242" s="3" t="str">
        <x:v>Marine</x:v>
      </x:c>
      <x:c r="C242" s="3" t="n">
        <x:v>5700</x:v>
      </x:c>
      <x:c r="D242" s="3" t="n">
        <x:v>7</x:v>
      </x:c>
      <x:c r="E242" s="3" t="str">
        <x:v>Low</x:v>
      </x:c>
      <x:c r="F242" s="3" t="str">
        <x:v>Residential</x:v>
      </x:c>
      <x:c r="G242" s="3" t="str">
        <x:v>RC Frame</x:v>
      </x:c>
      <x:c r="H242" s="3" t="str">
        <x:v>Raft</x:v>
      </x:c>
      <x:c r="I242" s="3" t="str">
        <x:v>Mixed</x:v>
      </x:c>
      <x:c r="J242" s="3" t="str">
        <x:v>High</x:v>
      </x:c>
      <x:c r="K242" s="3" t="n">
        <x:v>8316300</x:v>
      </x:c>
      <x:c r="L242" s="3" t="n">
        <x:v>185</x:v>
      </x:c>
      <x:c r="M242" s="3" t="n">
        <x:v>275.6</x:v>
      </x:c>
      <x:c r="N242" s="3" t="n">
        <x:v>16</x:v>
      </x:c>
      <x:c r="O242" s="3" t="n">
        <x:v>75</x:v>
      </x:c>
      <x:c r="P242" s="3" t="str">
        <x:v>Rainy</x:v>
      </x:c>
      <x:c r="Q242" s="3" t="n">
        <x:v>87</x:v>
      </x:c>
      <x:c r="R242" s="3" t="n">
        <x:v>63.4</x:v>
      </x:c>
      <x:c r="S242" s="3" t="n">
        <x:v>0.0722</x:v>
      </x:c>
      <x:c r="T242" s="3" t="n">
        <x:v>12.2</x:v>
      </x:c>
      <x:c r="U242" s="3" t="n">
        <x:v>814.3</x:v>
      </x:c>
      <x:c r="V242" s="3" t="n">
        <x:v>1459</x:v>
      </x:c>
      <x:c r="W242" s="3" t="n">
        <x:v>32.5</x:v>
      </x:c>
    </x:row>
    <x:row r="243">
      <x:c r="A243" s="3" t="str">
        <x:v>PJT_242</x:v>
      </x:c>
      <x:c r="B243" s="3" t="str">
        <x:v>Continental</x:v>
      </x:c>
      <x:c r="C243" s="3" t="n">
        <x:v>4220</x:v>
      </x:c>
      <x:c r="D243" s="3" t="n">
        <x:v>6</x:v>
      </x:c>
      <x:c r="E243" s="3" t="str">
        <x:v>Low</x:v>
      </x:c>
      <x:c r="F243" s="3" t="str">
        <x:v>Residential</x:v>
      </x:c>
      <x:c r="G243" s="3" t="str">
        <x:v>RC Frame</x:v>
      </x:c>
      <x:c r="H243" s="3" t="str">
        <x:v>Raft</x:v>
      </x:c>
      <x:c r="I243" s="3" t="str">
        <x:v>Mixed</x:v>
      </x:c>
      <x:c r="J243" s="3" t="str">
        <x:v>High</x:v>
      </x:c>
      <x:c r="K243" s="3" t="n">
        <x:v>6043040</x:v>
      </x:c>
      <x:c r="L243" s="3" t="n">
        <x:v>180</x:v>
      </x:c>
      <x:c r="M243" s="3" t="n">
        <x:v>323.5</x:v>
      </x:c>
      <x:c r="N243" s="3" t="n">
        <x:v>14.7</x:v>
      </x:c>
      <x:c r="O243" s="3" t="n">
        <x:v>66.1</x:v>
      </x:c>
      <x:c r="P243" s="3" t="str">
        <x:v>Rainy</x:v>
      </x:c>
      <x:c r="Q243" s="3" t="n">
        <x:v>95</x:v>
      </x:c>
      <x:c r="R243" s="3" t="n">
        <x:v>67.2</x:v>
      </x:c>
      <x:c r="S243" s="3" t="n">
        <x:v>0.0755</x:v>
      </x:c>
      <x:c r="T243" s="3" t="n">
        <x:v>11.2</x:v>
      </x:c>
      <x:c r="U243" s="3" t="n">
        <x:v>703.3</x:v>
      </x:c>
      <x:c r="V243" s="3" t="n">
        <x:v>1432</x:v>
      </x:c>
      <x:c r="W243" s="3" t="n">
        <x:v>34.2</x:v>
      </x:c>
    </x:row>
    <x:row r="244">
      <x:c r="A244" s="3" t="str">
        <x:v>PJT_243</x:v>
      </x:c>
      <x:c r="B244" s="3" t="str">
        <x:v>Humid Subtropical</x:v>
      </x:c>
      <x:c r="C244" s="3" t="n">
        <x:v>11850</x:v>
      </x:c>
      <x:c r="D244" s="3" t="n">
        <x:v>10</x:v>
      </x:c>
      <x:c r="E244" s="3" t="str">
        <x:v>Low</x:v>
      </x:c>
      <x:c r="F244" s="3" t="str">
        <x:v>Residential</x:v>
      </x:c>
      <x:c r="G244" s="3" t="str">
        <x:v>Shear Wall</x:v>
      </x:c>
      <x:c r="H244" s="3" t="str">
        <x:v>Piles</x:v>
      </x:c>
      <x:c r="I244" s="3" t="str">
        <x:v>Soft Clay</x:v>
      </x:c>
      <x:c r="J244" s="3" t="str">
        <x:v>High</x:v>
      </x:c>
      <x:c r="K244" s="3" t="n">
        <x:v>19208850</x:v>
      </x:c>
      <x:c r="L244" s="3" t="n">
        <x:v>485</x:v>
      </x:c>
      <x:c r="M244" s="3" t="n">
        <x:v>170.8</x:v>
      </x:c>
      <x:c r="N244" s="3" t="n">
        <x:v>23.5</x:v>
      </x:c>
      <x:c r="O244" s="3" t="n">
        <x:v>83</x:v>
      </x:c>
      <x:c r="P244" s="3" t="str">
        <x:v>Stormy</x:v>
      </x:c>
      <x:c r="Q244" s="3" t="n">
        <x:v>97</x:v>
      </x:c>
      <x:c r="R244" s="3" t="n">
        <x:v>63.3</x:v>
      </x:c>
      <x:c r="S244" s="3" t="n">
        <x:v>0.081</x:v>
      </x:c>
      <x:c r="T244" s="3" t="n">
        <x:v>12</x:v>
      </x:c>
      <x:c r="U244" s="3" t="n">
        <x:v>1185</x:v>
      </x:c>
      <x:c r="V244" s="3" t="n">
        <x:v>1621</x:v>
      </x:c>
      <x:c r="W244" s="3" t="n">
        <x:v>40.9</x:v>
      </x:c>
    </x:row>
    <x:row r="245">
      <x:c r="A245" s="3" t="str">
        <x:v>PJT_244</x:v>
      </x:c>
      <x:c r="B245" s="3" t="str">
        <x:v>Humid Subtropical</x:v>
      </x:c>
      <x:c r="C245" s="3" t="n">
        <x:v>5570</x:v>
      </x:c>
      <x:c r="D245" s="3" t="n">
        <x:v>4</x:v>
      </x:c>
      <x:c r="E245" s="3" t="str">
        <x:v>Low</x:v>
      </x:c>
      <x:c r="F245" s="3" t="str">
        <x:v>Residential</x:v>
      </x:c>
      <x:c r="G245" s="3" t="str">
        <x:v>RC Frame</x:v>
      </x:c>
      <x:c r="H245" s="3" t="str">
        <x:v>Raft</x:v>
      </x:c>
      <x:c r="I245" s="3" t="str">
        <x:v>Mixed</x:v>
      </x:c>
      <x:c r="J245" s="3" t="str">
        <x:v>Medium</x:v>
      </x:c>
      <x:c r="K245" s="3" t="n">
        <x:v>7235430</x:v>
      </x:c>
      <x:c r="L245" s="3" t="n">
        <x:v>184</x:v>
      </x:c>
      <x:c r="M245" s="3" t="n">
        <x:v>369.8</x:v>
      </x:c>
      <x:c r="N245" s="3" t="n">
        <x:v>20.7</x:v>
      </x:c>
      <x:c r="O245" s="3" t="n">
        <x:v>81.2</x:v>
      </x:c>
      <x:c r="P245" s="3" t="str">
        <x:v>Rainy</x:v>
      </x:c>
      <x:c r="Q245" s="3" t="n">
        <x:v>80</x:v>
      </x:c>
      <x:c r="R245" s="3" t="n">
        <x:v>61.6</x:v>
      </x:c>
      <x:c r="S245" s="3" t="n">
        <x:v>0.0705</x:v>
      </x:c>
      <x:c r="T245" s="3" t="n">
        <x:v>11.2</x:v>
      </x:c>
      <x:c r="U245" s="3" t="n">
        <x:v>1392.5</x:v>
      </x:c>
      <x:c r="V245" s="3" t="n">
        <x:v>1299</x:v>
      </x:c>
      <x:c r="W245" s="3" t="n">
        <x:v>33</x:v>
      </x:c>
    </x:row>
    <x:row r="246">
      <x:c r="A246" s="3" t="str">
        <x:v>PJT_245</x:v>
      </x:c>
      <x:c r="B246" s="3" t="str">
        <x:v>Mediterranean</x:v>
      </x:c>
      <x:c r="C246" s="3" t="n">
        <x:v>15360</x:v>
      </x:c>
      <x:c r="D246" s="3" t="n">
        <x:v>15</x:v>
      </x:c>
      <x:c r="E246" s="3" t="str">
        <x:v>Medium</x:v>
      </x:c>
      <x:c r="F246" s="3" t="str">
        <x:v>Commercial</x:v>
      </x:c>
      <x:c r="G246" s="3" t="str">
        <x:v>Steel</x:v>
      </x:c>
      <x:c r="H246" s="3" t="str">
        <x:v>Piles</x:v>
      </x:c>
      <x:c r="I246" s="3" t="str">
        <x:v>Soft Clay</x:v>
      </x:c>
      <x:c r="J246" s="3" t="str">
        <x:v>High</x:v>
      </x:c>
      <x:c r="K246" s="3" t="n">
        <x:v>38492160</x:v>
      </x:c>
      <x:c r="L246" s="3" t="n">
        <x:v>697</x:v>
      </x:c>
      <x:c r="M246" s="3" t="n">
        <x:v>195.5</x:v>
      </x:c>
      <x:c r="N246" s="3" t="n">
        <x:v>22.2</x:v>
      </x:c>
      <x:c r="O246" s="3" t="n">
        <x:v>54.5</x:v>
      </x:c>
      <x:c r="P246" s="3" t="str">
        <x:v>Sunny</x:v>
      </x:c>
      <x:c r="Q246" s="3" t="n">
        <x:v>78</x:v>
      </x:c>
      <x:c r="R246" s="3" t="n">
        <x:v>75.2</x:v>
      </x:c>
      <x:c r="S246" s="3" t="n">
        <x:v>0.0953</x:v>
      </x:c>
      <x:c r="T246" s="3" t="n">
        <x:v>16.5</x:v>
      </x:c>
      <x:c r="U246" s="3" t="n">
        <x:v>1024</x:v>
      </x:c>
      <x:c r="V246" s="3" t="n">
        <x:v>2506</x:v>
      </x:c>
      <x:c r="W246" s="3" t="n">
        <x:v>45.4</x:v>
      </x:c>
    </x:row>
    <x:row r="247">
      <x:c r="A247" s="3" t="str">
        <x:v>PJT_246</x:v>
      </x:c>
      <x:c r="B247" s="3" t="str">
        <x:v>Continental</x:v>
      </x:c>
      <x:c r="C247" s="3" t="n">
        <x:v>38560</x:v>
      </x:c>
      <x:c r="D247" s="3" t="n">
        <x:v>23</x:v>
      </x:c>
      <x:c r="E247" s="3" t="str">
        <x:v>High</x:v>
      </x:c>
      <x:c r="F247" s="3" t="str">
        <x:v>Mixed-use</x:v>
      </x:c>
      <x:c r="G247" s="3" t="str">
        <x:v>Steel</x:v>
      </x:c>
      <x:c r="H247" s="3" t="str">
        <x:v>Piles</x:v>
      </x:c>
      <x:c r="I247" s="3" t="str">
        <x:v>Soft Clay</x:v>
      </x:c>
      <x:c r="J247" s="3" t="str">
        <x:v>Low</x:v>
      </x:c>
      <x:c r="K247" s="3" t="n">
        <x:v>108739200</x:v>
      </x:c>
      <x:c r="L247" s="3" t="n">
        <x:v>2209</x:v>
      </x:c>
      <x:c r="M247" s="3" t="n">
        <x:v>159.1</x:v>
      </x:c>
      <x:c r="N247" s="3" t="n">
        <x:v>0.4</x:v>
      </x:c>
      <x:c r="O247" s="3" t="n">
        <x:v>67.8</x:v>
      </x:c>
      <x:c r="P247" s="3" t="str">
        <x:v>Cloudy</x:v>
      </x:c>
      <x:c r="Q247" s="3" t="n">
        <x:v>103</x:v>
      </x:c>
      <x:c r="R247" s="3" t="n">
        <x:v>92</x:v>
      </x:c>
      <x:c r="S247" s="3" t="n">
        <x:v>0.1048</x:v>
      </x:c>
      <x:c r="T247" s="3" t="n">
        <x:v>20.2</x:v>
      </x:c>
      <x:c r="U247" s="3" t="n">
        <x:v>1676.5</x:v>
      </x:c>
      <x:c r="V247" s="3" t="n">
        <x:v>2820</x:v>
      </x:c>
      <x:c r="W247" s="3" t="n">
        <x:v>57.3</x:v>
      </x:c>
    </x:row>
    <x:row r="248">
      <x:c r="A248" s="3" t="str">
        <x:v>PJT_247</x:v>
      </x:c>
      <x:c r="B248" s="3" t="str">
        <x:v>Continental</x:v>
      </x:c>
      <x:c r="C248" s="3" t="n">
        <x:v>8730</x:v>
      </x:c>
      <x:c r="D248" s="3" t="n">
        <x:v>4</x:v>
      </x:c>
      <x:c r="E248" s="3" t="str">
        <x:v>Low</x:v>
      </x:c>
      <x:c r="F248" s="3" t="str">
        <x:v>School</x:v>
      </x:c>
      <x:c r="G248" s="3" t="str">
        <x:v>RC Frame</x:v>
      </x:c>
      <x:c r="H248" s="3" t="str">
        <x:v>Raft</x:v>
      </x:c>
      <x:c r="I248" s="3" t="str">
        <x:v>Rock</x:v>
      </x:c>
      <x:c r="J248" s="3" t="str">
        <x:v>Low</x:v>
      </x:c>
      <x:c r="K248" s="3" t="n">
        <x:v>14491800</x:v>
      </x:c>
      <x:c r="L248" s="3" t="n">
        <x:v>277</x:v>
      </x:c>
      <x:c r="M248" s="3" t="n">
        <x:v>598.9</x:v>
      </x:c>
      <x:c r="N248" s="3" t="n">
        <x:v>15.5</x:v>
      </x:c>
      <x:c r="O248" s="3" t="n">
        <x:v>82.5</x:v>
      </x:c>
      <x:c r="P248" s="3" t="str">
        <x:v>Rainy</x:v>
      </x:c>
      <x:c r="Q248" s="3" t="n">
        <x:v>69</x:v>
      </x:c>
      <x:c r="R248" s="3" t="n">
        <x:v>67.2</x:v>
      </x:c>
      <x:c r="S248" s="3" t="n">
        <x:v>0.0797</x:v>
      </x:c>
      <x:c r="T248" s="3" t="n">
        <x:v>12.8</x:v>
      </x:c>
      <x:c r="U248" s="3" t="n">
        <x:v>2182.5</x:v>
      </x:c>
      <x:c r="V248" s="3" t="n">
        <x:v>1660</x:v>
      </x:c>
      <x:c r="W248" s="3" t="n">
        <x:v>31.7</x:v>
      </x:c>
    </x:row>
    <x:row r="249">
      <x:c r="A249" s="3" t="str">
        <x:v>PJT_248</x:v>
      </x:c>
      <x:c r="B249" s="3" t="str">
        <x:v>Continental</x:v>
      </x:c>
      <x:c r="C249" s="3" t="n">
        <x:v>22820</x:v>
      </x:c>
      <x:c r="D249" s="3" t="n">
        <x:v>20</x:v>
      </x:c>
      <x:c r="E249" s="3" t="str">
        <x:v>Medium</x:v>
      </x:c>
      <x:c r="F249" s="3" t="str">
        <x:v>Mixed-use</x:v>
      </x:c>
      <x:c r="G249" s="3" t="str">
        <x:v>Steel</x:v>
      </x:c>
      <x:c r="H249" s="3" t="str">
        <x:v>Piles</x:v>
      </x:c>
      <x:c r="I249" s="3" t="str">
        <x:v>Sand</x:v>
      </x:c>
      <x:c r="J249" s="3" t="str">
        <x:v>Low</x:v>
      </x:c>
      <x:c r="K249" s="3" t="n">
        <x:v>58305100</x:v>
      </x:c>
      <x:c r="L249" s="3" t="n">
        <x:v>1130</x:v>
      </x:c>
      <x:c r="M249" s="3" t="n">
        <x:v>258.2</x:v>
      </x:c>
      <x:c r="N249" s="3" t="n">
        <x:v>7</x:v>
      </x:c>
      <x:c r="O249" s="3" t="n">
        <x:v>59.8</x:v>
      </x:c>
      <x:c r="P249" s="3" t="str">
        <x:v>Cloudy</x:v>
      </x:c>
      <x:c r="Q249" s="3" t="n">
        <x:v>90</x:v>
      </x:c>
      <x:c r="R249" s="3" t="n">
        <x:v>84</x:v>
      </x:c>
      <x:c r="S249" s="3" t="n">
        <x:v>0.1012</x:v>
      </x:c>
      <x:c r="T249" s="3" t="n">
        <x:v>19.2</x:v>
      </x:c>
      <x:c r="U249" s="3" t="n">
        <x:v>1141</x:v>
      </x:c>
      <x:c r="V249" s="3" t="n">
        <x:v>2555</x:v>
      </x:c>
      <x:c r="W249" s="3" t="n">
        <x:v>49.5</x:v>
      </x:c>
    </x:row>
    <x:row r="250">
      <x:c r="A250" s="3" t="str">
        <x:v>PJT_249</x:v>
      </x:c>
      <x:c r="B250" s="3" t="str">
        <x:v>Humid Subtropical</x:v>
      </x:c>
      <x:c r="C250" s="3" t="n">
        <x:v>13030</x:v>
      </x:c>
      <x:c r="D250" s="3" t="n">
        <x:v>15</x:v>
      </x:c>
      <x:c r="E250" s="3" t="str">
        <x:v>Low</x:v>
      </x:c>
      <x:c r="F250" s="3" t="str">
        <x:v>Residential</x:v>
      </x:c>
      <x:c r="G250" s="3" t="str">
        <x:v>RC Frame</x:v>
      </x:c>
      <x:c r="H250" s="3" t="str">
        <x:v>Raft</x:v>
      </x:c>
      <x:c r="I250" s="3" t="str">
        <x:v>Rock</x:v>
      </x:c>
      <x:c r="J250" s="3" t="str">
        <x:v>Low</x:v>
      </x:c>
      <x:c r="K250" s="3" t="n">
        <x:v>16482950</x:v>
      </x:c>
      <x:c r="L250" s="3" t="n">
        <x:v>442</x:v>
      </x:c>
      <x:c r="M250" s="3" t="n">
        <x:v>696.9</x:v>
      </x:c>
      <x:c r="N250" s="3" t="n">
        <x:v>28.4</x:v>
      </x:c>
      <x:c r="O250" s="3" t="n">
        <x:v>71.4</x:v>
      </x:c>
      <x:c r="P250" s="3" t="str">
        <x:v>Cloudy</x:v>
      </x:c>
      <x:c r="Q250" s="3" t="n">
        <x:v>62</x:v>
      </x:c>
      <x:c r="R250" s="3" t="n">
        <x:v>63.8</x:v>
      </x:c>
      <x:c r="S250" s="3" t="n">
        <x:v>0.07</x:v>
      </x:c>
      <x:c r="T250" s="3" t="n">
        <x:v>11.3</x:v>
      </x:c>
      <x:c r="U250" s="3" t="n">
        <x:v>868.7</x:v>
      </x:c>
      <x:c r="V250" s="3" t="n">
        <x:v>1265</x:v>
      </x:c>
      <x:c r="W250" s="3" t="n">
        <x:v>33.9</x:v>
      </x:c>
    </x:row>
    <x:row r="251">
      <x:c r="A251" t="str">
        <x:v>PJT_250</x:v>
      </x:c>
      <x:c r="B251" t="str">
        <x:v>Marine</x:v>
      </x:c>
      <x:c r="C251" t="n">
        <x:v>23850</x:v>
      </x:c>
      <x:c r="D251" t="n">
        <x:v>13</x:v>
      </x:c>
      <x:c r="E251" t="str">
        <x:v>Medium</x:v>
      </x:c>
      <x:c r="F251" t="str">
        <x:v>Hospital</x:v>
      </x:c>
      <x:c r="G251" t="str">
        <x:v>Steel</x:v>
      </x:c>
      <x:c r="H251" t="str">
        <x:v>Piles</x:v>
      </x:c>
      <x:c r="I251" t="str">
        <x:v>Sand</x:v>
      </x:c>
      <x:c r="J251" t="str">
        <x:v>Low</x:v>
      </x:c>
      <x:c r="K251" t="n">
        <x:v>77464800</x:v>
      </x:c>
      <x:c r="L251" t="n">
        <x:v>1269</x:v>
      </x:c>
      <x:c r="M251" t="n">
        <x:v>334.7</x:v>
      </x:c>
      <x:c r="N251" t="n">
        <x:v>18.8</x:v>
      </x:c>
      <x:c r="O251" t="n">
        <x:v>75.4</x:v>
      </x:c>
      <x:c r="P251" t="str">
        <x:v>Cloudy</x:v>
      </x:c>
      <x:c r="Q251" t="n">
        <x:v>67</x:v>
      </x:c>
      <x:c r="R251" t="n">
        <x:v>86.1</x:v>
      </x:c>
      <x:c r="S251" t="n">
        <x:v>0.1083</x:v>
      </x:c>
      <x:c r="T251" t="n">
        <x:v>20.6</x:v>
      </x:c>
      <x:c r="U251" t="n">
        <x:v>1834.6</x:v>
      </x:c>
      <x:c r="V251" t="n">
        <x:v>3248</x:v>
      </x:c>
      <x:c r="W251" t="n">
        <x:v>53.2</x:v>
      </x:c>
    </x:row>
    <x:row r="252">
      <x:c r="A252" t="str">
        <x:v>PJT_251</x:v>
      </x:c>
      <x:c r="B252" t="str">
        <x:v>Mediterranean</x:v>
      </x:c>
      <x:c r="C252" t="n">
        <x:v>18250</x:v>
      </x:c>
      <x:c r="D252" t="n">
        <x:v>12</x:v>
      </x:c>
      <x:c r="E252" t="str">
        <x:v>Medium</x:v>
      </x:c>
      <x:c r="F252" t="str">
        <x:v>Hospital</x:v>
      </x:c>
      <x:c r="G252" t="str">
        <x:v>Steel</x:v>
      </x:c>
      <x:c r="H252" t="str">
        <x:v>Piles</x:v>
      </x:c>
      <x:c r="I252" t="str">
        <x:v>Soft Clay</x:v>
      </x:c>
      <x:c r="J252" t="str">
        <x:v>Low</x:v>
      </x:c>
      <x:c r="K252" t="n">
        <x:v>56848750</x:v>
      </x:c>
      <x:c r="L252" t="n">
        <x:v>960</x:v>
      </x:c>
      <x:c r="M252" t="n">
        <x:v>168</x:v>
      </x:c>
      <x:c r="N252" t="n">
        <x:v>9.8</x:v>
      </x:c>
      <x:c r="O252" t="n">
        <x:v>79.8</x:v>
      </x:c>
      <x:c r="P252" t="str">
        <x:v>Rainy</x:v>
      </x:c>
      <x:c r="Q252" t="n">
        <x:v>72</x:v>
      </x:c>
      <x:c r="R252" t="n">
        <x:v>85.9</x:v>
      </x:c>
      <x:c r="S252" t="n">
        <x:v>0.1111</x:v>
      </x:c>
      <x:c r="T252" t="n">
        <x:v>20.7</x:v>
      </x:c>
      <x:c r="U252" t="n">
        <x:v>1520.8</x:v>
      </x:c>
      <x:c r="V252" t="n">
        <x:v>3115</x:v>
      </x:c>
      <x:c r="W252" t="n">
        <x:v>52.6</x:v>
      </x:c>
    </x:row>
    <x:row r="253">
      <x:c r="A253" t="str">
        <x:v>PJT_252</x:v>
      </x:c>
      <x:c r="B253" t="str">
        <x:v>Marine</x:v>
      </x:c>
      <x:c r="C253" t="n">
        <x:v>15940</x:v>
      </x:c>
      <x:c r="D253" t="n">
        <x:v>11</x:v>
      </x:c>
      <x:c r="E253" t="str">
        <x:v>Medium</x:v>
      </x:c>
      <x:c r="F253" t="str">
        <x:v>Commercial</x:v>
      </x:c>
      <x:c r="G253" t="str">
        <x:v>RC Frame</x:v>
      </x:c>
      <x:c r="H253" t="str">
        <x:v>Piles</x:v>
      </x:c>
      <x:c r="I253" t="str">
        <x:v>Soft Clay</x:v>
      </x:c>
      <x:c r="J253" t="str">
        <x:v>Medium</x:v>
      </x:c>
      <x:c r="K253" t="n">
        <x:v>36646060</x:v>
      </x:c>
      <x:c r="L253" t="n">
        <x:v>719</x:v>
      </x:c>
      <x:c r="M253" t="n">
        <x:v>219.8</x:v>
      </x:c>
      <x:c r="N253" t="n">
        <x:v>12.7</x:v>
      </x:c>
      <x:c r="O253" t="n">
        <x:v>93.7</x:v>
      </x:c>
      <x:c r="P253" t="str">
        <x:v>Stormy</x:v>
      </x:c>
      <x:c r="Q253" t="n">
        <x:v>85</x:v>
      </x:c>
      <x:c r="R253" t="n">
        <x:v>76.4</x:v>
      </x:c>
      <x:c r="S253" t="n">
        <x:v>0.0885</x:v>
      </x:c>
      <x:c r="T253" t="n">
        <x:v>15.9</x:v>
      </x:c>
      <x:c r="U253" t="n">
        <x:v>1449.1</x:v>
      </x:c>
      <x:c r="V253" t="n">
        <x:v>2299</x:v>
      </x:c>
      <x:c r="W253" t="n">
        <x:v>45.1</x:v>
      </x:c>
    </x:row>
    <x:row r="254">
      <x:c r="A254" t="str">
        <x:v>PJT_253</x:v>
      </x:c>
      <x:c r="B254" t="str">
        <x:v>Continental</x:v>
      </x:c>
      <x:c r="C254" t="n">
        <x:v>17340</x:v>
      </x:c>
      <x:c r="D254" t="n">
        <x:v>5</x:v>
      </x:c>
      <x:c r="E254" t="str">
        <x:v>Low</x:v>
      </x:c>
      <x:c r="F254" t="str">
        <x:v>School</x:v>
      </x:c>
      <x:c r="G254" t="str">
        <x:v>RC Frame</x:v>
      </x:c>
      <x:c r="H254" t="str">
        <x:v>Raft</x:v>
      </x:c>
      <x:c r="I254" t="str">
        <x:v>Mixed</x:v>
      </x:c>
      <x:c r="J254" t="str">
        <x:v>Medium</x:v>
      </x:c>
      <x:c r="K254" t="n">
        <x:v>29755440</x:v>
      </x:c>
      <x:c r="L254" t="n">
        <x:v>524</x:v>
      </x:c>
      <x:c r="M254" t="n">
        <x:v>326.1</x:v>
      </x:c>
      <x:c r="N254" t="n">
        <x:v>-7.3</x:v>
      </x:c>
      <x:c r="O254" t="n">
        <x:v>62.4</x:v>
      </x:c>
      <x:c r="P254" t="str">
        <x:v>Snowy</x:v>
      </x:c>
      <x:c r="Q254" t="n">
        <x:v>62</x:v>
      </x:c>
      <x:c r="R254" t="n">
        <x:v>63.1</x:v>
      </x:c>
      <x:c r="S254" t="n">
        <x:v>0.0763</x:v>
      </x:c>
      <x:c r="T254" t="n">
        <x:v>13.1</x:v>
      </x:c>
      <x:c r="U254" t="n">
        <x:v>3468</x:v>
      </x:c>
      <x:c r="V254" t="n">
        <x:v>1716</x:v>
      </x:c>
      <x:c r="W254" t="n">
        <x:v>30.2</x:v>
      </x:c>
    </x:row>
    <x:row r="255">
      <x:c r="A255" t="str">
        <x:v>PJT_254</x:v>
      </x:c>
      <x:c r="B255" t="str">
        <x:v>Humid Subtropical</x:v>
      </x:c>
      <x:c r="C255" t="n">
        <x:v>18070</x:v>
      </x:c>
      <x:c r="D255" t="n">
        <x:v>26</x:v>
      </x:c>
      <x:c r="E255" t="str">
        <x:v>Medium</x:v>
      </x:c>
      <x:c r="F255" t="str">
        <x:v>Residential</x:v>
      </x:c>
      <x:c r="G255" t="str">
        <x:v>RC Frame</x:v>
      </x:c>
      <x:c r="H255" t="str">
        <x:v>Piles</x:v>
      </x:c>
      <x:c r="I255" t="str">
        <x:v>Mixed</x:v>
      </x:c>
      <x:c r="J255" t="str">
        <x:v>Low</x:v>
      </x:c>
      <x:c r="K255" t="n">
        <x:v>27032720</x:v>
      </x:c>
      <x:c r="L255" t="n">
        <x:v>811</x:v>
      </x:c>
      <x:c r="M255" t="n">
        <x:v>320.2</x:v>
      </x:c>
      <x:c r="N255" t="n">
        <x:v>21.7</x:v>
      </x:c>
      <x:c r="O255" t="n">
        <x:v>81.3</x:v>
      </x:c>
      <x:c r="P255" t="str">
        <x:v>Stormy</x:v>
      </x:c>
      <x:c r="Q255" t="n">
        <x:v>78</x:v>
      </x:c>
      <x:c r="R255" t="n">
        <x:v>77.1</x:v>
      </x:c>
      <x:c r="S255" t="n">
        <x:v>0.0771</x:v>
      </x:c>
      <x:c r="T255" t="n">
        <x:v>13.7</x:v>
      </x:c>
      <x:c r="U255" t="n">
        <x:v>695</x:v>
      </x:c>
      <x:c r="V255" t="n">
        <x:v>1496</x:v>
      </x:c>
      <x:c r="W255" t="n">
        <x:v>44.9</x:v>
      </x:c>
    </x:row>
    <x:row r="256">
      <x:c r="A256" t="str">
        <x:v>PJT_255</x:v>
      </x:c>
      <x:c r="B256" t="str">
        <x:v>Mediterranean</x:v>
      </x:c>
      <x:c r="C256" t="n">
        <x:v>11700</x:v>
      </x:c>
      <x:c r="D256" t="n">
        <x:v>7</x:v>
      </x:c>
      <x:c r="E256" t="str">
        <x:v>Medium</x:v>
      </x:c>
      <x:c r="F256" t="str">
        <x:v>Commercial</x:v>
      </x:c>
      <x:c r="G256" t="str">
        <x:v>RC Frame</x:v>
      </x:c>
      <x:c r="H256" t="str">
        <x:v>Raft</x:v>
      </x:c>
      <x:c r="I256" t="str">
        <x:v>Soft Clay</x:v>
      </x:c>
      <x:c r="J256" t="str">
        <x:v>High</x:v>
      </x:c>
      <x:c r="K256" t="n">
        <x:v>25927200</x:v>
      </x:c>
      <x:c r="L256" t="n">
        <x:v>477</x:v>
      </x:c>
      <x:c r="M256" t="n">
        <x:v>160.8</x:v>
      </x:c>
      <x:c r="N256" t="n">
        <x:v>23.7</x:v>
      </x:c>
      <x:c r="O256" t="n">
        <x:v>62.3</x:v>
      </x:c>
      <x:c r="P256" t="str">
        <x:v>Cloudy</x:v>
      </x:c>
      <x:c r="Q256" t="n">
        <x:v>83</x:v>
      </x:c>
      <x:c r="R256" t="n">
        <x:v>73.1</x:v>
      </x:c>
      <x:c r="S256" t="n">
        <x:v>0.0949</x:v>
      </x:c>
      <x:c r="T256" t="n">
        <x:v>17.1</x:v>
      </x:c>
      <x:c r="U256" t="n">
        <x:v>1671.4</x:v>
      </x:c>
      <x:c r="V256" t="n">
        <x:v>2216</x:v>
      </x:c>
      <x:c r="W256" t="n">
        <x:v>40.8</x:v>
      </x:c>
    </x:row>
    <x:row r="257">
      <x:c r="A257" t="str">
        <x:v>PJT_256</x:v>
      </x:c>
      <x:c r="B257" t="str">
        <x:v>Continental</x:v>
      </x:c>
      <x:c r="C257" t="n">
        <x:v>12000</x:v>
      </x:c>
      <x:c r="D257" t="n">
        <x:v>12</x:v>
      </x:c>
      <x:c r="E257" t="str">
        <x:v>Medium</x:v>
      </x:c>
      <x:c r="F257" t="str">
        <x:v>Mixed-use</x:v>
      </x:c>
      <x:c r="G257" t="str">
        <x:v>Steel</x:v>
      </x:c>
      <x:c r="H257" t="str">
        <x:v>Raft</x:v>
      </x:c>
      <x:c r="I257" t="str">
        <x:v>Mixed</x:v>
      </x:c>
      <x:c r="J257" t="str">
        <x:v>Medium</x:v>
      </x:c>
      <x:c r="K257" t="n">
        <x:v>29520000</x:v>
      </x:c>
      <x:c r="L257" t="n">
        <x:v>542</x:v>
      </x:c>
      <x:c r="M257" t="n">
        <x:v>364.1</x:v>
      </x:c>
      <x:c r="N257" t="n">
        <x:v>22.1</x:v>
      </x:c>
      <x:c r="O257" t="n">
        <x:v>50.4</x:v>
      </x:c>
      <x:c r="P257" t="str">
        <x:v>Sunny</x:v>
      </x:c>
      <x:c r="Q257" t="n">
        <x:v>97</x:v>
      </x:c>
      <x:c r="R257" t="n">
        <x:v>76.9</x:v>
      </x:c>
      <x:c r="S257" t="n">
        <x:v>0.0998</x:v>
      </x:c>
      <x:c r="T257" t="n">
        <x:v>18.3</x:v>
      </x:c>
      <x:c r="U257" t="n">
        <x:v>1000</x:v>
      </x:c>
      <x:c r="V257" t="n">
        <x:v>2460</x:v>
      </x:c>
      <x:c r="W257" t="n">
        <x:v>45.2</x:v>
      </x:c>
    </x:row>
    <x:row r="258">
      <x:c r="A258" t="str">
        <x:v>PJT_257</x:v>
      </x:c>
      <x:c r="B258" t="str">
        <x:v>Marine</x:v>
      </x:c>
      <x:c r="C258" t="n">
        <x:v>16000</x:v>
      </x:c>
      <x:c r="D258" t="n">
        <x:v>17</x:v>
      </x:c>
      <x:c r="E258" t="str">
        <x:v>Low</x:v>
      </x:c>
      <x:c r="F258" t="str">
        <x:v>Residential</x:v>
      </x:c>
      <x:c r="G258" t="str">
        <x:v>RC Frame</x:v>
      </x:c>
      <x:c r="H258" t="str">
        <x:v>Piles</x:v>
      </x:c>
      <x:c r="I258" t="str">
        <x:v>Mixed</x:v>
      </x:c>
      <x:c r="J258" t="str">
        <x:v>Low</x:v>
      </x:c>
      <x:c r="K258" t="n">
        <x:v>23232000</x:v>
      </x:c>
      <x:c r="L258" t="n">
        <x:v>574</x:v>
      </x:c>
      <x:c r="M258" t="n">
        <x:v>390.5</x:v>
      </x:c>
      <x:c r="N258" t="n">
        <x:v>13.2</x:v>
      </x:c>
      <x:c r="O258" t="n">
        <x:v>90.5</x:v>
      </x:c>
      <x:c r="P258" t="str">
        <x:v>Rainy</x:v>
      </x:c>
      <x:c r="Q258" t="n">
        <x:v>86</x:v>
      </x:c>
      <x:c r="R258" t="n">
        <x:v>67.8</x:v>
      </x:c>
      <x:c r="S258" t="n">
        <x:v>0.0752</x:v>
      </x:c>
      <x:c r="T258" t="n">
        <x:v>11.8</x:v>
      </x:c>
      <x:c r="U258" t="n">
        <x:v>941.2</x:v>
      </x:c>
      <x:c r="V258" t="n">
        <x:v>1452</x:v>
      </x:c>
      <x:c r="W258" t="n">
        <x:v>35.9</x:v>
      </x:c>
    </x:row>
    <x:row r="259">
      <x:c r="A259" t="str">
        <x:v>PJT_258</x:v>
      </x:c>
      <x:c r="B259" t="str">
        <x:v>Humid Subtropical</x:v>
      </x:c>
      <x:c r="C259" t="n">
        <x:v>8360</x:v>
      </x:c>
      <x:c r="D259" t="n">
        <x:v>9</x:v>
      </x:c>
      <x:c r="E259" t="str">
        <x:v>Low</x:v>
      </x:c>
      <x:c r="F259" t="str">
        <x:v>Residential</x:v>
      </x:c>
      <x:c r="G259" t="str">
        <x:v>RC Frame</x:v>
      </x:c>
      <x:c r="H259" t="str">
        <x:v>Raft</x:v>
      </x:c>
      <x:c r="I259" t="str">
        <x:v>Sand</x:v>
      </x:c>
      <x:c r="J259" t="str">
        <x:v>Medium</x:v>
      </x:c>
      <x:c r="K259" t="n">
        <x:v>12255760</x:v>
      </x:c>
      <x:c r="L259" t="n">
        <x:v>278</x:v>
      </x:c>
      <x:c r="M259" t="n">
        <x:v>304.7</x:v>
      </x:c>
      <x:c r="N259" t="n">
        <x:v>22.9</x:v>
      </x:c>
      <x:c r="O259" t="n">
        <x:v>62.2</x:v>
      </x:c>
      <x:c r="P259" t="str">
        <x:v>Cloudy</x:v>
      </x:c>
      <x:c r="Q259" t="n">
        <x:v>63</x:v>
      </x:c>
      <x:c r="R259" t="n">
        <x:v>64.6</x:v>
      </x:c>
      <x:c r="S259" t="n">
        <x:v>0.076</x:v>
      </x:c>
      <x:c r="T259" t="n">
        <x:v>12.5</x:v>
      </x:c>
      <x:c r="U259" t="n">
        <x:v>928.9</x:v>
      </x:c>
      <x:c r="V259" t="n">
        <x:v>1466</x:v>
      </x:c>
      <x:c r="W259" t="n">
        <x:v>33.2</x:v>
      </x:c>
    </x:row>
    <x:row r="260">
      <x:c r="A260" t="str">
        <x:v>PJT_259</x:v>
      </x:c>
      <x:c r="B260" t="str">
        <x:v>Humid Subtropical</x:v>
      </x:c>
      <x:c r="C260" t="n">
        <x:v>17830</x:v>
      </x:c>
      <x:c r="D260" t="n">
        <x:v>9</x:v>
      </x:c>
      <x:c r="E260" t="str">
        <x:v>Medium</x:v>
      </x:c>
      <x:c r="F260" t="str">
        <x:v>Hospital</x:v>
      </x:c>
      <x:c r="G260" t="str">
        <x:v>RC Frame</x:v>
      </x:c>
      <x:c r="H260" t="str">
        <x:v>Raft</x:v>
      </x:c>
      <x:c r="I260" t="str">
        <x:v>Rock</x:v>
      </x:c>
      <x:c r="J260" t="str">
        <x:v>Medium</x:v>
      </x:c>
      <x:c r="K260" t="n">
        <x:v>55362150</x:v>
      </x:c>
      <x:c r="L260" t="n">
        <x:v>793</x:v>
      </x:c>
      <x:c r="M260" t="n">
        <x:v>659.7</x:v>
      </x:c>
      <x:c r="N260" t="n">
        <x:v>25.5</x:v>
      </x:c>
      <x:c r="O260" t="n">
        <x:v>63</x:v>
      </x:c>
      <x:c r="P260" t="str">
        <x:v>Sunny</x:v>
      </x:c>
      <x:c r="Q260" t="n">
        <x:v>76</x:v>
      </x:c>
      <x:c r="R260" t="n">
        <x:v>79.4</x:v>
      </x:c>
      <x:c r="S260" t="n">
        <x:v>0.1019</x:v>
      </x:c>
      <x:c r="T260" t="n">
        <x:v>21.2</x:v>
      </x:c>
      <x:c r="U260" t="n">
        <x:v>1981.1</x:v>
      </x:c>
      <x:c r="V260" t="n">
        <x:v>3105</x:v>
      </x:c>
      <x:c r="W260" t="n">
        <x:v>44.5</x:v>
      </x:c>
    </x:row>
    <x:row r="261">
      <x:c r="A261" t="str">
        <x:v>PJT_260</x:v>
      </x:c>
      <x:c r="B261" t="str">
        <x:v>Marine</x:v>
      </x:c>
      <x:c r="C261" t="n">
        <x:v>15820</x:v>
      </x:c>
      <x:c r="D261" t="n">
        <x:v>15</x:v>
      </x:c>
      <x:c r="E261" t="str">
        <x:v>Medium</x:v>
      </x:c>
      <x:c r="F261" t="str">
        <x:v>Mixed-use</x:v>
      </x:c>
      <x:c r="G261" t="str">
        <x:v>Steel</x:v>
      </x:c>
      <x:c r="H261" t="str">
        <x:v>Piles</x:v>
      </x:c>
      <x:c r="I261" t="str">
        <x:v>Sand</x:v>
      </x:c>
      <x:c r="J261" t="str">
        <x:v>High</x:v>
      </x:c>
      <x:c r="K261" t="n">
        <x:v>42698180</x:v>
      </x:c>
      <x:c r="L261" t="n">
        <x:v>840</x:v>
      </x:c>
      <x:c r="M261" t="n">
        <x:v>267.6</x:v>
      </x:c>
      <x:c r="N261" t="n">
        <x:v>9.4</x:v>
      </x:c>
      <x:c r="O261" t="n">
        <x:v>91</x:v>
      </x:c>
      <x:c r="P261" t="str">
        <x:v>Rainy</x:v>
      </x:c>
      <x:c r="Q261" t="n">
        <x:v>83</x:v>
      </x:c>
      <x:c r="R261" t="n">
        <x:v>82.5</x:v>
      </x:c>
      <x:c r="S261" t="n">
        <x:v>0.1037</x:v>
      </x:c>
      <x:c r="T261" t="n">
        <x:v>18</x:v>
      </x:c>
      <x:c r="U261" t="n">
        <x:v>1054.7</x:v>
      </x:c>
      <x:c r="V261" t="n">
        <x:v>2699</x:v>
      </x:c>
      <x:c r="W261" t="n">
        <x:v>53.1</x:v>
      </x:c>
    </x:row>
    <x:row r="262">
      <x:c r="A262" t="str">
        <x:v>PJT_261</x:v>
      </x:c>
      <x:c r="B262" t="str">
        <x:v>Continental</x:v>
      </x:c>
      <x:c r="C262" t="n">
        <x:v>18370</x:v>
      </x:c>
      <x:c r="D262" t="n">
        <x:v>14</x:v>
      </x:c>
      <x:c r="E262" t="str">
        <x:v>Medium</x:v>
      </x:c>
      <x:c r="F262" t="str">
        <x:v>Commercial</x:v>
      </x:c>
      <x:c r="G262" t="str">
        <x:v>Steel</x:v>
      </x:c>
      <x:c r="H262" t="str">
        <x:v>Raft</x:v>
      </x:c>
      <x:c r="I262" t="str">
        <x:v>Rock</x:v>
      </x:c>
      <x:c r="J262" t="str">
        <x:v>Medium</x:v>
      </x:c>
      <x:c r="K262" t="n">
        <x:v>44069630</x:v>
      </x:c>
      <x:c r="L262" t="n">
        <x:v>828</x:v>
      </x:c>
      <x:c r="M262" t="n">
        <x:v>749.9</x:v>
      </x:c>
      <x:c r="N262" t="n">
        <x:v>-1.8</x:v>
      </x:c>
      <x:c r="O262" t="n">
        <x:v>68.9</x:v>
      </x:c>
      <x:c r="P262" t="str">
        <x:v>Snowy</x:v>
      </x:c>
      <x:c r="Q262" t="n">
        <x:v>98</x:v>
      </x:c>
      <x:c r="R262" t="n">
        <x:v>78.9</x:v>
      </x:c>
      <x:c r="S262" t="n">
        <x:v>0.101</x:v>
      </x:c>
      <x:c r="T262" t="n">
        <x:v>17</x:v>
      </x:c>
      <x:c r="U262" t="n">
        <x:v>1312.1</x:v>
      </x:c>
      <x:c r="V262" t="n">
        <x:v>2399</x:v>
      </x:c>
      <x:c r="W262" t="n">
        <x:v>45.1</x:v>
      </x:c>
    </x:row>
    <x:row r="263">
      <x:c r="A263" t="str">
        <x:v>PJT_262</x:v>
      </x:c>
      <x:c r="B263" t="str">
        <x:v>Continental</x:v>
      </x:c>
      <x:c r="C263" t="n">
        <x:v>9950</x:v>
      </x:c>
      <x:c r="D263" t="n">
        <x:v>8</x:v>
      </x:c>
      <x:c r="E263" t="str">
        <x:v>Medium</x:v>
      </x:c>
      <x:c r="F263" t="str">
        <x:v>Commercial</x:v>
      </x:c>
      <x:c r="G263" t="str">
        <x:v>Steel</x:v>
      </x:c>
      <x:c r="H263" t="str">
        <x:v>Raft</x:v>
      </x:c>
      <x:c r="I263" t="str">
        <x:v>Mixed</x:v>
      </x:c>
      <x:c r="J263" t="str">
        <x:v>Medium</x:v>
      </x:c>
      <x:c r="K263" t="n">
        <x:v>23551650</x:v>
      </x:c>
      <x:c r="L263" t="n">
        <x:v>461</x:v>
      </x:c>
      <x:c r="M263" t="n">
        <x:v>316.5</x:v>
      </x:c>
      <x:c r="N263" t="n">
        <x:v>11.5</x:v>
      </x:c>
      <x:c r="O263" t="n">
        <x:v>83.2</x:v>
      </x:c>
      <x:c r="P263" t="str">
        <x:v>Rainy</x:v>
      </x:c>
      <x:c r="Q263" t="n">
        <x:v>85</x:v>
      </x:c>
      <x:c r="R263" t="n">
        <x:v>73.4</x:v>
      </x:c>
      <x:c r="S263" t="n">
        <x:v>0.1007</x:v>
      </x:c>
      <x:c r="T263" t="n">
        <x:v>17.2</x:v>
      </x:c>
      <x:c r="U263" t="n">
        <x:v>1243.8</x:v>
      </x:c>
      <x:c r="V263" t="n">
        <x:v>2367</x:v>
      </x:c>
      <x:c r="W263" t="n">
        <x:v>46.3</x:v>
      </x:c>
    </x:row>
    <x:row r="264">
      <x:c r="A264" t="str">
        <x:v>PJT_263</x:v>
      </x:c>
      <x:c r="B264" t="str">
        <x:v>Continental</x:v>
      </x:c>
      <x:c r="C264" t="n">
        <x:v>23330</x:v>
      </x:c>
      <x:c r="D264" t="n">
        <x:v>12</x:v>
      </x:c>
      <x:c r="E264" t="str">
        <x:v>Medium</x:v>
      </x:c>
      <x:c r="F264" t="str">
        <x:v>Commercial</x:v>
      </x:c>
      <x:c r="G264" t="str">
        <x:v>Steel</x:v>
      </x:c>
      <x:c r="H264" t="str">
        <x:v>Piles</x:v>
      </x:c>
      <x:c r="I264" t="str">
        <x:v>Soft Clay</x:v>
      </x:c>
      <x:c r="J264" t="str">
        <x:v>Medium</x:v>
      </x:c>
      <x:c r="K264" t="n">
        <x:v>56738560</x:v>
      </x:c>
      <x:c r="L264" t="n">
        <x:v>1134</x:v>
      </x:c>
      <x:c r="M264" t="n">
        <x:v>206.8</x:v>
      </x:c>
      <x:c r="N264" t="n">
        <x:v>-4.6</x:v>
      </x:c>
      <x:c r="O264" t="n">
        <x:v>64.3</x:v>
      </x:c>
      <x:c r="P264" t="str">
        <x:v>Snowy</x:v>
      </x:c>
      <x:c r="Q264" t="n">
        <x:v>92</x:v>
      </x:c>
      <x:c r="R264" t="n">
        <x:v>74.2</x:v>
      </x:c>
      <x:c r="S264" t="n">
        <x:v>0.0974</x:v>
      </x:c>
      <x:c r="T264" t="n">
        <x:v>17.1</x:v>
      </x:c>
      <x:c r="U264" t="n">
        <x:v>1944.2</x:v>
      </x:c>
      <x:c r="V264" t="n">
        <x:v>2432</x:v>
      </x:c>
      <x:c r="W264" t="n">
        <x:v>48.6</x:v>
      </x:c>
    </x:row>
    <x:row r="265">
      <x:c r="A265" t="str">
        <x:v>PJT_264</x:v>
      </x:c>
      <x:c r="B265" t="str">
        <x:v>Marine</x:v>
      </x:c>
      <x:c r="C265" t="n">
        <x:v>14860</x:v>
      </x:c>
      <x:c r="D265" t="n">
        <x:v>18</x:v>
      </x:c>
      <x:c r="E265" t="str">
        <x:v>Medium</x:v>
      </x:c>
      <x:c r="F265" t="str">
        <x:v>Residential</x:v>
      </x:c>
      <x:c r="G265" t="str">
        <x:v>Shear Wall</x:v>
      </x:c>
      <x:c r="H265" t="str">
        <x:v>Piles</x:v>
      </x:c>
      <x:c r="I265" t="str">
        <x:v>Rock</x:v>
      </x:c>
      <x:c r="J265" t="str">
        <x:v>Medium</x:v>
      </x:c>
      <x:c r="K265" t="n">
        <x:v>25380880</x:v>
      </x:c>
      <x:c r="L265" t="n">
        <x:v>566</x:v>
      </x:c>
      <x:c r="M265" t="n">
        <x:v>667.7</x:v>
      </x:c>
      <x:c r="N265" t="n">
        <x:v>17.1</x:v>
      </x:c>
      <x:c r="O265" t="n">
        <x:v>65.3</x:v>
      </x:c>
      <x:c r="P265" t="str">
        <x:v>Sunny</x:v>
      </x:c>
      <x:c r="Q265" t="n">
        <x:v>53</x:v>
      </x:c>
      <x:c r="R265" t="n">
        <x:v>73.3</x:v>
      </x:c>
      <x:c r="S265" t="n">
        <x:v>0.0803</x:v>
      </x:c>
      <x:c r="T265" t="n">
        <x:v>12.7</x:v>
      </x:c>
      <x:c r="U265" t="n">
        <x:v>825.6</x:v>
      </x:c>
      <x:c r="V265" t="n">
        <x:v>1708</x:v>
      </x:c>
      <x:c r="W265" t="n">
        <x:v>38.1</x:v>
      </x:c>
    </x:row>
    <x:row r="266">
      <x:c r="A266" t="str">
        <x:v>PJT_265</x:v>
      </x:c>
      <x:c r="B266" t="str">
        <x:v>Humid Subtropical</x:v>
      </x:c>
      <x:c r="C266" t="n">
        <x:v>20840</x:v>
      </x:c>
      <x:c r="D266" t="n">
        <x:v>13</x:v>
      </x:c>
      <x:c r="E266" t="str">
        <x:v>Medium</x:v>
      </x:c>
      <x:c r="F266" t="str">
        <x:v>Mixed-use</x:v>
      </x:c>
      <x:c r="G266" t="str">
        <x:v>Shear Wall</x:v>
      </x:c>
      <x:c r="H266" t="str">
        <x:v>Piles</x:v>
      </x:c>
      <x:c r="I266" t="str">
        <x:v>Sand</x:v>
      </x:c>
      <x:c r="J266" t="str">
        <x:v>Medium</x:v>
      </x:c>
      <x:c r="K266" t="n">
        <x:v>53725520</x:v>
      </x:c>
      <x:c r="L266" t="n">
        <x:v>986</x:v>
      </x:c>
      <x:c r="M266" t="n">
        <x:v>247.8</x:v>
      </x:c>
      <x:c r="N266" t="n">
        <x:v>25.6</x:v>
      </x:c>
      <x:c r="O266" t="n">
        <x:v>52.5</x:v>
      </x:c>
      <x:c r="P266" t="str">
        <x:v>Sunny</x:v>
      </x:c>
      <x:c r="Q266" t="n">
        <x:v>105</x:v>
      </x:c>
      <x:c r="R266" t="n">
        <x:v>85.4</x:v>
      </x:c>
      <x:c r="S266" t="n">
        <x:v>0.0975</x:v>
      </x:c>
      <x:c r="T266" t="n">
        <x:v>17.9</x:v>
      </x:c>
      <x:c r="U266" t="n">
        <x:v>1603.1</x:v>
      </x:c>
      <x:c r="V266" t="n">
        <x:v>2578</x:v>
      </x:c>
      <x:c r="W266" t="n">
        <x:v>47.3</x:v>
      </x:c>
    </x:row>
    <x:row r="267">
      <x:c r="A267" t="str">
        <x:v>PJT_266</x:v>
      </x:c>
      <x:c r="B267" t="str">
        <x:v>Mediterranean</x:v>
      </x:c>
      <x:c r="C267" t="n">
        <x:v>31970</x:v>
      </x:c>
      <x:c r="D267" t="n">
        <x:v>21</x:v>
      </x:c>
      <x:c r="E267" t="str">
        <x:v>High</x:v>
      </x:c>
      <x:c r="F267" t="str">
        <x:v>Mixed-use</x:v>
      </x:c>
      <x:c r="G267" t="str">
        <x:v>Steel</x:v>
      </x:c>
      <x:c r="H267" t="str">
        <x:v>Piles</x:v>
      </x:c>
      <x:c r="I267" t="str">
        <x:v>Rock</x:v>
      </x:c>
      <x:c r="J267" t="str">
        <x:v>High</x:v>
      </x:c>
      <x:c r="K267" t="n">
        <x:v>97732290</x:v>
      </x:c>
      <x:c r="L267" t="n">
        <x:v>1797</x:v>
      </x:c>
      <x:c r="M267" t="n">
        <x:v>631.6</x:v>
      </x:c>
      <x:c r="N267" t="n">
        <x:v>20</x:v>
      </x:c>
      <x:c r="O267" t="n">
        <x:v>56.3</x:v>
      </x:c>
      <x:c r="P267" t="str">
        <x:v>Cloudy</x:v>
      </x:c>
      <x:c r="Q267" t="n">
        <x:v>95</x:v>
      </x:c>
      <x:c r="R267" t="n">
        <x:v>87.2</x:v>
      </x:c>
      <x:c r="S267" t="n">
        <x:v>0.1068</x:v>
      </x:c>
      <x:c r="T267" t="n">
        <x:v>21.2</x:v>
      </x:c>
      <x:c r="U267" t="n">
        <x:v>1522.4</x:v>
      </x:c>
      <x:c r="V267" t="n">
        <x:v>3057</x:v>
      </x:c>
      <x:c r="W267" t="n">
        <x:v>56.2</x:v>
      </x:c>
    </x:row>
    <x:row r="268">
      <x:c r="A268" t="str">
        <x:v>PJT_267</x:v>
      </x:c>
      <x:c r="B268" t="str">
        <x:v>Continental</x:v>
      </x:c>
      <x:c r="C268" t="n">
        <x:v>35440</x:v>
      </x:c>
      <x:c r="D268" t="n">
        <x:v>29</x:v>
      </x:c>
      <x:c r="E268" t="str">
        <x:v>High</x:v>
      </x:c>
      <x:c r="F268" t="str">
        <x:v>Mixed-use</x:v>
      </x:c>
      <x:c r="G268" t="str">
        <x:v>Steel</x:v>
      </x:c>
      <x:c r="H268" t="str">
        <x:v>Piles</x:v>
      </x:c>
      <x:c r="I268" t="str">
        <x:v>Sand</x:v>
      </x:c>
      <x:c r="J268" t="str">
        <x:v>Medium</x:v>
      </x:c>
      <x:c r="K268" t="n">
        <x:v>101960880</x:v>
      </x:c>
      <x:c r="L268" t="n">
        <x:v>2056</x:v>
      </x:c>
      <x:c r="M268" t="n">
        <x:v>338.3</x:v>
      </x:c>
      <x:c r="N268" t="n">
        <x:v>16.5</x:v>
      </x:c>
      <x:c r="O268" t="n">
        <x:v>69.3</x:v>
      </x:c>
      <x:c r="P268" t="str">
        <x:v>Rainy</x:v>
      </x:c>
      <x:c r="Q268" t="n">
        <x:v>92</x:v>
      </x:c>
      <x:c r="R268" t="n">
        <x:v>92</x:v>
      </x:c>
      <x:c r="S268" t="n">
        <x:v>0.1055</x:v>
      </x:c>
      <x:c r="T268" t="n">
        <x:v>19.5</x:v>
      </x:c>
      <x:c r="U268" t="n">
        <x:v>1222.1</x:v>
      </x:c>
      <x:c r="V268" t="n">
        <x:v>2877</x:v>
      </x:c>
      <x:c r="W268" t="n">
        <x:v>58</x:v>
      </x:c>
    </x:row>
    <x:row r="269">
      <x:c r="A269" t="str">
        <x:v>PJT_268</x:v>
      </x:c>
      <x:c r="B269" t="str">
        <x:v>Continental</x:v>
      </x:c>
      <x:c r="C269" t="n">
        <x:v>19780</x:v>
      </x:c>
      <x:c r="D269" t="n">
        <x:v>14</x:v>
      </x:c>
      <x:c r="E269" t="str">
        <x:v>Medium</x:v>
      </x:c>
      <x:c r="F269" t="str">
        <x:v>Commercial</x:v>
      </x:c>
      <x:c r="G269" t="str">
        <x:v>Steel</x:v>
      </x:c>
      <x:c r="H269" t="str">
        <x:v>Raft</x:v>
      </x:c>
      <x:c r="I269" t="str">
        <x:v>Mixed</x:v>
      </x:c>
      <x:c r="J269" t="str">
        <x:v>Low</x:v>
      </x:c>
      <x:c r="K269" t="n">
        <x:v>44406100</x:v>
      </x:c>
      <x:c r="L269" t="n">
        <x:v>847</x:v>
      </x:c>
      <x:c r="M269" t="n">
        <x:v>369.5</x:v>
      </x:c>
      <x:c r="N269" t="n">
        <x:v>7.9</x:v>
      </x:c>
      <x:c r="O269" t="n">
        <x:v>65.3</x:v>
      </x:c>
      <x:c r="P269" t="str">
        <x:v>Cloudy</x:v>
      </x:c>
      <x:c r="Q269" t="n">
        <x:v>70</x:v>
      </x:c>
      <x:c r="R269" t="n">
        <x:v>74.4</x:v>
      </x:c>
      <x:c r="S269" t="n">
        <x:v>0.0985</x:v>
      </x:c>
      <x:c r="T269" t="n">
        <x:v>16.5</x:v>
      </x:c>
      <x:c r="U269" t="n">
        <x:v>1412.9</x:v>
      </x:c>
      <x:c r="V269" t="n">
        <x:v>2245</x:v>
      </x:c>
      <x:c r="W269" t="n">
        <x:v>42.8</x:v>
      </x:c>
    </x:row>
    <x:row r="270">
      <x:c r="A270" t="str">
        <x:v>PJT_269</x:v>
      </x:c>
      <x:c r="B270" t="str">
        <x:v>Marine</x:v>
      </x:c>
      <x:c r="C270" t="n">
        <x:v>12760</x:v>
      </x:c>
      <x:c r="D270" t="n">
        <x:v>18</x:v>
      </x:c>
      <x:c r="E270" t="str">
        <x:v>Medium</x:v>
      </x:c>
      <x:c r="F270" t="str">
        <x:v>Residential</x:v>
      </x:c>
      <x:c r="G270" t="str">
        <x:v>Shear Wall</x:v>
      </x:c>
      <x:c r="H270" t="str">
        <x:v>Piles</x:v>
      </x:c>
      <x:c r="I270" t="str">
        <x:v>Mixed</x:v>
      </x:c>
      <x:c r="J270" t="str">
        <x:v>Medium</x:v>
      </x:c>
      <x:c r="K270" t="n">
        <x:v>22444840</x:v>
      </x:c>
      <x:c r="L270" t="n">
        <x:v>559</x:v>
      </x:c>
      <x:c r="M270" t="n">
        <x:v>352.4</x:v>
      </x:c>
      <x:c r="N270" t="n">
        <x:v>13</x:v>
      </x:c>
      <x:c r="O270" t="n">
        <x:v>80.6</x:v>
      </x:c>
      <x:c r="P270" t="str">
        <x:v>Stormy</x:v>
      </x:c>
      <x:c r="Q270" t="n">
        <x:v>90</x:v>
      </x:c>
      <x:c r="R270" t="n">
        <x:v>79.3</x:v>
      </x:c>
      <x:c r="S270" t="n">
        <x:v>0.0833</x:v>
      </x:c>
      <x:c r="T270" t="n">
        <x:v>13.4</x:v>
      </x:c>
      <x:c r="U270" t="n">
        <x:v>708.9</x:v>
      </x:c>
      <x:c r="V270" t="n">
        <x:v>1759</x:v>
      </x:c>
      <x:c r="W270" t="n">
        <x:v>43.8</x:v>
      </x:c>
    </x:row>
    <x:row r="271">
      <x:c r="A271" t="str">
        <x:v>PJT_270</x:v>
      </x:c>
      <x:c r="B271" t="str">
        <x:v>Mediterranean</x:v>
      </x:c>
      <x:c r="C271" t="n">
        <x:v>16840</x:v>
      </x:c>
      <x:c r="D271" t="n">
        <x:v>17</x:v>
      </x:c>
      <x:c r="E271" t="str">
        <x:v>Medium</x:v>
      </x:c>
      <x:c r="F271" t="str">
        <x:v>Residential</x:v>
      </x:c>
      <x:c r="G271" t="str">
        <x:v>Shear Wall</x:v>
      </x:c>
      <x:c r="H271" t="str">
        <x:v>Piles</x:v>
      </x:c>
      <x:c r="I271" t="str">
        <x:v>Mixed</x:v>
      </x:c>
      <x:c r="J271" t="str">
        <x:v>Medium</x:v>
      </x:c>
      <x:c r="K271" t="n">
        <x:v>28425920</x:v>
      </x:c>
      <x:c r="L271" t="n">
        <x:v>677</x:v>
      </x:c>
      <x:c r="M271" t="n">
        <x:v>409.4</x:v>
      </x:c>
      <x:c r="N271" t="n">
        <x:v>20.2</x:v>
      </x:c>
      <x:c r="O271" t="n">
        <x:v>56.2</x:v>
      </x:c>
      <x:c r="P271" t="str">
        <x:v>Cloudy</x:v>
      </x:c>
      <x:c r="Q271" t="n">
        <x:v>78</x:v>
      </x:c>
      <x:c r="R271" t="n">
        <x:v>71.6</x:v>
      </x:c>
      <x:c r="S271" t="n">
        <x:v>0.08</x:v>
      </x:c>
      <x:c r="T271" t="n">
        <x:v>13.8</x:v>
      </x:c>
      <x:c r="U271" t="n">
        <x:v>990.6</x:v>
      </x:c>
      <x:c r="V271" t="n">
        <x:v>1688</x:v>
      </x:c>
      <x:c r="W271" t="n">
        <x:v>40.2</x:v>
      </x:c>
    </x:row>
    <x:row r="272">
      <x:c r="A272" t="str">
        <x:v>PJT_271</x:v>
      </x:c>
      <x:c r="B272" t="str">
        <x:v>Mediterranean</x:v>
      </x:c>
      <x:c r="C272" t="n">
        <x:v>22350</x:v>
      </x:c>
      <x:c r="D272" t="n">
        <x:v>20</x:v>
      </x:c>
      <x:c r="E272" t="str">
        <x:v>Medium</x:v>
      </x:c>
      <x:c r="F272" t="str">
        <x:v>Residential</x:v>
      </x:c>
      <x:c r="G272" t="str">
        <x:v>Shear Wall</x:v>
      </x:c>
      <x:c r="H272" t="str">
        <x:v>Piles</x:v>
      </x:c>
      <x:c r="I272" t="str">
        <x:v>Soft Clay</x:v>
      </x:c>
      <x:c r="J272" t="str">
        <x:v>Medium</x:v>
      </x:c>
      <x:c r="K272" t="n">
        <x:v>37682100</x:v>
      </x:c>
      <x:c r="L272" t="n">
        <x:v>974</x:v>
      </x:c>
      <x:c r="M272" t="n">
        <x:v>219.1</x:v>
      </x:c>
      <x:c r="N272" t="n">
        <x:v>16.2</x:v>
      </x:c>
      <x:c r="O272" t="n">
        <x:v>76.8</x:v>
      </x:c>
      <x:c r="P272" t="str">
        <x:v>Rainy</x:v>
      </x:c>
      <x:c r="Q272" t="n">
        <x:v>60</x:v>
      </x:c>
      <x:c r="R272" t="n">
        <x:v>74</x:v>
      </x:c>
      <x:c r="S272" t="n">
        <x:v>0.0797</x:v>
      </x:c>
      <x:c r="T272" t="n">
        <x:v>14.1</x:v>
      </x:c>
      <x:c r="U272" t="n">
        <x:v>1117.5</x:v>
      </x:c>
      <x:c r="V272" t="n">
        <x:v>1686</x:v>
      </x:c>
      <x:c r="W272" t="n">
        <x:v>43.6</x:v>
      </x:c>
    </x:row>
    <x:row r="273">
      <x:c r="A273" t="str">
        <x:v>PJT_272</x:v>
      </x:c>
      <x:c r="B273" t="str">
        <x:v>Mediterranean</x:v>
      </x:c>
      <x:c r="C273" t="n">
        <x:v>13970</x:v>
      </x:c>
      <x:c r="D273" t="n">
        <x:v>9</x:v>
      </x:c>
      <x:c r="E273" t="str">
        <x:v>Medium</x:v>
      </x:c>
      <x:c r="F273" t="str">
        <x:v>Commercial</x:v>
      </x:c>
      <x:c r="G273" t="str">
        <x:v>RC Frame</x:v>
      </x:c>
      <x:c r="H273" t="str">
        <x:v>Raft</x:v>
      </x:c>
      <x:c r="I273" t="str">
        <x:v>Mixed</x:v>
      </x:c>
      <x:c r="J273" t="str">
        <x:v>Medium</x:v>
      </x:c>
      <x:c r="K273" t="n">
        <x:v>30706060</x:v>
      </x:c>
      <x:c r="L273" t="n">
        <x:v>539</x:v>
      </x:c>
      <x:c r="M273" t="n">
        <x:v>355.8</x:v>
      </x:c>
      <x:c r="N273" t="n">
        <x:v>21.5</x:v>
      </x:c>
      <x:c r="O273" t="n">
        <x:v>45.5</x:v>
      </x:c>
      <x:c r="P273" t="str">
        <x:v>Sunny</x:v>
      </x:c>
      <x:c r="Q273" t="n">
        <x:v>91</x:v>
      </x:c>
      <x:c r="R273" t="n">
        <x:v>72.4</x:v>
      </x:c>
      <x:c r="S273" t="n">
        <x:v>0.0884</x:v>
      </x:c>
      <x:c r="T273" t="n">
        <x:v>16.6</x:v>
      </x:c>
      <x:c r="U273" t="n">
        <x:v>1552.2</x:v>
      </x:c>
      <x:c r="V273" t="n">
        <x:v>2198</x:v>
      </x:c>
      <x:c r="W273" t="n">
        <x:v>38.6</x:v>
      </x:c>
    </x:row>
    <x:row r="274">
      <x:c r="A274" t="str">
        <x:v>PJT_273</x:v>
      </x:c>
      <x:c r="B274" t="str">
        <x:v>Humid Subtropical</x:v>
      </x:c>
      <x:c r="C274" t="n">
        <x:v>12900</x:v>
      </x:c>
      <x:c r="D274" t="n">
        <x:v>13</x:v>
      </x:c>
      <x:c r="E274" t="str">
        <x:v>Medium</x:v>
      </x:c>
      <x:c r="F274" t="str">
        <x:v>Mixed-use</x:v>
      </x:c>
      <x:c r="G274" t="str">
        <x:v>Shear Wall</x:v>
      </x:c>
      <x:c r="H274" t="str">
        <x:v>Raft</x:v>
      </x:c>
      <x:c r="I274" t="str">
        <x:v>Rock</x:v>
      </x:c>
      <x:c r="J274" t="str">
        <x:v>Low</x:v>
      </x:c>
      <x:c r="K274" t="n">
        <x:v>32508000</x:v>
      </x:c>
      <x:c r="L274" t="n">
        <x:v>597</x:v>
      </x:c>
      <x:c r="M274" t="n">
        <x:v>672.2</x:v>
      </x:c>
      <x:c r="N274" t="n">
        <x:v>31.6</x:v>
      </x:c>
      <x:c r="O274" t="n">
        <x:v>56.9</x:v>
      </x:c>
      <x:c r="P274" t="str">
        <x:v>Sunny</x:v>
      </x:c>
      <x:c r="Q274" t="n">
        <x:v>96</x:v>
      </x:c>
      <x:c r="R274" t="n">
        <x:v>85</x:v>
      </x:c>
      <x:c r="S274" t="n">
        <x:v>0.0996</x:v>
      </x:c>
      <x:c r="T274" t="n">
        <x:v>18.2</x:v>
      </x:c>
      <x:c r="U274" t="n">
        <x:v>992.3</x:v>
      </x:c>
      <x:c r="V274" t="n">
        <x:v>2520</x:v>
      </x:c>
      <x:c r="W274" t="n">
        <x:v>46.3</x:v>
      </x:c>
    </x:row>
    <x:row r="275">
      <x:c r="A275" t="str">
        <x:v>PJT_274</x:v>
      </x:c>
      <x:c r="B275" t="str">
        <x:v>Humid Subtropical</x:v>
      </x:c>
      <x:c r="C275" t="n">
        <x:v>25710</x:v>
      </x:c>
      <x:c r="D275" t="n">
        <x:v>26</x:v>
      </x:c>
      <x:c r="E275" t="str">
        <x:v>Medium</x:v>
      </x:c>
      <x:c r="F275" t="str">
        <x:v>Residential</x:v>
      </x:c>
      <x:c r="G275" t="str">
        <x:v>Shear Wall</x:v>
      </x:c>
      <x:c r="H275" t="str">
        <x:v>Piles</x:v>
      </x:c>
      <x:c r="I275" t="str">
        <x:v>Soft Clay</x:v>
      </x:c>
      <x:c r="J275" t="str">
        <x:v>High</x:v>
      </x:c>
      <x:c r="K275" t="n">
        <x:v>47075010</x:v>
      </x:c>
      <x:c r="L275" t="n">
        <x:v>1100</x:v>
      </x:c>
      <x:c r="M275" t="n">
        <x:v>207.1</x:v>
      </x:c>
      <x:c r="N275" t="n">
        <x:v>24.4</x:v>
      </x:c>
      <x:c r="O275" t="n">
        <x:v>89.7</x:v>
      </x:c>
      <x:c r="P275" t="str">
        <x:v>Rainy</x:v>
      </x:c>
      <x:c r="Q275" t="n">
        <x:v>99</x:v>
      </x:c>
      <x:c r="R275" t="n">
        <x:v>78.8</x:v>
      </x:c>
      <x:c r="S275" t="n">
        <x:v>0.0805</x:v>
      </x:c>
      <x:c r="T275" t="n">
        <x:v>12.9</x:v>
      </x:c>
      <x:c r="U275" t="n">
        <x:v>988.8</x:v>
      </x:c>
      <x:c r="V275" t="n">
        <x:v>1831</x:v>
      </x:c>
      <x:c r="W275" t="n">
        <x:v>42.8</x:v>
      </x:c>
    </x:row>
    <x:row r="276">
      <x:c r="A276" t="str">
        <x:v>PJT_275</x:v>
      </x:c>
      <x:c r="B276" t="str">
        <x:v>Mediterranean</x:v>
      </x:c>
      <x:c r="C276" t="n">
        <x:v>22290</x:v>
      </x:c>
      <x:c r="D276" t="n">
        <x:v>14</x:v>
      </x:c>
      <x:c r="E276" t="str">
        <x:v>Medium</x:v>
      </x:c>
      <x:c r="F276" t="str">
        <x:v>Mixed-use</x:v>
      </x:c>
      <x:c r="G276" t="str">
        <x:v>Steel</x:v>
      </x:c>
      <x:c r="H276" t="str">
        <x:v>Piles</x:v>
      </x:c>
      <x:c r="I276" t="str">
        <x:v>Soft Clay</x:v>
      </x:c>
      <x:c r="J276" t="str">
        <x:v>Medium</x:v>
      </x:c>
      <x:c r="K276" t="n">
        <x:v>59826360</x:v>
      </x:c>
      <x:c r="L276" t="n">
        <x:v>1208</x:v>
      </x:c>
      <x:c r="M276" t="n">
        <x:v>219.9</x:v>
      </x:c>
      <x:c r="N276" t="n">
        <x:v>-0.5</x:v>
      </x:c>
      <x:c r="O276" t="n">
        <x:v>80.6</x:v>
      </x:c>
      <x:c r="P276" t="str">
        <x:v>Snowy</x:v>
      </x:c>
      <x:c r="Q276" t="n">
        <x:v>67</x:v>
      </x:c>
      <x:c r="R276" t="n">
        <x:v>83.1</x:v>
      </x:c>
      <x:c r="S276" t="n">
        <x:v>0.1005</x:v>
      </x:c>
      <x:c r="T276" t="n">
        <x:v>18.8</x:v>
      </x:c>
      <x:c r="U276" t="n">
        <x:v>1592.1</x:v>
      </x:c>
      <x:c r="V276" t="n">
        <x:v>2684</x:v>
      </x:c>
      <x:c r="W276" t="n">
        <x:v>54.2</x:v>
      </x:c>
    </x:row>
    <x:row r="277">
      <x:c r="A277" t="str">
        <x:v>PJT_276</x:v>
      </x:c>
      <x:c r="B277" t="str">
        <x:v>Marine</x:v>
      </x:c>
      <x:c r="C277" t="n">
        <x:v>8730</x:v>
      </x:c>
      <x:c r="D277" t="n">
        <x:v>5</x:v>
      </x:c>
      <x:c r="E277" t="str">
        <x:v>Low</x:v>
      </x:c>
      <x:c r="F277" t="str">
        <x:v>Commercial</x:v>
      </x:c>
      <x:c r="G277" t="str">
        <x:v>RC Frame</x:v>
      </x:c>
      <x:c r="H277" t="str">
        <x:v>Raft</x:v>
      </x:c>
      <x:c r="I277" t="str">
        <x:v>Rock</x:v>
      </x:c>
      <x:c r="J277" t="str">
        <x:v>Medium</x:v>
      </x:c>
      <x:c r="K277" t="n">
        <x:v>18175860</x:v>
      </x:c>
      <x:c r="L277" t="n">
        <x:v>324</x:v>
      </x:c>
      <x:c r="M277" t="n">
        <x:v>753.9</x:v>
      </x:c>
      <x:c r="N277" t="n">
        <x:v>7.9</x:v>
      </x:c>
      <x:c r="O277" t="n">
        <x:v>91.1</x:v>
      </x:c>
      <x:c r="P277" t="str">
        <x:v>Rainy</x:v>
      </x:c>
      <x:c r="Q277" t="n">
        <x:v>72</x:v>
      </x:c>
      <x:c r="R277" t="n">
        <x:v>73.1</x:v>
      </x:c>
      <x:c r="S277" t="n">
        <x:v>0.0907</x:v>
      </x:c>
      <x:c r="T277" t="n">
        <x:v>15.5</x:v>
      </x:c>
      <x:c r="U277" t="n">
        <x:v>1746</x:v>
      </x:c>
      <x:c r="V277" t="n">
        <x:v>2082</x:v>
      </x:c>
      <x:c r="W277" t="n">
        <x:v>37.1</x:v>
      </x:c>
    </x:row>
    <x:row r="278">
      <x:c r="A278" t="str">
        <x:v>PJT_277</x:v>
      </x:c>
      <x:c r="B278" t="str">
        <x:v>Continental</x:v>
      </x:c>
      <x:c r="C278" t="n">
        <x:v>14450</x:v>
      </x:c>
      <x:c r="D278" t="n">
        <x:v>10</x:v>
      </x:c>
      <x:c r="E278" t="str">
        <x:v>Medium</x:v>
      </x:c>
      <x:c r="F278" t="str">
        <x:v>Commercial</x:v>
      </x:c>
      <x:c r="G278" t="str">
        <x:v>RC Frame</x:v>
      </x:c>
      <x:c r="H278" t="str">
        <x:v>Raft</x:v>
      </x:c>
      <x:c r="I278" t="str">
        <x:v>Rock</x:v>
      </x:c>
      <x:c r="J278" t="str">
        <x:v>Low</x:v>
      </x:c>
      <x:c r="K278" t="n">
        <x:v>30070450</x:v>
      </x:c>
      <x:c r="L278" t="n">
        <x:v>574</x:v>
      </x:c>
      <x:c r="M278" t="n">
        <x:v>642.5</x:v>
      </x:c>
      <x:c r="N278" t="n">
        <x:v>10.5</x:v>
      </x:c>
      <x:c r="O278" t="n">
        <x:v>50.2</x:v>
      </x:c>
      <x:c r="P278" t="str">
        <x:v>Sunny</x:v>
      </x:c>
      <x:c r="Q278" t="n">
        <x:v>78</x:v>
      </x:c>
      <x:c r="R278" t="n">
        <x:v>73.1</x:v>
      </x:c>
      <x:c r="S278" t="n">
        <x:v>0.0942</x:v>
      </x:c>
      <x:c r="T278" t="n">
        <x:v>16.7</x:v>
      </x:c>
      <x:c r="U278" t="n">
        <x:v>1445</x:v>
      </x:c>
      <x:c r="V278" t="n">
        <x:v>2081</x:v>
      </x:c>
      <x:c r="W278" t="n">
        <x:v>39.7</x:v>
      </x:c>
    </x:row>
    <x:row r="279">
      <x:c r="A279" t="str">
        <x:v>PJT_278</x:v>
      </x:c>
      <x:c r="B279" t="str">
        <x:v>Continental</x:v>
      </x:c>
      <x:c r="C279" t="n">
        <x:v>23820</x:v>
      </x:c>
      <x:c r="D279" t="n">
        <x:v>16</x:v>
      </x:c>
      <x:c r="E279" t="str">
        <x:v>Medium</x:v>
      </x:c>
      <x:c r="F279" t="str">
        <x:v>Commercial</x:v>
      </x:c>
      <x:c r="G279" t="str">
        <x:v>Steel</x:v>
      </x:c>
      <x:c r="H279" t="str">
        <x:v>Piles</x:v>
      </x:c>
      <x:c r="I279" t="str">
        <x:v>Mixed</x:v>
      </x:c>
      <x:c r="J279" t="str">
        <x:v>Low</x:v>
      </x:c>
      <x:c r="K279" t="n">
        <x:v>56667780</x:v>
      </x:c>
      <x:c r="L279" t="n">
        <x:v>1050</x:v>
      </x:c>
      <x:c r="M279" t="n">
        <x:v>316.6</x:v>
      </x:c>
      <x:c r="N279" t="n">
        <x:v>9.8</x:v>
      </x:c>
      <x:c r="O279" t="n">
        <x:v>55.4</x:v>
      </x:c>
      <x:c r="P279" t="str">
        <x:v>Sunny</x:v>
      </x:c>
      <x:c r="Q279" t="n">
        <x:v>89</x:v>
      </x:c>
      <x:c r="R279" t="n">
        <x:v>76.4</x:v>
      </x:c>
      <x:c r="S279" t="n">
        <x:v>0.0965</x:v>
      </x:c>
      <x:c r="T279" t="n">
        <x:v>16.7</x:v>
      </x:c>
      <x:c r="U279" t="n">
        <x:v>1488.8</x:v>
      </x:c>
      <x:c r="V279" t="n">
        <x:v>2379</x:v>
      </x:c>
      <x:c r="W279" t="n">
        <x:v>44.1</x:v>
      </x:c>
    </x:row>
    <x:row r="280">
      <x:c r="A280" t="str">
        <x:v>PJT_279</x:v>
      </x:c>
      <x:c r="B280" t="str">
        <x:v>Continental</x:v>
      </x:c>
      <x:c r="C280" t="n">
        <x:v>36240</x:v>
      </x:c>
      <x:c r="D280" t="n">
        <x:v>18</x:v>
      </x:c>
      <x:c r="E280" t="str">
        <x:v>Medium</x:v>
      </x:c>
      <x:c r="F280" t="str">
        <x:v>Commercial</x:v>
      </x:c>
      <x:c r="G280" t="str">
        <x:v>Steel</x:v>
      </x:c>
      <x:c r="H280" t="str">
        <x:v>Piles</x:v>
      </x:c>
      <x:c r="I280" t="str">
        <x:v>Mixed</x:v>
      </x:c>
      <x:c r="J280" t="str">
        <x:v>Medium</x:v>
      </x:c>
      <x:c r="K280" t="n">
        <x:v>89657760</x:v>
      </x:c>
      <x:c r="L280" t="n">
        <x:v>1714</x:v>
      </x:c>
      <x:c r="M280" t="n">
        <x:v>288.3</x:v>
      </x:c>
      <x:c r="N280" t="n">
        <x:v>3</x:v>
      </x:c>
      <x:c r="O280" t="n">
        <x:v>68.5</x:v>
      </x:c>
      <x:c r="P280" t="str">
        <x:v>Cloudy</x:v>
      </x:c>
      <x:c r="Q280" t="n">
        <x:v>75</x:v>
      </x:c>
      <x:c r="R280" t="n">
        <x:v>84.1</x:v>
      </x:c>
      <x:c r="S280" t="n">
        <x:v>0.0934</x:v>
      </x:c>
      <x:c r="T280" t="n">
        <x:v>16.7</x:v>
      </x:c>
      <x:c r="U280" t="n">
        <x:v>2013.3</x:v>
      </x:c>
      <x:c r="V280" t="n">
        <x:v>2474</x:v>
      </x:c>
      <x:c r="W280" t="n">
        <x:v>47.3</x:v>
      </x:c>
    </x:row>
    <x:row r="281">
      <x:c r="A281" t="str">
        <x:v>PJT_280</x:v>
      </x:c>
      <x:c r="B281" t="str">
        <x:v>Humid Subtropical</x:v>
      </x:c>
      <x:c r="C281" t="n">
        <x:v>8500</x:v>
      </x:c>
      <x:c r="D281" t="n">
        <x:v>4</x:v>
      </x:c>
      <x:c r="E281" t="str">
        <x:v>Medium</x:v>
      </x:c>
      <x:c r="F281" t="str">
        <x:v>Commercial</x:v>
      </x:c>
      <x:c r="G281" t="str">
        <x:v>RC Frame</x:v>
      </x:c>
      <x:c r="H281" t="str">
        <x:v>Raft</x:v>
      </x:c>
      <x:c r="I281" t="str">
        <x:v>Mixed</x:v>
      </x:c>
      <x:c r="J281" t="str">
        <x:v>High</x:v>
      </x:c>
      <x:c r="K281" t="n">
        <x:v>19669000</x:v>
      </x:c>
      <x:c r="L281" t="n">
        <x:v>340</x:v>
      </x:c>
      <x:c r="M281" t="n">
        <x:v>278.9</x:v>
      </x:c>
      <x:c r="N281" t="n">
        <x:v>23.8</x:v>
      </x:c>
      <x:c r="O281" t="n">
        <x:v>78</x:v>
      </x:c>
      <x:c r="P281" t="str">
        <x:v>Rainy</x:v>
      </x:c>
      <x:c r="Q281" t="n">
        <x:v>93</x:v>
      </x:c>
      <x:c r="R281" t="n">
        <x:v>71.8</x:v>
      </x:c>
      <x:c r="S281" t="n">
        <x:v>0.089</x:v>
      </x:c>
      <x:c r="T281" t="n">
        <x:v>15.6</x:v>
      </x:c>
      <x:c r="U281" t="n">
        <x:v>2125</x:v>
      </x:c>
      <x:c r="V281" t="n">
        <x:v>2314</x:v>
      </x:c>
      <x:c r="W281" t="n">
        <x:v>40</x:v>
      </x:c>
    </x:row>
    <x:row r="282">
      <x:c r="A282" t="str">
        <x:v>PJT_281</x:v>
      </x:c>
      <x:c r="B282" t="str">
        <x:v>Mediterranean</x:v>
      </x:c>
      <x:c r="C282" t="n">
        <x:v>26580</x:v>
      </x:c>
      <x:c r="D282" t="n">
        <x:v>19</x:v>
      </x:c>
      <x:c r="E282" t="str">
        <x:v>High</x:v>
      </x:c>
      <x:c r="F282" t="str">
        <x:v>Mixed-use</x:v>
      </x:c>
      <x:c r="G282" t="str">
        <x:v>Steel</x:v>
      </x:c>
      <x:c r="H282" t="str">
        <x:v>Piles</x:v>
      </x:c>
      <x:c r="I282" t="str">
        <x:v>Sand</x:v>
      </x:c>
      <x:c r="J282" t="str">
        <x:v>Medium</x:v>
      </x:c>
      <x:c r="K282" t="n">
        <x:v>75274560</x:v>
      </x:c>
      <x:c r="L282" t="n">
        <x:v>1542</x:v>
      </x:c>
      <x:c r="M282" t="n">
        <x:v>337.7</x:v>
      </x:c>
      <x:c r="N282" t="n">
        <x:v>14.4</x:v>
      </x:c>
      <x:c r="O282" t="n">
        <x:v>77.3</x:v>
      </x:c>
      <x:c r="P282" t="str">
        <x:v>Rainy</x:v>
      </x:c>
      <x:c r="Q282" t="n">
        <x:v>102</x:v>
      </x:c>
      <x:c r="R282" t="n">
        <x:v>88.2</x:v>
      </x:c>
      <x:c r="S282" t="n">
        <x:v>0.105</x:v>
      </x:c>
      <x:c r="T282" t="n">
        <x:v>19.8</x:v>
      </x:c>
      <x:c r="U282" t="n">
        <x:v>1398.9</x:v>
      </x:c>
      <x:c r="V282" t="n">
        <x:v>2832</x:v>
      </x:c>
      <x:c r="W282" t="n">
        <x:v>58</x:v>
      </x:c>
    </x:row>
    <x:row r="283">
      <x:c r="A283" t="str">
        <x:v>PJT_282</x:v>
      </x:c>
      <x:c r="B283" t="str">
        <x:v>Marine</x:v>
      </x:c>
      <x:c r="C283" t="n">
        <x:v>15250</x:v>
      </x:c>
      <x:c r="D283" t="n">
        <x:v>13</x:v>
      </x:c>
      <x:c r="E283" t="str">
        <x:v>Medium</x:v>
      </x:c>
      <x:c r="F283" t="str">
        <x:v>Commercial</x:v>
      </x:c>
      <x:c r="G283" t="str">
        <x:v>Steel</x:v>
      </x:c>
      <x:c r="H283" t="str">
        <x:v>Raft</x:v>
      </x:c>
      <x:c r="I283" t="str">
        <x:v>Mixed</x:v>
      </x:c>
      <x:c r="J283" t="str">
        <x:v>Medium</x:v>
      </x:c>
      <x:c r="K283" t="n">
        <x:v>36706750</x:v>
      </x:c>
      <x:c r="L283" t="n">
        <x:v>680</x:v>
      </x:c>
      <x:c r="M283" t="n">
        <x:v>298.4</x:v>
      </x:c>
      <x:c r="N283" t="n">
        <x:v>19.5</x:v>
      </x:c>
      <x:c r="O283" t="n">
        <x:v>76.5</x:v>
      </x:c>
      <x:c r="P283" t="str">
        <x:v>Cloudy</x:v>
      </x:c>
      <x:c r="Q283" t="n">
        <x:v>87</x:v>
      </x:c>
      <x:c r="R283" t="n">
        <x:v>74.1</x:v>
      </x:c>
      <x:c r="S283" t="n">
        <x:v>0.1003</x:v>
      </x:c>
      <x:c r="T283" t="n">
        <x:v>17.2</x:v>
      </x:c>
      <x:c r="U283" t="n">
        <x:v>1173.1</x:v>
      </x:c>
      <x:c r="V283" t="n">
        <x:v>2407</x:v>
      </x:c>
      <x:c r="W283" t="n">
        <x:v>44.6</x:v>
      </x:c>
    </x:row>
    <x:row r="284">
      <x:c r="A284" t="str">
        <x:v>PJT_283</x:v>
      </x:c>
      <x:c r="B284" t="str">
        <x:v>Mediterranean</x:v>
      </x:c>
      <x:c r="C284" t="n">
        <x:v>25290</x:v>
      </x:c>
      <x:c r="D284" t="n">
        <x:v>21</x:v>
      </x:c>
      <x:c r="E284" t="str">
        <x:v>High</x:v>
      </x:c>
      <x:c r="F284" t="str">
        <x:v>Commercial</x:v>
      </x:c>
      <x:c r="G284" t="str">
        <x:v>Steel</x:v>
      </x:c>
      <x:c r="H284" t="str">
        <x:v>Piles</x:v>
      </x:c>
      <x:c r="I284" t="str">
        <x:v>Rock</x:v>
      </x:c>
      <x:c r="J284" t="str">
        <x:v>High</x:v>
      </x:c>
      <x:c r="K284" t="n">
        <x:v>69952140</x:v>
      </x:c>
      <x:c r="L284" t="n">
        <x:v>1282</x:v>
      </x:c>
      <x:c r="M284" t="n">
        <x:v>705.7</x:v>
      </x:c>
      <x:c r="N284" t="n">
        <x:v>22.5</x:v>
      </x:c>
      <x:c r="O284" t="n">
        <x:v>54.6</x:v>
      </x:c>
      <x:c r="P284" t="str">
        <x:v>Cloudy</x:v>
      </x:c>
      <x:c r="Q284" t="n">
        <x:v>91</x:v>
      </x:c>
      <x:c r="R284" t="n">
        <x:v>87.6</x:v>
      </x:c>
      <x:c r="S284" t="n">
        <x:v>0.1043</x:v>
      </x:c>
      <x:c r="T284" t="n">
        <x:v>19.7</x:v>
      </x:c>
      <x:c r="U284" t="n">
        <x:v>1204.3</x:v>
      </x:c>
      <x:c r="V284" t="n">
        <x:v>2766</x:v>
      </x:c>
      <x:c r="W284" t="n">
        <x:v>50.7</x:v>
      </x:c>
    </x:row>
    <x:row r="285">
      <x:c r="A285" t="str">
        <x:v>PJT_284</x:v>
      </x:c>
      <x:c r="B285" t="str">
        <x:v>Humid Subtropical</x:v>
      </x:c>
      <x:c r="C285" t="n">
        <x:v>9110</x:v>
      </x:c>
      <x:c r="D285" t="n">
        <x:v>12</x:v>
      </x:c>
      <x:c r="E285" t="str">
        <x:v>Low</x:v>
      </x:c>
      <x:c r="F285" t="str">
        <x:v>Residential</x:v>
      </x:c>
      <x:c r="G285" t="str">
        <x:v>RC Frame</x:v>
      </x:c>
      <x:c r="H285" t="str">
        <x:v>Raft</x:v>
      </x:c>
      <x:c r="I285" t="str">
        <x:v>Mixed</x:v>
      </x:c>
      <x:c r="J285" t="str">
        <x:v>Medium</x:v>
      </x:c>
      <x:c r="K285" t="n">
        <x:v>13592120</x:v>
      </x:c>
      <x:c r="L285" t="n">
        <x:v>290</x:v>
      </x:c>
      <x:c r="M285" t="n">
        <x:v>330</x:v>
      </x:c>
      <x:c r="N285" t="n">
        <x:v>29</x:v>
      </x:c>
      <x:c r="O285" t="n">
        <x:v>67.8</x:v>
      </x:c>
      <x:c r="P285" t="str">
        <x:v>Cloudy</x:v>
      </x:c>
      <x:c r="Q285" t="n">
        <x:v>94</x:v>
      </x:c>
      <x:c r="R285" t="n">
        <x:v>70.8</x:v>
      </x:c>
      <x:c r="S285" t="n">
        <x:v>0.0763</x:v>
      </x:c>
      <x:c r="T285" t="n">
        <x:v>12.1</x:v>
      </x:c>
      <x:c r="U285" t="n">
        <x:v>759.2</x:v>
      </x:c>
      <x:c r="V285" t="n">
        <x:v>1492</x:v>
      </x:c>
      <x:c r="W285" t="n">
        <x:v>31.8</x:v>
      </x:c>
    </x:row>
    <x:row r="286">
      <x:c r="A286" t="str">
        <x:v>PJT_285</x:v>
      </x:c>
      <x:c r="B286" t="str">
        <x:v>Marine</x:v>
      </x:c>
      <x:c r="C286" t="n">
        <x:v>19200</x:v>
      </x:c>
      <x:c r="D286" t="n">
        <x:v>9</x:v>
      </x:c>
      <x:c r="E286" t="str">
        <x:v>Medium</x:v>
      </x:c>
      <x:c r="F286" t="str">
        <x:v>Hospital</x:v>
      </x:c>
      <x:c r="G286" t="str">
        <x:v>Steel</x:v>
      </x:c>
      <x:c r="H286" t="str">
        <x:v>Piles</x:v>
      </x:c>
      <x:c r="I286" t="str">
        <x:v>Soft Clay</x:v>
      </x:c>
      <x:c r="J286" t="str">
        <x:v>Medium</x:v>
      </x:c>
      <x:c r="K286" t="n">
        <x:v>61036800</x:v>
      </x:c>
      <x:c r="L286" t="n">
        <x:v>1018</x:v>
      </x:c>
      <x:c r="M286" t="n">
        <x:v>179.9</x:v>
      </x:c>
      <x:c r="N286" t="n">
        <x:v>13.6</x:v>
      </x:c>
      <x:c r="O286" t="n">
        <x:v>65.5</x:v>
      </x:c>
      <x:c r="P286" t="str">
        <x:v>Cloudy</x:v>
      </x:c>
      <x:c r="Q286" t="n">
        <x:v>96</x:v>
      </x:c>
      <x:c r="R286" t="n">
        <x:v>78.7</x:v>
      </x:c>
      <x:c r="S286" t="n">
        <x:v>0.1108</x:v>
      </x:c>
      <x:c r="T286" t="n">
        <x:v>20.8</x:v>
      </x:c>
      <x:c r="U286" t="n">
        <x:v>2133.3</x:v>
      </x:c>
      <x:c r="V286" t="n">
        <x:v>3179</x:v>
      </x:c>
      <x:c r="W286" t="n">
        <x:v>53</x:v>
      </x:c>
    </x:row>
    <x:row r="287">
      <x:c r="A287" t="str">
        <x:v>PJT_286</x:v>
      </x:c>
      <x:c r="B287" t="str">
        <x:v>Humid Subtropical</x:v>
      </x:c>
      <x:c r="C287" t="n">
        <x:v>7240</x:v>
      </x:c>
      <x:c r="D287" t="n">
        <x:v>3</x:v>
      </x:c>
      <x:c r="E287" t="str">
        <x:v>Low</x:v>
      </x:c>
      <x:c r="F287" t="str">
        <x:v>School</x:v>
      </x:c>
      <x:c r="G287" t="str">
        <x:v>RC Frame</x:v>
      </x:c>
      <x:c r="H287" t="str">
        <x:v>Raft</x:v>
      </x:c>
      <x:c r="I287" t="str">
        <x:v>Sand</x:v>
      </x:c>
      <x:c r="J287" t="str">
        <x:v>Medium</x:v>
      </x:c>
      <x:c r="K287" t="n">
        <x:v>12184920</x:v>
      </x:c>
      <x:c r="L287" t="n">
        <x:v>221</x:v>
      </x:c>
      <x:c r="M287" t="n">
        <x:v>310.7</x:v>
      </x:c>
      <x:c r="N287" t="n">
        <x:v>21.4</x:v>
      </x:c>
      <x:c r="O287" t="n">
        <x:v>85.3</x:v>
      </x:c>
      <x:c r="P287" t="str">
        <x:v>Rainy</x:v>
      </x:c>
      <x:c r="Q287" t="n">
        <x:v>84</x:v>
      </x:c>
      <x:c r="R287" t="n">
        <x:v>63.9</x:v>
      </x:c>
      <x:c r="S287" t="n">
        <x:v>0.0755</x:v>
      </x:c>
      <x:c r="T287" t="n">
        <x:v>13.8</x:v>
      </x:c>
      <x:c r="U287" t="n">
        <x:v>2413.3</x:v>
      </x:c>
      <x:c r="V287" t="n">
        <x:v>1683</x:v>
      </x:c>
      <x:c r="W287" t="n">
        <x:v>30.5</x:v>
      </x:c>
    </x:row>
    <x:row r="288">
      <x:c r="A288" t="str">
        <x:v>PJT_287</x:v>
      </x:c>
      <x:c r="B288" t="str">
        <x:v>Continental</x:v>
      </x:c>
      <x:c r="C288" t="n">
        <x:v>15470</x:v>
      </x:c>
      <x:c r="D288" t="n">
        <x:v>11</x:v>
      </x:c>
      <x:c r="E288" t="str">
        <x:v>Medium</x:v>
      </x:c>
      <x:c r="F288" t="str">
        <x:v>Commercial</x:v>
      </x:c>
      <x:c r="G288" t="str">
        <x:v>RC Frame</x:v>
      </x:c>
      <x:c r="H288" t="str">
        <x:v>Raft</x:v>
      </x:c>
      <x:c r="I288" t="str">
        <x:v>Mixed</x:v>
      </x:c>
      <x:c r="J288" t="str">
        <x:v>Medium</x:v>
      </x:c>
      <x:c r="K288" t="n">
        <x:v>34513570</x:v>
      </x:c>
      <x:c r="L288" t="n">
        <x:v>591</x:v>
      </x:c>
      <x:c r="M288" t="n">
        <x:v>373.9</x:v>
      </x:c>
      <x:c r="N288" t="n">
        <x:v>7.1</x:v>
      </x:c>
      <x:c r="O288" t="n">
        <x:v>56.5</x:v>
      </x:c>
      <x:c r="P288" t="str">
        <x:v>Sunny</x:v>
      </x:c>
      <x:c r="Q288" t="n">
        <x:v>85</x:v>
      </x:c>
      <x:c r="R288" t="n">
        <x:v>78.7</x:v>
      </x:c>
      <x:c r="S288" t="n">
        <x:v>0.0913</x:v>
      </x:c>
      <x:c r="T288" t="n">
        <x:v>15.4</x:v>
      </x:c>
      <x:c r="U288" t="n">
        <x:v>1406.4</x:v>
      </x:c>
      <x:c r="V288" t="n">
        <x:v>2231</x:v>
      </x:c>
      <x:c r="W288" t="n">
        <x:v>38.2</x:v>
      </x:c>
    </x:row>
    <x:row r="289">
      <x:c r="A289" t="str">
        <x:v>PJT_288</x:v>
      </x:c>
      <x:c r="B289" t="str">
        <x:v>Marine</x:v>
      </x:c>
      <x:c r="C289" t="n">
        <x:v>29860</x:v>
      </x:c>
      <x:c r="D289" t="n">
        <x:v>24</x:v>
      </x:c>
      <x:c r="E289" t="str">
        <x:v>High</x:v>
      </x:c>
      <x:c r="F289" t="str">
        <x:v>Mixed-use</x:v>
      </x:c>
      <x:c r="G289" t="str">
        <x:v>Steel</x:v>
      </x:c>
      <x:c r="H289" t="str">
        <x:v>Piles</x:v>
      </x:c>
      <x:c r="I289" t="str">
        <x:v>Soft Clay</x:v>
      </x:c>
      <x:c r="J289" t="str">
        <x:v>Medium</x:v>
      </x:c>
      <x:c r="K289" t="n">
        <x:v>88773780</x:v>
      </x:c>
      <x:c r="L289" t="n">
        <x:v>1711</x:v>
      </x:c>
      <x:c r="M289" t="n">
        <x:v>180.7</x:v>
      </x:c>
      <x:c r="N289" t="n">
        <x:v>14.1</x:v>
      </x:c>
      <x:c r="O289" t="n">
        <x:v>82.1</x:v>
      </x:c>
      <x:c r="P289" t="str">
        <x:v>Rainy</x:v>
      </x:c>
      <x:c r="Q289" t="n">
        <x:v>75</x:v>
      </x:c>
      <x:c r="R289" t="n">
        <x:v>89.6</x:v>
      </x:c>
      <x:c r="S289" t="n">
        <x:v>0.1044</x:v>
      </x:c>
      <x:c r="T289" t="n">
        <x:v>20</x:v>
      </x:c>
      <x:c r="U289" t="n">
        <x:v>1244.2</x:v>
      </x:c>
      <x:c r="V289" t="n">
        <x:v>2973</x:v>
      </x:c>
      <x:c r="W289" t="n">
        <x:v>57.3</x:v>
      </x:c>
    </x:row>
    <x:row r="290">
      <x:c r="A290" t="str">
        <x:v>PJT_289</x:v>
      </x:c>
      <x:c r="B290" t="str">
        <x:v>Mediterranean</x:v>
      </x:c>
      <x:c r="C290" t="n">
        <x:v>15020</x:v>
      </x:c>
      <x:c r="D290" t="n">
        <x:v>6</x:v>
      </x:c>
      <x:c r="E290" t="str">
        <x:v>Medium</x:v>
      </x:c>
      <x:c r="F290" t="str">
        <x:v>School</x:v>
      </x:c>
      <x:c r="G290" t="str">
        <x:v>Steel</x:v>
      </x:c>
      <x:c r="H290" t="str">
        <x:v>Raft</x:v>
      </x:c>
      <x:c r="I290" t="str">
        <x:v>Rock</x:v>
      </x:c>
      <x:c r="J290" t="str">
        <x:v>High</x:v>
      </x:c>
      <x:c r="K290" t="n">
        <x:v>31421840</x:v>
      </x:c>
      <x:c r="L290" t="n">
        <x:v>487</x:v>
      </x:c>
      <x:c r="M290" t="n">
        <x:v>704.6</x:v>
      </x:c>
      <x:c r="N290" t="n">
        <x:v>30.1</x:v>
      </x:c>
      <x:c r="O290" t="n">
        <x:v>56.4</x:v>
      </x:c>
      <x:c r="P290" t="str">
        <x:v>Sunny</x:v>
      </x:c>
      <x:c r="Q290" t="n">
        <x:v>54</x:v>
      </x:c>
      <x:c r="R290" t="n">
        <x:v>70.4</x:v>
      </x:c>
      <x:c r="S290" t="n">
        <x:v>0.0895</x:v>
      </x:c>
      <x:c r="T290" t="n">
        <x:v>16.2</x:v>
      </x:c>
      <x:c r="U290" t="n">
        <x:v>2503.3</x:v>
      </x:c>
      <x:c r="V290" t="n">
        <x:v>2092</x:v>
      </x:c>
      <x:c r="W290" t="n">
        <x:v>32.4</x:v>
      </x:c>
    </x:row>
    <x:row r="291">
      <x:c r="A291" t="str">
        <x:v>PJT_290</x:v>
      </x:c>
      <x:c r="B291" t="str">
        <x:v>Continental</x:v>
      </x:c>
      <x:c r="C291" t="n">
        <x:v>21820</x:v>
      </x:c>
      <x:c r="D291" t="n">
        <x:v>20</x:v>
      </x:c>
      <x:c r="E291" t="str">
        <x:v>Medium</x:v>
      </x:c>
      <x:c r="F291" t="str">
        <x:v>Commercial</x:v>
      </x:c>
      <x:c r="G291" t="str">
        <x:v>Steel</x:v>
      </x:c>
      <x:c r="H291" t="str">
        <x:v>Piles</x:v>
      </x:c>
      <x:c r="I291" t="str">
        <x:v>Soft Clay</x:v>
      </x:c>
      <x:c r="J291" t="str">
        <x:v>Low</x:v>
      </x:c>
      <x:c r="K291" t="n">
        <x:v>53699020</x:v>
      </x:c>
      <x:c r="L291" t="n">
        <x:v>1054</x:v>
      </x:c>
      <x:c r="M291" t="n">
        <x:v>184.2</x:v>
      </x:c>
      <x:c r="N291" t="n">
        <x:v>-9.4</x:v>
      </x:c>
      <x:c r="O291" t="n">
        <x:v>72</x:v>
      </x:c>
      <x:c r="P291" t="str">
        <x:v>Snowy</x:v>
      </x:c>
      <x:c r="Q291" t="n">
        <x:v>86</x:v>
      </x:c>
      <x:c r="R291" t="n">
        <x:v>80.6</x:v>
      </x:c>
      <x:c r="S291" t="n">
        <x:v>0.0961</x:v>
      </x:c>
      <x:c r="T291" t="n">
        <x:v>16.5</x:v>
      </x:c>
      <x:c r="U291" t="n">
        <x:v>1091</x:v>
      </x:c>
      <x:c r="V291" t="n">
        <x:v>2461</x:v>
      </x:c>
      <x:c r="W291" t="n">
        <x:v>48.3</x:v>
      </x:c>
    </x:row>
    <x:row r="292">
      <x:c r="A292" t="str">
        <x:v>PJT_291</x:v>
      </x:c>
      <x:c r="B292" t="str">
        <x:v>Continental</x:v>
      </x:c>
      <x:c r="C292" t="n">
        <x:v>7990</x:v>
      </x:c>
      <x:c r="D292" t="n">
        <x:v>10</x:v>
      </x:c>
      <x:c r="E292" t="str">
        <x:v>Medium</x:v>
      </x:c>
      <x:c r="F292" t="str">
        <x:v>Residential</x:v>
      </x:c>
      <x:c r="G292" t="str">
        <x:v>Shear Wall</x:v>
      </x:c>
      <x:c r="H292" t="str">
        <x:v>Raft</x:v>
      </x:c>
      <x:c r="I292" t="str">
        <x:v>Mixed</x:v>
      </x:c>
      <x:c r="J292" t="str">
        <x:v>High</x:v>
      </x:c>
      <x:c r="K292" t="n">
        <x:v>13079630</x:v>
      </x:c>
      <x:c r="L292" t="n">
        <x:v>317</x:v>
      </x:c>
      <x:c r="M292" t="n">
        <x:v>353.1</x:v>
      </x:c>
      <x:c r="N292" t="n">
        <x:v>-4.8</x:v>
      </x:c>
      <x:c r="O292" t="n">
        <x:v>69.4</x:v>
      </x:c>
      <x:c r="P292" t="str">
        <x:v>Snowy</x:v>
      </x:c>
      <x:c r="Q292" t="n">
        <x:v>70</x:v>
      </x:c>
      <x:c r="R292" t="n">
        <x:v>66.7</x:v>
      </x:c>
      <x:c r="S292" t="n">
        <x:v>0.0824</x:v>
      </x:c>
      <x:c r="T292" t="n">
        <x:v>12.7</x:v>
      </x:c>
      <x:c r="U292" t="n">
        <x:v>799</x:v>
      </x:c>
      <x:c r="V292" t="n">
        <x:v>1637</x:v>
      </x:c>
      <x:c r="W292" t="n">
        <x:v>39.7</x:v>
      </x:c>
    </x:row>
    <x:row r="293">
      <x:c r="A293" t="str">
        <x:v>PJT_292</x:v>
      </x:c>
      <x:c r="B293" t="str">
        <x:v>Humid Subtropical</x:v>
      </x:c>
      <x:c r="C293" t="n">
        <x:v>4160</x:v>
      </x:c>
      <x:c r="D293" t="n">
        <x:v>2</x:v>
      </x:c>
      <x:c r="E293" t="str">
        <x:v>Low</x:v>
      </x:c>
      <x:c r="F293" t="str">
        <x:v>School</x:v>
      </x:c>
      <x:c r="G293" t="str">
        <x:v>RC Frame</x:v>
      </x:c>
      <x:c r="H293" t="str">
        <x:v>Strip</x:v>
      </x:c>
      <x:c r="I293" t="str">
        <x:v>Mixed</x:v>
      </x:c>
      <x:c r="J293" t="str">
        <x:v>Low</x:v>
      </x:c>
      <x:c r="K293" t="n">
        <x:v>6389760</x:v>
      </x:c>
      <x:c r="L293" t="n">
        <x:v>180</x:v>
      </x:c>
      <x:c r="M293" t="n">
        <x:v>231.6</x:v>
      </x:c>
      <x:c r="N293" t="n">
        <x:v>32.7</x:v>
      </x:c>
      <x:c r="O293" t="n">
        <x:v>57.8</x:v>
      </x:c>
      <x:c r="P293" t="str">
        <x:v>Sunny</x:v>
      </x:c>
      <x:c r="Q293" t="n">
        <x:v>88</x:v>
      </x:c>
      <x:c r="R293" t="n">
        <x:v>60.7</x:v>
      </x:c>
      <x:c r="S293" t="n">
        <x:v>0.0816</x:v>
      </x:c>
      <x:c r="T293" t="n">
        <x:v>13.4</x:v>
      </x:c>
      <x:c r="U293" t="n">
        <x:v>2080</x:v>
      </x:c>
      <x:c r="V293" t="n">
        <x:v>1536</x:v>
      </x:c>
      <x:c r="W293" t="n">
        <x:v>24</x:v>
      </x:c>
    </x:row>
    <x:row r="294">
      <x:c r="A294" t="str">
        <x:v>PJT_293</x:v>
      </x:c>
      <x:c r="B294" t="str">
        <x:v>Humid Subtropical</x:v>
      </x:c>
      <x:c r="C294" t="n">
        <x:v>21690</x:v>
      </x:c>
      <x:c r="D294" t="n">
        <x:v>17</x:v>
      </x:c>
      <x:c r="E294" t="str">
        <x:v>Medium</x:v>
      </x:c>
      <x:c r="F294" t="str">
        <x:v>Mixed-use</x:v>
      </x:c>
      <x:c r="G294" t="str">
        <x:v>Steel</x:v>
      </x:c>
      <x:c r="H294" t="str">
        <x:v>Piles</x:v>
      </x:c>
      <x:c r="I294" t="str">
        <x:v>Mixed</x:v>
      </x:c>
      <x:c r="J294" t="str">
        <x:v>Medium</x:v>
      </x:c>
      <x:c r="K294" t="n">
        <x:v>61491150</x:v>
      </x:c>
      <x:c r="L294" t="n">
        <x:v>1041</x:v>
      </x:c>
      <x:c r="M294" t="n">
        <x:v>404.9</x:v>
      </x:c>
      <x:c r="N294" t="n">
        <x:v>29.5</x:v>
      </x:c>
      <x:c r="O294" t="n">
        <x:v>53</x:v>
      </x:c>
      <x:c r="P294" t="str">
        <x:v>Sunny</x:v>
      </x:c>
      <x:c r="Q294" t="n">
        <x:v>94</x:v>
      </x:c>
      <x:c r="R294" t="n">
        <x:v>83.1</x:v>
      </x:c>
      <x:c r="S294" t="n">
        <x:v>0.0993</x:v>
      </x:c>
      <x:c r="T294" t="n">
        <x:v>19.3</x:v>
      </x:c>
      <x:c r="U294" t="n">
        <x:v>1275.9</x:v>
      </x:c>
      <x:c r="V294" t="n">
        <x:v>2835</x:v>
      </x:c>
      <x:c r="W294" t="n">
        <x:v>48</x:v>
      </x:c>
    </x:row>
    <x:row r="295">
      <x:c r="A295" t="str">
        <x:v>PJT_294</x:v>
      </x:c>
      <x:c r="B295" t="str">
        <x:v>Marine</x:v>
      </x:c>
      <x:c r="C295" t="n">
        <x:v>20570</x:v>
      </x:c>
      <x:c r="D295" t="n">
        <x:v>16</x:v>
      </x:c>
      <x:c r="E295" t="str">
        <x:v>Medium</x:v>
      </x:c>
      <x:c r="F295" t="str">
        <x:v>Commercial</x:v>
      </x:c>
      <x:c r="G295" t="str">
        <x:v>Steel</x:v>
      </x:c>
      <x:c r="H295" t="str">
        <x:v>Piles</x:v>
      </x:c>
      <x:c r="I295" t="str">
        <x:v>Soft Clay</x:v>
      </x:c>
      <x:c r="J295" t="str">
        <x:v>Medium</x:v>
      </x:c>
      <x:c r="K295" t="n">
        <x:v>51898110</x:v>
      </x:c>
      <x:c r="L295" t="n">
        <x:v>989</x:v>
      </x:c>
      <x:c r="M295" t="n">
        <x:v>238.5</x:v>
      </x:c>
      <x:c r="N295" t="n">
        <x:v>12.4</x:v>
      </x:c>
      <x:c r="O295" t="n">
        <x:v>74.1</x:v>
      </x:c>
      <x:c r="P295" t="str">
        <x:v>Cloudy</x:v>
      </x:c>
      <x:c r="Q295" t="n">
        <x:v>65</x:v>
      </x:c>
      <x:c r="R295" t="n">
        <x:v>83.4</x:v>
      </x:c>
      <x:c r="S295" t="n">
        <x:v>0.0951</x:v>
      </x:c>
      <x:c r="T295" t="n">
        <x:v>17.3</x:v>
      </x:c>
      <x:c r="U295" t="n">
        <x:v>1285.6</x:v>
      </x:c>
      <x:c r="V295" t="n">
        <x:v>2523</x:v>
      </x:c>
      <x:c r="W295" t="n">
        <x:v>48.1</x:v>
      </x:c>
    </x:row>
    <x:row r="296">
      <x:c r="A296" t="str">
        <x:v>PJT_295</x:v>
      </x:c>
      <x:c r="B296" t="str">
        <x:v>Marine</x:v>
      </x:c>
      <x:c r="C296" t="n">
        <x:v>13460</x:v>
      </x:c>
      <x:c r="D296" t="n">
        <x:v>8</x:v>
      </x:c>
      <x:c r="E296" t="str">
        <x:v>Low</x:v>
      </x:c>
      <x:c r="F296" t="str">
        <x:v>Commercial</x:v>
      </x:c>
      <x:c r="G296" t="str">
        <x:v>Steel</x:v>
      </x:c>
      <x:c r="H296" t="str">
        <x:v>Piles</x:v>
      </x:c>
      <x:c r="I296" t="str">
        <x:v>Soft Clay</x:v>
      </x:c>
      <x:c r="J296" t="str">
        <x:v>Medium</x:v>
      </x:c>
      <x:c r="K296" t="n">
        <x:v>30863780</x:v>
      </x:c>
      <x:c r="L296" t="n">
        <x:v>619</x:v>
      </x:c>
      <x:c r="M296" t="n">
        <x:v>162.1</x:v>
      </x:c>
      <x:c r="N296" t="n">
        <x:v>15.9</x:v>
      </x:c>
      <x:c r="O296" t="n">
        <x:v>92.8</x:v>
      </x:c>
      <x:c r="P296" t="str">
        <x:v>Stormy</x:v>
      </x:c>
      <x:c r="Q296" t="n">
        <x:v>87</x:v>
      </x:c>
      <x:c r="R296" t="n">
        <x:v>70.2</x:v>
      </x:c>
      <x:c r="S296" t="n">
        <x:v>0.0944</x:v>
      </x:c>
      <x:c r="T296" t="n">
        <x:v>16</x:v>
      </x:c>
      <x:c r="U296" t="n">
        <x:v>1682.5</x:v>
      </x:c>
      <x:c r="V296" t="n">
        <x:v>2293</x:v>
      </x:c>
      <x:c r="W296" t="n">
        <x:v>46</x:v>
      </x:c>
    </x:row>
    <x:row r="297">
      <x:c r="A297" t="str">
        <x:v>PJT_296</x:v>
      </x:c>
      <x:c r="B297" t="str">
        <x:v>Continental</x:v>
      </x:c>
      <x:c r="C297" t="n">
        <x:v>27380</x:v>
      </x:c>
      <x:c r="D297" t="n">
        <x:v>19</x:v>
      </x:c>
      <x:c r="E297" t="str">
        <x:v>Medium</x:v>
      </x:c>
      <x:c r="F297" t="str">
        <x:v>Commercial</x:v>
      </x:c>
      <x:c r="G297" t="str">
        <x:v>Steel</x:v>
      </x:c>
      <x:c r="H297" t="str">
        <x:v>Piles</x:v>
      </x:c>
      <x:c r="I297" t="str">
        <x:v>Mixed</x:v>
      </x:c>
      <x:c r="J297" t="str">
        <x:v>High</x:v>
      </x:c>
      <x:c r="K297" t="n">
        <x:v>73104600</x:v>
      </x:c>
      <x:c r="L297" t="n">
        <x:v>1402</x:v>
      </x:c>
      <x:c r="M297" t="n">
        <x:v>321.2</x:v>
      </x:c>
      <x:c r="N297" t="n">
        <x:v>18.2</x:v>
      </x:c>
      <x:c r="O297" t="n">
        <x:v>82.4</x:v>
      </x:c>
      <x:c r="P297" t="str">
        <x:v>Stormy</x:v>
      </x:c>
      <x:c r="Q297" t="n">
        <x:v>105</x:v>
      </x:c>
      <x:c r="R297" t="n">
        <x:v>83.7</x:v>
      </x:c>
      <x:c r="S297" t="n">
        <x:v>0.0972</x:v>
      </x:c>
      <x:c r="T297" t="n">
        <x:v>17.2</x:v>
      </x:c>
      <x:c r="U297" t="n">
        <x:v>1441.1</x:v>
      </x:c>
      <x:c r="V297" t="n">
        <x:v>2670</x:v>
      </x:c>
      <x:c r="W297" t="n">
        <x:v>51.2</x:v>
      </x:c>
    </x:row>
    <x:row r="298">
      <x:c r="A298" t="str">
        <x:v>PJT_297</x:v>
      </x:c>
      <x:c r="B298" t="str">
        <x:v>Mediterranean</x:v>
      </x:c>
      <x:c r="C298" t="n">
        <x:v>13420</x:v>
      </x:c>
      <x:c r="D298" t="n">
        <x:v>12</x:v>
      </x:c>
      <x:c r="E298" t="str">
        <x:v>Medium</x:v>
      </x:c>
      <x:c r="F298" t="str">
        <x:v>Commercial</x:v>
      </x:c>
      <x:c r="G298" t="str">
        <x:v>Steel</x:v>
      </x:c>
      <x:c r="H298" t="str">
        <x:v>Raft</x:v>
      </x:c>
      <x:c r="I298" t="str">
        <x:v>Mixed</x:v>
      </x:c>
      <x:c r="J298" t="str">
        <x:v>High</x:v>
      </x:c>
      <x:c r="K298" t="n">
        <x:v>32436140</x:v>
      </x:c>
      <x:c r="L298" t="n">
        <x:v>623</x:v>
      </x:c>
      <x:c r="M298" t="n">
        <x:v>273.1</x:v>
      </x:c>
      <x:c r="N298" t="n">
        <x:v>13.9</x:v>
      </x:c>
      <x:c r="O298" t="n">
        <x:v>70</x:v>
      </x:c>
      <x:c r="P298" t="str">
        <x:v>Rainy</x:v>
      </x:c>
      <x:c r="Q298" t="n">
        <x:v>87</x:v>
      </x:c>
      <x:c r="R298" t="n">
        <x:v>75.8</x:v>
      </x:c>
      <x:c r="S298" t="n">
        <x:v>0.0998</x:v>
      </x:c>
      <x:c r="T298" t="n">
        <x:v>17.2</x:v>
      </x:c>
      <x:c r="U298" t="n">
        <x:v>1118.3</x:v>
      </x:c>
      <x:c r="V298" t="n">
        <x:v>2417</x:v>
      </x:c>
      <x:c r="W298" t="n">
        <x:v>46.4</x:v>
      </x:c>
    </x:row>
    <x:row r="299">
      <x:c r="A299" t="str">
        <x:v>PJT_298</x:v>
      </x:c>
      <x:c r="B299" t="str">
        <x:v>Mediterranean</x:v>
      </x:c>
      <x:c r="C299" t="n">
        <x:v>4060</x:v>
      </x:c>
      <x:c r="D299" t="n">
        <x:v>5</x:v>
      </x:c>
      <x:c r="E299" t="str">
        <x:v>Low</x:v>
      </x:c>
      <x:c r="F299" t="str">
        <x:v>Residential</x:v>
      </x:c>
      <x:c r="G299" t="str">
        <x:v>RC Frame</x:v>
      </x:c>
      <x:c r="H299" t="str">
        <x:v>Raft</x:v>
      </x:c>
      <x:c r="I299" t="str">
        <x:v>Mixed</x:v>
      </x:c>
      <x:c r="J299" t="str">
        <x:v>Medium</x:v>
      </x:c>
      <x:c r="K299" t="n">
        <x:v>5034400</x:v>
      </x:c>
      <x:c r="L299" t="n">
        <x:v>180</x:v>
      </x:c>
      <x:c r="M299" t="n">
        <x:v>296.2</x:v>
      </x:c>
      <x:c r="N299" t="n">
        <x:v>20.6</x:v>
      </x:c>
      <x:c r="O299" t="n">
        <x:v>53.6</x:v>
      </x:c>
      <x:c r="P299" t="str">
        <x:v>Sunny</x:v>
      </x:c>
      <x:c r="Q299" t="n">
        <x:v>53</x:v>
      </x:c>
      <x:c r="R299" t="n">
        <x:v>62.3</x:v>
      </x:c>
      <x:c r="S299" t="n">
        <x:v>0.076</x:v>
      </x:c>
      <x:c r="T299" t="n">
        <x:v>11.6</x:v>
      </x:c>
      <x:c r="U299" t="n">
        <x:v>812</x:v>
      </x:c>
      <x:c r="V299" t="n">
        <x:v>1240</x:v>
      </x:c>
      <x:c r="W299" t="n">
        <x:v>30.6</x:v>
      </x:c>
    </x:row>
    <x:row r="300">
      <x:c r="A300" t="str">
        <x:v>PJT_299</x:v>
      </x:c>
      <x:c r="B300" t="str">
        <x:v>Mediterranean</x:v>
      </x:c>
      <x:c r="C300" t="n">
        <x:v>5640</x:v>
      </x:c>
      <x:c r="D300" t="n">
        <x:v>3</x:v>
      </x:c>
      <x:c r="E300" t="str">
        <x:v>Low</x:v>
      </x:c>
      <x:c r="F300" t="str">
        <x:v>School</x:v>
      </x:c>
      <x:c r="G300" t="str">
        <x:v>Steel</x:v>
      </x:c>
      <x:c r="H300" t="str">
        <x:v>Raft</x:v>
      </x:c>
      <x:c r="I300" t="str">
        <x:v>Sand</x:v>
      </x:c>
      <x:c r="J300" t="str">
        <x:v>High</x:v>
      </x:c>
      <x:c r="K300" t="n">
        <x:v>10896480</x:v>
      </x:c>
      <x:c r="L300" t="n">
        <x:v>180</x:v>
      </x:c>
      <x:c r="M300" t="n">
        <x:v>250.4</x:v>
      </x:c>
      <x:c r="N300" t="n">
        <x:v>22.2</x:v>
      </x:c>
      <x:c r="O300" t="n">
        <x:v>58.7</x:v>
      </x:c>
      <x:c r="P300" t="str">
        <x:v>Cloudy</x:v>
      </x:c>
      <x:c r="Q300" t="n">
        <x:v>54</x:v>
      </x:c>
      <x:c r="R300" t="n">
        <x:v>61.4</x:v>
      </x:c>
      <x:c r="S300" t="n">
        <x:v>0.0859</x:v>
      </x:c>
      <x:c r="T300" t="n">
        <x:v>13.9</x:v>
      </x:c>
      <x:c r="U300" t="n">
        <x:v>1880</x:v>
      </x:c>
      <x:c r="V300" t="n">
        <x:v>1932</x:v>
      </x:c>
      <x:c r="W300" t="n">
        <x:v>31.2</x:v>
      </x:c>
    </x:row>
    <x:row r="301">
      <x:c r="A301" t="str">
        <x:v>PJT_300</x:v>
      </x:c>
      <x:c r="B301" t="str">
        <x:v>Continental</x:v>
      </x:c>
      <x:c r="C301" t="n">
        <x:v>12090</x:v>
      </x:c>
      <x:c r="D301" t="n">
        <x:v>5</x:v>
      </x:c>
      <x:c r="E301" t="str">
        <x:v>Low</x:v>
      </x:c>
      <x:c r="F301" t="str">
        <x:v>School</x:v>
      </x:c>
      <x:c r="G301" t="str">
        <x:v>RC Frame</x:v>
      </x:c>
      <x:c r="H301" t="str">
        <x:v>Raft</x:v>
      </x:c>
      <x:c r="I301" t="str">
        <x:v>Mixed</x:v>
      </x:c>
      <x:c r="J301" t="str">
        <x:v>Low</x:v>
      </x:c>
      <x:c r="K301" t="n">
        <x:v>18038280</x:v>
      </x:c>
      <x:c r="L301" t="n">
        <x:v>371</x:v>
      </x:c>
      <x:c r="M301" t="n">
        <x:v>295.6</x:v>
      </x:c>
      <x:c r="N301" t="n">
        <x:v>-3.9</x:v>
      </x:c>
      <x:c r="O301" t="n">
        <x:v>74</x:v>
      </x:c>
      <x:c r="P301" t="str">
        <x:v>Snowy</x:v>
      </x:c>
      <x:c r="Q301" t="n">
        <x:v>63</x:v>
      </x:c>
      <x:c r="R301" t="n">
        <x:v>60.9</x:v>
      </x:c>
      <x:c r="S301" t="n">
        <x:v>0.0741</x:v>
      </x:c>
      <x:c r="T301" t="n">
        <x:v>13.9</x:v>
      </x:c>
      <x:c r="U301" t="n">
        <x:v>2418</x:v>
      </x:c>
      <x:c r="V301" t="n">
        <x:v>1492</x:v>
      </x:c>
      <x:c r="W301" t="n">
        <x:v>30.7</x:v>
      </x:c>
    </x:row>
    <x:row r="302">
      <x:c r="A302" t="str">
        <x:v>PJT_301</x:v>
      </x:c>
      <x:c r="B302" t="str">
        <x:v>Marine</x:v>
      </x:c>
      <x:c r="C302" t="n">
        <x:v>8730</x:v>
      </x:c>
      <x:c r="D302" t="n">
        <x:v>6</x:v>
      </x:c>
      <x:c r="E302" t="str">
        <x:v>Medium</x:v>
      </x:c>
      <x:c r="F302" t="str">
        <x:v>Commercial</x:v>
      </x:c>
      <x:c r="G302" t="str">
        <x:v>RC Frame</x:v>
      </x:c>
      <x:c r="H302" t="str">
        <x:v>Raft</x:v>
      </x:c>
      <x:c r="I302" t="str">
        <x:v>Soft Clay</x:v>
      </x:c>
      <x:c r="J302" t="str">
        <x:v>Medium</x:v>
      </x:c>
      <x:c r="K302" t="n">
        <x:v>19057590</x:v>
      </x:c>
      <x:c r="L302" t="n">
        <x:v>354</x:v>
      </x:c>
      <x:c r="M302" t="n">
        <x:v>200.1</x:v>
      </x:c>
      <x:c r="N302" t="n">
        <x:v>13.9</x:v>
      </x:c>
      <x:c r="O302" t="n">
        <x:v>68.4</x:v>
      </x:c>
      <x:c r="P302" t="str">
        <x:v>Cloudy</x:v>
      </x:c>
      <x:c r="Q302" t="n">
        <x:v>70</x:v>
      </x:c>
      <x:c r="R302" t="n">
        <x:v>74.8</x:v>
      </x:c>
      <x:c r="S302" t="n">
        <x:v>0.0941</x:v>
      </x:c>
      <x:c r="T302" t="n">
        <x:v>17.3</x:v>
      </x:c>
      <x:c r="U302" t="n">
        <x:v>1455</x:v>
      </x:c>
      <x:c r="V302" t="n">
        <x:v>2183</x:v>
      </x:c>
      <x:c r="W302" t="n">
        <x:v>40.6</x:v>
      </x:c>
    </x:row>
    <x:row r="303">
      <x:c r="A303" t="str">
        <x:v>PJT_302</x:v>
      </x:c>
      <x:c r="B303" t="str">
        <x:v>Continental</x:v>
      </x:c>
      <x:c r="C303" t="n">
        <x:v>20420</x:v>
      </x:c>
      <x:c r="D303" t="n">
        <x:v>11</x:v>
      </x:c>
      <x:c r="E303" t="str">
        <x:v>Medium</x:v>
      </x:c>
      <x:c r="F303" t="str">
        <x:v>Commercial</x:v>
      </x:c>
      <x:c r="G303" t="str">
        <x:v>RC Frame</x:v>
      </x:c>
      <x:c r="H303" t="str">
        <x:v>Piles</x:v>
      </x:c>
      <x:c r="I303" t="str">
        <x:v>Soft Clay</x:v>
      </x:c>
      <x:c r="J303" t="str">
        <x:v>Medium</x:v>
      </x:c>
      <x:c r="K303" t="n">
        <x:v>46700540</x:v>
      </x:c>
      <x:c r="L303" t="n">
        <x:v>827</x:v>
      </x:c>
      <x:c r="M303" t="n">
        <x:v>220.1</x:v>
      </x:c>
      <x:c r="N303" t="n">
        <x:v>24.1</x:v>
      </x:c>
      <x:c r="O303" t="n">
        <x:v>60.7</x:v>
      </x:c>
      <x:c r="P303" t="str">
        <x:v>Sunny</x:v>
      </x:c>
      <x:c r="Q303" t="n">
        <x:v>103</x:v>
      </x:c>
      <x:c r="R303" t="n">
        <x:v>76.1</x:v>
      </x:c>
      <x:c r="S303" t="n">
        <x:v>0.0931</x:v>
      </x:c>
      <x:c r="T303" t="n">
        <x:v>16.5</x:v>
      </x:c>
      <x:c r="U303" t="n">
        <x:v>1856.4</x:v>
      </x:c>
      <x:c r="V303" t="n">
        <x:v>2287</x:v>
      </x:c>
      <x:c r="W303" t="n">
        <x:v>40.5</x:v>
      </x:c>
    </x:row>
    <x:row r="304">
      <x:c r="A304" t="str">
        <x:v>PJT_303</x:v>
      </x:c>
      <x:c r="B304" t="str">
        <x:v>Continental</x:v>
      </x:c>
      <x:c r="C304" t="n">
        <x:v>36730</x:v>
      </x:c>
      <x:c r="D304" t="n">
        <x:v>21</x:v>
      </x:c>
      <x:c r="E304" t="str">
        <x:v>Medium</x:v>
      </x:c>
      <x:c r="F304" t="str">
        <x:v>Mixed-use</x:v>
      </x:c>
      <x:c r="G304" t="str">
        <x:v>Steel</x:v>
      </x:c>
      <x:c r="H304" t="str">
        <x:v>Piles</x:v>
      </x:c>
      <x:c r="I304" t="str">
        <x:v>Mixed</x:v>
      </x:c>
      <x:c r="J304" t="str">
        <x:v>Low</x:v>
      </x:c>
      <x:c r="K304" t="n">
        <x:v>95204160</x:v>
      </x:c>
      <x:c r="L304" t="n">
        <x:v>2024</x:v>
      </x:c>
      <x:c r="M304" t="n">
        <x:v>286.4</x:v>
      </x:c>
      <x:c r="N304" t="n">
        <x:v>17.5</x:v>
      </x:c>
      <x:c r="O304" t="n">
        <x:v>86.9</x:v>
      </x:c>
      <x:c r="P304" t="str">
        <x:v>Stormy</x:v>
      </x:c>
      <x:c r="Q304" t="n">
        <x:v>89</x:v>
      </x:c>
      <x:c r="R304" t="n">
        <x:v>87.4</x:v>
      </x:c>
      <x:c r="S304" t="n">
        <x:v>0.0987</x:v>
      </x:c>
      <x:c r="T304" t="n">
        <x:v>18</x:v>
      </x:c>
      <x:c r="U304" t="n">
        <x:v>1749</x:v>
      </x:c>
      <x:c r="V304" t="n">
        <x:v>2592</x:v>
      </x:c>
      <x:c r="W304" t="n">
        <x:v>55.1</x:v>
      </x:c>
    </x:row>
    <x:row r="305">
      <x:c r="A305" t="str">
        <x:v>PJT_304</x:v>
      </x:c>
      <x:c r="B305" t="str">
        <x:v>Mediterranean</x:v>
      </x:c>
      <x:c r="C305" t="n">
        <x:v>22940</x:v>
      </x:c>
      <x:c r="D305" t="n">
        <x:v>17</x:v>
      </x:c>
      <x:c r="E305" t="str">
        <x:v>High</x:v>
      </x:c>
      <x:c r="F305" t="str">
        <x:v>Mixed-use</x:v>
      </x:c>
      <x:c r="G305" t="str">
        <x:v>Steel</x:v>
      </x:c>
      <x:c r="H305" t="str">
        <x:v>Piles</x:v>
      </x:c>
      <x:c r="I305" t="str">
        <x:v>Mixed</x:v>
      </x:c>
      <x:c r="J305" t="str">
        <x:v>Low</x:v>
      </x:c>
      <x:c r="K305" t="n">
        <x:v>63589680</x:v>
      </x:c>
      <x:c r="L305" t="n">
        <x:v>1301</x:v>
      </x:c>
      <x:c r="M305" t="n">
        <x:v>334.6</x:v>
      </x:c>
      <x:c r="N305" t="n">
        <x:v>15.9</x:v>
      </x:c>
      <x:c r="O305" t="n">
        <x:v>77.3</x:v>
      </x:c>
      <x:c r="P305" t="str">
        <x:v>Rainy</x:v>
      </x:c>
      <x:c r="Q305" t="n">
        <x:v>101</x:v>
      </x:c>
      <x:c r="R305" t="n">
        <x:v>91.4</x:v>
      </x:c>
      <x:c r="S305" t="n">
        <x:v>0.1062</x:v>
      </x:c>
      <x:c r="T305" t="n">
        <x:v>21.2</x:v>
      </x:c>
      <x:c r="U305" t="n">
        <x:v>1349.4</x:v>
      </x:c>
      <x:c r="V305" t="n">
        <x:v>2772</x:v>
      </x:c>
      <x:c r="W305" t="n">
        <x:v>56.7</x:v>
      </x:c>
    </x:row>
    <x:row r="306">
      <x:c r="A306" t="str">
        <x:v>PJT_305</x:v>
      </x:c>
      <x:c r="B306" t="str">
        <x:v>Marine</x:v>
      </x:c>
      <x:c r="C306" t="n">
        <x:v>18150</x:v>
      </x:c>
      <x:c r="D306" t="n">
        <x:v>13</x:v>
      </x:c>
      <x:c r="E306" t="str">
        <x:v>Medium</x:v>
      </x:c>
      <x:c r="F306" t="str">
        <x:v>Mixed-use</x:v>
      </x:c>
      <x:c r="G306" t="str">
        <x:v>Steel</x:v>
      </x:c>
      <x:c r="H306" t="str">
        <x:v>Raft</x:v>
      </x:c>
      <x:c r="I306" t="str">
        <x:v>Mixed</x:v>
      </x:c>
      <x:c r="J306" t="str">
        <x:v>Medium</x:v>
      </x:c>
      <x:c r="K306" t="n">
        <x:v>47553000</x:v>
      </x:c>
      <x:c r="L306" t="n">
        <x:v>848</x:v>
      </x:c>
      <x:c r="M306" t="n">
        <x:v>361.1</x:v>
      </x:c>
      <x:c r="N306" t="n">
        <x:v>13.1</x:v>
      </x:c>
      <x:c r="O306" t="n">
        <x:v>72.4</x:v>
      </x:c>
      <x:c r="P306" t="str">
        <x:v>Cloudy</x:v>
      </x:c>
      <x:c r="Q306" t="n">
        <x:v>94</x:v>
      </x:c>
      <x:c r="R306" t="n">
        <x:v>82</x:v>
      </x:c>
      <x:c r="S306" t="n">
        <x:v>0.0997</x:v>
      </x:c>
      <x:c r="T306" t="n">
        <x:v>18.5</x:v>
      </x:c>
      <x:c r="U306" t="n">
        <x:v>1396.2</x:v>
      </x:c>
      <x:c r="V306" t="n">
        <x:v>2620</x:v>
      </x:c>
      <x:c r="W306" t="n">
        <x:v>46.7</x:v>
      </x:c>
    </x:row>
    <x:row r="307">
      <x:c r="A307" t="str">
        <x:v>PJT_306</x:v>
      </x:c>
      <x:c r="B307" t="str">
        <x:v>Humid Subtropical</x:v>
      </x:c>
      <x:c r="C307" t="n">
        <x:v>21610</x:v>
      </x:c>
      <x:c r="D307" t="n">
        <x:v>13</x:v>
      </x:c>
      <x:c r="E307" t="str">
        <x:v>Medium</x:v>
      </x:c>
      <x:c r="F307" t="str">
        <x:v>Commercial</x:v>
      </x:c>
      <x:c r="G307" t="str">
        <x:v>Steel</x:v>
      </x:c>
      <x:c r="H307" t="str">
        <x:v>Piles</x:v>
      </x:c>
      <x:c r="I307" t="str">
        <x:v>Mixed</x:v>
      </x:c>
      <x:c r="J307" t="str">
        <x:v>High</x:v>
      </x:c>
      <x:c r="K307" t="n">
        <x:v>56531760</x:v>
      </x:c>
      <x:c r="L307" t="n">
        <x:v>1052</x:v>
      </x:c>
      <x:c r="M307" t="n">
        <x:v>380.6</x:v>
      </x:c>
      <x:c r="N307" t="n">
        <x:v>21.8</x:v>
      </x:c>
      <x:c r="O307" t="n">
        <x:v>80.3</x:v>
      </x:c>
      <x:c r="P307" t="str">
        <x:v>Rainy</x:v>
      </x:c>
      <x:c r="Q307" t="n">
        <x:v>110</x:v>
      </x:c>
      <x:c r="R307" t="n">
        <x:v>80.7</x:v>
      </x:c>
      <x:c r="S307" t="n">
        <x:v>0.0979</x:v>
      </x:c>
      <x:c r="T307" t="n">
        <x:v>17.7</x:v>
      </x:c>
      <x:c r="U307" t="n">
        <x:v>1662.3</x:v>
      </x:c>
      <x:c r="V307" t="n">
        <x:v>2616</x:v>
      </x:c>
      <x:c r="W307" t="n">
        <x:v>48.7</x:v>
      </x:c>
    </x:row>
    <x:row r="308">
      <x:c r="A308" t="str">
        <x:v>PJT_307</x:v>
      </x:c>
      <x:c r="B308" t="str">
        <x:v>Marine</x:v>
      </x:c>
      <x:c r="C308" t="n">
        <x:v>18610</x:v>
      </x:c>
      <x:c r="D308" t="n">
        <x:v>10</x:v>
      </x:c>
      <x:c r="E308" t="str">
        <x:v>Medium</x:v>
      </x:c>
      <x:c r="F308" t="str">
        <x:v>Mixed-use</x:v>
      </x:c>
      <x:c r="G308" t="str">
        <x:v>Steel</x:v>
      </x:c>
      <x:c r="H308" t="str">
        <x:v>Raft</x:v>
      </x:c>
      <x:c r="I308" t="str">
        <x:v>Mixed</x:v>
      </x:c>
      <x:c r="J308" t="str">
        <x:v>Medium</x:v>
      </x:c>
      <x:c r="K308" t="n">
        <x:v>49111790</x:v>
      </x:c>
      <x:c r="L308" t="n">
        <x:v>830</x:v>
      </x:c>
      <x:c r="M308" t="n">
        <x:v>274.3</x:v>
      </x:c>
      <x:c r="N308" t="n">
        <x:v>18.1</x:v>
      </x:c>
      <x:c r="O308" t="n">
        <x:v>71.8</x:v>
      </x:c>
      <x:c r="P308" t="str">
        <x:v>Sunny</x:v>
      </x:c>
      <x:c r="Q308" t="n">
        <x:v>67</x:v>
      </x:c>
      <x:c r="R308" t="n">
        <x:v>81.7</x:v>
      </x:c>
      <x:c r="S308" t="n">
        <x:v>0.1</x:v>
      </x:c>
      <x:c r="T308" t="n">
        <x:v>17.8</x:v>
      </x:c>
      <x:c r="U308" t="n">
        <x:v>1861</x:v>
      </x:c>
      <x:c r="V308" t="n">
        <x:v>2639</x:v>
      </x:c>
      <x:c r="W308" t="n">
        <x:v>44.6</x:v>
      </x:c>
    </x:row>
    <x:row r="309">
      <x:c r="A309" t="str">
        <x:v>PJT_308</x:v>
      </x:c>
      <x:c r="B309" t="str">
        <x:v>Marine</x:v>
      </x:c>
      <x:c r="C309" t="n">
        <x:v>29400</x:v>
      </x:c>
      <x:c r="D309" t="n">
        <x:v>12</x:v>
      </x:c>
      <x:c r="E309" t="str">
        <x:v>Medium</x:v>
      </x:c>
      <x:c r="F309" t="str">
        <x:v>Hospital</x:v>
      </x:c>
      <x:c r="G309" t="str">
        <x:v>Shear Wall</x:v>
      </x:c>
      <x:c r="H309" t="str">
        <x:v>Piles</x:v>
      </x:c>
      <x:c r="I309" t="str">
        <x:v>Soft Clay</x:v>
      </x:c>
      <x:c r="J309" t="str">
        <x:v>Medium</x:v>
      </x:c>
      <x:c r="K309" t="n">
        <x:v>96079200</x:v>
      </x:c>
      <x:c r="L309" t="n">
        <x:v>1485</x:v>
      </x:c>
      <x:c r="M309" t="n">
        <x:v>190</x:v>
      </x:c>
      <x:c r="N309" t="n">
        <x:v>12.6</x:v>
      </x:c>
      <x:c r="O309" t="n">
        <x:v>67</x:v>
      </x:c>
      <x:c r="P309" t="str">
        <x:v>Cloudy</x:v>
      </x:c>
      <x:c r="Q309" t="n">
        <x:v>95</x:v>
      </x:c>
      <x:c r="R309" t="n">
        <x:v>85.7</x:v>
      </x:c>
      <x:c r="S309" t="n">
        <x:v>0.1128</x:v>
      </x:c>
      <x:c r="T309" t="n">
        <x:v>20.4</x:v>
      </x:c>
      <x:c r="U309" t="n">
        <x:v>2450</x:v>
      </x:c>
      <x:c r="V309" t="n">
        <x:v>3268</x:v>
      </x:c>
      <x:c r="W309" t="n">
        <x:v>50.5</x:v>
      </x:c>
    </x:row>
    <x:row r="310">
      <x:c r="A310" t="str">
        <x:v>PJT_309</x:v>
      </x:c>
      <x:c r="B310" t="str">
        <x:v>Continental</x:v>
      </x:c>
      <x:c r="C310" t="n">
        <x:v>34400</x:v>
      </x:c>
      <x:c r="D310" t="n">
        <x:v>24</x:v>
      </x:c>
      <x:c r="E310" t="str">
        <x:v>High</x:v>
      </x:c>
      <x:c r="F310" t="str">
        <x:v>Mixed-use</x:v>
      </x:c>
      <x:c r="G310" t="str">
        <x:v>Steel</x:v>
      </x:c>
      <x:c r="H310" t="str">
        <x:v>Piles</x:v>
      </x:c>
      <x:c r="I310" t="str">
        <x:v>Mixed</x:v>
      </x:c>
      <x:c r="J310" t="str">
        <x:v>Low</x:v>
      </x:c>
      <x:c r="K310" t="n">
        <x:v>99347200</x:v>
      </x:c>
      <x:c r="L310" t="n">
        <x:v>1854</x:v>
      </x:c>
      <x:c r="M310" t="n">
        <x:v>372.9</x:v>
      </x:c>
      <x:c r="N310" t="n">
        <x:v>14.7</x:v>
      </x:c>
      <x:c r="O310" t="n">
        <x:v>55.5</x:v>
      </x:c>
      <x:c r="P310" t="str">
        <x:v>Sunny</x:v>
      </x:c>
      <x:c r="Q310" t="n">
        <x:v>101</x:v>
      </x:c>
      <x:c r="R310" t="n">
        <x:v>89.6</x:v>
      </x:c>
      <x:c r="S310" t="n">
        <x:v>0.1098</x:v>
      </x:c>
      <x:c r="T310" t="n">
        <x:v>21.3</x:v>
      </x:c>
      <x:c r="U310" t="n">
        <x:v>1433.3</x:v>
      </x:c>
      <x:c r="V310" t="n">
        <x:v>2888</x:v>
      </x:c>
      <x:c r="W310" t="n">
        <x:v>53.9</x:v>
      </x:c>
    </x:row>
    <x:row r="311">
      <x:c r="A311" t="str">
        <x:v>PJT_310</x:v>
      </x:c>
      <x:c r="B311" t="str">
        <x:v>Marine</x:v>
      </x:c>
      <x:c r="C311" t="n">
        <x:v>11780</x:v>
      </x:c>
      <x:c r="D311" t="n">
        <x:v>10</x:v>
      </x:c>
      <x:c r="E311" t="str">
        <x:v>Medium</x:v>
      </x:c>
      <x:c r="F311" t="str">
        <x:v>Mixed-use</x:v>
      </x:c>
      <x:c r="G311" t="str">
        <x:v>Shear Wall</x:v>
      </x:c>
      <x:c r="H311" t="str">
        <x:v>Raft</x:v>
      </x:c>
      <x:c r="I311" t="str">
        <x:v>Mixed</x:v>
      </x:c>
      <x:c r="J311" t="str">
        <x:v>High</x:v>
      </x:c>
      <x:c r="K311" t="n">
        <x:v>29850520</x:v>
      </x:c>
      <x:c r="L311" t="n">
        <x:v>545</x:v>
      </x:c>
      <x:c r="M311" t="n">
        <x:v>285.1</x:v>
      </x:c>
      <x:c r="N311" t="n">
        <x:v>19.2</x:v>
      </x:c>
      <x:c r="O311" t="n">
        <x:v>64.1</x:v>
      </x:c>
      <x:c r="P311" t="str">
        <x:v>Sunny</x:v>
      </x:c>
      <x:c r="Q311" t="n">
        <x:v>94</x:v>
      </x:c>
      <x:c r="R311" t="n">
        <x:v>80.5</x:v>
      </x:c>
      <x:c r="S311" t="n">
        <x:v>0.0961</x:v>
      </x:c>
      <x:c r="T311" t="n">
        <x:v>18.6</x:v>
      </x:c>
      <x:c r="U311" t="n">
        <x:v>1178</x:v>
      </x:c>
      <x:c r="V311" t="n">
        <x:v>2534</x:v>
      </x:c>
      <x:c r="W311" t="n">
        <x:v>46.3</x:v>
      </x:c>
    </x:row>
    <x:row r="312">
      <x:c r="A312" t="str">
        <x:v>PJT_311</x:v>
      </x:c>
      <x:c r="B312" t="str">
        <x:v>Continental</x:v>
      </x:c>
      <x:c r="C312" t="n">
        <x:v>7890</x:v>
      </x:c>
      <x:c r="D312" t="n">
        <x:v>10</x:v>
      </x:c>
      <x:c r="E312" t="str">
        <x:v>Low</x:v>
      </x:c>
      <x:c r="F312" t="str">
        <x:v>Residential</x:v>
      </x:c>
      <x:c r="G312" t="str">
        <x:v>RC Frame</x:v>
      </x:c>
      <x:c r="H312" t="str">
        <x:v>Raft</x:v>
      </x:c>
      <x:c r="I312" t="str">
        <x:v>Sand</x:v>
      </x:c>
      <x:c r="J312" t="str">
        <x:v>Low</x:v>
      </x:c>
      <x:c r="K312" t="n">
        <x:v>9602130</x:v>
      </x:c>
      <x:c r="L312" t="n">
        <x:v>271</x:v>
      </x:c>
      <x:c r="M312" t="n">
        <x:v>306.2</x:v>
      </x:c>
      <x:c r="N312" t="n">
        <x:v>16.1</x:v>
      </x:c>
      <x:c r="O312" t="n">
        <x:v>76.3</x:v>
      </x:c>
      <x:c r="P312" t="str">
        <x:v>Stormy</x:v>
      </x:c>
      <x:c r="Q312" t="n">
        <x:v>94</x:v>
      </x:c>
      <x:c r="R312" t="n">
        <x:v>67.1</x:v>
      </x:c>
      <x:c r="S312" t="n">
        <x:v>0.0779</x:v>
      </x:c>
      <x:c r="T312" t="n">
        <x:v>11.6</x:v>
      </x:c>
      <x:c r="U312" t="n">
        <x:v>789</x:v>
      </x:c>
      <x:c r="V312" t="n">
        <x:v>1217</x:v>
      </x:c>
      <x:c r="W312" t="n">
        <x:v>34.4</x:v>
      </x:c>
    </x:row>
    <x:row r="313">
      <x:c r="A313" t="str">
        <x:v>PJT_312</x:v>
      </x:c>
      <x:c r="B313" t="str">
        <x:v>Marine</x:v>
      </x:c>
      <x:c r="C313" t="n">
        <x:v>28360</x:v>
      </x:c>
      <x:c r="D313" t="n">
        <x:v>24</x:v>
      </x:c>
      <x:c r="E313" t="str">
        <x:v>High</x:v>
      </x:c>
      <x:c r="F313" t="str">
        <x:v>Mixed-use</x:v>
      </x:c>
      <x:c r="G313" t="str">
        <x:v>Steel</x:v>
      </x:c>
      <x:c r="H313" t="str">
        <x:v>Piles</x:v>
      </x:c>
      <x:c r="I313" t="str">
        <x:v>Mixed</x:v>
      </x:c>
      <x:c r="J313" t="str">
        <x:v>Low</x:v>
      </x:c>
      <x:c r="K313" t="n">
        <x:v>79181120</x:v>
      </x:c>
      <x:c r="L313" t="n">
        <x:v>1551</x:v>
      </x:c>
      <x:c r="M313" t="n">
        <x:v>297.1</x:v>
      </x:c>
      <x:c r="N313" t="n">
        <x:v>13.9</x:v>
      </x:c>
      <x:c r="O313" t="n">
        <x:v>76.8</x:v>
      </x:c>
      <x:c r="P313" t="str">
        <x:v>Cloudy</x:v>
      </x:c>
      <x:c r="Q313" t="n">
        <x:v>85</x:v>
      </x:c>
      <x:c r="R313" t="n">
        <x:v>86</x:v>
      </x:c>
      <x:c r="S313" t="n">
        <x:v>0.1079</x:v>
      </x:c>
      <x:c r="T313" t="n">
        <x:v>21</x:v>
      </x:c>
      <x:c r="U313" t="n">
        <x:v>1181.7</x:v>
      </x:c>
      <x:c r="V313" t="n">
        <x:v>2792</x:v>
      </x:c>
      <x:c r="W313" t="n">
        <x:v>54.7</x:v>
      </x:c>
    </x:row>
    <x:row r="314">
      <x:c r="A314" t="str">
        <x:v>PJT_313</x:v>
      </x:c>
      <x:c r="B314" t="str">
        <x:v>Mediterranean</x:v>
      </x:c>
      <x:c r="C314" t="n">
        <x:v>23540</x:v>
      </x:c>
      <x:c r="D314" t="n">
        <x:v>18</x:v>
      </x:c>
      <x:c r="E314" t="str">
        <x:v>Medium</x:v>
      </x:c>
      <x:c r="F314" t="str">
        <x:v>Mixed-use</x:v>
      </x:c>
      <x:c r="G314" t="str">
        <x:v>Steel</x:v>
      </x:c>
      <x:c r="H314" t="str">
        <x:v>Piles</x:v>
      </x:c>
      <x:c r="I314" t="str">
        <x:v>Rock</x:v>
      </x:c>
      <x:c r="J314" t="str">
        <x:v>High</x:v>
      </x:c>
      <x:c r="K314" t="n">
        <x:v>67041920</x:v>
      </x:c>
      <x:c r="L314" t="n">
        <x:v>1189</x:v>
      </x:c>
      <x:c r="M314" t="n">
        <x:v>838.3</x:v>
      </x:c>
      <x:c r="N314" t="n">
        <x:v>25.8</x:v>
      </x:c>
      <x:c r="O314" t="n">
        <x:v>60.3</x:v>
      </x:c>
      <x:c r="P314" t="str">
        <x:v>Sunny</x:v>
      </x:c>
      <x:c r="Q314" t="n">
        <x:v>70</x:v>
      </x:c>
      <x:c r="R314" t="n">
        <x:v>84.6</x:v>
      </x:c>
      <x:c r="S314" t="n">
        <x:v>0.0995</x:v>
      </x:c>
      <x:c r="T314" t="n">
        <x:v>18.7</x:v>
      </x:c>
      <x:c r="U314" t="n">
        <x:v>1307.8</x:v>
      </x:c>
      <x:c r="V314" t="n">
        <x:v>2848</x:v>
      </x:c>
      <x:c r="W314" t="n">
        <x:v>50.5</x:v>
      </x:c>
    </x:row>
    <x:row r="315">
      <x:c r="A315" t="str">
        <x:v>PJT_314</x:v>
      </x:c>
      <x:c r="B315" t="str">
        <x:v>Continental</x:v>
      </x:c>
      <x:c r="C315" t="n">
        <x:v>12480</x:v>
      </x:c>
      <x:c r="D315" t="n">
        <x:v>9</x:v>
      </x:c>
      <x:c r="E315" t="str">
        <x:v>Medium</x:v>
      </x:c>
      <x:c r="F315" t="str">
        <x:v>Commercial</x:v>
      </x:c>
      <x:c r="G315" t="str">
        <x:v>RC Frame</x:v>
      </x:c>
      <x:c r="H315" t="str">
        <x:v>Piles</x:v>
      </x:c>
      <x:c r="I315" t="str">
        <x:v>Soft Clay</x:v>
      </x:c>
      <x:c r="J315" t="str">
        <x:v>Low</x:v>
      </x:c>
      <x:c r="K315" t="n">
        <x:v>26632320</x:v>
      </x:c>
      <x:c r="L315" t="n">
        <x:v>537</x:v>
      </x:c>
      <x:c r="M315" t="n">
        <x:v>224.2</x:v>
      </x:c>
      <x:c r="N315" t="n">
        <x:v>14</x:v>
      </x:c>
      <x:c r="O315" t="n">
        <x:v>81.8</x:v>
      </x:c>
      <x:c r="P315" t="str">
        <x:v>Rainy</x:v>
      </x:c>
      <x:c r="Q315" t="n">
        <x:v>110</x:v>
      </x:c>
      <x:c r="R315" t="n">
        <x:v>72.5</x:v>
      </x:c>
      <x:c r="S315" t="n">
        <x:v>0.091</x:v>
      </x:c>
      <x:c r="T315" t="n">
        <x:v>15.7</x:v>
      </x:c>
      <x:c r="U315" t="n">
        <x:v>1386.7</x:v>
      </x:c>
      <x:c r="V315" t="n">
        <x:v>2134</x:v>
      </x:c>
      <x:c r="W315" t="n">
        <x:v>43</x:v>
      </x:c>
    </x:row>
    <x:row r="316">
      <x:c r="A316" t="str">
        <x:v>PJT_315</x:v>
      </x:c>
      <x:c r="B316" t="str">
        <x:v>Marine</x:v>
      </x:c>
      <x:c r="C316" t="n">
        <x:v>10650</x:v>
      </x:c>
      <x:c r="D316" t="n">
        <x:v>13</x:v>
      </x:c>
      <x:c r="E316" t="str">
        <x:v>Medium</x:v>
      </x:c>
      <x:c r="F316" t="str">
        <x:v>Residential</x:v>
      </x:c>
      <x:c r="G316" t="str">
        <x:v>RC Frame</x:v>
      </x:c>
      <x:c r="H316" t="str">
        <x:v>Raft</x:v>
      </x:c>
      <x:c r="I316" t="str">
        <x:v>Mixed</x:v>
      </x:c>
      <x:c r="J316" t="str">
        <x:v>Medium</x:v>
      </x:c>
      <x:c r="K316" t="n">
        <x:v>16731150</x:v>
      </x:c>
      <x:c r="L316" t="n">
        <x:v>391</x:v>
      </x:c>
      <x:c r="M316" t="n">
        <x:v>354.8</x:v>
      </x:c>
      <x:c r="N316" t="n">
        <x:v>14.4</x:v>
      </x:c>
      <x:c r="O316" t="n">
        <x:v>63.6</x:v>
      </x:c>
      <x:c r="P316" t="str">
        <x:v>Cloudy</x:v>
      </x:c>
      <x:c r="Q316" t="n">
        <x:v>72</x:v>
      </x:c>
      <x:c r="R316" t="n">
        <x:v>70.9</x:v>
      </x:c>
      <x:c r="S316" t="n">
        <x:v>0.0785</x:v>
      </x:c>
      <x:c r="T316" t="n">
        <x:v>14.2</x:v>
      </x:c>
      <x:c r="U316" t="n">
        <x:v>819.2</x:v>
      </x:c>
      <x:c r="V316" t="n">
        <x:v>1571</x:v>
      </x:c>
      <x:c r="W316" t="n">
        <x:v>36.7</x:v>
      </x:c>
    </x:row>
    <x:row r="317">
      <x:c r="A317" t="str">
        <x:v>PJT_316</x:v>
      </x:c>
      <x:c r="B317" t="str">
        <x:v>Marine</x:v>
      </x:c>
      <x:c r="C317" t="n">
        <x:v>10660</x:v>
      </x:c>
      <x:c r="D317" t="n">
        <x:v>3</x:v>
      </x:c>
      <x:c r="E317" t="str">
        <x:v>Low</x:v>
      </x:c>
      <x:c r="F317" t="str">
        <x:v>School</x:v>
      </x:c>
      <x:c r="G317" t="str">
        <x:v>RC Frame</x:v>
      </x:c>
      <x:c r="H317" t="str">
        <x:v>Raft</x:v>
      </x:c>
      <x:c r="I317" t="str">
        <x:v>Sand</x:v>
      </x:c>
      <x:c r="J317" t="str">
        <x:v>Low</x:v>
      </x:c>
      <x:c r="K317" t="n">
        <x:v>16597620</x:v>
      </x:c>
      <x:c r="L317" t="n">
        <x:v>333</x:v>
      </x:c>
      <x:c r="M317" t="n">
        <x:v>256.3</x:v>
      </x:c>
      <x:c r="N317" t="n">
        <x:v>16.4</x:v>
      </x:c>
      <x:c r="O317" t="n">
        <x:v>81.5</x:v>
      </x:c>
      <x:c r="P317" t="str">
        <x:v>Stormy</x:v>
      </x:c>
      <x:c r="Q317" t="n">
        <x:v>89</x:v>
      </x:c>
      <x:c r="R317" t="n">
        <x:v>66.2</x:v>
      </x:c>
      <x:c r="S317" t="n">
        <x:v>0.0784</x:v>
      </x:c>
      <x:c r="T317" t="n">
        <x:v>13.4</x:v>
      </x:c>
      <x:c r="U317" t="n">
        <x:v>3553.3</x:v>
      </x:c>
      <x:c r="V317" t="n">
        <x:v>1557</x:v>
      </x:c>
      <x:c r="W317" t="n">
        <x:v>31.2</x:v>
      </x:c>
    </x:row>
    <x:row r="318">
      <x:c r="A318" t="str">
        <x:v>PJT_317</x:v>
      </x:c>
      <x:c r="B318" t="str">
        <x:v>Marine</x:v>
      </x:c>
      <x:c r="C318" t="n">
        <x:v>33850</x:v>
      </x:c>
      <x:c r="D318" t="n">
        <x:v>16</x:v>
      </x:c>
      <x:c r="E318" t="str">
        <x:v>High</x:v>
      </x:c>
      <x:c r="F318" t="str">
        <x:v>Hospital</x:v>
      </x:c>
      <x:c r="G318" t="str">
        <x:v>Steel</x:v>
      </x:c>
      <x:c r="H318" t="str">
        <x:v>Raft</x:v>
      </x:c>
      <x:c r="I318" t="str">
        <x:v>Rock</x:v>
      </x:c>
      <x:c r="J318" t="str">
        <x:v>Low</x:v>
      </x:c>
      <x:c r="K318" t="n">
        <x:v>108049200</x:v>
      </x:c>
      <x:c r="L318" t="n">
        <x:v>1760</x:v>
      </x:c>
      <x:c r="M318" t="n">
        <x:v>671.5</x:v>
      </x:c>
      <x:c r="N318" t="n">
        <x:v>10.1</x:v>
      </x:c>
      <x:c r="O318" t="n">
        <x:v>64.8</x:v>
      </x:c>
      <x:c r="P318" t="str">
        <x:v>Sunny</x:v>
      </x:c>
      <x:c r="Q318" t="n">
        <x:v>99</x:v>
      </x:c>
      <x:c r="R318" t="n">
        <x:v>92</x:v>
      </x:c>
      <x:c r="S318" t="n">
        <x:v>0.1134</x:v>
      </x:c>
      <x:c r="T318" t="n">
        <x:v>23.8</x:v>
      </x:c>
      <x:c r="U318" t="n">
        <x:v>2115.6</x:v>
      </x:c>
      <x:c r="V318" t="n">
        <x:v>3192</x:v>
      </x:c>
      <x:c r="W318" t="n">
        <x:v>52</x:v>
      </x:c>
    </x:row>
    <x:row r="319">
      <x:c r="A319" t="str">
        <x:v>PJT_318</x:v>
      </x:c>
      <x:c r="B319" t="str">
        <x:v>Continental</x:v>
      </x:c>
      <x:c r="C319" t="n">
        <x:v>12980</x:v>
      </x:c>
      <x:c r="D319" t="n">
        <x:v>15</x:v>
      </x:c>
      <x:c r="E319" t="str">
        <x:v>Low</x:v>
      </x:c>
      <x:c r="F319" t="str">
        <x:v>Residential</x:v>
      </x:c>
      <x:c r="G319" t="str">
        <x:v>Shear Wall</x:v>
      </x:c>
      <x:c r="H319" t="str">
        <x:v>Piles</x:v>
      </x:c>
      <x:c r="I319" t="str">
        <x:v>Soft Clay</x:v>
      </x:c>
      <x:c r="J319" t="str">
        <x:v>Medium</x:v>
      </x:c>
      <x:c r="K319" t="n">
        <x:v>19482980</x:v>
      </x:c>
      <x:c r="L319" t="n">
        <x:v>467</x:v>
      </x:c>
      <x:c r="M319" t="n">
        <x:v>218.4</x:v>
      </x:c>
      <x:c r="N319" t="n">
        <x:v>16.2</x:v>
      </x:c>
      <x:c r="O319" t="n">
        <x:v>41.5</x:v>
      </x:c>
      <x:c r="P319" t="str">
        <x:v>Sunny</x:v>
      </x:c>
      <x:c r="Q319" t="n">
        <x:v>73</x:v>
      </x:c>
      <x:c r="R319" t="n">
        <x:v>70.9</x:v>
      </x:c>
      <x:c r="S319" t="n">
        <x:v>0.079</x:v>
      </x:c>
      <x:c r="T319" t="n">
        <x:v>11.4</x:v>
      </x:c>
      <x:c r="U319" t="n">
        <x:v>865.3</x:v>
      </x:c>
      <x:c r="V319" t="n">
        <x:v>1501</x:v>
      </x:c>
      <x:c r="W319" t="n">
        <x:v>36</x:v>
      </x:c>
    </x:row>
    <x:row r="320">
      <x:c r="A320" t="str">
        <x:v>PJT_319</x:v>
      </x:c>
      <x:c r="B320" t="str">
        <x:v>Continental</x:v>
      </x:c>
      <x:c r="C320" t="n">
        <x:v>13550</x:v>
      </x:c>
      <x:c r="D320" t="n">
        <x:v>17</x:v>
      </x:c>
      <x:c r="E320" t="str">
        <x:v>Medium</x:v>
      </x:c>
      <x:c r="F320" t="str">
        <x:v>Residential</x:v>
      </x:c>
      <x:c r="G320" t="str">
        <x:v>Shear Wall</x:v>
      </x:c>
      <x:c r="H320" t="str">
        <x:v>Piles</x:v>
      </x:c>
      <x:c r="I320" t="str">
        <x:v>Mixed</x:v>
      </x:c>
      <x:c r="J320" t="str">
        <x:v>Medium</x:v>
      </x:c>
      <x:c r="K320" t="n">
        <x:v>21110900</x:v>
      </x:c>
      <x:c r="L320" t="n">
        <x:v>557</x:v>
      </x:c>
      <x:c r="M320" t="n">
        <x:v>313.6</x:v>
      </x:c>
      <x:c r="N320" t="n">
        <x:v>4.5</x:v>
      </x:c>
      <x:c r="O320" t="n">
        <x:v>53.6</x:v>
      </x:c>
      <x:c r="P320" t="str">
        <x:v>Cloudy</x:v>
      </x:c>
      <x:c r="Q320" t="n">
        <x:v>64</x:v>
      </x:c>
      <x:c r="R320" t="n">
        <x:v>78.1</x:v>
      </x:c>
      <x:c r="S320" t="n">
        <x:v>0.0857</x:v>
      </x:c>
      <x:c r="T320" t="n">
        <x:v>12.7</x:v>
      </x:c>
      <x:c r="U320" t="n">
        <x:v>797.1</x:v>
      </x:c>
      <x:c r="V320" t="n">
        <x:v>1558</x:v>
      </x:c>
      <x:c r="W320" t="n">
        <x:v>41.1</x:v>
      </x:c>
    </x:row>
    <x:row r="321">
      <x:c r="A321" t="str">
        <x:v>PJT_320</x:v>
      </x:c>
      <x:c r="B321" t="str">
        <x:v>Continental</x:v>
      </x:c>
      <x:c r="C321" t="n">
        <x:v>21500</x:v>
      </x:c>
      <x:c r="D321" t="n">
        <x:v>13</x:v>
      </x:c>
      <x:c r="E321" t="str">
        <x:v>Medium</x:v>
      </x:c>
      <x:c r="F321" t="str">
        <x:v>Commercial</x:v>
      </x:c>
      <x:c r="G321" t="str">
        <x:v>Steel</x:v>
      </x:c>
      <x:c r="H321" t="str">
        <x:v>Raft</x:v>
      </x:c>
      <x:c r="I321" t="str">
        <x:v>Rock</x:v>
      </x:c>
      <x:c r="J321" t="str">
        <x:v>Low</x:v>
      </x:c>
      <x:c r="K321" t="n">
        <x:v>46913000</x:v>
      </x:c>
      <x:c r="L321" t="n">
        <x:v>948</x:v>
      </x:c>
      <x:c r="M321" t="n">
        <x:v>695.6</x:v>
      </x:c>
      <x:c r="N321" t="n">
        <x:v>15.6</x:v>
      </x:c>
      <x:c r="O321" t="n">
        <x:v>58.5</x:v>
      </x:c>
      <x:c r="P321" t="str">
        <x:v>Cloudy</x:v>
      </x:c>
      <x:c r="Q321" t="n">
        <x:v>70</x:v>
      </x:c>
      <x:c r="R321" t="n">
        <x:v>79.3</x:v>
      </x:c>
      <x:c r="S321" t="n">
        <x:v>0.0988</x:v>
      </x:c>
      <x:c r="T321" t="n">
        <x:v>16.2</x:v>
      </x:c>
      <x:c r="U321" t="n">
        <x:v>1653.8</x:v>
      </x:c>
      <x:c r="V321" t="n">
        <x:v>2182</x:v>
      </x:c>
      <x:c r="W321" t="n">
        <x:v>44.1</x:v>
      </x:c>
    </x:row>
    <x:row r="322">
      <x:c r="A322" t="str">
        <x:v>PJT_321</x:v>
      </x:c>
      <x:c r="B322" t="str">
        <x:v>Marine</x:v>
      </x:c>
      <x:c r="C322" t="n">
        <x:v>11670</x:v>
      </x:c>
      <x:c r="D322" t="n">
        <x:v>12</x:v>
      </x:c>
      <x:c r="E322" t="str">
        <x:v>Low</x:v>
      </x:c>
      <x:c r="F322" t="str">
        <x:v>Residential</x:v>
      </x:c>
      <x:c r="G322" t="str">
        <x:v>RC Frame</x:v>
      </x:c>
      <x:c r="H322" t="str">
        <x:v>Raft</x:v>
      </x:c>
      <x:c r="I322" t="str">
        <x:v>Rock</x:v>
      </x:c>
      <x:c r="J322" t="str">
        <x:v>Medium</x:v>
      </x:c>
      <x:c r="K322" t="n">
        <x:v>17119890</x:v>
      </x:c>
      <x:c r="L322" t="n">
        <x:v>345</x:v>
      </x:c>
      <x:c r="M322" t="n">
        <x:v>647.7</x:v>
      </x:c>
      <x:c r="N322" t="n">
        <x:v>10.6</x:v>
      </x:c>
      <x:c r="O322" t="n">
        <x:v>62.6</x:v>
      </x:c>
      <x:c r="P322" t="str">
        <x:v>Sunny</x:v>
      </x:c>
      <x:c r="Q322" t="n">
        <x:v>73</x:v>
      </x:c>
      <x:c r="R322" t="n">
        <x:v>61.7</x:v>
      </x:c>
      <x:c r="S322" t="n">
        <x:v>0.0718</x:v>
      </x:c>
      <x:c r="T322" t="n">
        <x:v>12</x:v>
      </x:c>
      <x:c r="U322" t="n">
        <x:v>972.5</x:v>
      </x:c>
      <x:c r="V322" t="n">
        <x:v>1467</x:v>
      </x:c>
      <x:c r="W322" t="n">
        <x:v>29.6</x:v>
      </x:c>
    </x:row>
    <x:row r="323">
      <x:c r="A323" t="str">
        <x:v>PJT_322</x:v>
      </x:c>
      <x:c r="B323" t="str">
        <x:v>Continental</x:v>
      </x:c>
      <x:c r="C323" t="n">
        <x:v>20250</x:v>
      </x:c>
      <x:c r="D323" t="n">
        <x:v>12</x:v>
      </x:c>
      <x:c r="E323" t="str">
        <x:v>Medium</x:v>
      </x:c>
      <x:c r="F323" t="str">
        <x:v>Hospital</x:v>
      </x:c>
      <x:c r="G323" t="str">
        <x:v>Shear Wall</x:v>
      </x:c>
      <x:c r="H323" t="str">
        <x:v>Piles</x:v>
      </x:c>
      <x:c r="I323" t="str">
        <x:v>Sand</x:v>
      </x:c>
      <x:c r="J323" t="str">
        <x:v>High</x:v>
      </x:c>
      <x:c r="K323" t="n">
        <x:v>66804750</x:v>
      </x:c>
      <x:c r="L323" t="n">
        <x:v>1029</x:v>
      </x:c>
      <x:c r="M323" t="n">
        <x:v>236.4</x:v>
      </x:c>
      <x:c r="N323" t="n">
        <x:v>13.5</x:v>
      </x:c>
      <x:c r="O323" t="n">
        <x:v>67.5</x:v>
      </x:c>
      <x:c r="P323" t="str">
        <x:v>Cloudy</x:v>
      </x:c>
      <x:c r="Q323" t="n">
        <x:v>88</x:v>
      </x:c>
      <x:c r="R323" t="n">
        <x:v>85.7</x:v>
      </x:c>
      <x:c r="S323" t="n">
        <x:v>0.1053</x:v>
      </x:c>
      <x:c r="T323" t="n">
        <x:v>20.2</x:v>
      </x:c>
      <x:c r="U323" t="n">
        <x:v>1687.5</x:v>
      </x:c>
      <x:c r="V323" t="n">
        <x:v>3299</x:v>
      </x:c>
      <x:c r="W323" t="n">
        <x:v>50.8</x:v>
      </x:c>
    </x:row>
    <x:row r="324">
      <x:c r="A324" t="str">
        <x:v>PJT_323</x:v>
      </x:c>
      <x:c r="B324" t="str">
        <x:v>Continental</x:v>
      </x:c>
      <x:c r="C324" t="n">
        <x:v>12660</x:v>
      </x:c>
      <x:c r="D324" t="n">
        <x:v>14</x:v>
      </x:c>
      <x:c r="E324" t="str">
        <x:v>Low</x:v>
      </x:c>
      <x:c r="F324" t="str">
        <x:v>Residential</x:v>
      </x:c>
      <x:c r="G324" t="str">
        <x:v>RC Frame</x:v>
      </x:c>
      <x:c r="H324" t="str">
        <x:v>Piles</x:v>
      </x:c>
      <x:c r="I324" t="str">
        <x:v>Soft Clay</x:v>
      </x:c>
      <x:c r="J324" t="str">
        <x:v>Low</x:v>
      </x:c>
      <x:c r="K324" t="n">
        <x:v>17445480</x:v>
      </x:c>
      <x:c r="L324" t="n">
        <x:v>415</x:v>
      </x:c>
      <x:c r="M324" t="n">
        <x:v>177.8</x:v>
      </x:c>
      <x:c r="N324" t="n">
        <x:v>13.5</x:v>
      </x:c>
      <x:c r="O324" t="n">
        <x:v>51</x:v>
      </x:c>
      <x:c r="P324" t="str">
        <x:v>Sunny</x:v>
      </x:c>
      <x:c r="Q324" t="n">
        <x:v>72</x:v>
      </x:c>
      <x:c r="R324" t="n">
        <x:v>69.8</x:v>
      </x:c>
      <x:c r="S324" t="n">
        <x:v>0.0732</x:v>
      </x:c>
      <x:c r="T324" t="n">
        <x:v>11.6</x:v>
      </x:c>
      <x:c r="U324" t="n">
        <x:v>904.3</x:v>
      </x:c>
      <x:c r="V324" t="n">
        <x:v>1378</x:v>
      </x:c>
      <x:c r="W324" t="n">
        <x:v>32.8</x:v>
      </x:c>
    </x:row>
    <x:row r="325">
      <x:c r="A325" t="str">
        <x:v>PJT_324</x:v>
      </x:c>
      <x:c r="B325" t="str">
        <x:v>Marine</x:v>
      </x:c>
      <x:c r="C325" t="n">
        <x:v>29730</x:v>
      </x:c>
      <x:c r="D325" t="n">
        <x:v>23</x:v>
      </x:c>
      <x:c r="E325" t="str">
        <x:v>High</x:v>
      </x:c>
      <x:c r="F325" t="str">
        <x:v>Mixed-use</x:v>
      </x:c>
      <x:c r="G325" t="str">
        <x:v>Steel</x:v>
      </x:c>
      <x:c r="H325" t="str">
        <x:v>Piles</x:v>
      </x:c>
      <x:c r="I325" t="str">
        <x:v>Rock</x:v>
      </x:c>
      <x:c r="J325" t="str">
        <x:v>Low</x:v>
      </x:c>
      <x:c r="K325" t="n">
        <x:v>84760230</x:v>
      </x:c>
      <x:c r="L325" t="n">
        <x:v>1724</x:v>
      </x:c>
      <x:c r="M325" t="n">
        <x:v>694</x:v>
      </x:c>
      <x:c r="N325" t="n">
        <x:v>6.2</x:v>
      </x:c>
      <x:c r="O325" t="n">
        <x:v>88.2</x:v>
      </x:c>
      <x:c r="P325" t="str">
        <x:v>Rainy</x:v>
      </x:c>
      <x:c r="Q325" t="n">
        <x:v>76</x:v>
      </x:c>
      <x:c r="R325" t="n">
        <x:v>87.2</x:v>
      </x:c>
      <x:c r="S325" t="n">
        <x:v>0.1102</x:v>
      </x:c>
      <x:c r="T325" t="n">
        <x:v>21.1</x:v>
      </x:c>
      <x:c r="U325" t="n">
        <x:v>1292.6</x:v>
      </x:c>
      <x:c r="V325" t="n">
        <x:v>2851</x:v>
      </x:c>
      <x:c r="W325" t="n">
        <x:v>58</x:v>
      </x:c>
    </x:row>
    <x:row r="326">
      <x:c r="A326" t="str">
        <x:v>PJT_325</x:v>
      </x:c>
      <x:c r="B326" t="str">
        <x:v>Marine</x:v>
      </x:c>
      <x:c r="C326" t="n">
        <x:v>16800</x:v>
      </x:c>
      <x:c r="D326" t="n">
        <x:v>9</x:v>
      </x:c>
      <x:c r="E326" t="str">
        <x:v>Medium</x:v>
      </x:c>
      <x:c r="F326" t="str">
        <x:v>Commercial</x:v>
      </x:c>
      <x:c r="G326" t="str">
        <x:v>RC Frame</x:v>
      </x:c>
      <x:c r="H326" t="str">
        <x:v>Piles</x:v>
      </x:c>
      <x:c r="I326" t="str">
        <x:v>Soft Clay</x:v>
      </x:c>
      <x:c r="J326" t="str">
        <x:v>Medium</x:v>
      </x:c>
      <x:c r="K326" t="n">
        <x:v>37699200</x:v>
      </x:c>
      <x:c r="L326" t="n">
        <x:v>729</x:v>
      </x:c>
      <x:c r="M326" t="n">
        <x:v>160.2</x:v>
      </x:c>
      <x:c r="N326" t="n">
        <x:v>7.4</x:v>
      </x:c>
      <x:c r="O326" t="n">
        <x:v>79.2</x:v>
      </x:c>
      <x:c r="P326" t="str">
        <x:v>Rainy</x:v>
      </x:c>
      <x:c r="Q326" t="n">
        <x:v>73</x:v>
      </x:c>
      <x:c r="R326" t="n">
        <x:v>76.4</x:v>
      </x:c>
      <x:c r="S326" t="n">
        <x:v>0.0912</x:v>
      </x:c>
      <x:c r="T326" t="n">
        <x:v>16.3</x:v>
      </x:c>
      <x:c r="U326" t="n">
        <x:v>1866.7</x:v>
      </x:c>
      <x:c r="V326" t="n">
        <x:v>2244</x:v>
      </x:c>
      <x:c r="W326" t="n">
        <x:v>43.4</x:v>
      </x:c>
    </x:row>
    <x:row r="327">
      <x:c r="A327" t="str">
        <x:v>PJT_326</x:v>
      </x:c>
      <x:c r="B327" t="str">
        <x:v>Continental</x:v>
      </x:c>
      <x:c r="C327" t="n">
        <x:v>26390</x:v>
      </x:c>
      <x:c r="D327" t="n">
        <x:v>16</x:v>
      </x:c>
      <x:c r="E327" t="str">
        <x:v>Medium</x:v>
      </x:c>
      <x:c r="F327" t="str">
        <x:v>Commercial</x:v>
      </x:c>
      <x:c r="G327" t="str">
        <x:v>Steel</x:v>
      </x:c>
      <x:c r="H327" t="str">
        <x:v>Raft</x:v>
      </x:c>
      <x:c r="I327" t="str">
        <x:v>Rock</x:v>
      </x:c>
      <x:c r="J327" t="str">
        <x:v>Medium</x:v>
      </x:c>
      <x:c r="K327" t="n">
        <x:v>65869440</x:v>
      </x:c>
      <x:c r="L327" t="n">
        <x:v>1169</x:v>
      </x:c>
      <x:c r="M327" t="n">
        <x:v>706.6</x:v>
      </x:c>
      <x:c r="N327" t="n">
        <x:v>12.9</x:v>
      </x:c>
      <x:c r="O327" t="n">
        <x:v>66.1</x:v>
      </x:c>
      <x:c r="P327" t="str">
        <x:v>Rainy</x:v>
      </x:c>
      <x:c r="Q327" t="n">
        <x:v>109</x:v>
      </x:c>
      <x:c r="R327" t="n">
        <x:v>78.9</x:v>
      </x:c>
      <x:c r="S327" t="n">
        <x:v>0.095</x:v>
      </x:c>
      <x:c r="T327" t="n">
        <x:v>16.7</x:v>
      </x:c>
      <x:c r="U327" t="n">
        <x:v>1649.4</x:v>
      </x:c>
      <x:c r="V327" t="n">
        <x:v>2496</x:v>
      </x:c>
      <x:c r="W327" t="n">
        <x:v>44.3</x:v>
      </x:c>
    </x:row>
    <x:row r="328">
      <x:c r="A328" t="str">
        <x:v>PJT_327</x:v>
      </x:c>
      <x:c r="B328" t="str">
        <x:v>Mediterranean</x:v>
      </x:c>
      <x:c r="C328" t="n">
        <x:v>11110</x:v>
      </x:c>
      <x:c r="D328" t="n">
        <x:v>12</x:v>
      </x:c>
      <x:c r="E328" t="str">
        <x:v>Medium</x:v>
      </x:c>
      <x:c r="F328" t="str">
        <x:v>Residential</x:v>
      </x:c>
      <x:c r="G328" t="str">
        <x:v>Shear Wall</x:v>
      </x:c>
      <x:c r="H328" t="str">
        <x:v>Raft</x:v>
      </x:c>
      <x:c r="I328" t="str">
        <x:v>Rock</x:v>
      </x:c>
      <x:c r="J328" t="str">
        <x:v>High</x:v>
      </x:c>
      <x:c r="K328" t="n">
        <x:v>18064860</x:v>
      </x:c>
      <x:c r="L328" t="n">
        <x:v>440</x:v>
      </x:c>
      <x:c r="M328" t="n">
        <x:v>740.2</x:v>
      </x:c>
      <x:c r="N328" t="n">
        <x:v>12.5</x:v>
      </x:c>
      <x:c r="O328" t="n">
        <x:v>78.9</x:v>
      </x:c>
      <x:c r="P328" t="str">
        <x:v>Rainy</x:v>
      </x:c>
      <x:c r="Q328" t="n">
        <x:v>92</x:v>
      </x:c>
      <x:c r="R328" t="n">
        <x:v>70.1</x:v>
      </x:c>
      <x:c r="S328" t="n">
        <x:v>0.0858</x:v>
      </x:c>
      <x:c r="T328" t="n">
        <x:v>14.2</x:v>
      </x:c>
      <x:c r="U328" t="n">
        <x:v>925.8</x:v>
      </x:c>
      <x:c r="V328" t="n">
        <x:v>1626</x:v>
      </x:c>
      <x:c r="W328" t="n">
        <x:v>39.6</x:v>
      </x:c>
    </x:row>
    <x:row r="329">
      <x:c r="A329" t="str">
        <x:v>PJT_328</x:v>
      </x:c>
      <x:c r="B329" t="str">
        <x:v>Continental</x:v>
      </x:c>
      <x:c r="C329" t="n">
        <x:v>17080</x:v>
      </x:c>
      <x:c r="D329" t="n">
        <x:v>14</x:v>
      </x:c>
      <x:c r="E329" t="str">
        <x:v>Low</x:v>
      </x:c>
      <x:c r="F329" t="str">
        <x:v>Residential</x:v>
      </x:c>
      <x:c r="G329" t="str">
        <x:v>RC Frame</x:v>
      </x:c>
      <x:c r="H329" t="str">
        <x:v>Piles</x:v>
      </x:c>
      <x:c r="I329" t="str">
        <x:v>Sand</x:v>
      </x:c>
      <x:c r="J329" t="str">
        <x:v>Low</x:v>
      </x:c>
      <x:c r="K329" t="n">
        <x:v>23655800</x:v>
      </x:c>
      <x:c r="L329" t="n">
        <x:v>545</x:v>
      </x:c>
      <x:c r="M329" t="n">
        <x:v>330.5</x:v>
      </x:c>
      <x:c r="N329" t="n">
        <x:v>16.7</x:v>
      </x:c>
      <x:c r="O329" t="n">
        <x:v>49.4</x:v>
      </x:c>
      <x:c r="P329" t="str">
        <x:v>Sunny</x:v>
      </x:c>
      <x:c r="Q329" t="n">
        <x:v>88</x:v>
      </x:c>
      <x:c r="R329" t="n">
        <x:v>68.1</x:v>
      </x:c>
      <x:c r="S329" t="n">
        <x:v>0.0749</x:v>
      </x:c>
      <x:c r="T329" t="n">
        <x:v>11.9</x:v>
      </x:c>
      <x:c r="U329" t="n">
        <x:v>1220</x:v>
      </x:c>
      <x:c r="V329" t="n">
        <x:v>1385</x:v>
      </x:c>
      <x:c r="W329" t="n">
        <x:v>31.9</x:v>
      </x:c>
    </x:row>
    <x:row r="330">
      <x:c r="A330" t="str">
        <x:v>PJT_329</x:v>
      </x:c>
      <x:c r="B330" t="str">
        <x:v>Continental</x:v>
      </x:c>
      <x:c r="C330" t="n">
        <x:v>12370</x:v>
      </x:c>
      <x:c r="D330" t="n">
        <x:v>15</x:v>
      </x:c>
      <x:c r="E330" t="str">
        <x:v>Low</x:v>
      </x:c>
      <x:c r="F330" t="str">
        <x:v>Residential</x:v>
      </x:c>
      <x:c r="G330" t="str">
        <x:v>RC Frame</x:v>
      </x:c>
      <x:c r="H330" t="str">
        <x:v>Piles</x:v>
      </x:c>
      <x:c r="I330" t="str">
        <x:v>Soft Clay</x:v>
      </x:c>
      <x:c r="J330" t="str">
        <x:v>Low</x:v>
      </x:c>
      <x:c r="K330" t="n">
        <x:v>15722270</x:v>
      </x:c>
      <x:c r="L330" t="n">
        <x:v>491</x:v>
      </x:c>
      <x:c r="M330" t="n">
        <x:v>228.2</x:v>
      </x:c>
      <x:c r="N330" t="n">
        <x:v>10.6</x:v>
      </x:c>
      <x:c r="O330" t="n">
        <x:v>85.8</x:v>
      </x:c>
      <x:c r="P330" t="str">
        <x:v>Stormy</x:v>
      </x:c>
      <x:c r="Q330" t="n">
        <x:v>91</x:v>
      </x:c>
      <x:c r="R330" t="n">
        <x:v>64.5</x:v>
      </x:c>
      <x:c r="S330" t="n">
        <x:v>0.0772</x:v>
      </x:c>
      <x:c r="T330" t="n">
        <x:v>11</x:v>
      </x:c>
      <x:c r="U330" t="n">
        <x:v>824.7</x:v>
      </x:c>
      <x:c r="V330" t="n">
        <x:v>1271</x:v>
      </x:c>
      <x:c r="W330" t="n">
        <x:v>39.7</x:v>
      </x:c>
    </x:row>
    <x:row r="331">
      <x:c r="A331" t="str">
        <x:v>PJT_330</x:v>
      </x:c>
      <x:c r="B331" t="str">
        <x:v>Marine</x:v>
      </x:c>
      <x:c r="C331" t="n">
        <x:v>15450</x:v>
      </x:c>
      <x:c r="D331" t="n">
        <x:v>18</x:v>
      </x:c>
      <x:c r="E331" t="str">
        <x:v>Medium</x:v>
      </x:c>
      <x:c r="F331" t="str">
        <x:v>Residential</x:v>
      </x:c>
      <x:c r="G331" t="str">
        <x:v>RC Frame</x:v>
      </x:c>
      <x:c r="H331" t="str">
        <x:v>Piles</x:v>
      </x:c>
      <x:c r="I331" t="str">
        <x:v>Sand</x:v>
      </x:c>
      <x:c r="J331" t="str">
        <x:v>Low</x:v>
      </x:c>
      <x:c r="K331" t="n">
        <x:v>22217100</x:v>
      </x:c>
      <x:c r="L331" t="n">
        <x:v>647</x:v>
      </x:c>
      <x:c r="M331" t="n">
        <x:v>270.4</x:v>
      </x:c>
      <x:c r="N331" t="n">
        <x:v>15.1</x:v>
      </x:c>
      <x:c r="O331" t="n">
        <x:v>83.2</x:v>
      </x:c>
      <x:c r="P331" t="str">
        <x:v>Stormy</x:v>
      </x:c>
      <x:c r="Q331" t="n">
        <x:v>93</x:v>
      </x:c>
      <x:c r="R331" t="n">
        <x:v>77.4</x:v>
      </x:c>
      <x:c r="S331" t="n">
        <x:v>0.0748</x:v>
      </x:c>
      <x:c r="T331" t="n">
        <x:v>12.5</x:v>
      </x:c>
      <x:c r="U331" t="n">
        <x:v>858.3</x:v>
      </x:c>
      <x:c r="V331" t="n">
        <x:v>1438</x:v>
      </x:c>
      <x:c r="W331" t="n">
        <x:v>41.9</x:v>
      </x:c>
    </x:row>
    <x:row r="332">
      <x:c r="A332" t="str">
        <x:v>PJT_331</x:v>
      </x:c>
      <x:c r="B332" t="str">
        <x:v>Continental</x:v>
      </x:c>
      <x:c r="C332" t="n">
        <x:v>8360</x:v>
      </x:c>
      <x:c r="D332" t="n">
        <x:v>4</x:v>
      </x:c>
      <x:c r="E332" t="str">
        <x:v>Low</x:v>
      </x:c>
      <x:c r="F332" t="str">
        <x:v>School</x:v>
      </x:c>
      <x:c r="G332" t="str">
        <x:v>RC Frame</x:v>
      </x:c>
      <x:c r="H332" t="str">
        <x:v>Raft</x:v>
      </x:c>
      <x:c r="I332" t="str">
        <x:v>Rock</x:v>
      </x:c>
      <x:c r="J332" t="str">
        <x:v>Low</x:v>
      </x:c>
      <x:c r="K332" t="n">
        <x:v>13785640</x:v>
      </x:c>
      <x:c r="L332" t="n">
        <x:v>218</x:v>
      </x:c>
      <x:c r="M332" t="n">
        <x:v>645.3</x:v>
      </x:c>
      <x:c r="N332" t="n">
        <x:v>12.6</x:v>
      </x:c>
      <x:c r="O332" t="n">
        <x:v>43.2</x:v>
      </x:c>
      <x:c r="P332" t="str">
        <x:v>Sunny</x:v>
      </x:c>
      <x:c r="Q332" t="n">
        <x:v>58</x:v>
      </x:c>
      <x:c r="R332" t="n">
        <x:v>63.7</x:v>
      </x:c>
      <x:c r="S332" t="n">
        <x:v>0.0787</x:v>
      </x:c>
      <x:c r="T332" t="n">
        <x:v>12.9</x:v>
      </x:c>
      <x:c r="U332" t="n">
        <x:v>2090</x:v>
      </x:c>
      <x:c r="V332" t="n">
        <x:v>1649</x:v>
      </x:c>
      <x:c r="W332" t="n">
        <x:v>26.1</x:v>
      </x:c>
    </x:row>
    <x:row r="333">
      <x:c r="A333" t="str">
        <x:v>PJT_332</x:v>
      </x:c>
      <x:c r="B333" t="str">
        <x:v>Marine</x:v>
      </x:c>
      <x:c r="C333" t="n">
        <x:v>18770</x:v>
      </x:c>
      <x:c r="D333" t="n">
        <x:v>16</x:v>
      </x:c>
      <x:c r="E333" t="str">
        <x:v>Medium</x:v>
      </x:c>
      <x:c r="F333" t="str">
        <x:v>Commercial</x:v>
      </x:c>
      <x:c r="G333" t="str">
        <x:v>Steel</x:v>
      </x:c>
      <x:c r="H333" t="str">
        <x:v>Piles</x:v>
      </x:c>
      <x:c r="I333" t="str">
        <x:v>Mixed</x:v>
      </x:c>
      <x:c r="J333" t="str">
        <x:v>Low</x:v>
      </x:c>
      <x:c r="K333" t="n">
        <x:v>47994890</x:v>
      </x:c>
      <x:c r="L333" t="n">
        <x:v>875</x:v>
      </x:c>
      <x:c r="M333" t="n">
        <x:v>354.9</x:v>
      </x:c>
      <x:c r="N333" t="n">
        <x:v>17.9</x:v>
      </x:c>
      <x:c r="O333" t="n">
        <x:v>78.1</x:v>
      </x:c>
      <x:c r="P333" t="str">
        <x:v>Cloudy</x:v>
      </x:c>
      <x:c r="Q333" t="n">
        <x:v>77</x:v>
      </x:c>
      <x:c r="R333" t="n">
        <x:v>81.9</x:v>
      </x:c>
      <x:c r="S333" t="n">
        <x:v>0.097</x:v>
      </x:c>
      <x:c r="T333" t="n">
        <x:v>16.9</x:v>
      </x:c>
      <x:c r="U333" t="n">
        <x:v>1173.1</x:v>
      </x:c>
      <x:c r="V333" t="n">
        <x:v>2557</x:v>
      </x:c>
      <x:c r="W333" t="n">
        <x:v>46.6</x:v>
      </x:c>
    </x:row>
    <x:row r="334">
      <x:c r="A334" t="str">
        <x:v>PJT_333</x:v>
      </x:c>
      <x:c r="B334" t="str">
        <x:v>Humid Subtropical</x:v>
      </x:c>
      <x:c r="C334" t="n">
        <x:v>3590</x:v>
      </x:c>
      <x:c r="D334" t="n">
        <x:v>5</x:v>
      </x:c>
      <x:c r="E334" t="str">
        <x:v>Low</x:v>
      </x:c>
      <x:c r="F334" t="str">
        <x:v>Residential</x:v>
      </x:c>
      <x:c r="G334" t="str">
        <x:v>RC Frame</x:v>
      </x:c>
      <x:c r="H334" t="str">
        <x:v>Raft</x:v>
      </x:c>
      <x:c r="I334" t="str">
        <x:v>Sand</x:v>
      </x:c>
      <x:c r="J334" t="str">
        <x:v>Low</x:v>
      </x:c>
      <x:c r="K334" t="n">
        <x:v>4422880</x:v>
      </x:c>
      <x:c r="L334" t="n">
        <x:v>180</x:v>
      </x:c>
      <x:c r="M334" t="n">
        <x:v>293</x:v>
      </x:c>
      <x:c r="N334" t="n">
        <x:v>27.5</x:v>
      </x:c>
      <x:c r="O334" t="n">
        <x:v>52.4</x:v>
      </x:c>
      <x:c r="P334" t="str">
        <x:v>Sunny</x:v>
      </x:c>
      <x:c r="Q334" t="n">
        <x:v>91</x:v>
      </x:c>
      <x:c r="R334" t="n">
        <x:v>58.3</x:v>
      </x:c>
      <x:c r="S334" t="n">
        <x:v>0.0716</x:v>
      </x:c>
      <x:c r="T334" t="n">
        <x:v>11.2</x:v>
      </x:c>
      <x:c r="U334" t="n">
        <x:v>718</x:v>
      </x:c>
      <x:c r="V334" t="n">
        <x:v>1232</x:v>
      </x:c>
      <x:c r="W334" t="n">
        <x:v>30.8</x:v>
      </x:c>
    </x:row>
    <x:row r="335">
      <x:c r="A335" t="str">
        <x:v>PJT_334</x:v>
      </x:c>
      <x:c r="B335" t="str">
        <x:v>Humid Subtropical</x:v>
      </x:c>
      <x:c r="C335" t="n">
        <x:v>2980</x:v>
      </x:c>
      <x:c r="D335" t="n">
        <x:v>3</x:v>
      </x:c>
      <x:c r="E335" t="str">
        <x:v>Low</x:v>
      </x:c>
      <x:c r="F335" t="str">
        <x:v>Residential</x:v>
      </x:c>
      <x:c r="G335" t="str">
        <x:v>RC Frame</x:v>
      </x:c>
      <x:c r="H335" t="str">
        <x:v>Strip</x:v>
      </x:c>
      <x:c r="I335" t="str">
        <x:v>Mixed</x:v>
      </x:c>
      <x:c r="J335" t="str">
        <x:v>High</x:v>
      </x:c>
      <x:c r="K335" t="n">
        <x:v>4160080</x:v>
      </x:c>
      <x:c r="L335" t="n">
        <x:v>180</x:v>
      </x:c>
      <x:c r="M335" t="n">
        <x:v>264.5</x:v>
      </x:c>
      <x:c r="N335" t="n">
        <x:v>34.5</x:v>
      </x:c>
      <x:c r="O335" t="n">
        <x:v>68.2</x:v>
      </x:c>
      <x:c r="P335" t="str">
        <x:v>Sunny</x:v>
      </x:c>
      <x:c r="Q335" t="n">
        <x:v>90</x:v>
      </x:c>
      <x:c r="R335" t="n">
        <x:v>60</x:v>
      </x:c>
      <x:c r="S335" t="n">
        <x:v>0.0703</x:v>
      </x:c>
      <x:c r="T335" t="n">
        <x:v>11.7</x:v>
      </x:c>
      <x:c r="U335" t="n">
        <x:v>993.3</x:v>
      </x:c>
      <x:c r="V335" t="n">
        <x:v>1396</x:v>
      </x:c>
      <x:c r="W335" t="n">
        <x:v>25.8</x:v>
      </x:c>
    </x:row>
    <x:row r="336">
      <x:c r="A336" t="str">
        <x:v>PJT_335</x:v>
      </x:c>
      <x:c r="B336" t="str">
        <x:v>Continental</x:v>
      </x:c>
      <x:c r="C336" t="n">
        <x:v>10100</x:v>
      </x:c>
      <x:c r="D336" t="n">
        <x:v>3</x:v>
      </x:c>
      <x:c r="E336" t="str">
        <x:v>Low</x:v>
      </x:c>
      <x:c r="F336" t="str">
        <x:v>School</x:v>
      </x:c>
      <x:c r="G336" t="str">
        <x:v>RC Frame</x:v>
      </x:c>
      <x:c r="H336" t="str">
        <x:v>Raft</x:v>
      </x:c>
      <x:c r="I336" t="str">
        <x:v>Mixed</x:v>
      </x:c>
      <x:c r="J336" t="str">
        <x:v>Medium</x:v>
      </x:c>
      <x:c r="K336" t="n">
        <x:v>16190300</x:v>
      </x:c>
      <x:c r="L336" t="n">
        <x:v>316</x:v>
      </x:c>
      <x:c r="M336" t="n">
        <x:v>295.3</x:v>
      </x:c>
      <x:c r="N336" t="n">
        <x:v>1.1</x:v>
      </x:c>
      <x:c r="O336" t="n">
        <x:v>78.1</x:v>
      </x:c>
      <x:c r="P336" t="str">
        <x:v>Snowy</x:v>
      </x:c>
      <x:c r="Q336" t="n">
        <x:v>86</x:v>
      </x:c>
      <x:c r="R336" t="n">
        <x:v>67.7</x:v>
      </x:c>
      <x:c r="S336" t="n">
        <x:v>0.0814</x:v>
      </x:c>
      <x:c r="T336" t="n">
        <x:v>12.9</x:v>
      </x:c>
      <x:c r="U336" t="n">
        <x:v>3366.7</x:v>
      </x:c>
      <x:c r="V336" t="n">
        <x:v>1603</x:v>
      </x:c>
      <x:c r="W336" t="n">
        <x:v>31.3</x:v>
      </x:c>
    </x:row>
    <x:row r="337">
      <x:c r="A337" t="str">
        <x:v>PJT_336</x:v>
      </x:c>
      <x:c r="B337" t="str">
        <x:v>Marine</x:v>
      </x:c>
      <x:c r="C337" t="n">
        <x:v>8920</x:v>
      </x:c>
      <x:c r="D337" t="n">
        <x:v>11</x:v>
      </x:c>
      <x:c r="E337" t="str">
        <x:v>Low</x:v>
      </x:c>
      <x:c r="F337" t="str">
        <x:v>Residential</x:v>
      </x:c>
      <x:c r="G337" t="str">
        <x:v>RC Frame</x:v>
      </x:c>
      <x:c r="H337" t="str">
        <x:v>Piles</x:v>
      </x:c>
      <x:c r="I337" t="str">
        <x:v>Soft Clay</x:v>
      </x:c>
      <x:c r="J337" t="str">
        <x:v>Medium</x:v>
      </x:c>
      <x:c r="K337" t="n">
        <x:v>12853720</x:v>
      </x:c>
      <x:c r="L337" t="n">
        <x:v>281</x:v>
      </x:c>
      <x:c r="M337" t="n">
        <x:v>215.8</x:v>
      </x:c>
      <x:c r="N337" t="n">
        <x:v>13.7</x:v>
      </x:c>
      <x:c r="O337" t="n">
        <x:v>62.3</x:v>
      </x:c>
      <x:c r="P337" t="str">
        <x:v>Sunny</x:v>
      </x:c>
      <x:c r="Q337" t="n">
        <x:v>74</x:v>
      </x:c>
      <x:c r="R337" t="n">
        <x:v>67.6</x:v>
      </x:c>
      <x:c r="S337" t="n">
        <x:v>0.0733</x:v>
      </x:c>
      <x:c r="T337" t="n">
        <x:v>11.9</x:v>
      </x:c>
      <x:c r="U337" t="n">
        <x:v>810.9</x:v>
      </x:c>
      <x:c r="V337" t="n">
        <x:v>1441</x:v>
      </x:c>
      <x:c r="W337" t="n">
        <x:v>31.5</x:v>
      </x:c>
    </x:row>
    <x:row r="338">
      <x:c r="A338" t="str">
        <x:v>PJT_337</x:v>
      </x:c>
      <x:c r="B338" t="str">
        <x:v>Humid Subtropical</x:v>
      </x:c>
      <x:c r="C338" t="n">
        <x:v>5870</x:v>
      </x:c>
      <x:c r="D338" t="n">
        <x:v>7</x:v>
      </x:c>
      <x:c r="E338" t="str">
        <x:v>Low</x:v>
      </x:c>
      <x:c r="F338" t="str">
        <x:v>Residential</x:v>
      </x:c>
      <x:c r="G338" t="str">
        <x:v>RC Frame</x:v>
      </x:c>
      <x:c r="H338" t="str">
        <x:v>Raft</x:v>
      </x:c>
      <x:c r="I338" t="str">
        <x:v>Mixed</x:v>
      </x:c>
      <x:c r="J338" t="str">
        <x:v>High</x:v>
      </x:c>
      <x:c r="K338" t="n">
        <x:v>8981100</x:v>
      </x:c>
      <x:c r="L338" t="n">
        <x:v>198</x:v>
      </x:c>
      <x:c r="M338" t="n">
        <x:v>306.9</x:v>
      </x:c>
      <x:c r="N338" t="n">
        <x:v>20.7</x:v>
      </x:c>
      <x:c r="O338" t="n">
        <x:v>92.4</x:v>
      </x:c>
      <x:c r="P338" t="str">
        <x:v>Stormy</x:v>
      </x:c>
      <x:c r="Q338" t="n">
        <x:v>102</x:v>
      </x:c>
      <x:c r="R338" t="n">
        <x:v>68.5</x:v>
      </x:c>
      <x:c r="S338" t="n">
        <x:v>0.0759</x:v>
      </x:c>
      <x:c r="T338" t="n">
        <x:v>12</x:v>
      </x:c>
      <x:c r="U338" t="n">
        <x:v>838.6</x:v>
      </x:c>
      <x:c r="V338" t="n">
        <x:v>1530</x:v>
      </x:c>
      <x:c r="W338" t="n">
        <x:v>33.8</x:v>
      </x:c>
    </x:row>
    <x:row r="339">
      <x:c r="A339" t="str">
        <x:v>PJT_338</x:v>
      </x:c>
      <x:c r="B339" t="str">
        <x:v>Marine</x:v>
      </x:c>
      <x:c r="C339" t="n">
        <x:v>6570</x:v>
      </x:c>
      <x:c r="D339" t="n">
        <x:v>2</x:v>
      </x:c>
      <x:c r="E339" t="str">
        <x:v>Low</x:v>
      </x:c>
      <x:c r="F339" t="str">
        <x:v>School</x:v>
      </x:c>
      <x:c r="G339" t="str">
        <x:v>RC Frame</x:v>
      </x:c>
      <x:c r="H339" t="str">
        <x:v>Raft</x:v>
      </x:c>
      <x:c r="I339" t="str">
        <x:v>Mixed</x:v>
      </x:c>
      <x:c r="J339" t="str">
        <x:v>Medium</x:v>
      </x:c>
      <x:c r="K339" t="n">
        <x:v>11352960</x:v>
      </x:c>
      <x:c r="L339" t="n">
        <x:v>203</x:v>
      </x:c>
      <x:c r="M339" t="n">
        <x:v>320</x:v>
      </x:c>
      <x:c r="N339" t="n">
        <x:v>14.7</x:v>
      </x:c>
      <x:c r="O339" t="n">
        <x:v>89.3</x:v>
      </x:c>
      <x:c r="P339" t="str">
        <x:v>Stormy</x:v>
      </x:c>
      <x:c r="Q339" t="n">
        <x:v>90</x:v>
      </x:c>
      <x:c r="R339" t="n">
        <x:v>65.1</x:v>
      </x:c>
      <x:c r="S339" t="n">
        <x:v>0.0815</x:v>
      </x:c>
      <x:c r="T339" t="n">
        <x:v>14.1</x:v>
      </x:c>
      <x:c r="U339" t="n">
        <x:v>3285</x:v>
      </x:c>
      <x:c r="V339" t="n">
        <x:v>1728</x:v>
      </x:c>
      <x:c r="W339" t="n">
        <x:v>30.9</x:v>
      </x:c>
    </x:row>
    <x:row r="340">
      <x:c r="A340" t="str">
        <x:v>PJT_339</x:v>
      </x:c>
      <x:c r="B340" t="str">
        <x:v>Humid Subtropical</x:v>
      </x:c>
      <x:c r="C340" t="n">
        <x:v>4300</x:v>
      </x:c>
      <x:c r="D340" t="n">
        <x:v>2</x:v>
      </x:c>
      <x:c r="E340" t="str">
        <x:v>Low</x:v>
      </x:c>
      <x:c r="F340" t="str">
        <x:v>School</x:v>
      </x:c>
      <x:c r="G340" t="str">
        <x:v>RC Frame</x:v>
      </x:c>
      <x:c r="H340" t="str">
        <x:v>Strip</x:v>
      </x:c>
      <x:c r="I340" t="str">
        <x:v>Sand</x:v>
      </x:c>
      <x:c r="J340" t="str">
        <x:v>Low</x:v>
      </x:c>
      <x:c r="K340" t="n">
        <x:v>6445700</x:v>
      </x:c>
      <x:c r="L340" t="n">
        <x:v>180</x:v>
      </x:c>
      <x:c r="M340" t="n">
        <x:v>232.9</x:v>
      </x:c>
      <x:c r="N340" t="n">
        <x:v>28.5</x:v>
      </x:c>
      <x:c r="O340" t="n">
        <x:v>68.3</x:v>
      </x:c>
      <x:c r="P340" t="str">
        <x:v>Sunny</x:v>
      </x:c>
      <x:c r="Q340" t="n">
        <x:v>87</x:v>
      </x:c>
      <x:c r="R340" t="n">
        <x:v>58.8</x:v>
      </x:c>
      <x:c r="S340" t="n">
        <x:v>0.0763</x:v>
      </x:c>
      <x:c r="T340" t="n">
        <x:v>13.9</x:v>
      </x:c>
      <x:c r="U340" t="n">
        <x:v>2150</x:v>
      </x:c>
      <x:c r="V340" t="n">
        <x:v>1499</x:v>
      </x:c>
      <x:c r="W340" t="n">
        <x:v>25.2</x:v>
      </x:c>
    </x:row>
    <x:row r="341">
      <x:c r="A341" t="str">
        <x:v>PJT_340</x:v>
      </x:c>
      <x:c r="B341" t="str">
        <x:v>Marine</x:v>
      </x:c>
      <x:c r="C341" t="n">
        <x:v>17560</x:v>
      </x:c>
      <x:c r="D341" t="n">
        <x:v>12</x:v>
      </x:c>
      <x:c r="E341" t="str">
        <x:v>Medium</x:v>
      </x:c>
      <x:c r="F341" t="str">
        <x:v>Commercial</x:v>
      </x:c>
      <x:c r="G341" t="str">
        <x:v>Steel</x:v>
      </x:c>
      <x:c r="H341" t="str">
        <x:v>Raft</x:v>
      </x:c>
      <x:c r="I341" t="str">
        <x:v>Mixed</x:v>
      </x:c>
      <x:c r="J341" t="str">
        <x:v>High</x:v>
      </x:c>
      <x:c r="K341" t="n">
        <x:v>42108880</x:v>
      </x:c>
      <x:c r="L341" t="n">
        <x:v>780</x:v>
      </x:c>
      <x:c r="M341" t="n">
        <x:v>302.1</x:v>
      </x:c>
      <x:c r="N341" t="n">
        <x:v>18.7</x:v>
      </x:c>
      <x:c r="O341" t="n">
        <x:v>70.7</x:v>
      </x:c>
      <x:c r="P341" t="str">
        <x:v>Cloudy</x:v>
      </x:c>
      <x:c r="Q341" t="n">
        <x:v>89</x:v>
      </x:c>
      <x:c r="R341" t="n">
        <x:v>81.9</x:v>
      </x:c>
      <x:c r="S341" t="n">
        <x:v>0.0973</x:v>
      </x:c>
      <x:c r="T341" t="n">
        <x:v>17.1</x:v>
      </x:c>
      <x:c r="U341" t="n">
        <x:v>1463.3</x:v>
      </x:c>
      <x:c r="V341" t="n">
        <x:v>2398</x:v>
      </x:c>
      <x:c r="W341" t="n">
        <x:v>44.4</x:v>
      </x:c>
    </x:row>
    <x:row r="342">
      <x:c r="A342" t="str">
        <x:v>PJT_341</x:v>
      </x:c>
      <x:c r="B342" t="str">
        <x:v>Humid Subtropical</x:v>
      </x:c>
      <x:c r="C342" t="n">
        <x:v>22190</x:v>
      </x:c>
      <x:c r="D342" t="n">
        <x:v>19</x:v>
      </x:c>
      <x:c r="E342" t="str">
        <x:v>Medium</x:v>
      </x:c>
      <x:c r="F342" t="str">
        <x:v>Residential</x:v>
      </x:c>
      <x:c r="G342" t="str">
        <x:v>Shear Wall</x:v>
      </x:c>
      <x:c r="H342" t="str">
        <x:v>Piles</x:v>
      </x:c>
      <x:c r="I342" t="str">
        <x:v>Mixed</x:v>
      </x:c>
      <x:c r="J342" t="str">
        <x:v>Medium</x:v>
      </x:c>
      <x:c r="K342" t="n">
        <x:v>37811760</x:v>
      </x:c>
      <x:c r="L342" t="n">
        <x:v>921</x:v>
      </x:c>
      <x:c r="M342" t="n">
        <x:v>366.2</x:v>
      </x:c>
      <x:c r="N342" t="n">
        <x:v>23.2</x:v>
      </x:c>
      <x:c r="O342" t="n">
        <x:v>63.8</x:v>
      </x:c>
      <x:c r="P342" t="str">
        <x:v>Cloudy</x:v>
      </x:c>
      <x:c r="Q342" t="n">
        <x:v>69</x:v>
      </x:c>
      <x:c r="R342" t="n">
        <x:v>73.3</x:v>
      </x:c>
      <x:c r="S342" t="n">
        <x:v>0.0805</x:v>
      </x:c>
      <x:c r="T342" t="n">
        <x:v>14.3</x:v>
      </x:c>
      <x:c r="U342" t="n">
        <x:v>1167.9</x:v>
      </x:c>
      <x:c r="V342" t="n">
        <x:v>1704</x:v>
      </x:c>
      <x:c r="W342" t="n">
        <x:v>41.5</x:v>
      </x:c>
    </x:row>
    <x:row r="343">
      <x:c r="A343" t="str">
        <x:v>PJT_342</x:v>
      </x:c>
      <x:c r="B343" t="str">
        <x:v>Humid Subtropical</x:v>
      </x:c>
      <x:c r="C343" t="n">
        <x:v>21140</x:v>
      </x:c>
      <x:c r="D343" t="n">
        <x:v>18</x:v>
      </x:c>
      <x:c r="E343" t="str">
        <x:v>Medium</x:v>
      </x:c>
      <x:c r="F343" t="str">
        <x:v>Residential</x:v>
      </x:c>
      <x:c r="G343" t="str">
        <x:v>Shear Wall</x:v>
      </x:c>
      <x:c r="H343" t="str">
        <x:v>Piles</x:v>
      </x:c>
      <x:c r="I343" t="str">
        <x:v>Soft Clay</x:v>
      </x:c>
      <x:c r="J343" t="str">
        <x:v>Medium</x:v>
      </x:c>
      <x:c r="K343" t="n">
        <x:v>34225660</x:v>
      </x:c>
      <x:c r="L343" t="n">
        <x:v>869</x:v>
      </x:c>
      <x:c r="M343" t="n">
        <x:v>199.4</x:v>
      </x:c>
      <x:c r="N343" t="n">
        <x:v>27.2</x:v>
      </x:c>
      <x:c r="O343" t="n">
        <x:v>90.9</x:v>
      </x:c>
      <x:c r="P343" t="str">
        <x:v>Rainy</x:v>
      </x:c>
      <x:c r="Q343" t="n">
        <x:v>91</x:v>
      </x:c>
      <x:c r="R343" t="n">
        <x:v>78.5</x:v>
      </x:c>
      <x:c r="S343" t="n">
        <x:v>0.0843</x:v>
      </x:c>
      <x:c r="T343" t="n">
        <x:v>13.9</x:v>
      </x:c>
      <x:c r="U343" t="n">
        <x:v>1174.4</x:v>
      </x:c>
      <x:c r="V343" t="n">
        <x:v>1619</x:v>
      </x:c>
      <x:c r="W343" t="n">
        <x:v>41.1</x:v>
      </x:c>
    </x:row>
    <x:row r="344">
      <x:c r="A344" t="str">
        <x:v>PJT_343</x:v>
      </x:c>
      <x:c r="B344" t="str">
        <x:v>Marine</x:v>
      </x:c>
      <x:c r="C344" t="n">
        <x:v>22890</x:v>
      </x:c>
      <x:c r="D344" t="n">
        <x:v>20</x:v>
      </x:c>
      <x:c r="E344" t="str">
        <x:v>Medium</x:v>
      </x:c>
      <x:c r="F344" t="str">
        <x:v>Residential</x:v>
      </x:c>
      <x:c r="G344" t="str">
        <x:v>Shear Wall</x:v>
      </x:c>
      <x:c r="H344" t="str">
        <x:v>Piles</x:v>
      </x:c>
      <x:c r="I344" t="str">
        <x:v>Mixed</x:v>
      </x:c>
      <x:c r="J344" t="str">
        <x:v>High</x:v>
      </x:c>
      <x:c r="K344" t="n">
        <x:v>42460950</x:v>
      </x:c>
      <x:c r="L344" t="n">
        <x:v>897</x:v>
      </x:c>
      <x:c r="M344" t="n">
        <x:v>328.4</x:v>
      </x:c>
      <x:c r="N344" t="n">
        <x:v>13</x:v>
      </x:c>
      <x:c r="O344" t="n">
        <x:v>76.9</x:v>
      </x:c>
      <x:c r="P344" t="str">
        <x:v>Cloudy</x:v>
      </x:c>
      <x:c r="Q344" t="n">
        <x:v>52</x:v>
      </x:c>
      <x:c r="R344" t="n">
        <x:v>76.8</x:v>
      </x:c>
      <x:c r="S344" t="n">
        <x:v>0.0821</x:v>
      </x:c>
      <x:c r="T344" t="n">
        <x:v>12.9</x:v>
      </x:c>
      <x:c r="U344" t="n">
        <x:v>1144.5</x:v>
      </x:c>
      <x:c r="V344" t="n">
        <x:v>1855</x:v>
      </x:c>
      <x:c r="W344" t="n">
        <x:v>39.2</x:v>
      </x:c>
    </x:row>
    <x:row r="345">
      <x:c r="A345" t="str">
        <x:v>PJT_344</x:v>
      </x:c>
      <x:c r="B345" t="str">
        <x:v>Mediterranean</x:v>
      </x:c>
      <x:c r="C345" t="n">
        <x:v>22930</x:v>
      </x:c>
      <x:c r="D345" t="n">
        <x:v>12</x:v>
      </x:c>
      <x:c r="E345" t="str">
        <x:v>Medium</x:v>
      </x:c>
      <x:c r="F345" t="str">
        <x:v>Commercial</x:v>
      </x:c>
      <x:c r="G345" t="str">
        <x:v>RC Frame</x:v>
      </x:c>
      <x:c r="H345" t="str">
        <x:v>Piles</x:v>
      </x:c>
      <x:c r="I345" t="str">
        <x:v>Soft Clay</x:v>
      </x:c>
      <x:c r="J345" t="str">
        <x:v>High</x:v>
      </x:c>
      <x:c r="K345" t="n">
        <x:v>55788690</x:v>
      </x:c>
      <x:c r="L345" t="n">
        <x:v>913</x:v>
      </x:c>
      <x:c r="M345" t="n">
        <x:v>203</x:v>
      </x:c>
      <x:c r="N345" t="n">
        <x:v>23.7</x:v>
      </x:c>
      <x:c r="O345" t="n">
        <x:v>43.4</x:v>
      </x:c>
      <x:c r="P345" t="str">
        <x:v>Sunny</x:v>
      </x:c>
      <x:c r="Q345" t="n">
        <x:v>63</x:v>
      </x:c>
      <x:c r="R345" t="n">
        <x:v>81.7</x:v>
      </x:c>
      <x:c r="S345" t="n">
        <x:v>0.0919</x:v>
      </x:c>
      <x:c r="T345" t="n">
        <x:v>15.7</x:v>
      </x:c>
      <x:c r="U345" t="n">
        <x:v>1910.8</x:v>
      </x:c>
      <x:c r="V345" t="n">
        <x:v>2433</x:v>
      </x:c>
      <x:c r="W345" t="n">
        <x:v>39.8</x:v>
      </x:c>
    </x:row>
    <x:row r="346">
      <x:c r="A346" t="str">
        <x:v>PJT_345</x:v>
      </x:c>
      <x:c r="B346" t="str">
        <x:v>Mediterranean</x:v>
      </x:c>
      <x:c r="C346" t="n">
        <x:v>25880</x:v>
      </x:c>
      <x:c r="D346" t="n">
        <x:v>23</x:v>
      </x:c>
      <x:c r="E346" t="str">
        <x:v>High</x:v>
      </x:c>
      <x:c r="F346" t="str">
        <x:v>Mixed-use</x:v>
      </x:c>
      <x:c r="G346" t="str">
        <x:v>Steel</x:v>
      </x:c>
      <x:c r="H346" t="str">
        <x:v>Piles</x:v>
      </x:c>
      <x:c r="I346" t="str">
        <x:v>Soft Clay</x:v>
      </x:c>
      <x:c r="J346" t="str">
        <x:v>Low</x:v>
      </x:c>
      <x:c r="K346" t="n">
        <x:v>75983680</x:v>
      </x:c>
      <x:c r="L346" t="n">
        <x:v>1436</x:v>
      </x:c>
      <x:c r="M346" t="n">
        <x:v>192.1</x:v>
      </x:c>
      <x:c r="N346" t="n">
        <x:v>19.5</x:v>
      </x:c>
      <x:c r="O346" t="n">
        <x:v>47.9</x:v>
      </x:c>
      <x:c r="P346" t="str">
        <x:v>Sunny</x:v>
      </x:c>
      <x:c r="Q346" t="n">
        <x:v>93</x:v>
      </x:c>
      <x:c r="R346" t="n">
        <x:v>88.6</x:v>
      </x:c>
      <x:c r="S346" t="n">
        <x:v>0.1097</x:v>
      </x:c>
      <x:c r="T346" t="n">
        <x:v>19.6</x:v>
      </x:c>
      <x:c r="U346" t="n">
        <x:v>1125.2</x:v>
      </x:c>
      <x:c r="V346" t="n">
        <x:v>2936</x:v>
      </x:c>
      <x:c r="W346" t="n">
        <x:v>55.5</x:v>
      </x:c>
    </x:row>
    <x:row r="347">
      <x:c r="A347" t="str">
        <x:v>PJT_346</x:v>
      </x:c>
      <x:c r="B347" t="str">
        <x:v>Mediterranean</x:v>
      </x:c>
      <x:c r="C347" t="n">
        <x:v>25620</x:v>
      </x:c>
      <x:c r="D347" t="n">
        <x:v>11</x:v>
      </x:c>
      <x:c r="E347" t="str">
        <x:v>High</x:v>
      </x:c>
      <x:c r="F347" t="str">
        <x:v>Hospital</x:v>
      </x:c>
      <x:c r="G347" t="str">
        <x:v>Shear Wall</x:v>
      </x:c>
      <x:c r="H347" t="str">
        <x:v>Piles</x:v>
      </x:c>
      <x:c r="I347" t="str">
        <x:v>Soft Clay</x:v>
      </x:c>
      <x:c r="J347" t="str">
        <x:v>Medium</x:v>
      </x:c>
      <x:c r="K347" t="n">
        <x:v>84981540</x:v>
      </x:c>
      <x:c r="L347" t="n">
        <x:v>1486</x:v>
      </x:c>
      <x:c r="M347" t="n">
        <x:v>239.6</x:v>
      </x:c>
      <x:c r="N347" t="n">
        <x:v>16.4</x:v>
      </x:c>
      <x:c r="O347" t="n">
        <x:v>82.2</x:v>
      </x:c>
      <x:c r="P347" t="str">
        <x:v>Stormy</x:v>
      </x:c>
      <x:c r="Q347" t="n">
        <x:v>75</x:v>
      </x:c>
      <x:c r="R347" t="n">
        <x:v>83.7</x:v>
      </x:c>
      <x:c r="S347" t="n">
        <x:v>0.1143</x:v>
      </x:c>
      <x:c r="T347" t="n">
        <x:v>23.5</x:v>
      </x:c>
      <x:c r="U347" t="n">
        <x:v>2329.1</x:v>
      </x:c>
      <x:c r="V347" t="n">
        <x:v>3317</x:v>
      </x:c>
      <x:c r="W347" t="n">
        <x:v>58</x:v>
      </x:c>
    </x:row>
    <x:row r="348">
      <x:c r="A348" t="str">
        <x:v>PJT_347</x:v>
      </x:c>
      <x:c r="B348" t="str">
        <x:v>Humid Subtropical</x:v>
      </x:c>
      <x:c r="C348" t="n">
        <x:v>35620</x:v>
      </x:c>
      <x:c r="D348" t="n">
        <x:v>25</x:v>
      </x:c>
      <x:c r="E348" t="str">
        <x:v>High</x:v>
      </x:c>
      <x:c r="F348" t="str">
        <x:v>Mixed-use</x:v>
      </x:c>
      <x:c r="G348" t="str">
        <x:v>Steel</x:v>
      </x:c>
      <x:c r="H348" t="str">
        <x:v>Piles</x:v>
      </x:c>
      <x:c r="I348" t="str">
        <x:v>Sand</x:v>
      </x:c>
      <x:c r="J348" t="str">
        <x:v>Low</x:v>
      </x:c>
      <x:c r="K348" t="n">
        <x:v>105399580</x:v>
      </x:c>
      <x:c r="L348" t="n">
        <x:v>1927</x:v>
      </x:c>
      <x:c r="M348" t="n">
        <x:v>234.8</x:v>
      </x:c>
      <x:c r="N348" t="n">
        <x:v>28.8</x:v>
      </x:c>
      <x:c r="O348" t="n">
        <x:v>63.3</x:v>
      </x:c>
      <x:c r="P348" t="str">
        <x:v>Sunny</x:v>
      </x:c>
      <x:c r="Q348" t="n">
        <x:v>99</x:v>
      </x:c>
      <x:c r="R348" t="n">
        <x:v>88.6</x:v>
      </x:c>
      <x:c r="S348" t="n">
        <x:v>0.107</x:v>
      </x:c>
      <x:c r="T348" t="n">
        <x:v>19.5</x:v>
      </x:c>
      <x:c r="U348" t="n">
        <x:v>1424.8</x:v>
      </x:c>
      <x:c r="V348" t="n">
        <x:v>2959</x:v>
      </x:c>
      <x:c r="W348" t="n">
        <x:v>54.1</x:v>
      </x:c>
    </x:row>
    <x:row r="349">
      <x:c r="A349" t="str">
        <x:v>PJT_348</x:v>
      </x:c>
      <x:c r="B349" t="str">
        <x:v>Continental</x:v>
      </x:c>
      <x:c r="C349" t="n">
        <x:v>33790</x:v>
      </x:c>
      <x:c r="D349" t="n">
        <x:v>21</x:v>
      </x:c>
      <x:c r="E349" t="str">
        <x:v>Medium</x:v>
      </x:c>
      <x:c r="F349" t="str">
        <x:v>Mixed-use</x:v>
      </x:c>
      <x:c r="G349" t="str">
        <x:v>Steel</x:v>
      </x:c>
      <x:c r="H349" t="str">
        <x:v>Piles</x:v>
      </x:c>
      <x:c r="I349" t="str">
        <x:v>Soft Clay</x:v>
      </x:c>
      <x:c r="J349" t="str">
        <x:v>Medium</x:v>
      </x:c>
      <x:c r="K349" t="n">
        <x:v>90861310</x:v>
      </x:c>
      <x:c r="L349" t="n">
        <x:v>1862</x:v>
      </x:c>
      <x:c r="M349" t="n">
        <x:v>174.2</x:v>
      </x:c>
      <x:c r="N349" t="n">
        <x:v>0.8</x:v>
      </x:c>
      <x:c r="O349" t="n">
        <x:v>61</x:v>
      </x:c>
      <x:c r="P349" t="str">
        <x:v>Snowy</x:v>
      </x:c>
      <x:c r="Q349" t="n">
        <x:v>68</x:v>
      </x:c>
      <x:c r="R349" t="n">
        <x:v>80.3</x:v>
      </x:c>
      <x:c r="S349" t="n">
        <x:v>0.1017</x:v>
      </x:c>
      <x:c r="T349" t="n">
        <x:v>17.8</x:v>
      </x:c>
      <x:c r="U349" t="n">
        <x:v>1609</x:v>
      </x:c>
      <x:c r="V349" t="n">
        <x:v>2689</x:v>
      </x:c>
      <x:c r="W349" t="n">
        <x:v>55.1</x:v>
      </x:c>
    </x:row>
    <x:row r="350">
      <x:c r="A350" t="str">
        <x:v>PJT_349</x:v>
      </x:c>
      <x:c r="B350" t="str">
        <x:v>Humid Subtropical</x:v>
      </x:c>
      <x:c r="C350" t="n">
        <x:v>14350</x:v>
      </x:c>
      <x:c r="D350" t="n">
        <x:v>7</x:v>
      </x:c>
      <x:c r="E350" t="str">
        <x:v>Medium</x:v>
      </x:c>
      <x:c r="F350" t="str">
        <x:v>Hospital</x:v>
      </x:c>
      <x:c r="G350" t="str">
        <x:v>Steel</x:v>
      </x:c>
      <x:c r="H350" t="str">
        <x:v>Piles</x:v>
      </x:c>
      <x:c r="I350" t="str">
        <x:v>Soft Clay</x:v>
      </x:c>
      <x:c r="J350" t="str">
        <x:v>Medium</x:v>
      </x:c>
      <x:c r="K350" t="n">
        <x:v>47053650</x:v>
      </x:c>
      <x:c r="L350" t="n">
        <x:v>730</x:v>
      </x:c>
      <x:c r="M350" t="n">
        <x:v>212.9</x:v>
      </x:c>
      <x:c r="N350" t="n">
        <x:v>21.5</x:v>
      </x:c>
      <x:c r="O350" t="n">
        <x:v>65.6</x:v>
      </x:c>
      <x:c r="P350" t="str">
        <x:v>Cloudy</x:v>
      </x:c>
      <x:c r="Q350" t="n">
        <x:v>84</x:v>
      </x:c>
      <x:c r="R350" t="n">
        <x:v>75</x:v>
      </x:c>
      <x:c r="S350" t="n">
        <x:v>0.1083</x:v>
      </x:c>
      <x:c r="T350" t="n">
        <x:v>20.7</x:v>
      </x:c>
      <x:c r="U350" t="n">
        <x:v>2050</x:v>
      </x:c>
      <x:c r="V350" t="n">
        <x:v>3279</x:v>
      </x:c>
      <x:c r="W350" t="n">
        <x:v>50.9</x:v>
      </x:c>
    </x:row>
    <x:row r="351">
      <x:c r="A351" t="str">
        <x:v>PJT_350</x:v>
      </x:c>
      <x:c r="B351" t="str">
        <x:v>Marine</x:v>
      </x:c>
      <x:c r="C351" t="n">
        <x:v>12990</x:v>
      </x:c>
      <x:c r="D351" t="n">
        <x:v>13</x:v>
      </x:c>
      <x:c r="E351" t="str">
        <x:v>Medium</x:v>
      </x:c>
      <x:c r="F351" t="str">
        <x:v>Mixed-use</x:v>
      </x:c>
      <x:c r="G351" t="str">
        <x:v>Steel</x:v>
      </x:c>
      <x:c r="H351" t="str">
        <x:v>Piles</x:v>
      </x:c>
      <x:c r="I351" t="str">
        <x:v>Soft Clay</x:v>
      </x:c>
      <x:c r="J351" t="str">
        <x:v>Low</x:v>
      </x:c>
      <x:c r="K351" t="n">
        <x:v>33189450</x:v>
      </x:c>
      <x:c r="L351" t="n">
        <x:v>712</x:v>
      </x:c>
      <x:c r="M351" t="n">
        <x:v>210</x:v>
      </x:c>
      <x:c r="N351" t="n">
        <x:v>11.7</x:v>
      </x:c>
      <x:c r="O351" t="n">
        <x:v>81</x:v>
      </x:c>
      <x:c r="P351" t="str">
        <x:v>Stormy</x:v>
      </x:c>
      <x:c r="Q351" t="n">
        <x:v>72</x:v>
      </x:c>
      <x:c r="R351" t="n">
        <x:v>81.2</x:v>
      </x:c>
      <x:c r="S351" t="n">
        <x:v>0.1041</x:v>
      </x:c>
      <x:c r="T351" t="n">
        <x:v>19.1</x:v>
      </x:c>
      <x:c r="U351" t="n">
        <x:v>999.2</x:v>
      </x:c>
      <x:c r="V351" t="n">
        <x:v>2555</x:v>
      </x:c>
      <x:c r="W351" t="n">
        <x:v>54.8</x:v>
      </x:c>
    </x:row>
    <x:row r="352">
      <x:c r="A352" t="str">
        <x:v>PJT_351</x:v>
      </x:c>
      <x:c r="B352" t="str">
        <x:v>Continental</x:v>
      </x:c>
      <x:c r="C352" t="n">
        <x:v>12650</x:v>
      </x:c>
      <x:c r="D352" t="n">
        <x:v>17</x:v>
      </x:c>
      <x:c r="E352" t="str">
        <x:v>Low</x:v>
      </x:c>
      <x:c r="F352" t="str">
        <x:v>Residential</x:v>
      </x:c>
      <x:c r="G352" t="str">
        <x:v>Shear Wall</x:v>
      </x:c>
      <x:c r="H352" t="str">
        <x:v>Piles</x:v>
      </x:c>
      <x:c r="I352" t="str">
        <x:v>Soft Clay</x:v>
      </x:c>
      <x:c r="J352" t="str">
        <x:v>Medium</x:v>
      </x:c>
      <x:c r="K352" t="n">
        <x:v>18203350</x:v>
      </x:c>
      <x:c r="L352" t="n">
        <x:v>454</x:v>
      </x:c>
      <x:c r="M352" t="n">
        <x:v>223.5</x:v>
      </x:c>
      <x:c r="N352" t="n">
        <x:v>8.9</x:v>
      </x:c>
      <x:c r="O352" t="n">
        <x:v>62.6</x:v>
      </x:c>
      <x:c r="P352" t="str">
        <x:v>Cloudy</x:v>
      </x:c>
      <x:c r="Q352" t="n">
        <x:v>67</x:v>
      </x:c>
      <x:c r="R352" t="n">
        <x:v>71</x:v>
      </x:c>
      <x:c r="S352" t="n">
        <x:v>0.0809</x:v>
      </x:c>
      <x:c r="T352" t="n">
        <x:v>12</x:v>
      </x:c>
      <x:c r="U352" t="n">
        <x:v>744.1</x:v>
      </x:c>
      <x:c r="V352" t="n">
        <x:v>1439</x:v>
      </x:c>
      <x:c r="W352" t="n">
        <x:v>35.9</x:v>
      </x:c>
    </x:row>
    <x:row r="353">
      <x:c r="A353" t="str">
        <x:v>PJT_352</x:v>
      </x:c>
      <x:c r="B353" t="str">
        <x:v>Mediterranean</x:v>
      </x:c>
      <x:c r="C353" t="n">
        <x:v>13490</x:v>
      </x:c>
      <x:c r="D353" t="n">
        <x:v>13</x:v>
      </x:c>
      <x:c r="E353" t="str">
        <x:v>Low</x:v>
      </x:c>
      <x:c r="F353" t="str">
        <x:v>Residential</x:v>
      </x:c>
      <x:c r="G353" t="str">
        <x:v>Shear Wall</x:v>
      </x:c>
      <x:c r="H353" t="str">
        <x:v>Raft</x:v>
      </x:c>
      <x:c r="I353" t="str">
        <x:v>Mixed</x:v>
      </x:c>
      <x:c r="J353" t="str">
        <x:v>High</x:v>
      </x:c>
      <x:c r="K353" t="n">
        <x:v>21246750</x:v>
      </x:c>
      <x:c r="L353" t="n">
        <x:v>511</x:v>
      </x:c>
      <x:c r="M353" t="n">
        <x:v>293.6</x:v>
      </x:c>
      <x:c r="N353" t="n">
        <x:v>12.5</x:v>
      </x:c>
      <x:c r="O353" t="n">
        <x:v>72.1</x:v>
      </x:c>
      <x:c r="P353" t="str">
        <x:v>Stormy</x:v>
      </x:c>
      <x:c r="Q353" t="n">
        <x:v>65</x:v>
      </x:c>
      <x:c r="R353" t="n">
        <x:v>68.3</x:v>
      </x:c>
      <x:c r="S353" t="n">
        <x:v>0.0786</x:v>
      </x:c>
      <x:c r="T353" t="n">
        <x:v>12.3</x:v>
      </x:c>
      <x:c r="U353" t="n">
        <x:v>1037.7</x:v>
      </x:c>
      <x:c r="V353" t="n">
        <x:v>1575</x:v>
      </x:c>
      <x:c r="W353" t="n">
        <x:v>37.9</x:v>
      </x:c>
    </x:row>
    <x:row r="354">
      <x:c r="A354" t="str">
        <x:v>PJT_353</x:v>
      </x:c>
      <x:c r="B354" t="str">
        <x:v>Continental</x:v>
      </x:c>
      <x:c r="C354" t="n">
        <x:v>5890</x:v>
      </x:c>
      <x:c r="D354" t="n">
        <x:v>2</x:v>
      </x:c>
      <x:c r="E354" t="str">
        <x:v>Low</x:v>
      </x:c>
      <x:c r="F354" t="str">
        <x:v>School</x:v>
      </x:c>
      <x:c r="G354" t="str">
        <x:v>RC Frame</x:v>
      </x:c>
      <x:c r="H354" t="str">
        <x:v>Raft</x:v>
      </x:c>
      <x:c r="I354" t="str">
        <x:v>Soft Clay</x:v>
      </x:c>
      <x:c r="J354" t="str">
        <x:v>Medium</x:v>
      </x:c>
      <x:c r="K354" t="n">
        <x:v>9959990</x:v>
      </x:c>
      <x:c r="L354" t="n">
        <x:v>180</x:v>
      </x:c>
      <x:c r="M354" t="n">
        <x:v>202.9</x:v>
      </x:c>
      <x:c r="N354" t="n">
        <x:v>8.2</x:v>
      </x:c>
      <x:c r="O354" t="n">
        <x:v>62</x:v>
      </x:c>
      <x:c r="P354" t="str">
        <x:v>Cloudy</x:v>
      </x:c>
      <x:c r="Q354" t="n">
        <x:v>81</x:v>
      </x:c>
      <x:c r="R354" t="n">
        <x:v>59.9</x:v>
      </x:c>
      <x:c r="S354" t="n">
        <x:v>0.0759</x:v>
      </x:c>
      <x:c r="T354" t="n">
        <x:v>13.2</x:v>
      </x:c>
      <x:c r="U354" t="n">
        <x:v>2945</x:v>
      </x:c>
      <x:c r="V354" t="n">
        <x:v>1691</x:v>
      </x:c>
      <x:c r="W354" t="n">
        <x:v>27.1</x:v>
      </x:c>
    </x:row>
    <x:row r="355">
      <x:c r="A355" t="str">
        <x:v>PJT_354</x:v>
      </x:c>
      <x:c r="B355" t="str">
        <x:v>Humid Subtropical</x:v>
      </x:c>
      <x:c r="C355" t="n">
        <x:v>17000</x:v>
      </x:c>
      <x:c r="D355" t="n">
        <x:v>11</x:v>
      </x:c>
      <x:c r="E355" t="str">
        <x:v>Medium</x:v>
      </x:c>
      <x:c r="F355" t="str">
        <x:v>Commercial</x:v>
      </x:c>
      <x:c r="G355" t="str">
        <x:v>RC Frame</x:v>
      </x:c>
      <x:c r="H355" t="str">
        <x:v>Raft</x:v>
      </x:c>
      <x:c r="I355" t="str">
        <x:v>Mixed</x:v>
      </x:c>
      <x:c r="J355" t="str">
        <x:v>High</x:v>
      </x:c>
      <x:c r="K355" t="n">
        <x:v>37791000</x:v>
      </x:c>
      <x:c r="L355" t="n">
        <x:v>775</x:v>
      </x:c>
      <x:c r="M355" t="n">
        <x:v>289.3</x:v>
      </x:c>
      <x:c r="N355" t="n">
        <x:v>26.2</x:v>
      </x:c>
      <x:c r="O355" t="n">
        <x:v>94</x:v>
      </x:c>
      <x:c r="P355" t="str">
        <x:v>Stormy</x:v>
      </x:c>
      <x:c r="Q355" t="n">
        <x:v>98</x:v>
      </x:c>
      <x:c r="R355" t="n">
        <x:v>79.2</x:v>
      </x:c>
      <x:c r="S355" t="n">
        <x:v>0.0937</x:v>
      </x:c>
      <x:c r="T355" t="n">
        <x:v>16.5</x:v>
      </x:c>
      <x:c r="U355" t="n">
        <x:v>1545.5</x:v>
      </x:c>
      <x:c r="V355" t="n">
        <x:v>2223</x:v>
      </x:c>
      <x:c r="W355" t="n">
        <x:v>45.6</x:v>
      </x:c>
    </x:row>
    <x:row r="356">
      <x:c r="A356" t="str">
        <x:v>PJT_355</x:v>
      </x:c>
      <x:c r="B356" t="str">
        <x:v>Humid Subtropical</x:v>
      </x:c>
      <x:c r="C356" t="n">
        <x:v>23100</x:v>
      </x:c>
      <x:c r="D356" t="n">
        <x:v>13</x:v>
      </x:c>
      <x:c r="E356" t="str">
        <x:v>Medium</x:v>
      </x:c>
      <x:c r="F356" t="str">
        <x:v>Commercial</x:v>
      </x:c>
      <x:c r="G356" t="str">
        <x:v>Steel</x:v>
      </x:c>
      <x:c r="H356" t="str">
        <x:v>Piles</x:v>
      </x:c>
      <x:c r="I356" t="str">
        <x:v>Sand</x:v>
      </x:c>
      <x:c r="J356" t="str">
        <x:v>High</x:v>
      </x:c>
      <x:c r="K356" t="n">
        <x:v>59967600</x:v>
      </x:c>
      <x:c r="L356" t="n">
        <x:v>1079</x:v>
      </x:c>
      <x:c r="M356" t="n">
        <x:v>342.4</x:v>
      </x:c>
      <x:c r="N356" t="n">
        <x:v>27.9</x:v>
      </x:c>
      <x:c r="O356" t="n">
        <x:v>81.4</x:v>
      </x:c>
      <x:c r="P356" t="str">
        <x:v>Rainy</x:v>
      </x:c>
      <x:c r="Q356" t="n">
        <x:v>98</x:v>
      </x:c>
      <x:c r="R356" t="n">
        <x:v>79.1</x:v>
      </x:c>
      <x:c r="S356" t="n">
        <x:v>0.0961</x:v>
      </x:c>
      <x:c r="T356" t="n">
        <x:v>17.4</x:v>
      </x:c>
      <x:c r="U356" t="n">
        <x:v>1776.9</x:v>
      </x:c>
      <x:c r="V356" t="n">
        <x:v>2596</x:v>
      </x:c>
      <x:c r="W356" t="n">
        <x:v>46.7</x:v>
      </x:c>
    </x:row>
    <x:row r="357">
      <x:c r="A357" t="str">
        <x:v>PJT_356</x:v>
      </x:c>
      <x:c r="B357" t="str">
        <x:v>Continental</x:v>
      </x:c>
      <x:c r="C357" t="n">
        <x:v>7940</x:v>
      </x:c>
      <x:c r="D357" t="n">
        <x:v>5</x:v>
      </x:c>
      <x:c r="E357" t="str">
        <x:v>Low</x:v>
      </x:c>
      <x:c r="F357" t="str">
        <x:v>Commercial</x:v>
      </x:c>
      <x:c r="G357" t="str">
        <x:v>RC Frame</x:v>
      </x:c>
      <x:c r="H357" t="str">
        <x:v>Raft</x:v>
      </x:c>
      <x:c r="I357" t="str">
        <x:v>Mixed</x:v>
      </x:c>
      <x:c r="J357" t="str">
        <x:v>Medium</x:v>
      </x:c>
      <x:c r="K357" t="n">
        <x:v>16110260</x:v>
      </x:c>
      <x:c r="L357" t="n">
        <x:v>278</x:v>
      </x:c>
      <x:c r="M357" t="n">
        <x:v>336.6</x:v>
      </x:c>
      <x:c r="N357" t="n">
        <x:v>10.8</x:v>
      </x:c>
      <x:c r="O357" t="n">
        <x:v>61.3</x:v>
      </x:c>
      <x:c r="P357" t="str">
        <x:v>Sunny</x:v>
      </x:c>
      <x:c r="Q357" t="n">
        <x:v>104</x:v>
      </x:c>
      <x:c r="R357" t="n">
        <x:v>63.3</x:v>
      </x:c>
      <x:c r="S357" t="n">
        <x:v>0.0896</x:v>
      </x:c>
      <x:c r="T357" t="n">
        <x:v>15</x:v>
      </x:c>
      <x:c r="U357" t="n">
        <x:v>1588</x:v>
      </x:c>
      <x:c r="V357" t="n">
        <x:v>2029</x:v>
      </x:c>
      <x:c r="W357" t="n">
        <x:v>35</x:v>
      </x:c>
    </x:row>
    <x:row r="358">
      <x:c r="A358" t="str">
        <x:v>PJT_357</x:v>
      </x:c>
      <x:c r="B358" t="str">
        <x:v>Marine</x:v>
      </x:c>
      <x:c r="C358" t="n">
        <x:v>8200</x:v>
      </x:c>
      <x:c r="D358" t="n">
        <x:v>3</x:v>
      </x:c>
      <x:c r="E358" t="str">
        <x:v>Low</x:v>
      </x:c>
      <x:c r="F358" t="str">
        <x:v>School</x:v>
      </x:c>
      <x:c r="G358" t="str">
        <x:v>RC Frame</x:v>
      </x:c>
      <x:c r="H358" t="str">
        <x:v>Raft</x:v>
      </x:c>
      <x:c r="I358" t="str">
        <x:v>Mixed</x:v>
      </x:c>
      <x:c r="J358" t="str">
        <x:v>Low</x:v>
      </x:c>
      <x:c r="K358" t="n">
        <x:v>13038000</x:v>
      </x:c>
      <x:c r="L358" t="n">
        <x:v>221</x:v>
      </x:c>
      <x:c r="M358" t="n">
        <x:v>280.4</x:v>
      </x:c>
      <x:c r="N358" t="n">
        <x:v>21</x:v>
      </x:c>
      <x:c r="O358" t="n">
        <x:v>59.4</x:v>
      </x:c>
      <x:c r="P358" t="str">
        <x:v>Sunny</x:v>
      </x:c>
      <x:c r="Q358" t="n">
        <x:v>66</x:v>
      </x:c>
      <x:c r="R358" t="n">
        <x:v>68.1</x:v>
      </x:c>
      <x:c r="S358" t="n">
        <x:v>0.0746</x:v>
      </x:c>
      <x:c r="T358" t="n">
        <x:v>14.3</x:v>
      </x:c>
      <x:c r="U358" t="n">
        <x:v>2733.3</x:v>
      </x:c>
      <x:c r="V358" t="n">
        <x:v>1590</x:v>
      </x:c>
      <x:c r="W358" t="n">
        <x:v>26.9</x:v>
      </x:c>
    </x:row>
    <x:row r="359">
      <x:c r="A359" t="str">
        <x:v>PJT_358</x:v>
      </x:c>
      <x:c r="B359" t="str">
        <x:v>Continental</x:v>
      </x:c>
      <x:c r="C359" t="n">
        <x:v>14460</x:v>
      </x:c>
      <x:c r="D359" t="n">
        <x:v>17</x:v>
      </x:c>
      <x:c r="E359" t="str">
        <x:v>Medium</x:v>
      </x:c>
      <x:c r="F359" t="str">
        <x:v>Residential</x:v>
      </x:c>
      <x:c r="G359" t="str">
        <x:v>Shear Wall</x:v>
      </x:c>
      <x:c r="H359" t="str">
        <x:v>Piles</x:v>
      </x:c>
      <x:c r="I359" t="str">
        <x:v>Mixed</x:v>
      </x:c>
      <x:c r="J359" t="str">
        <x:v>Medium</x:v>
      </x:c>
      <x:c r="K359" t="n">
        <x:v>24177120</x:v>
      </x:c>
      <x:c r="L359" t="n">
        <x:v>580</x:v>
      </x:c>
      <x:c r="M359" t="n">
        <x:v>403.9</x:v>
      </x:c>
      <x:c r="N359" t="n">
        <x:v>11.1</x:v>
      </x:c>
      <x:c r="O359" t="n">
        <x:v>74.3</x:v>
      </x:c>
      <x:c r="P359" t="str">
        <x:v>Rainy</x:v>
      </x:c>
      <x:c r="Q359" t="n">
        <x:v>96</x:v>
      </x:c>
      <x:c r="R359" t="n">
        <x:v>75.9</x:v>
      </x:c>
      <x:c r="S359" t="n">
        <x:v>0.0855</x:v>
      </x:c>
      <x:c r="T359" t="n">
        <x:v>13.2</x:v>
      </x:c>
      <x:c r="U359" t="n">
        <x:v>850.6</x:v>
      </x:c>
      <x:c r="V359" t="n">
        <x:v>1672</x:v>
      </x:c>
      <x:c r="W359" t="n">
        <x:v>40.1</x:v>
      </x:c>
    </x:row>
    <x:row r="360">
      <x:c r="A360" t="str">
        <x:v>PJT_359</x:v>
      </x:c>
      <x:c r="B360" t="str">
        <x:v>Continental</x:v>
      </x:c>
      <x:c r="C360" t="n">
        <x:v>5530</x:v>
      </x:c>
      <x:c r="D360" t="n">
        <x:v>2</x:v>
      </x:c>
      <x:c r="E360" t="str">
        <x:v>Low</x:v>
      </x:c>
      <x:c r="F360" t="str">
        <x:v>School</x:v>
      </x:c>
      <x:c r="G360" t="str">
        <x:v>Steel</x:v>
      </x:c>
      <x:c r="H360" t="str">
        <x:v>Raft</x:v>
      </x:c>
      <x:c r="I360" t="str">
        <x:v>Sand</x:v>
      </x:c>
      <x:c r="J360" t="str">
        <x:v>High</x:v>
      </x:c>
      <x:c r="K360" t="n">
        <x:v>10324510</x:v>
      </x:c>
      <x:c r="L360" t="n">
        <x:v>180</x:v>
      </x:c>
      <x:c r="M360" t="n">
        <x:v>223.9</x:v>
      </x:c>
      <x:c r="N360" t="n">
        <x:v>19</x:v>
      </x:c>
      <x:c r="O360" t="n">
        <x:v>50.1</x:v>
      </x:c>
      <x:c r="P360" t="str">
        <x:v>Cloudy</x:v>
      </x:c>
      <x:c r="Q360" t="n">
        <x:v>73</x:v>
      </x:c>
      <x:c r="R360" t="n">
        <x:v>67.8</x:v>
      </x:c>
      <x:c r="S360" t="n">
        <x:v>0.0865</x:v>
      </x:c>
      <x:c r="T360" t="n">
        <x:v>13.7</x:v>
      </x:c>
      <x:c r="U360" t="n">
        <x:v>2765</x:v>
      </x:c>
      <x:c r="V360" t="n">
        <x:v>1867</x:v>
      </x:c>
      <x:c r="W360" t="n">
        <x:v>32.1</x:v>
      </x:c>
    </x:row>
    <x:row r="361">
      <x:c r="A361" t="str">
        <x:v>PJT_360</x:v>
      </x:c>
      <x:c r="B361" t="str">
        <x:v>Humid Subtropical</x:v>
      </x:c>
      <x:c r="C361" t="n">
        <x:v>24560</x:v>
      </x:c>
      <x:c r="D361" t="n">
        <x:v>15</x:v>
      </x:c>
      <x:c r="E361" t="str">
        <x:v>High</x:v>
      </x:c>
      <x:c r="F361" t="str">
        <x:v>Hospital</x:v>
      </x:c>
      <x:c r="G361" t="str">
        <x:v>Shear Wall</x:v>
      </x:c>
      <x:c r="H361" t="str">
        <x:v>Piles</x:v>
      </x:c>
      <x:c r="I361" t="str">
        <x:v>Soft Clay</x:v>
      </x:c>
      <x:c r="J361" t="str">
        <x:v>Medium</x:v>
      </x:c>
      <x:c r="K361" t="n">
        <x:v>84240800</x:v>
      </x:c>
      <x:c r="L361" t="n">
        <x:v>1370</x:v>
      </x:c>
      <x:c r="M361" t="n">
        <x:v>207.2</x:v>
      </x:c>
      <x:c r="N361" t="n">
        <x:v>31</x:v>
      </x:c>
      <x:c r="O361" t="n">
        <x:v>63.3</x:v>
      </x:c>
      <x:c r="P361" t="str">
        <x:v>Sunny</x:v>
      </x:c>
      <x:c r="Q361" t="n">
        <x:v>86</x:v>
      </x:c>
      <x:c r="R361" t="n">
        <x:v>85.3</x:v>
      </x:c>
      <x:c r="S361" t="n">
        <x:v>0.1109</x:v>
      </x:c>
      <x:c r="T361" t="n">
        <x:v>23.3</x:v>
      </x:c>
      <x:c r="U361" t="n">
        <x:v>1637.3</x:v>
      </x:c>
      <x:c r="V361" t="n">
        <x:v>3430</x:v>
      </x:c>
      <x:c r="W361" t="n">
        <x:v>55.8</x:v>
      </x:c>
    </x:row>
    <x:row r="362">
      <x:c r="A362" t="str">
        <x:v>PJT_361</x:v>
      </x:c>
      <x:c r="B362" t="str">
        <x:v>Continental</x:v>
      </x:c>
      <x:c r="C362" t="n">
        <x:v>11000</x:v>
      </x:c>
      <x:c r="D362" t="n">
        <x:v>6</x:v>
      </x:c>
      <x:c r="E362" t="str">
        <x:v>Low</x:v>
      </x:c>
      <x:c r="F362" t="str">
        <x:v>Commercial</x:v>
      </x:c>
      <x:c r="G362" t="str">
        <x:v>RC Frame</x:v>
      </x:c>
      <x:c r="H362" t="str">
        <x:v>Raft</x:v>
      </x:c>
      <x:c r="I362" t="str">
        <x:v>Mixed</x:v>
      </x:c>
      <x:c r="J362" t="str">
        <x:v>Low</x:v>
      </x:c>
      <x:c r="K362" t="n">
        <x:v>21494000</x:v>
      </x:c>
      <x:c r="L362" t="n">
        <x:v>429</x:v>
      </x:c>
      <x:c r="M362" t="n">
        <x:v>376.1</x:v>
      </x:c>
      <x:c r="N362" t="n">
        <x:v>9.6</x:v>
      </x:c>
      <x:c r="O362" t="n">
        <x:v>87</x:v>
      </x:c>
      <x:c r="P362" t="str">
        <x:v>Rainy</x:v>
      </x:c>
      <x:c r="Q362" t="n">
        <x:v>82</x:v>
      </x:c>
      <x:c r="R362" t="n">
        <x:v>72.4</x:v>
      </x:c>
      <x:c r="S362" t="n">
        <x:v>0.0849</x:v>
      </x:c>
      <x:c r="T362" t="n">
        <x:v>15.3</x:v>
      </x:c>
      <x:c r="U362" t="n">
        <x:v>1833.3</x:v>
      </x:c>
      <x:c r="V362" t="n">
        <x:v>1954</x:v>
      </x:c>
      <x:c r="W362" t="n">
        <x:v>39</x:v>
      </x:c>
    </x:row>
    <x:row r="363">
      <x:c r="A363" t="str">
        <x:v>PJT_362</x:v>
      </x:c>
      <x:c r="B363" t="str">
        <x:v>Continental</x:v>
      </x:c>
      <x:c r="C363" t="n">
        <x:v>17400</x:v>
      </x:c>
      <x:c r="D363" t="n">
        <x:v>12</x:v>
      </x:c>
      <x:c r="E363" t="str">
        <x:v>Medium</x:v>
      </x:c>
      <x:c r="F363" t="str">
        <x:v>Commercial</x:v>
      </x:c>
      <x:c r="G363" t="str">
        <x:v>Steel</x:v>
      </x:c>
      <x:c r="H363" t="str">
        <x:v>Piles</x:v>
      </x:c>
      <x:c r="I363" t="str">
        <x:v>Soft Clay</x:v>
      </x:c>
      <x:c r="J363" t="str">
        <x:v>Low</x:v>
      </x:c>
      <x:c r="K363" t="n">
        <x:v>39271800</x:v>
      </x:c>
      <x:c r="L363" t="n">
        <x:v>746</x:v>
      </x:c>
      <x:c r="M363" t="n">
        <x:v>171.6</x:v>
      </x:c>
      <x:c r="N363" t="n">
        <x:v>27.2</x:v>
      </x:c>
      <x:c r="O363" t="n">
        <x:v>49.1</x:v>
      </x:c>
      <x:c r="P363" t="str">
        <x:v>Sunny</x:v>
      </x:c>
      <x:c r="Q363" t="n">
        <x:v>98</x:v>
      </x:c>
      <x:c r="R363" t="n">
        <x:v>79</x:v>
      </x:c>
      <x:c r="S363" t="n">
        <x:v>0.0999</x:v>
      </x:c>
      <x:c r="T363" t="n">
        <x:v>17.9</x:v>
      </x:c>
      <x:c r="U363" t="n">
        <x:v>1450</x:v>
      </x:c>
      <x:c r="V363" t="n">
        <x:v>2257</x:v>
      </x:c>
      <x:c r="W363" t="n">
        <x:v>42.9</x:v>
      </x:c>
    </x:row>
    <x:row r="364">
      <x:c r="A364" t="str">
        <x:v>PJT_363</x:v>
      </x:c>
      <x:c r="B364" t="str">
        <x:v>Mediterranean</x:v>
      </x:c>
      <x:c r="C364" t="n">
        <x:v>15570</x:v>
      </x:c>
      <x:c r="D364" t="n">
        <x:v>10</x:v>
      </x:c>
      <x:c r="E364" t="str">
        <x:v>Medium</x:v>
      </x:c>
      <x:c r="F364" t="str">
        <x:v>Commercial</x:v>
      </x:c>
      <x:c r="G364" t="str">
        <x:v>RC Frame</x:v>
      </x:c>
      <x:c r="H364" t="str">
        <x:v>Raft</x:v>
      </x:c>
      <x:c r="I364" t="str">
        <x:v>Mixed</x:v>
      </x:c>
      <x:c r="J364" t="str">
        <x:v>Medium</x:v>
      </x:c>
      <x:c r="K364" t="n">
        <x:v>34036020</x:v>
      </x:c>
      <x:c r="L364" t="n">
        <x:v>679</x:v>
      </x:c>
      <x:c r="M364" t="n">
        <x:v>338.3</x:v>
      </x:c>
      <x:c r="N364" t="n">
        <x:v>9.9</x:v>
      </x:c>
      <x:c r="O364" t="n">
        <x:v>78.4</x:v>
      </x:c>
      <x:c r="P364" t="str">
        <x:v>Rainy</x:v>
      </x:c>
      <x:c r="Q364" t="n">
        <x:v>89</x:v>
      </x:c>
      <x:c r="R364" t="n">
        <x:v>76.6</x:v>
      </x:c>
      <x:c r="S364" t="n">
        <x:v>0.0915</x:v>
      </x:c>
      <x:c r="T364" t="n">
        <x:v>17.2</x:v>
      </x:c>
      <x:c r="U364" t="n">
        <x:v>1557</x:v>
      </x:c>
      <x:c r="V364" t="n">
        <x:v>2186</x:v>
      </x:c>
      <x:c r="W364" t="n">
        <x:v>43.6</x:v>
      </x:c>
    </x:row>
    <x:row r="365">
      <x:c r="A365" t="str">
        <x:v>PJT_364</x:v>
      </x:c>
      <x:c r="B365" t="str">
        <x:v>Humid Subtropical</x:v>
      </x:c>
      <x:c r="C365" t="n">
        <x:v>30500</x:v>
      </x:c>
      <x:c r="D365" t="n">
        <x:v>16</x:v>
      </x:c>
      <x:c r="E365" t="str">
        <x:v>High</x:v>
      </x:c>
      <x:c r="F365" t="str">
        <x:v>Mixed-use</x:v>
      </x:c>
      <x:c r="G365" t="str">
        <x:v>Steel</x:v>
      </x:c>
      <x:c r="H365" t="str">
        <x:v>Piles</x:v>
      </x:c>
      <x:c r="I365" t="str">
        <x:v>Mixed</x:v>
      </x:c>
      <x:c r="J365" t="str">
        <x:v>Low</x:v>
      </x:c>
      <x:c r="K365" t="n">
        <x:v>89121000</x:v>
      </x:c>
      <x:c r="L365" t="n">
        <x:v>1659</x:v>
      </x:c>
      <x:c r="M365" t="n">
        <x:v>314.7</x:v>
      </x:c>
      <x:c r="N365" t="n">
        <x:v>33.7</x:v>
      </x:c>
      <x:c r="O365" t="n">
        <x:v>66.1</x:v>
      </x:c>
      <x:c r="P365" t="str">
        <x:v>Sunny</x:v>
      </x:c>
      <x:c r="Q365" t="n">
        <x:v>96</x:v>
      </x:c>
      <x:c r="R365" t="n">
        <x:v>83.8</x:v>
      </x:c>
      <x:c r="S365" t="n">
        <x:v>0.11</x:v>
      </x:c>
      <x:c r="T365" t="n">
        <x:v>21.3</x:v>
      </x:c>
      <x:c r="U365" t="n">
        <x:v>1906.2</x:v>
      </x:c>
      <x:c r="V365" t="n">
        <x:v>2922</x:v>
      </x:c>
      <x:c r="W365" t="n">
        <x:v>54.4</x:v>
      </x:c>
    </x:row>
    <x:row r="366">
      <x:c r="A366" t="str">
        <x:v>PJT_365</x:v>
      </x:c>
      <x:c r="B366" t="str">
        <x:v>Mediterranean</x:v>
      </x:c>
      <x:c r="C366" t="n">
        <x:v>12630</x:v>
      </x:c>
      <x:c r="D366" t="n">
        <x:v>7</x:v>
      </x:c>
      <x:c r="E366" t="str">
        <x:v>Medium</x:v>
      </x:c>
      <x:c r="F366" t="str">
        <x:v>Commercial</x:v>
      </x:c>
      <x:c r="G366" t="str">
        <x:v>RC Frame</x:v>
      </x:c>
      <x:c r="H366" t="str">
        <x:v>Raft</x:v>
      </x:c>
      <x:c r="I366" t="str">
        <x:v>Mixed</x:v>
      </x:c>
      <x:c r="J366" t="str">
        <x:v>High</x:v>
      </x:c>
      <x:c r="K366" t="n">
        <x:v>29794170</x:v>
      </x:c>
      <x:c r="L366" t="n">
        <x:v>503</x:v>
      </x:c>
      <x:c r="M366" t="n">
        <x:v>327.8</x:v>
      </x:c>
      <x:c r="N366" t="n">
        <x:v>27.2</x:v>
      </x:c>
      <x:c r="O366" t="n">
        <x:v>48.2</x:v>
      </x:c>
      <x:c r="P366" t="str">
        <x:v>Sunny</x:v>
      </x:c>
      <x:c r="Q366" t="n">
        <x:v>63</x:v>
      </x:c>
      <x:c r="R366" t="n">
        <x:v>71.8</x:v>
      </x:c>
      <x:c r="S366" t="n">
        <x:v>0.0947</x:v>
      </x:c>
      <x:c r="T366" t="n">
        <x:v>16.4</x:v>
      </x:c>
      <x:c r="U366" t="n">
        <x:v>1804.3</x:v>
      </x:c>
      <x:c r="V366" t="n">
        <x:v>2359</x:v>
      </x:c>
      <x:c r="W366" t="n">
        <x:v>39.8</x:v>
      </x:c>
    </x:row>
    <x:row r="367">
      <x:c r="A367" t="str">
        <x:v>PJT_366</x:v>
      </x:c>
      <x:c r="B367" t="str">
        <x:v>Continental</x:v>
      </x:c>
      <x:c r="C367" t="n">
        <x:v>14120</x:v>
      </x:c>
      <x:c r="D367" t="n">
        <x:v>18</x:v>
      </x:c>
      <x:c r="E367" t="str">
        <x:v>Medium</x:v>
      </x:c>
      <x:c r="F367" t="str">
        <x:v>Residential</x:v>
      </x:c>
      <x:c r="G367" t="str">
        <x:v>Shear Wall</x:v>
      </x:c>
      <x:c r="H367" t="str">
        <x:v>Piles</x:v>
      </x:c>
      <x:c r="I367" t="str">
        <x:v>Sand</x:v>
      </x:c>
      <x:c r="J367" t="str">
        <x:v>Medium</x:v>
      </x:c>
      <x:c r="K367" t="n">
        <x:v>22479040</x:v>
      </x:c>
      <x:c r="L367" t="n">
        <x:v>545</x:v>
      </x:c>
      <x:c r="M367" t="n">
        <x:v>265.5</x:v>
      </x:c>
      <x:c r="N367" t="n">
        <x:v>17.3</x:v>
      </x:c>
      <x:c r="O367" t="n">
        <x:v>57.4</x:v>
      </x:c>
      <x:c r="P367" t="str">
        <x:v>Cloudy</x:v>
      </x:c>
      <x:c r="Q367" t="n">
        <x:v>56</x:v>
      </x:c>
      <x:c r="R367" t="n">
        <x:v>74.5</x:v>
      </x:c>
      <x:c r="S367" t="n">
        <x:v>0.0821</x:v>
      </x:c>
      <x:c r="T367" t="n">
        <x:v>13.2</x:v>
      </x:c>
      <x:c r="U367" t="n">
        <x:v>784.4</x:v>
      </x:c>
      <x:c r="V367" t="n">
        <x:v>1592</x:v>
      </x:c>
      <x:c r="W367" t="n">
        <x:v>38.6</x:v>
      </x:c>
    </x:row>
    <x:row r="368">
      <x:c r="A368" t="str">
        <x:v>PJT_367</x:v>
      </x:c>
      <x:c r="B368" t="str">
        <x:v>Mediterranean</x:v>
      </x:c>
      <x:c r="C368" t="n">
        <x:v>26280</x:v>
      </x:c>
      <x:c r="D368" t="n">
        <x:v>27</x:v>
      </x:c>
      <x:c r="E368" t="str">
        <x:v>High</x:v>
      </x:c>
      <x:c r="F368" t="str">
        <x:v>Mixed-use</x:v>
      </x:c>
      <x:c r="G368" t="str">
        <x:v>Steel</x:v>
      </x:c>
      <x:c r="H368" t="str">
        <x:v>Piles</x:v>
      </x:c>
      <x:c r="I368" t="str">
        <x:v>Mixed</x:v>
      </x:c>
      <x:c r="J368" t="str">
        <x:v>High</x:v>
      </x:c>
      <x:c r="K368" t="n">
        <x:v>76816440</x:v>
      </x:c>
      <x:c r="L368" t="n">
        <x:v>1438</x:v>
      </x:c>
      <x:c r="M368" t="n">
        <x:v>398.4</x:v>
      </x:c>
      <x:c r="N368" t="n">
        <x:v>24.1</x:v>
      </x:c>
      <x:c r="O368" t="n">
        <x:v>60.5</x:v>
      </x:c>
      <x:c r="P368" t="str">
        <x:v>Sunny</x:v>
      </x:c>
      <x:c r="Q368" t="n">
        <x:v>78</x:v>
      </x:c>
      <x:c r="R368" t="n">
        <x:v>86.1</x:v>
      </x:c>
      <x:c r="S368" t="n">
        <x:v>0.106</x:v>
      </x:c>
      <x:c r="T368" t="n">
        <x:v>21.2</x:v>
      </x:c>
      <x:c r="U368" t="n">
        <x:v>973.3</x:v>
      </x:c>
      <x:c r="V368" t="n">
        <x:v>2923</x:v>
      </x:c>
      <x:c r="W368" t="n">
        <x:v>54.7</x:v>
      </x:c>
    </x:row>
    <x:row r="369">
      <x:c r="A369" t="str">
        <x:v>PJT_368</x:v>
      </x:c>
      <x:c r="B369" t="str">
        <x:v>Humid Subtropical</x:v>
      </x:c>
      <x:c r="C369" t="n">
        <x:v>18620</x:v>
      </x:c>
      <x:c r="D369" t="n">
        <x:v>14</x:v>
      </x:c>
      <x:c r="E369" t="str">
        <x:v>Medium</x:v>
      </x:c>
      <x:c r="F369" t="str">
        <x:v>Mixed-use</x:v>
      </x:c>
      <x:c r="G369" t="str">
        <x:v>Steel</x:v>
      </x:c>
      <x:c r="H369" t="str">
        <x:v>Raft</x:v>
      </x:c>
      <x:c r="I369" t="str">
        <x:v>Rock</x:v>
      </x:c>
      <x:c r="J369" t="str">
        <x:v>Medium</x:v>
      </x:c>
      <x:c r="K369" t="n">
        <x:v>46996880</x:v>
      </x:c>
      <x:c r="L369" t="n">
        <x:v>933</x:v>
      </x:c>
      <x:c r="M369" t="n">
        <x:v>668</x:v>
      </x:c>
      <x:c r="N369" t="n">
        <x:v>21.9</x:v>
      </x:c>
      <x:c r="O369" t="n">
        <x:v>90.4</x:v>
      </x:c>
      <x:c r="P369" t="str">
        <x:v>Rainy</x:v>
      </x:c>
      <x:c r="Q369" t="n">
        <x:v>99</x:v>
      </x:c>
      <x:c r="R369" t="n">
        <x:v>82.1</x:v>
      </x:c>
      <x:c r="S369" t="n">
        <x:v>0.1008</x:v>
      </x:c>
      <x:c r="T369" t="n">
        <x:v>18.9</x:v>
      </x:c>
      <x:c r="U369" t="n">
        <x:v>1330</x:v>
      </x:c>
      <x:c r="V369" t="n">
        <x:v>2524</x:v>
      </x:c>
      <x:c r="W369" t="n">
        <x:v>50.1</x:v>
      </x:c>
    </x:row>
    <x:row r="370">
      <x:c r="A370" t="str">
        <x:v>PJT_369</x:v>
      </x:c>
      <x:c r="B370" t="str">
        <x:v>Marine</x:v>
      </x:c>
      <x:c r="C370" t="n">
        <x:v>14160</x:v>
      </x:c>
      <x:c r="D370" t="n">
        <x:v>22</x:v>
      </x:c>
      <x:c r="E370" t="str">
        <x:v>Medium</x:v>
      </x:c>
      <x:c r="F370" t="str">
        <x:v>Residential</x:v>
      </x:c>
      <x:c r="G370" t="str">
        <x:v>Shear Wall</x:v>
      </x:c>
      <x:c r="H370" t="str">
        <x:v>Piles</x:v>
      </x:c>
      <x:c r="I370" t="str">
        <x:v>Sand</x:v>
      </x:c>
      <x:c r="J370" t="str">
        <x:v>Medium</x:v>
      </x:c>
      <x:c r="K370" t="n">
        <x:v>25077360</x:v>
      </x:c>
      <x:c r="L370" t="n">
        <x:v>623</x:v>
      </x:c>
      <x:c r="M370" t="n">
        <x:v>272.6</x:v>
      </x:c>
      <x:c r="N370" t="n">
        <x:v>12.7</x:v>
      </x:c>
      <x:c r="O370" t="n">
        <x:v>81</x:v>
      </x:c>
      <x:c r="P370" t="str">
        <x:v>Stormy</x:v>
      </x:c>
      <x:c r="Q370" t="n">
        <x:v>73</x:v>
      </x:c>
      <x:c r="R370" t="n">
        <x:v>78.3</x:v>
      </x:c>
      <x:c r="S370" t="n">
        <x:v>0.0849</x:v>
      </x:c>
      <x:c r="T370" t="n">
        <x:v>13.9</x:v>
      </x:c>
      <x:c r="U370" t="n">
        <x:v>643.6</x:v>
      </x:c>
      <x:c r="V370" t="n">
        <x:v>1771</x:v>
      </x:c>
      <x:c r="W370" t="n">
        <x:v>44</x:v>
      </x:c>
    </x:row>
    <x:row r="371">
      <x:c r="A371" t="str">
        <x:v>PJT_370</x:v>
      </x:c>
      <x:c r="B371" t="str">
        <x:v>Continental</x:v>
      </x:c>
      <x:c r="C371" t="n">
        <x:v>20440</x:v>
      </x:c>
      <x:c r="D371" t="n">
        <x:v>25</x:v>
      </x:c>
      <x:c r="E371" t="str">
        <x:v>Medium</x:v>
      </x:c>
      <x:c r="F371" t="str">
        <x:v>Mixed-use</x:v>
      </x:c>
      <x:c r="G371" t="str">
        <x:v>Steel</x:v>
      </x:c>
      <x:c r="H371" t="str">
        <x:v>Piles</x:v>
      </x:c>
      <x:c r="I371" t="str">
        <x:v>Rock</x:v>
      </x:c>
      <x:c r="J371" t="str">
        <x:v>Medium</x:v>
      </x:c>
      <x:c r="K371" t="n">
        <x:v>54860960</x:v>
      </x:c>
      <x:c r="L371" t="n">
        <x:v>1128</x:v>
      </x:c>
      <x:c r="M371" t="n">
        <x:v>708.2</x:v>
      </x:c>
      <x:c r="N371" t="n">
        <x:v>-9.8</x:v>
      </x:c>
      <x:c r="O371" t="n">
        <x:v>82.3</x:v>
      </x:c>
      <x:c r="P371" t="str">
        <x:v>Snowy</x:v>
      </x:c>
      <x:c r="Q371" t="n">
        <x:v>89</x:v>
      </x:c>
      <x:c r="R371" t="n">
        <x:v>84.6</x:v>
      </x:c>
      <x:c r="S371" t="n">
        <x:v>0.0991</x:v>
      </x:c>
      <x:c r="T371" t="n">
        <x:v>18.7</x:v>
      </x:c>
      <x:c r="U371" t="n">
        <x:v>817.6</x:v>
      </x:c>
      <x:c r="V371" t="n">
        <x:v>2684</x:v>
      </x:c>
      <x:c r="W371" t="n">
        <x:v>55.2</x:v>
      </x:c>
    </x:row>
    <x:row r="372">
      <x:c r="A372" t="str">
        <x:v>PJT_371</x:v>
      </x:c>
      <x:c r="B372" t="str">
        <x:v>Continental</x:v>
      </x:c>
      <x:c r="C372" t="n">
        <x:v>14430</x:v>
      </x:c>
      <x:c r="D372" t="n">
        <x:v>13</x:v>
      </x:c>
      <x:c r="E372" t="str">
        <x:v>Medium</x:v>
      </x:c>
      <x:c r="F372" t="str">
        <x:v>Commercial</x:v>
      </x:c>
      <x:c r="G372" t="str">
        <x:v>Steel</x:v>
      </x:c>
      <x:c r="H372" t="str">
        <x:v>Piles</x:v>
      </x:c>
      <x:c r="I372" t="str">
        <x:v>Soft Clay</x:v>
      </x:c>
      <x:c r="J372" t="str">
        <x:v>Medium</x:v>
      </x:c>
      <x:c r="K372" t="n">
        <x:v>34906170</x:v>
      </x:c>
      <x:c r="L372" t="n">
        <x:v>657</x:v>
      </x:c>
      <x:c r="M372" t="n">
        <x:v>214</x:v>
      </x:c>
      <x:c r="N372" t="n">
        <x:v>8.3</x:v>
      </x:c>
      <x:c r="O372" t="n">
        <x:v>53.3</x:v>
      </x:c>
      <x:c r="P372" t="str">
        <x:v>Sunny</x:v>
      </x:c>
      <x:c r="Q372" t="n">
        <x:v>104</x:v>
      </x:c>
      <x:c r="R372" t="n">
        <x:v>82.7</x:v>
      </x:c>
      <x:c r="S372" t="n">
        <x:v>0.0935</x:v>
      </x:c>
      <x:c r="T372" t="n">
        <x:v>17.6</x:v>
      </x:c>
      <x:c r="U372" t="n">
        <x:v>1110</x:v>
      </x:c>
      <x:c r="V372" t="n">
        <x:v>2419</x:v>
      </x:c>
      <x:c r="W372" t="n">
        <x:v>45.5</x:v>
      </x:c>
    </x:row>
    <x:row r="373">
      <x:c r="A373" t="str">
        <x:v>PJT_372</x:v>
      </x:c>
      <x:c r="B373" t="str">
        <x:v>Continental</x:v>
      </x:c>
      <x:c r="C373" t="n">
        <x:v>16880</x:v>
      </x:c>
      <x:c r="D373" t="n">
        <x:v>8</x:v>
      </x:c>
      <x:c r="E373" t="str">
        <x:v>Medium</x:v>
      </x:c>
      <x:c r="F373" t="str">
        <x:v>Commercial</x:v>
      </x:c>
      <x:c r="G373" t="str">
        <x:v>Steel</x:v>
      </x:c>
      <x:c r="H373" t="str">
        <x:v>Raft</x:v>
      </x:c>
      <x:c r="I373" t="str">
        <x:v>Sand</x:v>
      </x:c>
      <x:c r="J373" t="str">
        <x:v>Medium</x:v>
      </x:c>
      <x:c r="K373" t="n">
        <x:v>38503280</x:v>
      </x:c>
      <x:c r="L373" t="n">
        <x:v>756</x:v>
      </x:c>
      <x:c r="M373" t="n">
        <x:v>246.6</x:v>
      </x:c>
      <x:c r="N373" t="n">
        <x:v>-0.2</x:v>
      </x:c>
      <x:c r="O373" t="n">
        <x:v>80.4</x:v>
      </x:c>
      <x:c r="P373" t="str">
        <x:v>Snowy</x:v>
      </x:c>
      <x:c r="Q373" t="n">
        <x:v>69</x:v>
      </x:c>
      <x:c r="R373" t="n">
        <x:v>80.5</x:v>
      </x:c>
      <x:c r="S373" t="n">
        <x:v>0.0996</x:v>
      </x:c>
      <x:c r="T373" t="n">
        <x:v>17.2</x:v>
      </x:c>
      <x:c r="U373" t="n">
        <x:v>2110</x:v>
      </x:c>
      <x:c r="V373" t="n">
        <x:v>2281</x:v>
      </x:c>
      <x:c r="W373" t="n">
        <x:v>44.8</x:v>
      </x:c>
    </x:row>
    <x:row r="374">
      <x:c r="A374" t="str">
        <x:v>PJT_373</x:v>
      </x:c>
      <x:c r="B374" t="str">
        <x:v>Continental</x:v>
      </x:c>
      <x:c r="C374" t="n">
        <x:v>10340</x:v>
      </x:c>
      <x:c r="D374" t="n">
        <x:v>8</x:v>
      </x:c>
      <x:c r="E374" t="str">
        <x:v>Medium</x:v>
      </x:c>
      <x:c r="F374" t="str">
        <x:v>Commercial</x:v>
      </x:c>
      <x:c r="G374" t="str">
        <x:v>RC Frame</x:v>
      </x:c>
      <x:c r="H374" t="str">
        <x:v>Piles</x:v>
      </x:c>
      <x:c r="I374" t="str">
        <x:v>Soft Clay</x:v>
      </x:c>
      <x:c r="J374" t="str">
        <x:v>Low</x:v>
      </x:c>
      <x:c r="K374" t="n">
        <x:v>22768680</x:v>
      </x:c>
      <x:c r="L374" t="n">
        <x:v>412</x:v>
      </x:c>
      <x:c r="M374" t="n">
        <x:v>187</x:v>
      </x:c>
      <x:c r="N374" t="n">
        <x:v>8.4</x:v>
      </x:c>
      <x:c r="O374" t="n">
        <x:v>45.6</x:v>
      </x:c>
      <x:c r="P374" t="str">
        <x:v>Sunny</x:v>
      </x:c>
      <x:c r="Q374" t="n">
        <x:v>77</x:v>
      </x:c>
      <x:c r="R374" t="n">
        <x:v>70.9</x:v>
      </x:c>
      <x:c r="S374" t="n">
        <x:v>0.0927</x:v>
      </x:c>
      <x:c r="T374" t="n">
        <x:v>15.9</x:v>
      </x:c>
      <x:c r="U374" t="n">
        <x:v>1292.5</x:v>
      </x:c>
      <x:c r="V374" t="n">
        <x:v>2202</x:v>
      </x:c>
      <x:c r="W374" t="n">
        <x:v>39.8</x:v>
      </x:c>
    </x:row>
    <x:row r="375">
      <x:c r="A375" t="str">
        <x:v>PJT_374</x:v>
      </x:c>
      <x:c r="B375" t="str">
        <x:v>Humid Subtropical</x:v>
      </x:c>
      <x:c r="C375" t="n">
        <x:v>22830</x:v>
      </x:c>
      <x:c r="D375" t="n">
        <x:v>14</x:v>
      </x:c>
      <x:c r="E375" t="str">
        <x:v>Medium</x:v>
      </x:c>
      <x:c r="F375" t="str">
        <x:v>Commercial</x:v>
      </x:c>
      <x:c r="G375" t="str">
        <x:v>Steel</x:v>
      </x:c>
      <x:c r="H375" t="str">
        <x:v>Piles</x:v>
      </x:c>
      <x:c r="I375" t="str">
        <x:v>Sand</x:v>
      </x:c>
      <x:c r="J375" t="str">
        <x:v>Medium</x:v>
      </x:c>
      <x:c r="K375" t="n">
        <x:v>55248600</x:v>
      </x:c>
      <x:c r="L375" t="n">
        <x:v>1030</x:v>
      </x:c>
      <x:c r="M375" t="n">
        <x:v>246.2</x:v>
      </x:c>
      <x:c r="N375" t="n">
        <x:v>34.1</x:v>
      </x:c>
      <x:c r="O375" t="n">
        <x:v>55.5</x:v>
      </x:c>
      <x:c r="P375" t="str">
        <x:v>Sunny</x:v>
      </x:c>
      <x:c r="Q375" t="n">
        <x:v>106</x:v>
      </x:c>
      <x:c r="R375" t="n">
        <x:v>77.5</x:v>
      </x:c>
      <x:c r="S375" t="n">
        <x:v>0.0986</x:v>
      </x:c>
      <x:c r="T375" t="n">
        <x:v>17.5</x:v>
      </x:c>
      <x:c r="U375" t="n">
        <x:v>1630.7</x:v>
      </x:c>
      <x:c r="V375" t="n">
        <x:v>2420</x:v>
      </x:c>
      <x:c r="W375" t="n">
        <x:v>45.1</x:v>
      </x:c>
    </x:row>
    <x:row r="376">
      <x:c r="A376" t="str">
        <x:v>PJT_375</x:v>
      </x:c>
      <x:c r="B376" t="str">
        <x:v>Humid Subtropical</x:v>
      </x:c>
      <x:c r="C376" t="n">
        <x:v>13760</x:v>
      </x:c>
      <x:c r="D376" t="n">
        <x:v>13</x:v>
      </x:c>
      <x:c r="E376" t="str">
        <x:v>Medium</x:v>
      </x:c>
      <x:c r="F376" t="str">
        <x:v>Residential</x:v>
      </x:c>
      <x:c r="G376" t="str">
        <x:v>Shear Wall</x:v>
      </x:c>
      <x:c r="H376" t="str">
        <x:v>Piles</x:v>
      </x:c>
      <x:c r="I376" t="str">
        <x:v>Soft Clay</x:v>
      </x:c>
      <x:c r="J376" t="str">
        <x:v>High</x:v>
      </x:c>
      <x:c r="K376" t="n">
        <x:v>23763520</x:v>
      </x:c>
      <x:c r="L376" t="n">
        <x:v>571</x:v>
      </x:c>
      <x:c r="M376" t="n">
        <x:v>168</x:v>
      </x:c>
      <x:c r="N376" t="n">
        <x:v>27.6</x:v>
      </x:c>
      <x:c r="O376" t="n">
        <x:v>78.2</x:v>
      </x:c>
      <x:c r="P376" t="str">
        <x:v>Rainy</x:v>
      </x:c>
      <x:c r="Q376" t="n">
        <x:v>101</x:v>
      </x:c>
      <x:c r="R376" t="n">
        <x:v>73</x:v>
      </x:c>
      <x:c r="S376" t="n">
        <x:v>0.0859</x:v>
      </x:c>
      <x:c r="T376" t="n">
        <x:v>14.4</x:v>
      </x:c>
      <x:c r="U376" t="n">
        <x:v>1058.5</x:v>
      </x:c>
      <x:c r="V376" t="n">
        <x:v>1727</x:v>
      </x:c>
      <x:c r="W376" t="n">
        <x:v>41.5</x:v>
      </x:c>
    </x:row>
    <x:row r="377">
      <x:c r="A377" t="str">
        <x:v>PJT_376</x:v>
      </x:c>
      <x:c r="B377" t="str">
        <x:v>Continental</x:v>
      </x:c>
      <x:c r="C377" t="n">
        <x:v>8760</x:v>
      </x:c>
      <x:c r="D377" t="n">
        <x:v>3</x:v>
      </x:c>
      <x:c r="E377" t="str">
        <x:v>Low</x:v>
      </x:c>
      <x:c r="F377" t="str">
        <x:v>School</x:v>
      </x:c>
      <x:c r="G377" t="str">
        <x:v>RC Frame</x:v>
      </x:c>
      <x:c r="H377" t="str">
        <x:v>Raft</x:v>
      </x:c>
      <x:c r="I377" t="str">
        <x:v>Sand</x:v>
      </x:c>
      <x:c r="J377" t="str">
        <x:v>Medium</x:v>
      </x:c>
      <x:c r="K377" t="n">
        <x:v>15067200</x:v>
      </x:c>
      <x:c r="L377" t="n">
        <x:v>233</x:v>
      </x:c>
      <x:c r="M377" t="n">
        <x:v>300.8</x:v>
      </x:c>
      <x:c r="N377" t="n">
        <x:v>17.9</x:v>
      </x:c>
      <x:c r="O377" t="n">
        <x:v>47.7</x:v>
      </x:c>
      <x:c r="P377" t="str">
        <x:v>Sunny</x:v>
      </x:c>
      <x:c r="Q377" t="n">
        <x:v>69</x:v>
      </x:c>
      <x:c r="R377" t="n">
        <x:v>62.2</x:v>
      </x:c>
      <x:c r="S377" t="n">
        <x:v>0.0793</x:v>
      </x:c>
      <x:c r="T377" t="n">
        <x:v>14.1</x:v>
      </x:c>
      <x:c r="U377" t="n">
        <x:v>2920</x:v>
      </x:c>
      <x:c r="V377" t="n">
        <x:v>1720</x:v>
      </x:c>
      <x:c r="W377" t="n">
        <x:v>26.6</x:v>
      </x:c>
    </x:row>
    <x:row r="378">
      <x:c r="A378" t="str">
        <x:v>PJT_377</x:v>
      </x:c>
      <x:c r="B378" t="str">
        <x:v>Marine</x:v>
      </x:c>
      <x:c r="C378" t="n">
        <x:v>23030</x:v>
      </x:c>
      <x:c r="D378" t="n">
        <x:v>17</x:v>
      </x:c>
      <x:c r="E378" t="str">
        <x:v>Medium</x:v>
      </x:c>
      <x:c r="F378" t="str">
        <x:v>Commercial</x:v>
      </x:c>
      <x:c r="G378" t="str">
        <x:v>Steel</x:v>
      </x:c>
      <x:c r="H378" t="str">
        <x:v>Piles</x:v>
      </x:c>
      <x:c r="I378" t="str">
        <x:v>Mixed</x:v>
      </x:c>
      <x:c r="J378" t="str">
        <x:v>Low</x:v>
      </x:c>
      <x:c r="K378" t="n">
        <x:v>57759240</x:v>
      </x:c>
      <x:c r="L378" t="n">
        <x:v>1135</x:v>
      </x:c>
      <x:c r="M378" t="n">
        <x:v>359.7</x:v>
      </x:c>
      <x:c r="N378" t="n">
        <x:v>6.1</x:v>
      </x:c>
      <x:c r="O378" t="n">
        <x:v>79.5</x:v>
      </x:c>
      <x:c r="P378" t="str">
        <x:v>Rainy</x:v>
      </x:c>
      <x:c r="Q378" t="n">
        <x:v>98</x:v>
      </x:c>
      <x:c r="R378" t="n">
        <x:v>80.7</x:v>
      </x:c>
      <x:c r="S378" t="n">
        <x:v>0.0992</x:v>
      </x:c>
      <x:c r="T378" t="n">
        <x:v>16.9</x:v>
      </x:c>
      <x:c r="U378" t="n">
        <x:v>1354.7</x:v>
      </x:c>
      <x:c r="V378" t="n">
        <x:v>2508</x:v>
      </x:c>
      <x:c r="W378" t="n">
        <x:v>49.3</x:v>
      </x:c>
    </x:row>
    <x:row r="379">
      <x:c r="A379" t="str">
        <x:v>PJT_378</x:v>
      </x:c>
      <x:c r="B379" t="str">
        <x:v>Humid Subtropical</x:v>
      </x:c>
      <x:c r="C379" t="n">
        <x:v>9060</x:v>
      </x:c>
      <x:c r="D379" t="n">
        <x:v>7</x:v>
      </x:c>
      <x:c r="E379" t="str">
        <x:v>Medium</x:v>
      </x:c>
      <x:c r="F379" t="str">
        <x:v>Mixed-use</x:v>
      </x:c>
      <x:c r="G379" t="str">
        <x:v>Steel</x:v>
      </x:c>
      <x:c r="H379" t="str">
        <x:v>Raft</x:v>
      </x:c>
      <x:c r="I379" t="str">
        <x:v>Mixed</x:v>
      </x:c>
      <x:c r="J379" t="str">
        <x:v>Medium</x:v>
      </x:c>
      <x:c r="K379" t="n">
        <x:v>22677180</x:v>
      </x:c>
      <x:c r="L379" t="n">
        <x:v>425</x:v>
      </x:c>
      <x:c r="M379" t="n">
        <x:v>280</x:v>
      </x:c>
      <x:c r="N379" t="n">
        <x:v>22.9</x:v>
      </x:c>
      <x:c r="O379" t="n">
        <x:v>71.9</x:v>
      </x:c>
      <x:c r="P379" t="str">
        <x:v>Cloudy</x:v>
      </x:c>
      <x:c r="Q379" t="n">
        <x:v>81</x:v>
      </x:c>
      <x:c r="R379" t="n">
        <x:v>75.2</x:v>
      </x:c>
      <x:c r="S379" t="n">
        <x:v>0.1011</x:v>
      </x:c>
      <x:c r="T379" t="n">
        <x:v>18</x:v>
      </x:c>
      <x:c r="U379" t="n">
        <x:v>1294.3</x:v>
      </x:c>
      <x:c r="V379" t="n">
        <x:v>2503</x:v>
      </x:c>
      <x:c r="W379" t="n">
        <x:v>46.9</x:v>
      </x:c>
    </x:row>
    <x:row r="380">
      <x:c r="A380" t="str">
        <x:v>PJT_379</x:v>
      </x:c>
      <x:c r="B380" t="str">
        <x:v>Continental</x:v>
      </x:c>
      <x:c r="C380" t="n">
        <x:v>23760</x:v>
      </x:c>
      <x:c r="D380" t="n">
        <x:v>13</x:v>
      </x:c>
      <x:c r="E380" t="str">
        <x:v>Medium</x:v>
      </x:c>
      <x:c r="F380" t="str">
        <x:v>Commercial</x:v>
      </x:c>
      <x:c r="G380" t="str">
        <x:v>Steel</x:v>
      </x:c>
      <x:c r="H380" t="str">
        <x:v>Piles</x:v>
      </x:c>
      <x:c r="I380" t="str">
        <x:v>Soft Clay</x:v>
      </x:c>
      <x:c r="J380" t="str">
        <x:v>Medium</x:v>
      </x:c>
      <x:c r="K380" t="n">
        <x:v>54980640</x:v>
      </x:c>
      <x:c r="L380" t="n">
        <x:v>1072</x:v>
      </x:c>
      <x:c r="M380" t="n">
        <x:v>171.1</x:v>
      </x:c>
      <x:c r="N380" t="n">
        <x:v>6.1</x:v>
      </x:c>
      <x:c r="O380" t="n">
        <x:v>53.2</x:v>
      </x:c>
      <x:c r="P380" t="str">
        <x:v>Sunny</x:v>
      </x:c>
      <x:c r="Q380" t="n">
        <x:v>93</x:v>
      </x:c>
      <x:c r="R380" t="n">
        <x:v>76</x:v>
      </x:c>
      <x:c r="S380" t="n">
        <x:v>0.0992</x:v>
      </x:c>
      <x:c r="T380" t="n">
        <x:v>18</x:v>
      </x:c>
      <x:c r="U380" t="n">
        <x:v>1827.7</x:v>
      </x:c>
      <x:c r="V380" t="n">
        <x:v>2314</x:v>
      </x:c>
      <x:c r="W380" t="n">
        <x:v>45.1</x:v>
      </x:c>
    </x:row>
    <x:row r="381">
      <x:c r="A381" t="str">
        <x:v>PJT_380</x:v>
      </x:c>
      <x:c r="B381" t="str">
        <x:v>Mediterranean</x:v>
      </x:c>
      <x:c r="C381" t="n">
        <x:v>22590</x:v>
      </x:c>
      <x:c r="D381" t="n">
        <x:v>11</x:v>
      </x:c>
      <x:c r="E381" t="str">
        <x:v>High</x:v>
      </x:c>
      <x:c r="F381" t="str">
        <x:v>Hospital</x:v>
      </x:c>
      <x:c r="G381" t="str">
        <x:v>Shear Wall</x:v>
      </x:c>
      <x:c r="H381" t="str">
        <x:v>Piles</x:v>
      </x:c>
      <x:c r="I381" t="str">
        <x:v>Soft Clay</x:v>
      </x:c>
      <x:c r="J381" t="str">
        <x:v>High</x:v>
      </x:c>
      <x:c r="K381" t="n">
        <x:v>77415930</x:v>
      </x:c>
      <x:c r="L381" t="n">
        <x:v>1294</x:v>
      </x:c>
      <x:c r="M381" t="n">
        <x:v>213</x:v>
      </x:c>
      <x:c r="N381" t="n">
        <x:v>13</x:v>
      </x:c>
      <x:c r="O381" t="n">
        <x:v>78.5</x:v>
      </x:c>
      <x:c r="P381" t="str">
        <x:v>Rainy</x:v>
      </x:c>
      <x:c r="Q381" t="n">
        <x:v>102</x:v>
      </x:c>
      <x:c r="R381" t="n">
        <x:v>84.6</x:v>
      </x:c>
      <x:c r="S381" t="n">
        <x:v>0.1127</x:v>
      </x:c>
      <x:c r="T381" t="n">
        <x:v>23.2</x:v>
      </x:c>
      <x:c r="U381" t="n">
        <x:v>2053.6</x:v>
      </x:c>
      <x:c r="V381" t="n">
        <x:v>3427</x:v>
      </x:c>
      <x:c r="W381" t="n">
        <x:v>57.3</x:v>
      </x:c>
    </x:row>
    <x:row r="382">
      <x:c r="A382" t="str">
        <x:v>PJT_381</x:v>
      </x:c>
      <x:c r="B382" t="str">
        <x:v>Marine</x:v>
      </x:c>
      <x:c r="C382" t="n">
        <x:v>7440</x:v>
      </x:c>
      <x:c r="D382" t="n">
        <x:v>3</x:v>
      </x:c>
      <x:c r="E382" t="str">
        <x:v>Low</x:v>
      </x:c>
      <x:c r="F382" t="str">
        <x:v>School</x:v>
      </x:c>
      <x:c r="G382" t="str">
        <x:v>RC Frame</x:v>
      </x:c>
      <x:c r="H382" t="str">
        <x:v>Raft</x:v>
      </x:c>
      <x:c r="I382" t="str">
        <x:v>Mixed</x:v>
      </x:c>
      <x:c r="J382" t="str">
        <x:v>Low</x:v>
      </x:c>
      <x:c r="K382" t="n">
        <x:v>12543840</x:v>
      </x:c>
      <x:c r="L382" t="n">
        <x:v>215</x:v>
      </x:c>
      <x:c r="M382" t="n">
        <x:v>274.6</x:v>
      </x:c>
      <x:c r="N382" t="n">
        <x:v>8.4</x:v>
      </x:c>
      <x:c r="O382" t="n">
        <x:v>78.2</x:v>
      </x:c>
      <x:c r="P382" t="str">
        <x:v>Rainy</x:v>
      </x:c>
      <x:c r="Q382" t="n">
        <x:v>82</x:v>
      </x:c>
      <x:c r="R382" t="n">
        <x:v>60.2</x:v>
      </x:c>
      <x:c r="S382" t="n">
        <x:v>0.078</x:v>
      </x:c>
      <x:c r="T382" t="n">
        <x:v>14.3</x:v>
      </x:c>
      <x:c r="U382" t="n">
        <x:v>2480</x:v>
      </x:c>
      <x:c r="V382" t="n">
        <x:v>1686</x:v>
      </x:c>
      <x:c r="W382" t="n">
        <x:v>28.9</x:v>
      </x:c>
    </x:row>
    <x:row r="383">
      <x:c r="A383" t="str">
        <x:v>PJT_382</x:v>
      </x:c>
      <x:c r="B383" t="str">
        <x:v>Humid Subtropical</x:v>
      </x:c>
      <x:c r="C383" t="n">
        <x:v>25950</x:v>
      </x:c>
      <x:c r="D383" t="n">
        <x:v>24</x:v>
      </x:c>
      <x:c r="E383" t="str">
        <x:v>High</x:v>
      </x:c>
      <x:c r="F383" t="str">
        <x:v>Commercial</x:v>
      </x:c>
      <x:c r="G383" t="str">
        <x:v>Steel</x:v>
      </x:c>
      <x:c r="H383" t="str">
        <x:v>Piles</x:v>
      </x:c>
      <x:c r="I383" t="str">
        <x:v>Sand</x:v>
      </x:c>
      <x:c r="J383" t="str">
        <x:v>Medium</x:v>
      </x:c>
      <x:c r="K383" t="n">
        <x:v>69416250</x:v>
      </x:c>
      <x:c r="L383" t="n">
        <x:v>1378</x:v>
      </x:c>
      <x:c r="M383" t="n">
        <x:v>276.6</x:v>
      </x:c>
      <x:c r="N383" t="n">
        <x:v>22.1</x:v>
      </x:c>
      <x:c r="O383" t="n">
        <x:v>77.8</x:v>
      </x:c>
      <x:c r="P383" t="str">
        <x:v>Rainy</x:v>
      </x:c>
      <x:c r="Q383" t="n">
        <x:v>94</x:v>
      </x:c>
      <x:c r="R383" t="n">
        <x:v>86.4</x:v>
      </x:c>
      <x:c r="S383" t="n">
        <x:v>0.1007</x:v>
      </x:c>
      <x:c r="T383" t="n">
        <x:v>18.1</x:v>
      </x:c>
      <x:c r="U383" t="n">
        <x:v>1081.2</x:v>
      </x:c>
      <x:c r="V383" t="n">
        <x:v>2675</x:v>
      </x:c>
      <x:c r="W383" t="n">
        <x:v>53.1</x:v>
      </x:c>
    </x:row>
    <x:row r="384">
      <x:c r="A384" t="str">
        <x:v>PJT_383</x:v>
      </x:c>
      <x:c r="B384" t="str">
        <x:v>Marine</x:v>
      </x:c>
      <x:c r="C384" t="n">
        <x:v>29330</x:v>
      </x:c>
      <x:c r="D384" t="n">
        <x:v>19</x:v>
      </x:c>
      <x:c r="E384" t="str">
        <x:v>High</x:v>
      </x:c>
      <x:c r="F384" t="str">
        <x:v>Mixed-use</x:v>
      </x:c>
      <x:c r="G384" t="str">
        <x:v>Steel</x:v>
      </x:c>
      <x:c r="H384" t="str">
        <x:v>Piles</x:v>
      </x:c>
      <x:c r="I384" t="str">
        <x:v>Rock</x:v>
      </x:c>
      <x:c r="J384" t="str">
        <x:v>High</x:v>
      </x:c>
      <x:c r="K384" t="n">
        <x:v>89221860</x:v>
      </x:c>
      <x:c r="L384" t="n">
        <x:v>1681</x:v>
      </x:c>
      <x:c r="M384" t="n">
        <x:v>625.2</x:v>
      </x:c>
      <x:c r="N384" t="n">
        <x:v>14.5</x:v>
      </x:c>
      <x:c r="O384" t="n">
        <x:v>89.4</x:v>
      </x:c>
      <x:c r="P384" t="str">
        <x:v>Rainy</x:v>
      </x:c>
      <x:c r="Q384" t="n">
        <x:v>83</x:v>
      </x:c>
      <x:c r="R384" t="n">
        <x:v>85.9</x:v>
      </x:c>
      <x:c r="S384" t="n">
        <x:v>0.1061</x:v>
      </x:c>
      <x:c r="T384" t="n">
        <x:v>21.3</x:v>
      </x:c>
      <x:c r="U384" t="n">
        <x:v>1543.7</x:v>
      </x:c>
      <x:c r="V384" t="n">
        <x:v>3042</x:v>
      </x:c>
      <x:c r="W384" t="n">
        <x:v>57.3</x:v>
      </x:c>
    </x:row>
    <x:row r="385">
      <x:c r="A385" t="str">
        <x:v>PJT_384</x:v>
      </x:c>
      <x:c r="B385" t="str">
        <x:v>Marine</x:v>
      </x:c>
      <x:c r="C385" t="n">
        <x:v>15330</x:v>
      </x:c>
      <x:c r="D385" t="n">
        <x:v>9</x:v>
      </x:c>
      <x:c r="E385" t="str">
        <x:v>Medium</x:v>
      </x:c>
      <x:c r="F385" t="str">
        <x:v>Commercial</x:v>
      </x:c>
      <x:c r="G385" t="str">
        <x:v>RC Frame</x:v>
      </x:c>
      <x:c r="H385" t="str">
        <x:v>Raft</x:v>
      </x:c>
      <x:c r="I385" t="str">
        <x:v>Mixed</x:v>
      </x:c>
      <x:c r="J385" t="str">
        <x:v>Low</x:v>
      </x:c>
      <x:c r="K385" t="n">
        <x:v>33358080</x:v>
      </x:c>
      <x:c r="L385" t="n">
        <x:v>644</x:v>
      </x:c>
      <x:c r="M385" t="n">
        <x:v>321.3</x:v>
      </x:c>
      <x:c r="N385" t="n">
        <x:v>16.4</x:v>
      </x:c>
      <x:c r="O385" t="n">
        <x:v>78.7</x:v>
      </x:c>
      <x:c r="P385" t="str">
        <x:v>Cloudy</x:v>
      </x:c>
      <x:c r="Q385" t="n">
        <x:v>77</x:v>
      </x:c>
      <x:c r="R385" t="n">
        <x:v>76.8</x:v>
      </x:c>
      <x:c r="S385" t="n">
        <x:v>0.0876</x:v>
      </x:c>
      <x:c r="T385" t="n">
        <x:v>15.9</x:v>
      </x:c>
      <x:c r="U385" t="n">
        <x:v>1703.3</x:v>
      </x:c>
      <x:c r="V385" t="n">
        <x:v>2176</x:v>
      </x:c>
      <x:c r="W385" t="n">
        <x:v>42</x:v>
      </x:c>
    </x:row>
    <x:row r="386">
      <x:c r="A386" t="str">
        <x:v>PJT_385</x:v>
      </x:c>
      <x:c r="B386" t="str">
        <x:v>Marine</x:v>
      </x:c>
      <x:c r="C386" t="n">
        <x:v>25000</x:v>
      </x:c>
      <x:c r="D386" t="n">
        <x:v>14</x:v>
      </x:c>
      <x:c r="E386" t="str">
        <x:v>Medium</x:v>
      </x:c>
      <x:c r="F386" t="str">
        <x:v>Mixed-use</x:v>
      </x:c>
      <x:c r="G386" t="str">
        <x:v>Steel</x:v>
      </x:c>
      <x:c r="H386" t="str">
        <x:v>Piles</x:v>
      </x:c>
      <x:c r="I386" t="str">
        <x:v>Mixed</x:v>
      </x:c>
      <x:c r="J386" t="str">
        <x:v>Medium</x:v>
      </x:c>
      <x:c r="K386" t="n">
        <x:v>68275000</x:v>
      </x:c>
      <x:c r="L386" t="n">
        <x:v>1228</x:v>
      </x:c>
      <x:c r="M386" t="n">
        <x:v>333.2</x:v>
      </x:c>
      <x:c r="N386" t="n">
        <x:v>22.3</x:v>
      </x:c>
      <x:c r="O386" t="n">
        <x:v>54.1</x:v>
      </x:c>
      <x:c r="P386" t="str">
        <x:v>Sunny</x:v>
      </x:c>
      <x:c r="Q386" t="n">
        <x:v>90</x:v>
      </x:c>
      <x:c r="R386" t="n">
        <x:v>79.7</x:v>
      </x:c>
      <x:c r="S386" t="n">
        <x:v>0.1049</x:v>
      </x:c>
      <x:c r="T386" t="n">
        <x:v>17.9</x:v>
      </x:c>
      <x:c r="U386" t="n">
        <x:v>1785.7</x:v>
      </x:c>
      <x:c r="V386" t="n">
        <x:v>2731</x:v>
      </x:c>
      <x:c r="W386" t="n">
        <x:v>49.1</x:v>
      </x:c>
    </x:row>
    <x:row r="387">
      <x:c r="A387" t="str">
        <x:v>PJT_386</x:v>
      </x:c>
      <x:c r="B387" t="str">
        <x:v>Marine</x:v>
      </x:c>
      <x:c r="C387" t="n">
        <x:v>18590</x:v>
      </x:c>
      <x:c r="D387" t="n">
        <x:v>11</x:v>
      </x:c>
      <x:c r="E387" t="str">
        <x:v>Medium</x:v>
      </x:c>
      <x:c r="F387" t="str">
        <x:v>Hospital</x:v>
      </x:c>
      <x:c r="G387" t="str">
        <x:v>Shear Wall</x:v>
      </x:c>
      <x:c r="H387" t="str">
        <x:v>Raft</x:v>
      </x:c>
      <x:c r="I387" t="str">
        <x:v>Sand</x:v>
      </x:c>
      <x:c r="J387" t="str">
        <x:v>Medium</x:v>
      </x:c>
      <x:c r="K387" t="n">
        <x:v>58818760</x:v>
      </x:c>
      <x:c r="L387" t="n">
        <x:v>892</x:v>
      </x:c>
      <x:c r="M387" t="n">
        <x:v>267.1</x:v>
      </x:c>
      <x:c r="N387" t="n">
        <x:v>8.2</x:v>
      </x:c>
      <x:c r="O387" t="n">
        <x:v>69.6</x:v>
      </x:c>
      <x:c r="P387" t="str">
        <x:v>Cloudy</x:v>
      </x:c>
      <x:c r="Q387" t="n">
        <x:v>78</x:v>
      </x:c>
      <x:c r="R387" t="n">
        <x:v>85.3</x:v>
      </x:c>
      <x:c r="S387" t="n">
        <x:v>0.1129</x:v>
      </x:c>
      <x:c r="T387" t="n">
        <x:v>20.9</x:v>
      </x:c>
      <x:c r="U387" t="n">
        <x:v>1690</x:v>
      </x:c>
      <x:c r="V387" t="n">
        <x:v>3164</x:v>
      </x:c>
      <x:c r="W387" t="n">
        <x:v>48</x:v>
      </x:c>
    </x:row>
    <x:row r="388">
      <x:c r="A388" t="str">
        <x:v>PJT_387</x:v>
      </x:c>
      <x:c r="B388" t="str">
        <x:v>Marine</x:v>
      </x:c>
      <x:c r="C388" t="n">
        <x:v>10310</x:v>
      </x:c>
      <x:c r="D388" t="n">
        <x:v>10</x:v>
      </x:c>
      <x:c r="E388" t="str">
        <x:v>Medium</x:v>
      </x:c>
      <x:c r="F388" t="str">
        <x:v>Commercial</x:v>
      </x:c>
      <x:c r="G388" t="str">
        <x:v>RC Frame</x:v>
      </x:c>
      <x:c r="H388" t="str">
        <x:v>Raft</x:v>
      </x:c>
      <x:c r="I388" t="str">
        <x:v>Mixed</x:v>
      </x:c>
      <x:c r="J388" t="str">
        <x:v>Medium</x:v>
      </x:c>
      <x:c r="K388" t="n">
        <x:v>22898510</x:v>
      </x:c>
      <x:c r="L388" t="n">
        <x:v>437</x:v>
      </x:c>
      <x:c r="M388" t="n">
        <x:v>296.8</x:v>
      </x:c>
      <x:c r="N388" t="n">
        <x:v>18.5</x:v>
      </x:c>
      <x:c r="O388" t="n">
        <x:v>67.2</x:v>
      </x:c>
      <x:c r="P388" t="str">
        <x:v>Cloudy</x:v>
      </x:c>
      <x:c r="Q388" t="n">
        <x:v>97</x:v>
      </x:c>
      <x:c r="R388" t="n">
        <x:v>74.6</x:v>
      </x:c>
      <x:c r="S388" t="n">
        <x:v>0.0885</x:v>
      </x:c>
      <x:c r="T388" t="n">
        <x:v>16.1</x:v>
      </x:c>
      <x:c r="U388" t="n">
        <x:v>1031</x:v>
      </x:c>
      <x:c r="V388" t="n">
        <x:v>2221</x:v>
      </x:c>
      <x:c r="W388" t="n">
        <x:v>42.4</x:v>
      </x:c>
    </x:row>
    <x:row r="389">
      <x:c r="A389" t="str">
        <x:v>PJT_388</x:v>
      </x:c>
      <x:c r="B389" t="str">
        <x:v>Continental</x:v>
      </x:c>
      <x:c r="C389" t="n">
        <x:v>28730</x:v>
      </x:c>
      <x:c r="D389" t="n">
        <x:v>20</x:v>
      </x:c>
      <x:c r="E389" t="str">
        <x:v>Medium</x:v>
      </x:c>
      <x:c r="F389" t="str">
        <x:v>Mixed-use</x:v>
      </x:c>
      <x:c r="G389" t="str">
        <x:v>Steel</x:v>
      </x:c>
      <x:c r="H389" t="str">
        <x:v>Piles</x:v>
      </x:c>
      <x:c r="I389" t="str">
        <x:v>Rock</x:v>
      </x:c>
      <x:c r="J389" t="str">
        <x:v>Medium</x:v>
      </x:c>
      <x:c r="K389" t="n">
        <x:v>76249420</x:v>
      </x:c>
      <x:c r="L389" t="n">
        <x:v>1508</x:v>
      </x:c>
      <x:c r="M389" t="n">
        <x:v>810.4</x:v>
      </x:c>
      <x:c r="N389" t="n">
        <x:v>-1.7</x:v>
      </x:c>
      <x:c r="O389" t="n">
        <x:v>69.2</x:v>
      </x:c>
      <x:c r="P389" t="str">
        <x:v>Snowy</x:v>
      </x:c>
      <x:c r="Q389" t="n">
        <x:v>76</x:v>
      </x:c>
      <x:c r="R389" t="n">
        <x:v>85.5</x:v>
      </x:c>
      <x:c r="S389" t="n">
        <x:v>0.1048</x:v>
      </x:c>
      <x:c r="T389" t="n">
        <x:v>18.6</x:v>
      </x:c>
      <x:c r="U389" t="n">
        <x:v>1436.5</x:v>
      </x:c>
      <x:c r="V389" t="n">
        <x:v>2654</x:v>
      </x:c>
      <x:c r="W389" t="n">
        <x:v>52.5</x:v>
      </x:c>
    </x:row>
    <x:row r="390">
      <x:c r="A390" t="str">
        <x:v>PJT_389</x:v>
      </x:c>
      <x:c r="B390" t="str">
        <x:v>Continental</x:v>
      </x:c>
      <x:c r="C390" t="n">
        <x:v>37340</x:v>
      </x:c>
      <x:c r="D390" t="n">
        <x:v>19</x:v>
      </x:c>
      <x:c r="E390" t="str">
        <x:v>High</x:v>
      </x:c>
      <x:c r="F390" t="str">
        <x:v>Mixed-use</x:v>
      </x:c>
      <x:c r="G390" t="str">
        <x:v>Steel</x:v>
      </x:c>
      <x:c r="H390" t="str">
        <x:v>Piles</x:v>
      </x:c>
      <x:c r="I390" t="str">
        <x:v>Mixed</x:v>
      </x:c>
      <x:c r="J390" t="str">
        <x:v>Medium</x:v>
      </x:c>
      <x:c r="K390" t="n">
        <x:v>109182160</x:v>
      </x:c>
      <x:c r="L390" t="n">
        <x:v>2166</x:v>
      </x:c>
      <x:c r="M390" t="n">
        <x:v>341</x:v>
      </x:c>
      <x:c r="N390" t="n">
        <x:v>7.9</x:v>
      </x:c>
      <x:c r="O390" t="n">
        <x:v>89</x:v>
      </x:c>
      <x:c r="P390" t="str">
        <x:v>Stormy</x:v>
      </x:c>
      <x:c r="Q390" t="n">
        <x:v>105</x:v>
      </x:c>
      <x:c r="R390" t="n">
        <x:v>85</x:v>
      </x:c>
      <x:c r="S390" t="n">
        <x:v>0.1093</x:v>
      </x:c>
      <x:c r="T390" t="n">
        <x:v>20.6</x:v>
      </x:c>
      <x:c r="U390" t="n">
        <x:v>1965.3</x:v>
      </x:c>
      <x:c r="V390" t="n">
        <x:v>2924</x:v>
      </x:c>
      <x:c r="W390" t="n">
        <x:v>58</x:v>
      </x:c>
    </x:row>
    <x:row r="391">
      <x:c r="A391" t="str">
        <x:v>PJT_390</x:v>
      </x:c>
      <x:c r="B391" t="str">
        <x:v>Mediterranean</x:v>
      </x:c>
      <x:c r="C391" t="n">
        <x:v>10620</x:v>
      </x:c>
      <x:c r="D391" t="n">
        <x:v>12</x:v>
      </x:c>
      <x:c r="E391" t="str">
        <x:v>Low</x:v>
      </x:c>
      <x:c r="F391" t="str">
        <x:v>Residential</x:v>
      </x:c>
      <x:c r="G391" t="str">
        <x:v>RC Frame</x:v>
      </x:c>
      <x:c r="H391" t="str">
        <x:v>Piles</x:v>
      </x:c>
      <x:c r="I391" t="str">
        <x:v>Sand</x:v>
      </x:c>
      <x:c r="J391" t="str">
        <x:v>Low</x:v>
      </x:c>
      <x:c r="K391" t="n">
        <x:v>15515820</x:v>
      </x:c>
      <x:c r="L391" t="n">
        <x:v>392</x:v>
      </x:c>
      <x:c r="M391" t="n">
        <x:v>310.9</x:v>
      </x:c>
      <x:c r="N391" t="n">
        <x:v>11.8</x:v>
      </x:c>
      <x:c r="O391" t="n">
        <x:v>74.5</x:v>
      </x:c>
      <x:c r="P391" t="str">
        <x:v>Rainy</x:v>
      </x:c>
      <x:c r="Q391" t="n">
        <x:v>83</x:v>
      </x:c>
      <x:c r="R391" t="n">
        <x:v>62.9</x:v>
      </x:c>
      <x:c r="S391" t="n">
        <x:v>0.0741</x:v>
      </x:c>
      <x:c r="T391" t="n">
        <x:v>11.1</x:v>
      </x:c>
      <x:c r="U391" t="n">
        <x:v>885</x:v>
      </x:c>
      <x:c r="V391" t="n">
        <x:v>1461</x:v>
      </x:c>
      <x:c r="W391" t="n">
        <x:v>36.9</x:v>
      </x:c>
    </x:row>
    <x:row r="392">
      <x:c r="A392" t="str">
        <x:v>PJT_391</x:v>
      </x:c>
      <x:c r="B392" t="str">
        <x:v>Continental</x:v>
      </x:c>
      <x:c r="C392" t="n">
        <x:v>11000</x:v>
      </x:c>
      <x:c r="D392" t="n">
        <x:v>17</x:v>
      </x:c>
      <x:c r="E392" t="str">
        <x:v>Low</x:v>
      </x:c>
      <x:c r="F392" t="str">
        <x:v>Residential</x:v>
      </x:c>
      <x:c r="G392" t="str">
        <x:v>RC Frame</x:v>
      </x:c>
      <x:c r="H392" t="str">
        <x:v>Piles</x:v>
      </x:c>
      <x:c r="I392" t="str">
        <x:v>Mixed</x:v>
      </x:c>
      <x:c r="J392" t="str">
        <x:v>Low</x:v>
      </x:c>
      <x:c r="K392" t="n">
        <x:v>15378000</x:v>
      </x:c>
      <x:c r="L392" t="n">
        <x:v>385</x:v>
      </x:c>
      <x:c r="M392" t="n">
        <x:v>361.6</x:v>
      </x:c>
      <x:c r="N392" t="n">
        <x:v>8.8</x:v>
      </x:c>
      <x:c r="O392" t="n">
        <x:v>57.7</x:v>
      </x:c>
      <x:c r="P392" t="str">
        <x:v>Cloudy</x:v>
      </x:c>
      <x:c r="Q392" t="n">
        <x:v>61</x:v>
      </x:c>
      <x:c r="R392" t="n">
        <x:v>68</x:v>
      </x:c>
      <x:c r="S392" t="n">
        <x:v>0.0723</x:v>
      </x:c>
      <x:c r="T392" t="n">
        <x:v>12.3</x:v>
      </x:c>
      <x:c r="U392" t="n">
        <x:v>647.1</x:v>
      </x:c>
      <x:c r="V392" t="n">
        <x:v>1398</x:v>
      </x:c>
      <x:c r="W392" t="n">
        <x:v>35</x:v>
      </x:c>
    </x:row>
    <x:row r="393">
      <x:c r="A393" t="str">
        <x:v>PJT_392</x:v>
      </x:c>
      <x:c r="B393" t="str">
        <x:v>Mediterranean</x:v>
      </x:c>
      <x:c r="C393" t="n">
        <x:v>22370</x:v>
      </x:c>
      <x:c r="D393" t="n">
        <x:v>12</x:v>
      </x:c>
      <x:c r="E393" t="str">
        <x:v>Medium</x:v>
      </x:c>
      <x:c r="F393" t="str">
        <x:v>Hospital</x:v>
      </x:c>
      <x:c r="G393" t="str">
        <x:v>Shear Wall</x:v>
      </x:c>
      <x:c r="H393" t="str">
        <x:v>Raft</x:v>
      </x:c>
      <x:c r="I393" t="str">
        <x:v>Rock</x:v>
      </x:c>
      <x:c r="J393" t="str">
        <x:v>Medium</x:v>
      </x:c>
      <x:c r="K393" t="n">
        <x:v>69436480</x:v>
      </x:c>
      <x:c r="L393" t="n">
        <x:v>1165</x:v>
      </x:c>
      <x:c r="M393" t="n">
        <x:v>728.5</x:v>
      </x:c>
      <x:c r="N393" t="n">
        <x:v>9.4</x:v>
      </x:c>
      <x:c r="O393" t="n">
        <x:v>87.6</x:v>
      </x:c>
      <x:c r="P393" t="str">
        <x:v>Stormy</x:v>
      </x:c>
      <x:c r="Q393" t="n">
        <x:v>105</x:v>
      </x:c>
      <x:c r="R393" t="n">
        <x:v>84.4</x:v>
      </x:c>
      <x:c r="S393" t="n">
        <x:v>0.1077</x:v>
      </x:c>
      <x:c r="T393" t="n">
        <x:v>21.2</x:v>
      </x:c>
      <x:c r="U393" t="n">
        <x:v>1864.2</x:v>
      </x:c>
      <x:c r="V393" t="n">
        <x:v>3104</x:v>
      </x:c>
      <x:c r="W393" t="n">
        <x:v>52.1</x:v>
      </x:c>
    </x:row>
    <x:row r="394">
      <x:c r="A394" t="str">
        <x:v>PJT_393</x:v>
      </x:c>
      <x:c r="B394" t="str">
        <x:v>Humid Subtropical</x:v>
      </x:c>
      <x:c r="C394" t="n">
        <x:v>18800</x:v>
      </x:c>
      <x:c r="D394" t="n">
        <x:v>12</x:v>
      </x:c>
      <x:c r="E394" t="str">
        <x:v>Medium</x:v>
      </x:c>
      <x:c r="F394" t="str">
        <x:v>Mixed-use</x:v>
      </x:c>
      <x:c r="G394" t="str">
        <x:v>Steel</x:v>
      </x:c>
      <x:c r="H394" t="str">
        <x:v>Raft</x:v>
      </x:c>
      <x:c r="I394" t="str">
        <x:v>Rock</x:v>
      </x:c>
      <x:c r="J394" t="str">
        <x:v>Low</x:v>
      </x:c>
      <x:c r="K394" t="n">
        <x:v>46436000</x:v>
      </x:c>
      <x:c r="L394" t="n">
        <x:v>889</x:v>
      </x:c>
      <x:c r="M394" t="n">
        <x:v>682</x:v>
      </x:c>
      <x:c r="N394" t="n">
        <x:v>28.7</x:v>
      </x:c>
      <x:c r="O394" t="n">
        <x:v>71.3</x:v>
      </x:c>
      <x:c r="P394" t="str">
        <x:v>Sunny</x:v>
      </x:c>
      <x:c r="Q394" t="n">
        <x:v>78</x:v>
      </x:c>
      <x:c r="R394" t="n">
        <x:v>78.1</x:v>
      </x:c>
      <x:c r="S394" t="n">
        <x:v>0.106</x:v>
      </x:c>
      <x:c r="T394" t="n">
        <x:v>18.4</x:v>
      </x:c>
      <x:c r="U394" t="n">
        <x:v>1566.7</x:v>
      </x:c>
      <x:c r="V394" t="n">
        <x:v>2470</x:v>
      </x:c>
      <x:c r="W394" t="n">
        <x:v>47.3</x:v>
      </x:c>
    </x:row>
    <x:row r="395">
      <x:c r="A395" t="str">
        <x:v>PJT_394</x:v>
      </x:c>
      <x:c r="B395" t="str">
        <x:v>Continental</x:v>
      </x:c>
      <x:c r="C395" t="n">
        <x:v>15390</x:v>
      </x:c>
      <x:c r="D395" t="n">
        <x:v>16</x:v>
      </x:c>
      <x:c r="E395" t="str">
        <x:v>Medium</x:v>
      </x:c>
      <x:c r="F395" t="str">
        <x:v>Residential</x:v>
      </x:c>
      <x:c r="G395" t="str">
        <x:v>Shear Wall</x:v>
      </x:c>
      <x:c r="H395" t="str">
        <x:v>Raft</x:v>
      </x:c>
      <x:c r="I395" t="str">
        <x:v>Rock</x:v>
      </x:c>
      <x:c r="J395" t="str">
        <x:v>High</x:v>
      </x:c>
      <x:c r="K395" t="n">
        <x:v>24500880</x:v>
      </x:c>
      <x:c r="L395" t="n">
        <x:v>645</x:v>
      </x:c>
      <x:c r="M395" t="n">
        <x:v>639.7</x:v>
      </x:c>
      <x:c r="N395" t="n">
        <x:v>-5.8</x:v>
      </x:c>
      <x:c r="O395" t="n">
        <x:v>59.5</x:v>
      </x:c>
      <x:c r="P395" t="str">
        <x:v>Snowy</x:v>
      </x:c>
      <x:c r="Q395" t="n">
        <x:v>64</x:v>
      </x:c>
      <x:c r="R395" t="n">
        <x:v>72.6</x:v>
      </x:c>
      <x:c r="S395" t="n">
        <x:v>0.0833</x:v>
      </x:c>
      <x:c r="T395" t="n">
        <x:v>12.6</x:v>
      </x:c>
      <x:c r="U395" t="n">
        <x:v>961.9</x:v>
      </x:c>
      <x:c r="V395" t="n">
        <x:v>1592</x:v>
      </x:c>
      <x:c r="W395" t="n">
        <x:v>41.9</x:v>
      </x:c>
    </x:row>
    <x:row r="396">
      <x:c r="A396" t="str">
        <x:v>PJT_395</x:v>
      </x:c>
      <x:c r="B396" t="str">
        <x:v>Marine</x:v>
      </x:c>
      <x:c r="C396" t="n">
        <x:v>14030</x:v>
      </x:c>
      <x:c r="D396" t="n">
        <x:v>9</x:v>
      </x:c>
      <x:c r="E396" t="str">
        <x:v>Medium</x:v>
      </x:c>
      <x:c r="F396" t="str">
        <x:v>Commercial</x:v>
      </x:c>
      <x:c r="G396" t="str">
        <x:v>Steel</x:v>
      </x:c>
      <x:c r="H396" t="str">
        <x:v>Raft</x:v>
      </x:c>
      <x:c r="I396" t="str">
        <x:v>Mixed</x:v>
      </x:c>
      <x:c r="J396" t="str">
        <x:v>Medium</x:v>
      </x:c>
      <x:c r="K396" t="n">
        <x:v>34134990</x:v>
      </x:c>
      <x:c r="L396" t="n">
        <x:v>659</x:v>
      </x:c>
      <x:c r="M396" t="n">
        <x:v>271</x:v>
      </x:c>
      <x:c r="N396" t="n">
        <x:v>12.9</x:v>
      </x:c>
      <x:c r="O396" t="n">
        <x:v>80.6</x:v>
      </x:c>
      <x:c r="P396" t="str">
        <x:v>Stormy</x:v>
      </x:c>
      <x:c r="Q396" t="n">
        <x:v>108</x:v>
      </x:c>
      <x:c r="R396" t="n">
        <x:v>78.5</x:v>
      </x:c>
      <x:c r="S396" t="n">
        <x:v>0.0988</x:v>
      </x:c>
      <x:c r="T396" t="n">
        <x:v>16.8</x:v>
      </x:c>
      <x:c r="U396" t="n">
        <x:v>1558.9</x:v>
      </x:c>
      <x:c r="V396" t="n">
        <x:v>2433</x:v>
      </x:c>
      <x:c r="W396" t="n">
        <x:v>47</x:v>
      </x:c>
    </x:row>
    <x:row r="397">
      <x:c r="A397" t="str">
        <x:v>PJT_396</x:v>
      </x:c>
      <x:c r="B397" t="str">
        <x:v>Continental</x:v>
      </x:c>
      <x:c r="C397" t="n">
        <x:v>27380</x:v>
      </x:c>
      <x:c r="D397" t="n">
        <x:v>20</x:v>
      </x:c>
      <x:c r="E397" t="str">
        <x:v>High</x:v>
      </x:c>
      <x:c r="F397" t="str">
        <x:v>Mixed-use</x:v>
      </x:c>
      <x:c r="G397" t="str">
        <x:v>Steel</x:v>
      </x:c>
      <x:c r="H397" t="str">
        <x:v>Piles</x:v>
      </x:c>
      <x:c r="I397" t="str">
        <x:v>Mixed</x:v>
      </x:c>
      <x:c r="J397" t="str">
        <x:v>Low</x:v>
      </x:c>
      <x:c r="K397" t="n">
        <x:v>75541420</x:v>
      </x:c>
      <x:c r="L397" t="n">
        <x:v>1492</x:v>
      </x:c>
      <x:c r="M397" t="n">
        <x:v>419.5</x:v>
      </x:c>
      <x:c r="N397" t="n">
        <x:v>21.8</x:v>
      </x:c>
      <x:c r="O397" t="n">
        <x:v>60.9</x:v>
      </x:c>
      <x:c r="P397" t="str">
        <x:v>Sunny</x:v>
      </x:c>
      <x:c r="Q397" t="n">
        <x:v>77</x:v>
      </x:c>
      <x:c r="R397" t="n">
        <x:v>83.8</x:v>
      </x:c>
      <x:c r="S397" t="n">
        <x:v>0.1043</x:v>
      </x:c>
      <x:c r="T397" t="n">
        <x:v>19.4</x:v>
      </x:c>
      <x:c r="U397" t="n">
        <x:v>1369</x:v>
      </x:c>
      <x:c r="V397" t="n">
        <x:v>2759</x:v>
      </x:c>
      <x:c r="W397" t="n">
        <x:v>54.5</x:v>
      </x:c>
    </x:row>
    <x:row r="398">
      <x:c r="A398" t="str">
        <x:v>PJT_397</x:v>
      </x:c>
      <x:c r="B398" t="str">
        <x:v>Continental</x:v>
      </x:c>
      <x:c r="C398" t="n">
        <x:v>19440</x:v>
      </x:c>
      <x:c r="D398" t="n">
        <x:v>19</x:v>
      </x:c>
      <x:c r="E398" t="str">
        <x:v>Medium</x:v>
      </x:c>
      <x:c r="F398" t="str">
        <x:v>Residential</x:v>
      </x:c>
      <x:c r="G398" t="str">
        <x:v>Shear Wall</x:v>
      </x:c>
      <x:c r="H398" t="str">
        <x:v>Piles</x:v>
      </x:c>
      <x:c r="I398" t="str">
        <x:v>Soft Clay</x:v>
      </x:c>
      <x:c r="J398" t="str">
        <x:v>High</x:v>
      </x:c>
      <x:c r="K398" t="n">
        <x:v>32192640</x:v>
      </x:c>
      <x:c r="L398" t="n">
        <x:v>822</x:v>
      </x:c>
      <x:c r="M398" t="n">
        <x:v>163.1</x:v>
      </x:c>
      <x:c r="N398" t="n">
        <x:v>14.3</x:v>
      </x:c>
      <x:c r="O398" t="n">
        <x:v>84.8</x:v>
      </x:c>
      <x:c r="P398" t="str">
        <x:v>Rainy</x:v>
      </x:c>
      <x:c r="Q398" t="n">
        <x:v>81</x:v>
      </x:c>
      <x:c r="R398" t="n">
        <x:v>74.7</x:v>
      </x:c>
      <x:c r="S398" t="n">
        <x:v>0.0856</x:v>
      </x:c>
      <x:c r="T398" t="n">
        <x:v>13.3</x:v>
      </x:c>
      <x:c r="U398" t="n">
        <x:v>1023.2</x:v>
      </x:c>
      <x:c r="V398" t="n">
        <x:v>1656</x:v>
      </x:c>
      <x:c r="W398" t="n">
        <x:v>42.3</x:v>
      </x:c>
    </x:row>
    <x:row r="399">
      <x:c r="A399" t="str">
        <x:v>PJT_398</x:v>
      </x:c>
      <x:c r="B399" t="str">
        <x:v>Mediterranean</x:v>
      </x:c>
      <x:c r="C399" t="n">
        <x:v>23960</x:v>
      </x:c>
      <x:c r="D399" t="n">
        <x:v>12</x:v>
      </x:c>
      <x:c r="E399" t="str">
        <x:v>Medium</x:v>
      </x:c>
      <x:c r="F399" t="str">
        <x:v>Commercial</x:v>
      </x:c>
      <x:c r="G399" t="str">
        <x:v>RC Frame</x:v>
      </x:c>
      <x:c r="H399" t="str">
        <x:v>Raft</x:v>
      </x:c>
      <x:c r="I399" t="str">
        <x:v>Rock</x:v>
      </x:c>
      <x:c r="J399" t="str">
        <x:v>Medium</x:v>
      </x:c>
      <x:c r="K399" t="n">
        <x:v>54221480</x:v>
      </x:c>
      <x:c r="L399" t="n">
        <x:v>1107</x:v>
      </x:c>
      <x:c r="M399" t="n">
        <x:v>601.5</x:v>
      </x:c>
      <x:c r="N399" t="n">
        <x:v>14</x:v>
      </x:c>
      <x:c r="O399" t="n">
        <x:v>78.1</x:v>
      </x:c>
      <x:c r="P399" t="str">
        <x:v>Stormy</x:v>
      </x:c>
      <x:c r="Q399" t="n">
        <x:v>91</x:v>
      </x:c>
      <x:c r="R399" t="n">
        <x:v>77.8</x:v>
      </x:c>
      <x:c r="S399" t="n">
        <x:v>0.0875</x:v>
      </x:c>
      <x:c r="T399" t="n">
        <x:v>16.5</x:v>
      </x:c>
      <x:c r="U399" t="n">
        <x:v>1996.7</x:v>
      </x:c>
      <x:c r="V399" t="n">
        <x:v>2263</x:v>
      </x:c>
      <x:c r="W399" t="n">
        <x:v>46.2</x:v>
      </x:c>
    </x:row>
    <x:row r="400">
      <x:c r="A400" t="str">
        <x:v>PJT_399</x:v>
      </x:c>
      <x:c r="B400" t="str">
        <x:v>Continental</x:v>
      </x:c>
      <x:c r="C400" t="n">
        <x:v>6520</x:v>
      </x:c>
      <x:c r="D400" t="n">
        <x:v>4</x:v>
      </x:c>
      <x:c r="E400" t="str">
        <x:v>Low</x:v>
      </x:c>
      <x:c r="F400" t="str">
        <x:v>School</x:v>
      </x:c>
      <x:c r="G400" t="str">
        <x:v>RC Frame</x:v>
      </x:c>
      <x:c r="H400" t="str">
        <x:v>Raft</x:v>
      </x:c>
      <x:c r="I400" t="str">
        <x:v>Soft Clay</x:v>
      </x:c>
      <x:c r="J400" t="str">
        <x:v>Low</x:v>
      </x:c>
      <x:c r="K400" t="n">
        <x:v>9923440</x:v>
      </x:c>
      <x:c r="L400" t="n">
        <x:v>218</x:v>
      </x:c>
      <x:c r="M400" t="n">
        <x:v>186.3</x:v>
      </x:c>
      <x:c r="N400" t="n">
        <x:v>5.3</x:v>
      </x:c>
      <x:c r="O400" t="n">
        <x:v>69.4</x:v>
      </x:c>
      <x:c r="P400" t="str">
        <x:v>Stormy</x:v>
      </x:c>
      <x:c r="Q400" t="n">
        <x:v>80</x:v>
      </x:c>
      <x:c r="R400" t="n">
        <x:v>69.6</x:v>
      </x:c>
      <x:c r="S400" t="n">
        <x:v>0.0819</x:v>
      </x:c>
      <x:c r="T400" t="n">
        <x:v>13.3</x:v>
      </x:c>
      <x:c r="U400" t="n">
        <x:v>1630</x:v>
      </x:c>
      <x:c r="V400" t="n">
        <x:v>1522</x:v>
      </x:c>
      <x:c r="W400" t="n">
        <x:v>33.5</x:v>
      </x:c>
    </x:row>
    <x:row r="401">
      <x:c r="A401" t="str">
        <x:v>PJT_400</x:v>
      </x:c>
      <x:c r="B401" t="str">
        <x:v>Humid Subtropical</x:v>
      </x:c>
      <x:c r="C401" t="n">
        <x:v>14890</x:v>
      </x:c>
      <x:c r="D401" t="n">
        <x:v>11</x:v>
      </x:c>
      <x:c r="E401" t="str">
        <x:v>Medium</x:v>
      </x:c>
      <x:c r="F401" t="str">
        <x:v>Commercial</x:v>
      </x:c>
      <x:c r="G401" t="str">
        <x:v>RC Frame</x:v>
      </x:c>
      <x:c r="H401" t="str">
        <x:v>Raft</x:v>
      </x:c>
      <x:c r="I401" t="str">
        <x:v>Mixed</x:v>
      </x:c>
      <x:c r="J401" t="str">
        <x:v>Low</x:v>
      </x:c>
      <x:c r="K401" t="n">
        <x:v>33264260</x:v>
      </x:c>
      <x:c r="L401" t="n">
        <x:v>624</x:v>
      </x:c>
      <x:c r="M401" t="n">
        <x:v>264.8</x:v>
      </x:c>
      <x:c r="N401" t="n">
        <x:v>27.1</x:v>
      </x:c>
      <x:c r="O401" t="n">
        <x:v>91</x:v>
      </x:c>
      <x:c r="P401" t="str">
        <x:v>Rainy</x:v>
      </x:c>
      <x:c r="Q401" t="n">
        <x:v>92</x:v>
      </x:c>
      <x:c r="R401" t="n">
        <x:v>74.8</x:v>
      </x:c>
      <x:c r="S401" t="n">
        <x:v>0.0948</x:v>
      </x:c>
      <x:c r="T401" t="n">
        <x:v>15.9</x:v>
      </x:c>
      <x:c r="U401" t="n">
        <x:v>1353.6</x:v>
      </x:c>
      <x:c r="V401" t="n">
        <x:v>2234</x:v>
      </x:c>
      <x:c r="W401" t="n">
        <x:v>41.9</x:v>
      </x:c>
    </x:row>
    <x:row r="402">
      <x:c r="A402" t="str">
        <x:v>PJT_401</x:v>
      </x:c>
      <x:c r="B402" t="str">
        <x:v>Marine</x:v>
      </x:c>
      <x:c r="C402" t="n">
        <x:v>31530</x:v>
      </x:c>
      <x:c r="D402" t="n">
        <x:v>18</x:v>
      </x:c>
      <x:c r="E402" t="str">
        <x:v>Medium</x:v>
      </x:c>
      <x:c r="F402" t="str">
        <x:v>Mixed-use</x:v>
      </x:c>
      <x:c r="G402" t="str">
        <x:v>Steel</x:v>
      </x:c>
      <x:c r="H402" t="str">
        <x:v>Piles</x:v>
      </x:c>
      <x:c r="I402" t="str">
        <x:v>Sand</x:v>
      </x:c>
      <x:c r="J402" t="str">
        <x:v>Low</x:v>
      </x:c>
      <x:c r="K402" t="n">
        <x:v>87811050</x:v>
      </x:c>
      <x:c r="L402" t="n">
        <x:v>1731</x:v>
      </x:c>
      <x:c r="M402" t="n">
        <x:v>347.3</x:v>
      </x:c>
      <x:c r="N402" t="n">
        <x:v>14.9</x:v>
      </x:c>
      <x:c r="O402" t="n">
        <x:v>84.6</x:v>
      </x:c>
      <x:c r="P402" t="str">
        <x:v>Stormy</x:v>
      </x:c>
      <x:c r="Q402" t="n">
        <x:v>78</x:v>
      </x:c>
      <x:c r="R402" t="n">
        <x:v>83</x:v>
      </x:c>
      <x:c r="S402" t="n">
        <x:v>0.1024</x:v>
      </x:c>
      <x:c r="T402" t="n">
        <x:v>18.9</x:v>
      </x:c>
      <x:c r="U402" t="n">
        <x:v>1751.7</x:v>
      </x:c>
      <x:c r="V402" t="n">
        <x:v>2785</x:v>
      </x:c>
      <x:c r="W402" t="n">
        <x:v>54.9</x:v>
      </x:c>
    </x:row>
    <x:row r="403">
      <x:c r="A403" t="str">
        <x:v>PJT_402</x:v>
      </x:c>
      <x:c r="B403" t="str">
        <x:v>Humid Subtropical</x:v>
      </x:c>
      <x:c r="C403" t="n">
        <x:v>31260</x:v>
      </x:c>
      <x:c r="D403" t="n">
        <x:v>16</x:v>
      </x:c>
      <x:c r="E403" t="str">
        <x:v>Medium</x:v>
      </x:c>
      <x:c r="F403" t="str">
        <x:v>Commercial</x:v>
      </x:c>
      <x:c r="G403" t="str">
        <x:v>Steel</x:v>
      </x:c>
      <x:c r="H403" t="str">
        <x:v>Piles</x:v>
      </x:c>
      <x:c r="I403" t="str">
        <x:v>Soft Clay</x:v>
      </x:c>
      <x:c r="J403" t="str">
        <x:v>Low</x:v>
      </x:c>
      <x:c r="K403" t="n">
        <x:v>80213160</x:v>
      </x:c>
      <x:c r="L403" t="n">
        <x:v>1466</x:v>
      </x:c>
      <x:c r="M403" t="n">
        <x:v>168.9</x:v>
      </x:c>
      <x:c r="N403" t="n">
        <x:v>26.6</x:v>
      </x:c>
      <x:c r="O403" t="n">
        <x:v>79.9</x:v>
      </x:c>
      <x:c r="P403" t="str">
        <x:v>Rainy</x:v>
      </x:c>
      <x:c r="Q403" t="n">
        <x:v>94</x:v>
      </x:c>
      <x:c r="R403" t="n">
        <x:v>78.7</x:v>
      </x:c>
      <x:c r="S403" t="n">
        <x:v>0.0974</x:v>
      </x:c>
      <x:c r="T403" t="n">
        <x:v>16.3</x:v>
      </x:c>
      <x:c r="U403" t="n">
        <x:v>1953.8</x:v>
      </x:c>
      <x:c r="V403" t="n">
        <x:v>2566</x:v>
      </x:c>
      <x:c r="W403" t="n">
        <x:v>46.9</x:v>
      </x:c>
    </x:row>
    <x:row r="404">
      <x:c r="A404" t="str">
        <x:v>PJT_403</x:v>
      </x:c>
      <x:c r="B404" t="str">
        <x:v>Humid Subtropical</x:v>
      </x:c>
      <x:c r="C404" t="n">
        <x:v>19220</x:v>
      </x:c>
      <x:c r="D404" t="n">
        <x:v>14</x:v>
      </x:c>
      <x:c r="E404" t="str">
        <x:v>Medium</x:v>
      </x:c>
      <x:c r="F404" t="str">
        <x:v>Mixed-use</x:v>
      </x:c>
      <x:c r="G404" t="str">
        <x:v>Steel</x:v>
      </x:c>
      <x:c r="H404" t="str">
        <x:v>Piles</x:v>
      </x:c>
      <x:c r="I404" t="str">
        <x:v>Sand</x:v>
      </x:c>
      <x:c r="J404" t="str">
        <x:v>High</x:v>
      </x:c>
      <x:c r="K404" t="n">
        <x:v>51278960</x:v>
      </x:c>
      <x:c r="L404" t="n">
        <x:v>946</x:v>
      </x:c>
      <x:c r="M404" t="n">
        <x:v>255.2</x:v>
      </x:c>
      <x:c r="N404" t="n">
        <x:v>21.9</x:v>
      </x:c>
      <x:c r="O404" t="n">
        <x:v>75.4</x:v>
      </x:c>
      <x:c r="P404" t="str">
        <x:v>Cloudy</x:v>
      </x:c>
      <x:c r="Q404" t="n">
        <x:v>107</x:v>
      </x:c>
      <x:c r="R404" t="n">
        <x:v>78.2</x:v>
      </x:c>
      <x:c r="S404" t="n">
        <x:v>0.1041</x:v>
      </x:c>
      <x:c r="T404" t="n">
        <x:v>17.7</x:v>
      </x:c>
      <x:c r="U404" t="n">
        <x:v>1372.9</x:v>
      </x:c>
      <x:c r="V404" t="n">
        <x:v>2668</x:v>
      </x:c>
      <x:c r="W404" t="n">
        <x:v>49.2</x:v>
      </x:c>
    </x:row>
    <x:row r="405">
      <x:c r="A405" t="str">
        <x:v>PJT_404</x:v>
      </x:c>
      <x:c r="B405" t="str">
        <x:v>Continental</x:v>
      </x:c>
      <x:c r="C405" t="n">
        <x:v>28930</x:v>
      </x:c>
      <x:c r="D405" t="n">
        <x:v>17</x:v>
      </x:c>
      <x:c r="E405" t="str">
        <x:v>High</x:v>
      </x:c>
      <x:c r="F405" t="str">
        <x:v>Mixed-use</x:v>
      </x:c>
      <x:c r="G405" t="str">
        <x:v>Steel</x:v>
      </x:c>
      <x:c r="H405" t="str">
        <x:v>Piles</x:v>
      </x:c>
      <x:c r="I405" t="str">
        <x:v>Sand</x:v>
      </x:c>
      <x:c r="J405" t="str">
        <x:v>Low</x:v>
      </x:c>
      <x:c r="K405" t="n">
        <x:v>79557500</x:v>
      </x:c>
      <x:c r="L405" t="n">
        <x:v>1556</x:v>
      </x:c>
      <x:c r="M405" t="n">
        <x:v>258.6</x:v>
      </x:c>
      <x:c r="N405" t="n">
        <x:v>10</x:v>
      </x:c>
      <x:c r="O405" t="n">
        <x:v>55.3</x:v>
      </x:c>
      <x:c r="P405" t="str">
        <x:v>Cloudy</x:v>
      </x:c>
      <x:c r="Q405" t="n">
        <x:v>75</x:v>
      </x:c>
      <x:c r="R405" t="n">
        <x:v>87.7</x:v>
      </x:c>
      <x:c r="S405" t="n">
        <x:v>0.1047</x:v>
      </x:c>
      <x:c r="T405" t="n">
        <x:v>21.1</x:v>
      </x:c>
      <x:c r="U405" t="n">
        <x:v>1701.8</x:v>
      </x:c>
      <x:c r="V405" t="n">
        <x:v>2750</x:v>
      </x:c>
      <x:c r="W405" t="n">
        <x:v>53.8</x:v>
      </x:c>
    </x:row>
    <x:row r="406">
      <x:c r="A406" t="str">
        <x:v>PJT_405</x:v>
      </x:c>
      <x:c r="B406" t="str">
        <x:v>Continental</x:v>
      </x:c>
      <x:c r="C406" t="n">
        <x:v>5730</x:v>
      </x:c>
      <x:c r="D406" t="n">
        <x:v>7</x:v>
      </x:c>
      <x:c r="E406" t="str">
        <x:v>Low</x:v>
      </x:c>
      <x:c r="F406" t="str">
        <x:v>Residential</x:v>
      </x:c>
      <x:c r="G406" t="str">
        <x:v>RC Frame</x:v>
      </x:c>
      <x:c r="H406" t="str">
        <x:v>Raft</x:v>
      </x:c>
      <x:c r="I406" t="str">
        <x:v>Sand</x:v>
      </x:c>
      <x:c r="J406" t="str">
        <x:v>Medium</x:v>
      </x:c>
      <x:c r="K406" t="n">
        <x:v>7993350</x:v>
      </x:c>
      <x:c r="L406" t="n">
        <x:v>189</x:v>
      </x:c>
      <x:c r="M406" t="n">
        <x:v>222.1</x:v>
      </x:c>
      <x:c r="N406" t="n">
        <x:v>3.5</x:v>
      </x:c>
      <x:c r="O406" t="n">
        <x:v>54.4</x:v>
      </x:c>
      <x:c r="P406" t="str">
        <x:v>Cloudy</x:v>
      </x:c>
      <x:c r="Q406" t="n">
        <x:v>62</x:v>
      </x:c>
      <x:c r="R406" t="n">
        <x:v>63.7</x:v>
      </x:c>
      <x:c r="S406" t="n">
        <x:v>0.0706</x:v>
      </x:c>
      <x:c r="T406" t="n">
        <x:v>11.7</x:v>
      </x:c>
      <x:c r="U406" t="n">
        <x:v>818.6</x:v>
      </x:c>
      <x:c r="V406" t="n">
        <x:v>1395</x:v>
      </x:c>
      <x:c r="W406" t="n">
        <x:v>33</x:v>
      </x:c>
    </x:row>
    <x:row r="407">
      <x:c r="A407" t="str">
        <x:v>PJT_406</x:v>
      </x:c>
      <x:c r="B407" t="str">
        <x:v>Humid Subtropical</x:v>
      </x:c>
      <x:c r="C407" t="n">
        <x:v>12950</x:v>
      </x:c>
      <x:c r="D407" t="n">
        <x:v>9</x:v>
      </x:c>
      <x:c r="E407" t="str">
        <x:v>Medium</x:v>
      </x:c>
      <x:c r="F407" t="str">
        <x:v>Hospital</x:v>
      </x:c>
      <x:c r="G407" t="str">
        <x:v>RC Frame</x:v>
      </x:c>
      <x:c r="H407" t="str">
        <x:v>Raft</x:v>
      </x:c>
      <x:c r="I407" t="str">
        <x:v>Mixed</x:v>
      </x:c>
      <x:c r="J407" t="str">
        <x:v>Low</x:v>
      </x:c>
      <x:c r="K407" t="n">
        <x:v>37037000</x:v>
      </x:c>
      <x:c r="L407" t="n">
        <x:v>598</x:v>
      </x:c>
      <x:c r="M407" t="n">
        <x:v>355.4</x:v>
      </x:c>
      <x:c r="N407" t="n">
        <x:v>34</x:v>
      </x:c>
      <x:c r="O407" t="n">
        <x:v>57.1</x:v>
      </x:c>
      <x:c r="P407" t="str">
        <x:v>Sunny</x:v>
      </x:c>
      <x:c r="Q407" t="n">
        <x:v>81</x:v>
      </x:c>
      <x:c r="R407" t="n">
        <x:v>80</x:v>
      </x:c>
      <x:c r="S407" t="n">
        <x:v>0.1072</x:v>
      </x:c>
      <x:c r="T407" t="n">
        <x:v>20.5</x:v>
      </x:c>
      <x:c r="U407" t="n">
        <x:v>1438.9</x:v>
      </x:c>
      <x:c r="V407" t="n">
        <x:v>2860</x:v>
      </x:c>
      <x:c r="W407" t="n">
        <x:v>46.2</x:v>
      </x:c>
    </x:row>
    <x:row r="408">
      <x:c r="A408" t="str">
        <x:v>PJT_407</x:v>
      </x:c>
      <x:c r="B408" t="str">
        <x:v>Mediterranean</x:v>
      </x:c>
      <x:c r="C408" t="n">
        <x:v>12950</x:v>
      </x:c>
      <x:c r="D408" t="n">
        <x:v>11</x:v>
      </x:c>
      <x:c r="E408" t="str">
        <x:v>Medium</x:v>
      </x:c>
      <x:c r="F408" t="str">
        <x:v>Mixed-use</x:v>
      </x:c>
      <x:c r="G408" t="str">
        <x:v>Steel</x:v>
      </x:c>
      <x:c r="H408" t="str">
        <x:v>Raft</x:v>
      </x:c>
      <x:c r="I408" t="str">
        <x:v>Rock</x:v>
      </x:c>
      <x:c r="J408" t="str">
        <x:v>High</x:v>
      </x:c>
      <x:c r="K408" t="n">
        <x:v>33734750</x:v>
      </x:c>
      <x:c r="L408" t="n">
        <x:v>653</x:v>
      </x:c>
      <x:c r="M408" t="n">
        <x:v>711.6</x:v>
      </x:c>
      <x:c r="N408" t="n">
        <x:v>13.8</x:v>
      </x:c>
      <x:c r="O408" t="n">
        <x:v>73.4</x:v>
      </x:c>
      <x:c r="P408" t="str">
        <x:v>Rainy</x:v>
      </x:c>
      <x:c r="Q408" t="n">
        <x:v>88</x:v>
      </x:c>
      <x:c r="R408" t="n">
        <x:v>78</x:v>
      </x:c>
      <x:c r="S408" t="n">
        <x:v>0.1053</x:v>
      </x:c>
      <x:c r="T408" t="n">
        <x:v>17.9</x:v>
      </x:c>
      <x:c r="U408" t="n">
        <x:v>1177.3</x:v>
      </x:c>
      <x:c r="V408" t="n">
        <x:v>2605</x:v>
      </x:c>
      <x:c r="W408" t="n">
        <x:v>50.4</x:v>
      </x:c>
    </x:row>
    <x:row r="409">
      <x:c r="A409" t="str">
        <x:v>PJT_408</x:v>
      </x:c>
      <x:c r="B409" t="str">
        <x:v>Marine</x:v>
      </x:c>
      <x:c r="C409" t="n">
        <x:v>7760</x:v>
      </x:c>
      <x:c r="D409" t="n">
        <x:v>3</x:v>
      </x:c>
      <x:c r="E409" t="str">
        <x:v>Low</x:v>
      </x:c>
      <x:c r="F409" t="str">
        <x:v>School</x:v>
      </x:c>
      <x:c r="G409" t="str">
        <x:v>RC Frame</x:v>
      </x:c>
      <x:c r="H409" t="str">
        <x:v>Raft</x:v>
      </x:c>
      <x:c r="I409" t="str">
        <x:v>Sand</x:v>
      </x:c>
      <x:c r="J409" t="str">
        <x:v>Low</x:v>
      </x:c>
      <x:c r="K409" t="n">
        <x:v>12268560</x:v>
      </x:c>
      <x:c r="L409" t="n">
        <x:v>223</x:v>
      </x:c>
      <x:c r="M409" t="n">
        <x:v>219.4</x:v>
      </x:c>
      <x:c r="N409" t="n">
        <x:v>16.1</x:v>
      </x:c>
      <x:c r="O409" t="n">
        <x:v>87.2</x:v>
      </x:c>
      <x:c r="P409" t="str">
        <x:v>Rainy</x:v>
      </x:c>
      <x:c r="Q409" t="n">
        <x:v>64</x:v>
      </x:c>
      <x:c r="R409" t="n">
        <x:v>64.8</x:v>
      </x:c>
      <x:c r="S409" t="n">
        <x:v>0.0749</x:v>
      </x:c>
      <x:c r="T409" t="n">
        <x:v>13</x:v>
      </x:c>
      <x:c r="U409" t="n">
        <x:v>2586.7</x:v>
      </x:c>
      <x:c r="V409" t="n">
        <x:v>1581</x:v>
      </x:c>
      <x:c r="W409" t="n">
        <x:v>28.7</x:v>
      </x:c>
    </x:row>
    <x:row r="410">
      <x:c r="A410" t="str">
        <x:v>PJT_409</x:v>
      </x:c>
      <x:c r="B410" t="str">
        <x:v>Mediterranean</x:v>
      </x:c>
      <x:c r="C410" t="n">
        <x:v>14630</x:v>
      </x:c>
      <x:c r="D410" t="n">
        <x:v>20</x:v>
      </x:c>
      <x:c r="E410" t="str">
        <x:v>Medium</x:v>
      </x:c>
      <x:c r="F410" t="str">
        <x:v>Residential</x:v>
      </x:c>
      <x:c r="G410" t="str">
        <x:v>Shear Wall</x:v>
      </x:c>
      <x:c r="H410" t="str">
        <x:v>Piles</x:v>
      </x:c>
      <x:c r="I410" t="str">
        <x:v>Mixed</x:v>
      </x:c>
      <x:c r="J410" t="str">
        <x:v>High</x:v>
      </x:c>
      <x:c r="K410" t="n">
        <x:v>25953620</x:v>
      </x:c>
      <x:c r="L410" t="n">
        <x:v>537</x:v>
      </x:c>
      <x:c r="M410" t="n">
        <x:v>332.1</x:v>
      </x:c>
      <x:c r="N410" t="n">
        <x:v>29.1</x:v>
      </x:c>
      <x:c r="O410" t="n">
        <x:v>54.8</x:v>
      </x:c>
      <x:c r="P410" t="str">
        <x:v>Sunny</x:v>
      </x:c>
      <x:c r="Q410" t="n">
        <x:v>73</x:v>
      </x:c>
      <x:c r="R410" t="n">
        <x:v>71.5</x:v>
      </x:c>
      <x:c r="S410" t="n">
        <x:v>0.0812</x:v>
      </x:c>
      <x:c r="T410" t="n">
        <x:v>12.7</x:v>
      </x:c>
      <x:c r="U410" t="n">
        <x:v>731.5</x:v>
      </x:c>
      <x:c r="V410" t="n">
        <x:v>1774</x:v>
      </x:c>
      <x:c r="W410" t="n">
        <x:v>36.7</x:v>
      </x:c>
    </x:row>
    <x:row r="411">
      <x:c r="A411" t="str">
        <x:v>PJT_410</x:v>
      </x:c>
      <x:c r="B411" t="str">
        <x:v>Marine</x:v>
      </x:c>
      <x:c r="C411" t="n">
        <x:v>8830</x:v>
      </x:c>
      <x:c r="D411" t="n">
        <x:v>6</x:v>
      </x:c>
      <x:c r="E411" t="str">
        <x:v>Medium</x:v>
      </x:c>
      <x:c r="F411" t="str">
        <x:v>Commercial</x:v>
      </x:c>
      <x:c r="G411" t="str">
        <x:v>RC Frame</x:v>
      </x:c>
      <x:c r="H411" t="str">
        <x:v>Raft</x:v>
      </x:c>
      <x:c r="I411" t="str">
        <x:v>Rock</x:v>
      </x:c>
      <x:c r="J411" t="str">
        <x:v>Medium</x:v>
      </x:c>
      <x:c r="K411" t="n">
        <x:v>18949180</x:v>
      </x:c>
      <x:c r="L411" t="n">
        <x:v>358</x:v>
      </x:c>
      <x:c r="M411" t="n">
        <x:v>653.5</x:v>
      </x:c>
      <x:c r="N411" t="n">
        <x:v>13.3</x:v>
      </x:c>
      <x:c r="O411" t="n">
        <x:v>67.6</x:v>
      </x:c>
      <x:c r="P411" t="str">
        <x:v>Cloudy</x:v>
      </x:c>
      <x:c r="Q411" t="n">
        <x:v>89</x:v>
      </x:c>
      <x:c r="R411" t="n">
        <x:v>75.7</x:v>
      </x:c>
      <x:c r="S411" t="n">
        <x:v>0.0901</x:v>
      </x:c>
      <x:c r="T411" t="n">
        <x:v>15.6</x:v>
      </x:c>
      <x:c r="U411" t="n">
        <x:v>1471.7</x:v>
      </x:c>
      <x:c r="V411" t="n">
        <x:v>2146</x:v>
      </x:c>
      <x:c r="W411" t="n">
        <x:v>40.5</x:v>
      </x:c>
    </x:row>
    <x:row r="412">
      <x:c r="A412" t="str">
        <x:v>PJT_411</x:v>
      </x:c>
      <x:c r="B412" t="str">
        <x:v>Marine</x:v>
      </x:c>
      <x:c r="C412" t="n">
        <x:v>22960</x:v>
      </x:c>
      <x:c r="D412" t="n">
        <x:v>13</x:v>
      </x:c>
      <x:c r="E412" t="str">
        <x:v>High</x:v>
      </x:c>
      <x:c r="F412" t="str">
        <x:v>Hospital</x:v>
      </x:c>
      <x:c r="G412" t="str">
        <x:v>Shear Wall</x:v>
      </x:c>
      <x:c r="H412" t="str">
        <x:v>Piles</x:v>
      </x:c>
      <x:c r="I412" t="str">
        <x:v>Soft Clay</x:v>
      </x:c>
      <x:c r="J412" t="str">
        <x:v>High</x:v>
      </x:c>
      <x:c r="K412" t="n">
        <x:v>78316560</x:v>
      </x:c>
      <x:c r="L412" t="n">
        <x:v>1332</x:v>
      </x:c>
      <x:c r="M412" t="n">
        <x:v>181.4</x:v>
      </x:c>
      <x:c r="N412" t="n">
        <x:v>8.2</x:v>
      </x:c>
      <x:c r="O412" t="n">
        <x:v>88.7</x:v>
      </x:c>
      <x:c r="P412" t="str">
        <x:v>Stormy</x:v>
      </x:c>
      <x:c r="Q412" t="n">
        <x:v>74</x:v>
      </x:c>
      <x:c r="R412" t="n">
        <x:v>88.3</x:v>
      </x:c>
      <x:c r="S412" t="n">
        <x:v>0.1164</x:v>
      </x:c>
      <x:c r="T412" t="n">
        <x:v>22.1</x:v>
      </x:c>
      <x:c r="U412" t="n">
        <x:v>1766.2</x:v>
      </x:c>
      <x:c r="V412" t="n">
        <x:v>3411</x:v>
      </x:c>
      <x:c r="W412" t="n">
        <x:v>58</x:v>
      </x:c>
    </x:row>
    <x:row r="413">
      <x:c r="A413" t="str">
        <x:v>PJT_412</x:v>
      </x:c>
      <x:c r="B413" t="str">
        <x:v>Marine</x:v>
      </x:c>
      <x:c r="C413" t="n">
        <x:v>19410</x:v>
      </x:c>
      <x:c r="D413" t="n">
        <x:v>18</x:v>
      </x:c>
      <x:c r="E413" t="str">
        <x:v>Medium</x:v>
      </x:c>
      <x:c r="F413" t="str">
        <x:v>Residential</x:v>
      </x:c>
      <x:c r="G413" t="str">
        <x:v>Shear Wall</x:v>
      </x:c>
      <x:c r="H413" t="str">
        <x:v>Piles</x:v>
      </x:c>
      <x:c r="I413" t="str">
        <x:v>Rock</x:v>
      </x:c>
      <x:c r="J413" t="str">
        <x:v>High</x:v>
      </x:c>
      <x:c r="K413" t="n">
        <x:v>35267970</x:v>
      </x:c>
      <x:c r="L413" t="n">
        <x:v>833</x:v>
      </x:c>
      <x:c r="M413" t="n">
        <x:v>625</x:v>
      </x:c>
      <x:c r="N413" t="n">
        <x:v>2</x:v>
      </x:c>
      <x:c r="O413" t="n">
        <x:v>78.5</x:v>
      </x:c>
      <x:c r="P413" t="str">
        <x:v>Snowy</x:v>
      </x:c>
      <x:c r="Q413" t="n">
        <x:v>82</x:v>
      </x:c>
      <x:c r="R413" t="n">
        <x:v>75.6</x:v>
      </x:c>
      <x:c r="S413" t="n">
        <x:v>0.0801</x:v>
      </x:c>
      <x:c r="T413" t="n">
        <x:v>13.3</x:v>
      </x:c>
      <x:c r="U413" t="n">
        <x:v>1078.3</x:v>
      </x:c>
      <x:c r="V413" t="n">
        <x:v>1817</x:v>
      </x:c>
      <x:c r="W413" t="n">
        <x:v>42.9</x:v>
      </x:c>
    </x:row>
    <x:row r="414">
      <x:c r="A414" t="str">
        <x:v>PJT_413</x:v>
      </x:c>
      <x:c r="B414" t="str">
        <x:v>Marine</x:v>
      </x:c>
      <x:c r="C414" t="n">
        <x:v>22900</x:v>
      </x:c>
      <x:c r="D414" t="n">
        <x:v>24</x:v>
      </x:c>
      <x:c r="E414" t="str">
        <x:v>Medium</x:v>
      </x:c>
      <x:c r="F414" t="str">
        <x:v>Residential</x:v>
      </x:c>
      <x:c r="G414" t="str">
        <x:v>Shear Wall</x:v>
      </x:c>
      <x:c r="H414" t="str">
        <x:v>Piles</x:v>
      </x:c>
      <x:c r="I414" t="str">
        <x:v>Soft Clay</x:v>
      </x:c>
      <x:c r="J414" t="str">
        <x:v>High</x:v>
      </x:c>
      <x:c r="K414" t="n">
        <x:v>39044500</x:v>
      </x:c>
      <x:c r="L414" t="n">
        <x:v>962</x:v>
      </x:c>
      <x:c r="M414" t="n">
        <x:v>190.3</x:v>
      </x:c>
      <x:c r="N414" t="n">
        <x:v>19.6</x:v>
      </x:c>
      <x:c r="O414" t="n">
        <x:v>69.3</x:v>
      </x:c>
      <x:c r="P414" t="str">
        <x:v>Cloudy</x:v>
      </x:c>
      <x:c r="Q414" t="n">
        <x:v>84</x:v>
      </x:c>
      <x:c r="R414" t="n">
        <x:v>73.2</x:v>
      </x:c>
      <x:c r="S414" t="n">
        <x:v>0.0859</x:v>
      </x:c>
      <x:c r="T414" t="n">
        <x:v>13.7</x:v>
      </x:c>
      <x:c r="U414" t="n">
        <x:v>954.2</x:v>
      </x:c>
      <x:c r="V414" t="n">
        <x:v>1705</x:v>
      </x:c>
      <x:c r="W414" t="n">
        <x:v>42</x:v>
      </x:c>
    </x:row>
    <x:row r="415">
      <x:c r="A415" t="str">
        <x:v>PJT_414</x:v>
      </x:c>
      <x:c r="B415" t="str">
        <x:v>Continental</x:v>
      </x:c>
      <x:c r="C415" t="n">
        <x:v>10700</x:v>
      </x:c>
      <x:c r="D415" t="n">
        <x:v>11</x:v>
      </x:c>
      <x:c r="E415" t="str">
        <x:v>Medium</x:v>
      </x:c>
      <x:c r="F415" t="str">
        <x:v>Residential</x:v>
      </x:c>
      <x:c r="G415" t="str">
        <x:v>Shear Wall</x:v>
      </x:c>
      <x:c r="H415" t="str">
        <x:v>Raft</x:v>
      </x:c>
      <x:c r="I415" t="str">
        <x:v>Sand</x:v>
      </x:c>
      <x:c r="J415" t="str">
        <x:v>High</x:v>
      </x:c>
      <x:c r="K415" t="n">
        <x:v>16938100</x:v>
      </x:c>
      <x:c r="L415" t="n">
        <x:v>448</x:v>
      </x:c>
      <x:c r="M415" t="n">
        <x:v>307</x:v>
      </x:c>
      <x:c r="N415" t="n">
        <x:v>13.8</x:v>
      </x:c>
      <x:c r="O415" t="n">
        <x:v>77.1</x:v>
      </x:c>
      <x:c r="P415" t="str">
        <x:v>Stormy</x:v>
      </x:c>
      <x:c r="Q415" t="n">
        <x:v>81</x:v>
      </x:c>
      <x:c r="R415" t="n">
        <x:v>71.5</x:v>
      </x:c>
      <x:c r="S415" t="n">
        <x:v>0.0784</x:v>
      </x:c>
      <x:c r="T415" t="n">
        <x:v>13.5</x:v>
      </x:c>
      <x:c r="U415" t="n">
        <x:v>972.7</x:v>
      </x:c>
      <x:c r="V415" t="n">
        <x:v>1583</x:v>
      </x:c>
      <x:c r="W415" t="n">
        <x:v>41.9</x:v>
      </x:c>
    </x:row>
    <x:row r="416">
      <x:c r="A416" t="str">
        <x:v>PJT_415</x:v>
      </x:c>
      <x:c r="B416" t="str">
        <x:v>Humid Subtropical</x:v>
      </x:c>
      <x:c r="C416" t="n">
        <x:v>23960</x:v>
      </x:c>
      <x:c r="D416" t="n">
        <x:v>13</x:v>
      </x:c>
      <x:c r="E416" t="str">
        <x:v>Medium</x:v>
      </x:c>
      <x:c r="F416" t="str">
        <x:v>Commercial</x:v>
      </x:c>
      <x:c r="G416" t="str">
        <x:v>Steel</x:v>
      </x:c>
      <x:c r="H416" t="str">
        <x:v>Piles</x:v>
      </x:c>
      <x:c r="I416" t="str">
        <x:v>Mixed</x:v>
      </x:c>
      <x:c r="J416" t="str">
        <x:v>Low</x:v>
      </x:c>
      <x:c r="K416" t="n">
        <x:v>58869720</x:v>
      </x:c>
      <x:c r="L416" t="n">
        <x:v>1179</x:v>
      </x:c>
      <x:c r="M416" t="n">
        <x:v>321.1</x:v>
      </x:c>
      <x:c r="N416" t="n">
        <x:v>27.5</x:v>
      </x:c>
      <x:c r="O416" t="n">
        <x:v>90.1</x:v>
      </x:c>
      <x:c r="P416" t="str">
        <x:v>Stormy</x:v>
      </x:c>
      <x:c r="Q416" t="n">
        <x:v>94</x:v>
      </x:c>
      <x:c r="R416" t="n">
        <x:v>82.1</x:v>
      </x:c>
      <x:c r="S416" t="n">
        <x:v>0.0954</x:v>
      </x:c>
      <x:c r="T416" t="n">
        <x:v>17.5</x:v>
      </x:c>
      <x:c r="U416" t="n">
        <x:v>1843.1</x:v>
      </x:c>
      <x:c r="V416" t="n">
        <x:v>2457</x:v>
      </x:c>
      <x:c r="W416" t="n">
        <x:v>49.2</x:v>
      </x:c>
    </x:row>
    <x:row r="417">
      <x:c r="A417" t="str">
        <x:v>PJT_416</x:v>
      </x:c>
      <x:c r="B417" t="str">
        <x:v>Marine</x:v>
      </x:c>
      <x:c r="C417" t="n">
        <x:v>24260</x:v>
      </x:c>
      <x:c r="D417" t="n">
        <x:v>19</x:v>
      </x:c>
      <x:c r="E417" t="str">
        <x:v>Medium</x:v>
      </x:c>
      <x:c r="F417" t="str">
        <x:v>Mixed-use</x:v>
      </x:c>
      <x:c r="G417" t="str">
        <x:v>Steel</x:v>
      </x:c>
      <x:c r="H417" t="str">
        <x:v>Piles</x:v>
      </x:c>
      <x:c r="I417" t="str">
        <x:v>Rock</x:v>
      </x:c>
      <x:c r="J417" t="str">
        <x:v>Medium</x:v>
      </x:c>
      <x:c r="K417" t="n">
        <x:v>64944020</x:v>
      </x:c>
      <x:c r="L417" t="n">
        <x:v>1339</x:v>
      </x:c>
      <x:c r="M417" t="n">
        <x:v>798</x:v>
      </x:c>
      <x:c r="N417" t="n">
        <x:v>8.8</x:v>
      </x:c>
      <x:c r="O417" t="n">
        <x:v>81.3</x:v>
      </x:c>
      <x:c r="P417" t="str">
        <x:v>Stormy</x:v>
      </x:c>
      <x:c r="Q417" t="n">
        <x:v>93</x:v>
      </x:c>
      <x:c r="R417" t="n">
        <x:v>86.5</x:v>
      </x:c>
      <x:c r="S417" t="n">
        <x:v>0.1012</x:v>
      </x:c>
      <x:c r="T417" t="n">
        <x:v>18.9</x:v>
      </x:c>
      <x:c r="U417" t="n">
        <x:v>1276.8</x:v>
      </x:c>
      <x:c r="V417" t="n">
        <x:v>2677</x:v>
      </x:c>
      <x:c r="W417" t="n">
        <x:v>55.2</x:v>
      </x:c>
    </x:row>
    <x:row r="418">
      <x:c r="A418" t="str">
        <x:v>PJT_417</x:v>
      </x:c>
      <x:c r="B418" t="str">
        <x:v>Mediterranean</x:v>
      </x:c>
      <x:c r="C418" t="n">
        <x:v>4060</x:v>
      </x:c>
      <x:c r="D418" t="n">
        <x:v>5</x:v>
      </x:c>
      <x:c r="E418" t="str">
        <x:v>Low</x:v>
      </x:c>
      <x:c r="F418" t="str">
        <x:v>Residential</x:v>
      </x:c>
      <x:c r="G418" t="str">
        <x:v>RC Frame</x:v>
      </x:c>
      <x:c r="H418" t="str">
        <x:v>Raft</x:v>
      </x:c>
      <x:c r="I418" t="str">
        <x:v>Sand</x:v>
      </x:c>
      <x:c r="J418" t="str">
        <x:v>Low</x:v>
      </x:c>
      <x:c r="K418" t="n">
        <x:v>5180560</x:v>
      </x:c>
      <x:c r="L418" t="n">
        <x:v>180</x:v>
      </x:c>
      <x:c r="M418" t="n">
        <x:v>220.8</x:v>
      </x:c>
      <x:c r="N418" t="n">
        <x:v>14.7</x:v>
      </x:c>
      <x:c r="O418" t="n">
        <x:v>74</x:v>
      </x:c>
      <x:c r="P418" t="str">
        <x:v>Rainy</x:v>
      </x:c>
      <x:c r="Q418" t="n">
        <x:v>76</x:v>
      </x:c>
      <x:c r="R418" t="n">
        <x:v>60.1</x:v>
      </x:c>
      <x:c r="S418" t="n">
        <x:v>0.0722</x:v>
      </x:c>
      <x:c r="T418" t="n">
        <x:v>12.7</x:v>
      </x:c>
      <x:c r="U418" t="n">
        <x:v>812</x:v>
      </x:c>
      <x:c r="V418" t="n">
        <x:v>1276</x:v>
      </x:c>
      <x:c r="W418" t="n">
        <x:v>33.3</x:v>
      </x:c>
    </x:row>
    <x:row r="419">
      <x:c r="A419" t="str">
        <x:v>PJT_418</x:v>
      </x:c>
      <x:c r="B419" t="str">
        <x:v>Mediterranean</x:v>
      </x:c>
      <x:c r="C419" t="n">
        <x:v>11870</x:v>
      </x:c>
      <x:c r="D419" t="n">
        <x:v>11</x:v>
      </x:c>
      <x:c r="E419" t="str">
        <x:v>Low</x:v>
      </x:c>
      <x:c r="F419" t="str">
        <x:v>Residential</x:v>
      </x:c>
      <x:c r="G419" t="str">
        <x:v>RC Frame</x:v>
      </x:c>
      <x:c r="H419" t="str">
        <x:v>Piles</x:v>
      </x:c>
      <x:c r="I419" t="str">
        <x:v>Soft Clay</x:v>
      </x:c>
      <x:c r="J419" t="str">
        <x:v>Medium</x:v>
      </x:c>
      <x:c r="K419" t="n">
        <x:v>16653610</x:v>
      </x:c>
      <x:c r="L419" t="n">
        <x:v>417</x:v>
      </x:c>
      <x:c r="M419" t="n">
        <x:v>161.9</x:v>
      </x:c>
      <x:c r="N419" t="n">
        <x:v>21</x:v>
      </x:c>
      <x:c r="O419" t="n">
        <x:v>56.9</x:v>
      </x:c>
      <x:c r="P419" t="str">
        <x:v>Cloudy</x:v>
      </x:c>
      <x:c r="Q419" t="n">
        <x:v>53</x:v>
      </x:c>
      <x:c r="R419" t="n">
        <x:v>63.9</x:v>
      </x:c>
      <x:c r="S419" t="n">
        <x:v>0.0704</x:v>
      </x:c>
      <x:c r="T419" t="n">
        <x:v>12.6</x:v>
      </x:c>
      <x:c r="U419" t="n">
        <x:v>1079.1</x:v>
      </x:c>
      <x:c r="V419" t="n">
        <x:v>1403</x:v>
      </x:c>
      <x:c r="W419" t="n">
        <x:v>35.1</x:v>
      </x:c>
    </x:row>
    <x:row r="420">
      <x:c r="A420" t="str">
        <x:v>PJT_419</x:v>
      </x:c>
      <x:c r="B420" t="str">
        <x:v>Humid Subtropical</x:v>
      </x:c>
      <x:c r="C420" t="n">
        <x:v>8900</x:v>
      </x:c>
      <x:c r="D420" t="n">
        <x:v>3</x:v>
      </x:c>
      <x:c r="E420" t="str">
        <x:v>Low</x:v>
      </x:c>
      <x:c r="F420" t="str">
        <x:v>School</x:v>
      </x:c>
      <x:c r="G420" t="str">
        <x:v>RC Frame</x:v>
      </x:c>
      <x:c r="H420" t="str">
        <x:v>Raft</x:v>
      </x:c>
      <x:c r="I420" t="str">
        <x:v>Sand</x:v>
      </x:c>
      <x:c r="J420" t="str">
        <x:v>Medium</x:v>
      </x:c>
      <x:c r="K420" t="n">
        <x:v>14426900</x:v>
      </x:c>
      <x:c r="L420" t="n">
        <x:v>274</x:v>
      </x:c>
      <x:c r="M420" t="n">
        <x:v>260.9</x:v>
      </x:c>
      <x:c r="N420" t="n">
        <x:v>27.5</x:v>
      </x:c>
      <x:c r="O420" t="n">
        <x:v>86.3</x:v>
      </x:c>
      <x:c r="P420" t="str">
        <x:v>Stormy</x:v>
      </x:c>
      <x:c r="Q420" t="n">
        <x:v>73</x:v>
      </x:c>
      <x:c r="R420" t="n">
        <x:v>60.6</x:v>
      </x:c>
      <x:c r="S420" t="n">
        <x:v>0.0803</x:v>
      </x:c>
      <x:c r="T420" t="n">
        <x:v>13.2</x:v>
      </x:c>
      <x:c r="U420" t="n">
        <x:v>2966.7</x:v>
      </x:c>
      <x:c r="V420" t="n">
        <x:v>1621</x:v>
      </x:c>
      <x:c r="W420" t="n">
        <x:v>30.8</x:v>
      </x:c>
    </x:row>
    <x:row r="421">
      <x:c r="A421" t="str">
        <x:v>PJT_420</x:v>
      </x:c>
      <x:c r="B421" t="str">
        <x:v>Mediterranean</x:v>
      </x:c>
      <x:c r="C421" t="n">
        <x:v>15720</x:v>
      </x:c>
      <x:c r="D421" t="n">
        <x:v>19</x:v>
      </x:c>
      <x:c r="E421" t="str">
        <x:v>Medium</x:v>
      </x:c>
      <x:c r="F421" t="str">
        <x:v>Commercial</x:v>
      </x:c>
      <x:c r="G421" t="str">
        <x:v>Steel</x:v>
      </x:c>
      <x:c r="H421" t="str">
        <x:v>Piles</x:v>
      </x:c>
      <x:c r="I421" t="str">
        <x:v>Sand</x:v>
      </x:c>
      <x:c r="J421" t="str">
        <x:v>High</x:v>
      </x:c>
      <x:c r="K421" t="n">
        <x:v>42019560</x:v>
      </x:c>
      <x:c r="L421" t="n">
        <x:v>740</x:v>
      </x:c>
      <x:c r="M421" t="n">
        <x:v>352.2</x:v>
      </x:c>
      <x:c r="N421" t="n">
        <x:v>12.1</x:v>
      </x:c>
      <x:c r="O421" t="n">
        <x:v>72.5</x:v>
      </x:c>
      <x:c r="P421" t="str">
        <x:v>Rainy</x:v>
      </x:c>
      <x:c r="Q421" t="n">
        <x:v>89</x:v>
      </x:c>
      <x:c r="R421" t="n">
        <x:v>75.9</x:v>
      </x:c>
      <x:c r="S421" t="n">
        <x:v>0.0982</x:v>
      </x:c>
      <x:c r="T421" t="n">
        <x:v>16.9</x:v>
      </x:c>
      <x:c r="U421" t="n">
        <x:v>827.4</x:v>
      </x:c>
      <x:c r="V421" t="n">
        <x:v>2673</x:v>
      </x:c>
      <x:c r="W421" t="n">
        <x:v>47.1</x:v>
      </x:c>
    </x:row>
    <x:row r="422">
      <x:c r="A422" t="str">
        <x:v>PJT_421</x:v>
      </x:c>
      <x:c r="B422" t="str">
        <x:v>Humid Subtropical</x:v>
      </x:c>
      <x:c r="C422" t="n">
        <x:v>4300</x:v>
      </x:c>
      <x:c r="D422" t="n">
        <x:v>4</x:v>
      </x:c>
      <x:c r="E422" t="str">
        <x:v>Low</x:v>
      </x:c>
      <x:c r="F422" t="str">
        <x:v>Residential</x:v>
      </x:c>
      <x:c r="G422" t="str">
        <x:v>RC Frame</x:v>
      </x:c>
      <x:c r="H422" t="str">
        <x:v>Raft</x:v>
      </x:c>
      <x:c r="I422" t="str">
        <x:v>Soft Clay</x:v>
      </x:c>
      <x:c r="J422" t="str">
        <x:v>Low</x:v>
      </x:c>
      <x:c r="K422" t="n">
        <x:v>5168600</x:v>
      </x:c>
      <x:c r="L422" t="n">
        <x:v>180</x:v>
      </x:c>
      <x:c r="M422" t="n">
        <x:v>190.6</x:v>
      </x:c>
      <x:c r="N422" t="n">
        <x:v>25.3</x:v>
      </x:c>
      <x:c r="O422" t="n">
        <x:v>80</x:v>
      </x:c>
      <x:c r="P422" t="str">
        <x:v>Rainy</x:v>
      </x:c>
      <x:c r="Q422" t="n">
        <x:v>90</x:v>
      </x:c>
      <x:c r="R422" t="n">
        <x:v>60.1</x:v>
      </x:c>
      <x:c r="S422" t="n">
        <x:v>0.0726</x:v>
      </x:c>
      <x:c r="T422" t="n">
        <x:v>12.4</x:v>
      </x:c>
      <x:c r="U422" t="n">
        <x:v>1075</x:v>
      </x:c>
      <x:c r="V422" t="n">
        <x:v>1202</x:v>
      </x:c>
      <x:c r="W422" t="n">
        <x:v>33.2</x:v>
      </x:c>
    </x:row>
    <x:row r="423">
      <x:c r="A423" t="str">
        <x:v>PJT_422</x:v>
      </x:c>
      <x:c r="B423" t="str">
        <x:v>Humid Subtropical</x:v>
      </x:c>
      <x:c r="C423" t="n">
        <x:v>24000</x:v>
      </x:c>
      <x:c r="D423" t="n">
        <x:v>13</x:v>
      </x:c>
      <x:c r="E423" t="str">
        <x:v>High</x:v>
      </x:c>
      <x:c r="F423" t="str">
        <x:v>Hospital</x:v>
      </x:c>
      <x:c r="G423" t="str">
        <x:v>Shear Wall</x:v>
      </x:c>
      <x:c r="H423" t="str">
        <x:v>Piles</x:v>
      </x:c>
      <x:c r="I423" t="str">
        <x:v>Soft Clay</x:v>
      </x:c>
      <x:c r="J423" t="str">
        <x:v>Medium</x:v>
      </x:c>
      <x:c r="K423" t="n">
        <x:v>79728000</x:v>
      </x:c>
      <x:c r="L423" t="n">
        <x:v>1325</x:v>
      </x:c>
      <x:c r="M423" t="n">
        <x:v>162.2</x:v>
      </x:c>
      <x:c r="N423" t="n">
        <x:v>30.6</x:v>
      </x:c>
      <x:c r="O423" t="n">
        <x:v>53</x:v>
      </x:c>
      <x:c r="P423" t="str">
        <x:v>Sunny</x:v>
      </x:c>
      <x:c r="Q423" t="n">
        <x:v>101</x:v>
      </x:c>
      <x:c r="R423" t="n">
        <x:v>90.1</x:v>
      </x:c>
      <x:c r="S423" t="n">
        <x:v>0.1125</x:v>
      </x:c>
      <x:c r="T423" t="n">
        <x:v>22.3</x:v>
      </x:c>
      <x:c r="U423" t="n">
        <x:v>1846.2</x:v>
      </x:c>
      <x:c r="V423" t="n">
        <x:v>3322</x:v>
      </x:c>
      <x:c r="W423" t="n">
        <x:v>55.2</x:v>
      </x:c>
    </x:row>
    <x:row r="424">
      <x:c r="A424" t="str">
        <x:v>PJT_423</x:v>
      </x:c>
      <x:c r="B424" t="str">
        <x:v>Continental</x:v>
      </x:c>
      <x:c r="C424" t="n">
        <x:v>10780</x:v>
      </x:c>
      <x:c r="D424" t="n">
        <x:v>9</x:v>
      </x:c>
      <x:c r="E424" t="str">
        <x:v>Medium</x:v>
      </x:c>
      <x:c r="F424" t="str">
        <x:v>Residential</x:v>
      </x:c>
      <x:c r="G424" t="str">
        <x:v>RC Frame</x:v>
      </x:c>
      <x:c r="H424" t="str">
        <x:v>Raft</x:v>
      </x:c>
      <x:c r="I424" t="str">
        <x:v>Mixed</x:v>
      </x:c>
      <x:c r="J424" t="str">
        <x:v>Medium</x:v>
      </x:c>
      <x:c r="K424" t="n">
        <x:v>15695680</x:v>
      </x:c>
      <x:c r="L424" t="n">
        <x:v>402</x:v>
      </x:c>
      <x:c r="M424" t="n">
        <x:v>360.3</x:v>
      </x:c>
      <x:c r="N424" t="n">
        <x:v>4.1</x:v>
      </x:c>
      <x:c r="O424" t="n">
        <x:v>80</x:v>
      </x:c>
      <x:c r="P424" t="str">
        <x:v>Stormy</x:v>
      </x:c>
      <x:c r="Q424" t="n">
        <x:v>98</x:v>
      </x:c>
      <x:c r="R424" t="n">
        <x:v>66.1</x:v>
      </x:c>
      <x:c r="S424" t="n">
        <x:v>0.0782</x:v>
      </x:c>
      <x:c r="T424" t="n">
        <x:v>12.3</x:v>
      </x:c>
      <x:c r="U424" t="n">
        <x:v>1197.8</x:v>
      </x:c>
      <x:c r="V424" t="n">
        <x:v>1456</x:v>
      </x:c>
      <x:c r="W424" t="n">
        <x:v>37.3</x:v>
      </x:c>
    </x:row>
    <x:row r="425">
      <x:c r="A425" t="str">
        <x:v>PJT_424</x:v>
      </x:c>
      <x:c r="B425" t="str">
        <x:v>Marine</x:v>
      </x:c>
      <x:c r="C425" t="n">
        <x:v>12820</x:v>
      </x:c>
      <x:c r="D425" t="n">
        <x:v>15</x:v>
      </x:c>
      <x:c r="E425" t="str">
        <x:v>Low</x:v>
      </x:c>
      <x:c r="F425" t="str">
        <x:v>Residential</x:v>
      </x:c>
      <x:c r="G425" t="str">
        <x:v>Shear Wall</x:v>
      </x:c>
      <x:c r="H425" t="str">
        <x:v>Raft</x:v>
      </x:c>
      <x:c r="I425" t="str">
        <x:v>Rock</x:v>
      </x:c>
      <x:c r="J425" t="str">
        <x:v>Medium</x:v>
      </x:c>
      <x:c r="K425" t="n">
        <x:v>19242820</x:v>
      </x:c>
      <x:c r="L425" t="n">
        <x:v>420</x:v>
      </x:c>
      <x:c r="M425" t="n">
        <x:v>725.6</x:v>
      </x:c>
      <x:c r="N425" t="n">
        <x:v>19.4</x:v>
      </x:c>
      <x:c r="O425" t="n">
        <x:v>72.5</x:v>
      </x:c>
      <x:c r="P425" t="str">
        <x:v>Cloudy</x:v>
      </x:c>
      <x:c r="Q425" t="n">
        <x:v>56</x:v>
      </x:c>
      <x:c r="R425" t="n">
        <x:v>69.1</x:v>
      </x:c>
      <x:c r="S425" t="n">
        <x:v>0.0742</x:v>
      </x:c>
      <x:c r="T425" t="n">
        <x:v>11.9</x:v>
      </x:c>
      <x:c r="U425" t="n">
        <x:v>854.7</x:v>
      </x:c>
      <x:c r="V425" t="n">
        <x:v>1501</x:v>
      </x:c>
      <x:c r="W425" t="n">
        <x:v>32.8</x:v>
      </x:c>
    </x:row>
    <x:row r="426">
      <x:c r="A426" t="str">
        <x:v>PJT_425</x:v>
      </x:c>
      <x:c r="B426" t="str">
        <x:v>Mediterranean</x:v>
      </x:c>
      <x:c r="C426" t="n">
        <x:v>26690</x:v>
      </x:c>
      <x:c r="D426" t="n">
        <x:v>22</x:v>
      </x:c>
      <x:c r="E426" t="str">
        <x:v>High</x:v>
      </x:c>
      <x:c r="F426" t="str">
        <x:v>Mixed-use</x:v>
      </x:c>
      <x:c r="G426" t="str">
        <x:v>Steel</x:v>
      </x:c>
      <x:c r="H426" t="str">
        <x:v>Piles</x:v>
      </x:c>
      <x:c r="I426" t="str">
        <x:v>Rock</x:v>
      </x:c>
      <x:c r="J426" t="str">
        <x:v>Low</x:v>
      </x:c>
      <x:c r="K426" t="n">
        <x:v>77294240</x:v>
      </x:c>
      <x:c r="L426" t="n">
        <x:v>1548</x:v>
      </x:c>
      <x:c r="M426" t="n">
        <x:v>681.6</x:v>
      </x:c>
      <x:c r="N426" t="n">
        <x:v>-0.2</x:v>
      </x:c>
      <x:c r="O426" t="n">
        <x:v>77</x:v>
      </x:c>
      <x:c r="P426" t="str">
        <x:v>Snowy</x:v>
      </x:c>
      <x:c r="Q426" t="n">
        <x:v>97</x:v>
      </x:c>
      <x:c r="R426" t="n">
        <x:v>92</x:v>
      </x:c>
      <x:c r="S426" t="n">
        <x:v>0.1054</x:v>
      </x:c>
      <x:c r="T426" t="n">
        <x:v>19.7</x:v>
      </x:c>
      <x:c r="U426" t="n">
        <x:v>1213.2</x:v>
      </x:c>
      <x:c r="V426" t="n">
        <x:v>2896</x:v>
      </x:c>
      <x:c r="W426" t="n">
        <x:v>58</x:v>
      </x:c>
    </x:row>
    <x:row r="427">
      <x:c r="A427" t="str">
        <x:v>PJT_426</x:v>
      </x:c>
      <x:c r="B427" t="str">
        <x:v>Humid Subtropical</x:v>
      </x:c>
      <x:c r="C427" t="n">
        <x:v>24370</x:v>
      </x:c>
      <x:c r="D427" t="n">
        <x:v>11</x:v>
      </x:c>
      <x:c r="E427" t="str">
        <x:v>Medium</x:v>
      </x:c>
      <x:c r="F427" t="str">
        <x:v>Hospital</x:v>
      </x:c>
      <x:c r="G427" t="str">
        <x:v>Shear Wall</x:v>
      </x:c>
      <x:c r="H427" t="str">
        <x:v>Raft</x:v>
      </x:c>
      <x:c r="I427" t="str">
        <x:v>Sand</x:v>
      </x:c>
      <x:c r="J427" t="str">
        <x:v>Medium</x:v>
      </x:c>
      <x:c r="K427" t="n">
        <x:v>73719250</x:v>
      </x:c>
      <x:c r="L427" t="n">
        <x:v>1133</x:v>
      </x:c>
      <x:c r="M427" t="n">
        <x:v>225.5</x:v>
      </x:c>
      <x:c r="N427" t="n">
        <x:v>28.8</x:v>
      </x:c>
      <x:c r="O427" t="n">
        <x:v>66.9</x:v>
      </x:c>
      <x:c r="P427" t="str">
        <x:v>Sunny</x:v>
      </x:c>
      <x:c r="Q427" t="n">
        <x:v>103</x:v>
      </x:c>
      <x:c r="R427" t="n">
        <x:v>85.6</x:v>
      </x:c>
      <x:c r="S427" t="n">
        <x:v>0.1086</x:v>
      </x:c>
      <x:c r="T427" t="n">
        <x:v>20.9</x:v>
      </x:c>
      <x:c r="U427" t="n">
        <x:v>2215.5</x:v>
      </x:c>
      <x:c r="V427" t="n">
        <x:v>3025</x:v>
      </x:c>
      <x:c r="W427" t="n">
        <x:v>46.5</x:v>
      </x:c>
    </x:row>
    <x:row r="428">
      <x:c r="A428" t="str">
        <x:v>PJT_427</x:v>
      </x:c>
      <x:c r="B428" t="str">
        <x:v>Continental</x:v>
      </x:c>
      <x:c r="C428" t="n">
        <x:v>9420</x:v>
      </x:c>
      <x:c r="D428" t="n">
        <x:v>6</x:v>
      </x:c>
      <x:c r="E428" t="str">
        <x:v>Medium</x:v>
      </x:c>
      <x:c r="F428" t="str">
        <x:v>Hospital</x:v>
      </x:c>
      <x:c r="G428" t="str">
        <x:v>Shear Wall</x:v>
      </x:c>
      <x:c r="H428" t="str">
        <x:v>Raft</x:v>
      </x:c>
      <x:c r="I428" t="str">
        <x:v>Rock</x:v>
      </x:c>
      <x:c r="J428" t="str">
        <x:v>High</x:v>
      </x:c>
      <x:c r="K428" t="n">
        <x:v>30219360</x:v>
      </x:c>
      <x:c r="L428" t="n">
        <x:v>500</x:v>
      </x:c>
      <x:c r="M428" t="n">
        <x:v>722</x:v>
      </x:c>
      <x:c r="N428" t="n">
        <x:v>10.9</x:v>
      </x:c>
      <x:c r="O428" t="n">
        <x:v>71.9</x:v>
      </x:c>
      <x:c r="P428" t="str">
        <x:v>Stormy</x:v>
      </x:c>
      <x:c r="Q428" t="n">
        <x:v>103</x:v>
      </x:c>
      <x:c r="R428" t="n">
        <x:v>79.5</x:v>
      </x:c>
      <x:c r="S428" t="n">
        <x:v>0.1092</x:v>
      </x:c>
      <x:c r="T428" t="n">
        <x:v>21.1</x:v>
      </x:c>
      <x:c r="U428" t="n">
        <x:v>1570</x:v>
      </x:c>
      <x:c r="V428" t="n">
        <x:v>3208</x:v>
      </x:c>
      <x:c r="W428" t="n">
        <x:v>53.1</x:v>
      </x:c>
    </x:row>
    <x:row r="429">
      <x:c r="A429" t="str">
        <x:v>PJT_428</x:v>
      </x:c>
      <x:c r="B429" t="str">
        <x:v>Continental</x:v>
      </x:c>
      <x:c r="C429" t="n">
        <x:v>15940</x:v>
      </x:c>
      <x:c r="D429" t="n">
        <x:v>19</x:v>
      </x:c>
      <x:c r="E429" t="str">
        <x:v>Medium</x:v>
      </x:c>
      <x:c r="F429" t="str">
        <x:v>Residential</x:v>
      </x:c>
      <x:c r="G429" t="str">
        <x:v>Shear Wall</x:v>
      </x:c>
      <x:c r="H429" t="str">
        <x:v>Piles</x:v>
      </x:c>
      <x:c r="I429" t="str">
        <x:v>Sand</x:v>
      </x:c>
      <x:c r="J429" t="str">
        <x:v>Medium</x:v>
      </x:c>
      <x:c r="K429" t="n">
        <x:v>26157540</x:v>
      </x:c>
      <x:c r="L429" t="n">
        <x:v>685</x:v>
      </x:c>
      <x:c r="M429" t="n">
        <x:v>344.8</x:v>
      </x:c>
      <x:c r="N429" t="n">
        <x:v>6.4</x:v>
      </x:c>
      <x:c r="O429" t="n">
        <x:v>87.9</x:v>
      </x:c>
      <x:c r="P429" t="str">
        <x:v>Stormy</x:v>
      </x:c>
      <x:c r="Q429" t="n">
        <x:v>90</x:v>
      </x:c>
      <x:c r="R429" t="n">
        <x:v>73.4</x:v>
      </x:c>
      <x:c r="S429" t="n">
        <x:v>0.0803</x:v>
      </x:c>
      <x:c r="T429" t="n">
        <x:v>13.7</x:v>
      </x:c>
      <x:c r="U429" t="n">
        <x:v>838.9</x:v>
      </x:c>
      <x:c r="V429" t="n">
        <x:v>1641</x:v>
      </x:c>
      <x:c r="W429" t="n">
        <x:v>43</x:v>
      </x:c>
    </x:row>
    <x:row r="430">
      <x:c r="A430" t="str">
        <x:v>PJT_429</x:v>
      </x:c>
      <x:c r="B430" t="str">
        <x:v>Mediterranean</x:v>
      </x:c>
      <x:c r="C430" t="n">
        <x:v>19440</x:v>
      </x:c>
      <x:c r="D430" t="n">
        <x:v>13</x:v>
      </x:c>
      <x:c r="E430" t="str">
        <x:v>Medium</x:v>
      </x:c>
      <x:c r="F430" t="str">
        <x:v>Mixed-use</x:v>
      </x:c>
      <x:c r="G430" t="str">
        <x:v>Steel</x:v>
      </x:c>
      <x:c r="H430" t="str">
        <x:v>Piles</x:v>
      </x:c>
      <x:c r="I430" t="str">
        <x:v>Sand</x:v>
      </x:c>
      <x:c r="J430" t="str">
        <x:v>Medium</x:v>
      </x:c>
      <x:c r="K430" t="n">
        <x:v>49883040</x:v>
      </x:c>
      <x:c r="L430" t="n">
        <x:v>931</x:v>
      </x:c>
      <x:c r="M430" t="n">
        <x:v>349.2</x:v>
      </x:c>
      <x:c r="N430" t="n">
        <x:v>21.3</x:v>
      </x:c>
      <x:c r="O430" t="n">
        <x:v>58.8</x:v>
      </x:c>
      <x:c r="P430" t="str">
        <x:v>Sunny</x:v>
      </x:c>
      <x:c r="Q430" t="n">
        <x:v>95</x:v>
      </x:c>
      <x:c r="R430" t="n">
        <x:v>79</x:v>
      </x:c>
      <x:c r="S430" t="n">
        <x:v>0.1055</x:v>
      </x:c>
      <x:c r="T430" t="n">
        <x:v>17.8</x:v>
      </x:c>
      <x:c r="U430" t="n">
        <x:v>1495.4</x:v>
      </x:c>
      <x:c r="V430" t="n">
        <x:v>2566</x:v>
      </x:c>
      <x:c r="W430" t="n">
        <x:v>47.9</x:v>
      </x:c>
    </x:row>
    <x:row r="431">
      <x:c r="A431" t="str">
        <x:v>PJT_430</x:v>
      </x:c>
      <x:c r="B431" t="str">
        <x:v>Marine</x:v>
      </x:c>
      <x:c r="C431" t="n">
        <x:v>15580</x:v>
      </x:c>
      <x:c r="D431" t="n">
        <x:v>16</x:v>
      </x:c>
      <x:c r="E431" t="str">
        <x:v>Medium</x:v>
      </x:c>
      <x:c r="F431" t="str">
        <x:v>Commercial</x:v>
      </x:c>
      <x:c r="G431" t="str">
        <x:v>Steel</x:v>
      </x:c>
      <x:c r="H431" t="str">
        <x:v>Piles</x:v>
      </x:c>
      <x:c r="I431" t="str">
        <x:v>Sand</x:v>
      </x:c>
      <x:c r="J431" t="str">
        <x:v>Medium</x:v>
      </x:c>
      <x:c r="K431" t="n">
        <x:v>38918840</x:v>
      </x:c>
      <x:c r="L431" t="n">
        <x:v>743</x:v>
      </x:c>
      <x:c r="M431" t="n">
        <x:v>234.8</x:v>
      </x:c>
      <x:c r="N431" t="n">
        <x:v>8.1</x:v>
      </x:c>
      <x:c r="O431" t="n">
        <x:v>81.9</x:v>
      </x:c>
      <x:c r="P431" t="str">
        <x:v>Cloudy</x:v>
      </x:c>
      <x:c r="Q431" t="n">
        <x:v>82</x:v>
      </x:c>
      <x:c r="R431" t="n">
        <x:v>82.9</x:v>
      </x:c>
      <x:c r="S431" t="n">
        <x:v>0.0982</x:v>
      </x:c>
      <x:c r="T431" t="n">
        <x:v>17</x:v>
      </x:c>
      <x:c r="U431" t="n">
        <x:v>973.8</x:v>
      </x:c>
      <x:c r="V431" t="n">
        <x:v>2498</x:v>
      </x:c>
      <x:c r="W431" t="n">
        <x:v>47.7</x:v>
      </x:c>
    </x:row>
    <x:row r="432">
      <x:c r="A432" t="str">
        <x:v>PJT_431</x:v>
      </x:c>
      <x:c r="B432" t="str">
        <x:v>Mediterranean</x:v>
      </x:c>
      <x:c r="C432" t="n">
        <x:v>8660</x:v>
      </x:c>
      <x:c r="D432" t="n">
        <x:v>4</x:v>
      </x:c>
      <x:c r="E432" t="str">
        <x:v>Low</x:v>
      </x:c>
      <x:c r="F432" t="str">
        <x:v>School</x:v>
      </x:c>
      <x:c r="G432" t="str">
        <x:v>RC Frame</x:v>
      </x:c>
      <x:c r="H432" t="str">
        <x:v>Raft</x:v>
      </x:c>
      <x:c r="I432" t="str">
        <x:v>Soft Clay</x:v>
      </x:c>
      <x:c r="J432" t="str">
        <x:v>High</x:v>
      </x:c>
      <x:c r="K432" t="n">
        <x:v>15103040</x:v>
      </x:c>
      <x:c r="L432" t="n">
        <x:v>240</x:v>
      </x:c>
      <x:c r="M432" t="n">
        <x:v>208</x:v>
      </x:c>
      <x:c r="N432" t="n">
        <x:v>20.5</x:v>
      </x:c>
      <x:c r="O432" t="n">
        <x:v>50.4</x:v>
      </x:c>
      <x:c r="P432" t="str">
        <x:v>Sunny</x:v>
      </x:c>
      <x:c r="Q432" t="n">
        <x:v>86</x:v>
      </x:c>
      <x:c r="R432" t="n">
        <x:v>61.3</x:v>
      </x:c>
      <x:c r="S432" t="n">
        <x:v>0.078</x:v>
      </x:c>
      <x:c r="T432" t="n">
        <x:v>13</x:v>
      </x:c>
      <x:c r="U432" t="n">
        <x:v>2165</x:v>
      </x:c>
      <x:c r="V432" t="n">
        <x:v>1744</x:v>
      </x:c>
      <x:c r="W432" t="n">
        <x:v>27.7</x:v>
      </x:c>
    </x:row>
    <x:row r="433">
      <x:c r="A433" t="str">
        <x:v>PJT_432</x:v>
      </x:c>
      <x:c r="B433" t="str">
        <x:v>Continental</x:v>
      </x:c>
      <x:c r="C433" t="n">
        <x:v>27810</x:v>
      </x:c>
      <x:c r="D433" t="n">
        <x:v>21</x:v>
      </x:c>
      <x:c r="E433" t="str">
        <x:v>Medium</x:v>
      </x:c>
      <x:c r="F433" t="str">
        <x:v>Commercial</x:v>
      </x:c>
      <x:c r="G433" t="str">
        <x:v>Steel</x:v>
      </x:c>
      <x:c r="H433" t="str">
        <x:v>Piles</x:v>
      </x:c>
      <x:c r="I433" t="str">
        <x:v>Sand</x:v>
      </x:c>
      <x:c r="J433" t="str">
        <x:v>Low</x:v>
      </x:c>
      <x:c r="K433" t="n">
        <x:v>66771810</x:v>
      </x:c>
      <x:c r="L433" t="n">
        <x:v>1357</x:v>
      </x:c>
      <x:c r="M433" t="n">
        <x:v>296.5</x:v>
      </x:c>
      <x:c r="N433" t="n">
        <x:v>-6.7</x:v>
      </x:c>
      <x:c r="O433" t="n">
        <x:v>60.2</x:v>
      </x:c>
      <x:c r="P433" t="str">
        <x:v>Snowy</x:v>
      </x:c>
      <x:c r="Q433" t="n">
        <x:v>81</x:v>
      </x:c>
      <x:c r="R433" t="n">
        <x:v>76.9</x:v>
      </x:c>
      <x:c r="S433" t="n">
        <x:v>0.0961</x:v>
      </x:c>
      <x:c r="T433" t="n">
        <x:v>16.2</x:v>
      </x:c>
      <x:c r="U433" t="n">
        <x:v>1324.3</x:v>
      </x:c>
      <x:c r="V433" t="n">
        <x:v>2401</x:v>
      </x:c>
      <x:c r="W433" t="n">
        <x:v>48.8</x:v>
      </x:c>
    </x:row>
    <x:row r="434">
      <x:c r="A434" t="str">
        <x:v>PJT_433</x:v>
      </x:c>
      <x:c r="B434" t="str">
        <x:v>Continental</x:v>
      </x:c>
      <x:c r="C434" t="n">
        <x:v>32760</x:v>
      </x:c>
      <x:c r="D434" t="n">
        <x:v>17</x:v>
      </x:c>
      <x:c r="E434" t="str">
        <x:v>High</x:v>
      </x:c>
      <x:c r="F434" t="str">
        <x:v>Hospital</x:v>
      </x:c>
      <x:c r="G434" t="str">
        <x:v>Steel</x:v>
      </x:c>
      <x:c r="H434" t="str">
        <x:v>Raft</x:v>
      </x:c>
      <x:c r="I434" t="str">
        <x:v>Rock</x:v>
      </x:c>
      <x:c r="J434" t="str">
        <x:v>Low</x:v>
      </x:c>
      <x:c r="K434" t="n">
        <x:v>103095720</x:v>
      </x:c>
      <x:c r="L434" t="n">
        <x:v>1792</x:v>
      </x:c>
      <x:c r="M434" t="n">
        <x:v>676.8</x:v>
      </x:c>
      <x:c r="N434" t="n">
        <x:v>16.5</x:v>
      </x:c>
      <x:c r="O434" t="n">
        <x:v>55</x:v>
      </x:c>
      <x:c r="P434" t="str">
        <x:v>Sunny</x:v>
      </x:c>
      <x:c r="Q434" t="n">
        <x:v>72</x:v>
      </x:c>
      <x:c r="R434" t="n">
        <x:v>88.9</x:v>
      </x:c>
      <x:c r="S434" t="n">
        <x:v>0.112</x:v>
      </x:c>
      <x:c r="T434" t="n">
        <x:v>22.8</x:v>
      </x:c>
      <x:c r="U434" t="n">
        <x:v>1927.1</x:v>
      </x:c>
      <x:c r="V434" t="n">
        <x:v>3147</x:v>
      </x:c>
      <x:c r="W434" t="n">
        <x:v>54.7</x:v>
      </x:c>
    </x:row>
    <x:row r="435">
      <x:c r="A435" t="str">
        <x:v>PJT_434</x:v>
      </x:c>
      <x:c r="B435" t="str">
        <x:v>Continental</x:v>
      </x:c>
      <x:c r="C435" t="n">
        <x:v>13000</x:v>
      </x:c>
      <x:c r="D435" t="n">
        <x:v>7</x:v>
      </x:c>
      <x:c r="E435" t="str">
        <x:v>Medium</x:v>
      </x:c>
      <x:c r="F435" t="str">
        <x:v>Mixed-use</x:v>
      </x:c>
      <x:c r="G435" t="str">
        <x:v>RC Frame</x:v>
      </x:c>
      <x:c r="H435" t="str">
        <x:v>Raft</x:v>
      </x:c>
      <x:c r="I435" t="str">
        <x:v>Sand</x:v>
      </x:c>
      <x:c r="J435" t="str">
        <x:v>Low</x:v>
      </x:c>
      <x:c r="K435" t="n">
        <x:v>29263000</x:v>
      </x:c>
      <x:c r="L435" t="n">
        <x:v>632</x:v>
      </x:c>
      <x:c r="M435" t="n">
        <x:v>258</x:v>
      </x:c>
      <x:c r="N435" t="n">
        <x:v>4.4</x:v>
      </x:c>
      <x:c r="O435" t="n">
        <x:v>84</x:v>
      </x:c>
      <x:c r="P435" t="str">
        <x:v>Stormy</x:v>
      </x:c>
      <x:c r="Q435" t="n">
        <x:v>102</x:v>
      </x:c>
      <x:c r="R435" t="n">
        <x:v>81.4</x:v>
      </x:c>
      <x:c r="S435" t="n">
        <x:v>0.095</x:v>
      </x:c>
      <x:c r="T435" t="n">
        <x:v>17.9</x:v>
      </x:c>
      <x:c r="U435" t="n">
        <x:v>1857.1</x:v>
      </x:c>
      <x:c r="V435" t="n">
        <x:v>2251</x:v>
      </x:c>
      <x:c r="W435" t="n">
        <x:v>48.6</x:v>
      </x:c>
    </x:row>
    <x:row r="436">
      <x:c r="A436" t="str">
        <x:v>PJT_435</x:v>
      </x:c>
      <x:c r="B436" t="str">
        <x:v>Marine</x:v>
      </x:c>
      <x:c r="C436" t="n">
        <x:v>26270</x:v>
      </x:c>
      <x:c r="D436" t="n">
        <x:v>17</x:v>
      </x:c>
      <x:c r="E436" t="str">
        <x:v>Medium</x:v>
      </x:c>
      <x:c r="F436" t="str">
        <x:v>Mixed-use</x:v>
      </x:c>
      <x:c r="G436" t="str">
        <x:v>Steel</x:v>
      </x:c>
      <x:c r="H436" t="str">
        <x:v>Raft</x:v>
      </x:c>
      <x:c r="I436" t="str">
        <x:v>Rock</x:v>
      </x:c>
      <x:c r="J436" t="str">
        <x:v>Low</x:v>
      </x:c>
      <x:c r="K436" t="n">
        <x:v>67934220</x:v>
      </x:c>
      <x:c r="L436" t="n">
        <x:v>1248</x:v>
      </x:c>
      <x:c r="M436" t="n">
        <x:v>735.4</x:v>
      </x:c>
      <x:c r="N436" t="n">
        <x:v>18.6</x:v>
      </x:c>
      <x:c r="O436" t="n">
        <x:v>81.2</x:v>
      </x:c>
      <x:c r="P436" t="str">
        <x:v>Cloudy</x:v>
      </x:c>
      <x:c r="Q436" t="n">
        <x:v>64</x:v>
      </x:c>
      <x:c r="R436" t="n">
        <x:v>87.6</x:v>
      </x:c>
      <x:c r="S436" t="n">
        <x:v>0.0994</x:v>
      </x:c>
      <x:c r="T436" t="n">
        <x:v>19.3</x:v>
      </x:c>
      <x:c r="U436" t="n">
        <x:v>1545.3</x:v>
      </x:c>
      <x:c r="V436" t="n">
        <x:v>2586</x:v>
      </x:c>
      <x:c r="W436" t="n">
        <x:v>47.5</x:v>
      </x:c>
    </x:row>
    <x:row r="437">
      <x:c r="A437" t="str">
        <x:v>PJT_436</x:v>
      </x:c>
      <x:c r="B437" t="str">
        <x:v>Marine</x:v>
      </x:c>
      <x:c r="C437" t="n">
        <x:v>11110</x:v>
      </x:c>
      <x:c r="D437" t="n">
        <x:v>17</x:v>
      </x:c>
      <x:c r="E437" t="str">
        <x:v>Low</x:v>
      </x:c>
      <x:c r="F437" t="str">
        <x:v>Residential</x:v>
      </x:c>
      <x:c r="G437" t="str">
        <x:v>RC Frame</x:v>
      </x:c>
      <x:c r="H437" t="str">
        <x:v>Piles</x:v>
      </x:c>
      <x:c r="I437" t="str">
        <x:v>Mixed</x:v>
      </x:c>
      <x:c r="J437" t="str">
        <x:v>Low</x:v>
      </x:c>
      <x:c r="K437" t="n">
        <x:v>16109500</x:v>
      </x:c>
      <x:c r="L437" t="n">
        <x:v>417</x:v>
      </x:c>
      <x:c r="M437" t="n">
        <x:v>350.3</x:v>
      </x:c>
      <x:c r="N437" t="n">
        <x:v>10.9</x:v>
      </x:c>
      <x:c r="O437" t="n">
        <x:v>78.4</x:v>
      </x:c>
      <x:c r="P437" t="str">
        <x:v>Stormy</x:v>
      </x:c>
      <x:c r="Q437" t="n">
        <x:v>71</x:v>
      </x:c>
      <x:c r="R437" t="n">
        <x:v>70.1</x:v>
      </x:c>
      <x:c r="S437" t="n">
        <x:v>0.0765</x:v>
      </x:c>
      <x:c r="T437" t="n">
        <x:v>12.8</x:v>
      </x:c>
      <x:c r="U437" t="n">
        <x:v>653.5</x:v>
      </x:c>
      <x:c r="V437" t="n">
        <x:v>1450</x:v>
      </x:c>
      <x:c r="W437" t="n">
        <x:v>37.5</x:v>
      </x:c>
    </x:row>
    <x:row r="438">
      <x:c r="A438" t="str">
        <x:v>PJT_437</x:v>
      </x:c>
      <x:c r="B438" t="str">
        <x:v>Humid Subtropical</x:v>
      </x:c>
      <x:c r="C438" t="n">
        <x:v>21110</x:v>
      </x:c>
      <x:c r="D438" t="n">
        <x:v>15</x:v>
      </x:c>
      <x:c r="E438" t="str">
        <x:v>High</x:v>
      </x:c>
      <x:c r="F438" t="str">
        <x:v>Mixed-use</x:v>
      </x:c>
      <x:c r="G438" t="str">
        <x:v>Shear Wall</x:v>
      </x:c>
      <x:c r="H438" t="str">
        <x:v>Raft</x:v>
      </x:c>
      <x:c r="I438" t="str">
        <x:v>Rock</x:v>
      </x:c>
      <x:c r="J438" t="str">
        <x:v>High</x:v>
      </x:c>
      <x:c r="K438" t="n">
        <x:v>57714740</x:v>
      </x:c>
      <x:c r="L438" t="n">
        <x:v>1064</x:v>
      </x:c>
      <x:c r="M438" t="n">
        <x:v>682.8</x:v>
      </x:c>
      <x:c r="N438" t="n">
        <x:v>24.2</x:v>
      </x:c>
      <x:c r="O438" t="n">
        <x:v>67.9</x:v>
      </x:c>
      <x:c r="P438" t="str">
        <x:v>Cloudy</x:v>
      </x:c>
      <x:c r="Q438" t="n">
        <x:v>100</x:v>
      </x:c>
      <x:c r="R438" t="n">
        <x:v>86.7</x:v>
      </x:c>
      <x:c r="S438" t="n">
        <x:v>0.1052</x:v>
      </x:c>
      <x:c r="T438" t="n">
        <x:v>19.6</x:v>
      </x:c>
      <x:c r="U438" t="n">
        <x:v>1407.3</x:v>
      </x:c>
      <x:c r="V438" t="n">
        <x:v>2734</x:v>
      </x:c>
      <x:c r="W438" t="n">
        <x:v>50.4</x:v>
      </x:c>
    </x:row>
    <x:row r="439">
      <x:c r="A439" t="str">
        <x:v>PJT_438</x:v>
      </x:c>
      <x:c r="B439" t="str">
        <x:v>Marine</x:v>
      </x:c>
      <x:c r="C439" t="n">
        <x:v>27840</x:v>
      </x:c>
      <x:c r="D439" t="n">
        <x:v>17</x:v>
      </x:c>
      <x:c r="E439" t="str">
        <x:v>Medium</x:v>
      </x:c>
      <x:c r="F439" t="str">
        <x:v>Commercial</x:v>
      </x:c>
      <x:c r="G439" t="str">
        <x:v>Steel</x:v>
      </x:c>
      <x:c r="H439" t="str">
        <x:v>Piles</x:v>
      </x:c>
      <x:c r="I439" t="str">
        <x:v>Sand</x:v>
      </x:c>
      <x:c r="J439" t="str">
        <x:v>Medium</x:v>
      </x:c>
      <x:c r="K439" t="n">
        <x:v>71159040</x:v>
      </x:c>
      <x:c r="L439" t="n">
        <x:v>1364</x:v>
      </x:c>
      <x:c r="M439" t="n">
        <x:v>337.5</x:v>
      </x:c>
      <x:c r="N439" t="n">
        <x:v>8</x:v>
      </x:c>
      <x:c r="O439" t="n">
        <x:v>87.5</x:v>
      </x:c>
      <x:c r="P439" t="str">
        <x:v>Stormy</x:v>
      </x:c>
      <x:c r="Q439" t="n">
        <x:v>106</x:v>
      </x:c>
      <x:c r="R439" t="n">
        <x:v>75.5</x:v>
      </x:c>
      <x:c r="S439" t="n">
        <x:v>0.0935</x:v>
      </x:c>
      <x:c r="T439" t="n">
        <x:v>17.3</x:v>
      </x:c>
      <x:c r="U439" t="n">
        <x:v>1637.6</x:v>
      </x:c>
      <x:c r="V439" t="n">
        <x:v>2556</x:v>
      </x:c>
      <x:c r="W439" t="n">
        <x:v>49</x:v>
      </x:c>
    </x:row>
    <x:row r="440">
      <x:c r="A440" t="str">
        <x:v>PJT_439</x:v>
      </x:c>
      <x:c r="B440" t="str">
        <x:v>Humid Subtropical</x:v>
      </x:c>
      <x:c r="C440" t="n">
        <x:v>13770</x:v>
      </x:c>
      <x:c r="D440" t="n">
        <x:v>12</x:v>
      </x:c>
      <x:c r="E440" t="str">
        <x:v>Medium</x:v>
      </x:c>
      <x:c r="F440" t="str">
        <x:v>Commercial</x:v>
      </x:c>
      <x:c r="G440" t="str">
        <x:v>Steel</x:v>
      </x:c>
      <x:c r="H440" t="str">
        <x:v>Raft</x:v>
      </x:c>
      <x:c r="I440" t="str">
        <x:v>Rock</x:v>
      </x:c>
      <x:c r="J440" t="str">
        <x:v>Low</x:v>
      </x:c>
      <x:c r="K440" t="n">
        <x:v>31657230</x:v>
      </x:c>
      <x:c r="L440" t="n">
        <x:v>595</x:v>
      </x:c>
      <x:c r="M440" t="n">
        <x:v>610.3</x:v>
      </x:c>
      <x:c r="N440" t="n">
        <x:v>29.1</x:v>
      </x:c>
      <x:c r="O440" t="n">
        <x:v>75.3</x:v>
      </x:c>
      <x:c r="P440" t="str">
        <x:v>Cloudy</x:v>
      </x:c>
      <x:c r="Q440" t="n">
        <x:v>75</x:v>
      </x:c>
      <x:c r="R440" t="n">
        <x:v>80</x:v>
      </x:c>
      <x:c r="S440" t="n">
        <x:v>0.0983</x:v>
      </x:c>
      <x:c r="T440" t="n">
        <x:v>16.8</x:v>
      </x:c>
      <x:c r="U440" t="n">
        <x:v>1147.5</x:v>
      </x:c>
      <x:c r="V440" t="n">
        <x:v>2299</x:v>
      </x:c>
      <x:c r="W440" t="n">
        <x:v>43.2</x:v>
      </x:c>
    </x:row>
    <x:row r="441">
      <x:c r="A441" t="str">
        <x:v>PJT_440</x:v>
      </x:c>
      <x:c r="B441" t="str">
        <x:v>Continental</x:v>
      </x:c>
      <x:c r="C441" t="n">
        <x:v>19890</x:v>
      </x:c>
      <x:c r="D441" t="n">
        <x:v>14</x:v>
      </x:c>
      <x:c r="E441" t="str">
        <x:v>Medium</x:v>
      </x:c>
      <x:c r="F441" t="str">
        <x:v>Mixed-use</x:v>
      </x:c>
      <x:c r="G441" t="str">
        <x:v>Steel</x:v>
      </x:c>
      <x:c r="H441" t="str">
        <x:v>Piles</x:v>
      </x:c>
      <x:c r="I441" t="str">
        <x:v>Sand</x:v>
      </x:c>
      <x:c r="J441" t="str">
        <x:v>Low</x:v>
      </x:c>
      <x:c r="K441" t="n">
        <x:v>50818950</x:v>
      </x:c>
      <x:c r="L441" t="n">
        <x:v>981</x:v>
      </x:c>
      <x:c r="M441" t="n">
        <x:v>283.2</x:v>
      </x:c>
      <x:c r="N441" t="n">
        <x:v>12.6</x:v>
      </x:c>
      <x:c r="O441" t="n">
        <x:v>48.7</x:v>
      </x:c>
      <x:c r="P441" t="str">
        <x:v>Sunny</x:v>
      </x:c>
      <x:c r="Q441" t="n">
        <x:v>101</x:v>
      </x:c>
      <x:c r="R441" t="n">
        <x:v>78.2</x:v>
      </x:c>
      <x:c r="S441" t="n">
        <x:v>0.1011</x:v>
      </x:c>
      <x:c r="T441" t="n">
        <x:v>18.5</x:v>
      </x:c>
      <x:c r="U441" t="n">
        <x:v>1420.7</x:v>
      </x:c>
      <x:c r="V441" t="n">
        <x:v>2555</x:v>
      </x:c>
      <x:c r="W441" t="n">
        <x:v>49.3</x:v>
      </x:c>
    </x:row>
    <x:row r="442">
      <x:c r="A442" t="str">
        <x:v>PJT_441</x:v>
      </x:c>
      <x:c r="B442" t="str">
        <x:v>Continental</x:v>
      </x:c>
      <x:c r="C442" t="n">
        <x:v>18830</x:v>
      </x:c>
      <x:c r="D442" t="n">
        <x:v>10</x:v>
      </x:c>
      <x:c r="E442" t="str">
        <x:v>Medium</x:v>
      </x:c>
      <x:c r="F442" t="str">
        <x:v>Commercial</x:v>
      </x:c>
      <x:c r="G442" t="str">
        <x:v>Steel</x:v>
      </x:c>
      <x:c r="H442" t="str">
        <x:v>Piles</x:v>
      </x:c>
      <x:c r="I442" t="str">
        <x:v>Soft Clay</x:v>
      </x:c>
      <x:c r="J442" t="str">
        <x:v>Low</x:v>
      </x:c>
      <x:c r="K442" t="n">
        <x:v>44005710</x:v>
      </x:c>
      <x:c r="L442" t="n">
        <x:v>804</x:v>
      </x:c>
      <x:c r="M442" t="n">
        <x:v>195.8</x:v>
      </x:c>
      <x:c r="N442" t="n">
        <x:v>10.8</x:v>
      </x:c>
      <x:c r="O442" t="n">
        <x:v>50.4</x:v>
      </x:c>
      <x:c r="P442" t="str">
        <x:v>Sunny</x:v>
      </x:c>
      <x:c r="Q442" t="n">
        <x:v>93</x:v>
      </x:c>
      <x:c r="R442" t="n">
        <x:v>76.8</x:v>
      </x:c>
      <x:c r="S442" t="n">
        <x:v>0.0985</x:v>
      </x:c>
      <x:c r="T442" t="n">
        <x:v>18.1</x:v>
      </x:c>
      <x:c r="U442" t="n">
        <x:v>1883</x:v>
      </x:c>
      <x:c r="V442" t="n">
        <x:v>2337</x:v>
      </x:c>
      <x:c r="W442" t="n">
        <x:v>42.7</x:v>
      </x:c>
    </x:row>
    <x:row r="443">
      <x:c r="A443" t="str">
        <x:v>PJT_442</x:v>
      </x:c>
      <x:c r="B443" t="str">
        <x:v>Mediterranean</x:v>
      </x:c>
      <x:c r="C443" t="n">
        <x:v>8960</x:v>
      </x:c>
      <x:c r="D443" t="n">
        <x:v>9</x:v>
      </x:c>
      <x:c r="E443" t="str">
        <x:v>Medium</x:v>
      </x:c>
      <x:c r="F443" t="str">
        <x:v>Residential</x:v>
      </x:c>
      <x:c r="G443" t="str">
        <x:v>Shear Wall</x:v>
      </x:c>
      <x:c r="H443" t="str">
        <x:v>Raft</x:v>
      </x:c>
      <x:c r="I443" t="str">
        <x:v>Mixed</x:v>
      </x:c>
      <x:c r="J443" t="str">
        <x:v>High</x:v>
      </x:c>
      <x:c r="K443" t="n">
        <x:v>14864640</x:v>
      </x:c>
      <x:c r="L443" t="n">
        <x:v>339</x:v>
      </x:c>
      <x:c r="M443" t="n">
        <x:v>282.2</x:v>
      </x:c>
      <x:c r="N443" t="n">
        <x:v>20.5</x:v>
      </x:c>
      <x:c r="O443" t="n">
        <x:v>66.6</x:v>
      </x:c>
      <x:c r="P443" t="str">
        <x:v>Cloudy</x:v>
      </x:c>
      <x:c r="Q443" t="n">
        <x:v>53</x:v>
      </x:c>
      <x:c r="R443" t="n">
        <x:v>66.9</x:v>
      </x:c>
      <x:c r="S443" t="n">
        <x:v>0.081</x:v>
      </x:c>
      <x:c r="T443" t="n">
        <x:v>14.2</x:v>
      </x:c>
      <x:c r="U443" t="n">
        <x:v>995.6</x:v>
      </x:c>
      <x:c r="V443" t="n">
        <x:v>1659</x:v>
      </x:c>
      <x:c r="W443" t="n">
        <x:v>37.8</x:v>
      </x:c>
    </x:row>
    <x:row r="444">
      <x:c r="A444" t="str">
        <x:v>PJT_443</x:v>
      </x:c>
      <x:c r="B444" t="str">
        <x:v>Continental</x:v>
      </x:c>
      <x:c r="C444" t="n">
        <x:v>20630</x:v>
      </x:c>
      <x:c r="D444" t="n">
        <x:v>13</x:v>
      </x:c>
      <x:c r="E444" t="str">
        <x:v>Medium</x:v>
      </x:c>
      <x:c r="F444" t="str">
        <x:v>Hospital</x:v>
      </x:c>
      <x:c r="G444" t="str">
        <x:v>Steel</x:v>
      </x:c>
      <x:c r="H444" t="str">
        <x:v>Piles</x:v>
      </x:c>
      <x:c r="I444" t="str">
        <x:v>Soft Clay</x:v>
      </x:c>
      <x:c r="J444" t="str">
        <x:v>Low</x:v>
      </x:c>
      <x:c r="K444" t="n">
        <x:v>64406860</x:v>
      </x:c>
      <x:c r="L444" t="n">
        <x:v>1114</x:v>
      </x:c>
      <x:c r="M444" t="n">
        <x:v>223.3</x:v>
      </x:c>
      <x:c r="N444" t="n">
        <x:v>13.9</x:v>
      </x:c>
      <x:c r="O444" t="n">
        <x:v>71.2</x:v>
      </x:c>
      <x:c r="P444" t="str">
        <x:v>Stormy</x:v>
      </x:c>
      <x:c r="Q444" t="n">
        <x:v>108</x:v>
      </x:c>
      <x:c r="R444" t="n">
        <x:v>84</x:v>
      </x:c>
      <x:c r="S444" t="n">
        <x:v>0.1123</x:v>
      </x:c>
      <x:c r="T444" t="n">
        <x:v>21.7</x:v>
      </x:c>
      <x:c r="U444" t="n">
        <x:v>1586.9</x:v>
      </x:c>
      <x:c r="V444" t="n">
        <x:v>3122</x:v>
      </x:c>
      <x:c r="W444" t="n">
        <x:v>54</x:v>
      </x:c>
    </x:row>
    <x:row r="445">
      <x:c r="A445" t="str">
        <x:v>PJT_444</x:v>
      </x:c>
      <x:c r="B445" t="str">
        <x:v>Humid Subtropical</x:v>
      </x:c>
      <x:c r="C445" t="n">
        <x:v>23990</x:v>
      </x:c>
      <x:c r="D445" t="n">
        <x:v>22</x:v>
      </x:c>
      <x:c r="E445" t="str">
        <x:v>Medium</x:v>
      </x:c>
      <x:c r="F445" t="str">
        <x:v>Residential</x:v>
      </x:c>
      <x:c r="G445" t="str">
        <x:v>Shear Wall</x:v>
      </x:c>
      <x:c r="H445" t="str">
        <x:v>Piles</x:v>
      </x:c>
      <x:c r="I445" t="str">
        <x:v>Sand</x:v>
      </x:c>
      <x:c r="J445" t="str">
        <x:v>Medium</x:v>
      </x:c>
      <x:c r="K445" t="n">
        <x:v>40183250</x:v>
      </x:c>
      <x:c r="L445" t="n">
        <x:v>1058</x:v>
      </x:c>
      <x:c r="M445" t="n">
        <x:v>249.9</x:v>
      </x:c>
      <x:c r="N445" t="n">
        <x:v>25.7</x:v>
      </x:c>
      <x:c r="O445" t="n">
        <x:v>94</x:v>
      </x:c>
      <x:c r="P445" t="str">
        <x:v>Stormy</x:v>
      </x:c>
      <x:c r="Q445" t="n">
        <x:v>98</x:v>
      </x:c>
      <x:c r="R445" t="n">
        <x:v>76</x:v>
      </x:c>
      <x:c r="S445" t="n">
        <x:v>0.0839</x:v>
      </x:c>
      <x:c r="T445" t="n">
        <x:v>12.9</x:v>
      </x:c>
      <x:c r="U445" t="n">
        <x:v>1090.5</x:v>
      </x:c>
      <x:c r="V445" t="n">
        <x:v>1675</x:v>
      </x:c>
      <x:c r="W445" t="n">
        <x:v>44.1</x:v>
      </x:c>
    </x:row>
    <x:row r="446">
      <x:c r="A446" t="str">
        <x:v>PJT_445</x:v>
      </x:c>
      <x:c r="B446" t="str">
        <x:v>Humid Subtropical</x:v>
      </x:c>
      <x:c r="C446" t="n">
        <x:v>8670</x:v>
      </x:c>
      <x:c r="D446" t="n">
        <x:v>3</x:v>
      </x:c>
      <x:c r="E446" t="str">
        <x:v>Low</x:v>
      </x:c>
      <x:c r="F446" t="str">
        <x:v>School</x:v>
      </x:c>
      <x:c r="G446" t="str">
        <x:v>RC Frame</x:v>
      </x:c>
      <x:c r="H446" t="str">
        <x:v>Raft</x:v>
      </x:c>
      <x:c r="I446" t="str">
        <x:v>Rock</x:v>
      </x:c>
      <x:c r="J446" t="str">
        <x:v>Low</x:v>
      </x:c>
      <x:c r="K446" t="n">
        <x:v>14123430</x:v>
      </x:c>
      <x:c r="L446" t="n">
        <x:v>247</x:v>
      </x:c>
      <x:c r="M446" t="n">
        <x:v>630.7</x:v>
      </x:c>
      <x:c r="N446" t="n">
        <x:v>26</x:v>
      </x:c>
      <x:c r="O446" t="n">
        <x:v>68</x:v>
      </x:c>
      <x:c r="P446" t="str">
        <x:v>Sunny</x:v>
      </x:c>
      <x:c r="Q446" t="n">
        <x:v>61</x:v>
      </x:c>
      <x:c r="R446" t="n">
        <x:v>65.3</x:v>
      </x:c>
      <x:c r="S446" t="n">
        <x:v>0.0766</x:v>
      </x:c>
      <x:c r="T446" t="n">
        <x:v>13.1</x:v>
      </x:c>
      <x:c r="U446" t="n">
        <x:v>2890</x:v>
      </x:c>
      <x:c r="V446" t="n">
        <x:v>1629</x:v>
      </x:c>
      <x:c r="W446" t="n">
        <x:v>28.5</x:v>
      </x:c>
    </x:row>
    <x:row r="447">
      <x:c r="A447" t="str">
        <x:v>PJT_446</x:v>
      </x:c>
      <x:c r="B447" t="str">
        <x:v>Marine</x:v>
      </x:c>
      <x:c r="C447" t="n">
        <x:v>8940</x:v>
      </x:c>
      <x:c r="D447" t="n">
        <x:v>12</x:v>
      </x:c>
      <x:c r="E447" t="str">
        <x:v>Low</x:v>
      </x:c>
      <x:c r="F447" t="str">
        <x:v>Residential</x:v>
      </x:c>
      <x:c r="G447" t="str">
        <x:v>RC Frame</x:v>
      </x:c>
      <x:c r="H447" t="str">
        <x:v>Piles</x:v>
      </x:c>
      <x:c r="I447" t="str">
        <x:v>Sand</x:v>
      </x:c>
      <x:c r="J447" t="str">
        <x:v>Low</x:v>
      </x:c>
      <x:c r="K447" t="n">
        <x:v>13275900</x:v>
      </x:c>
      <x:c r="L447" t="n">
        <x:v>322</x:v>
      </x:c>
      <x:c r="M447" t="n">
        <x:v>330.8</x:v>
      </x:c>
      <x:c r="N447" t="n">
        <x:v>7.6</x:v>
      </x:c>
      <x:c r="O447" t="n">
        <x:v>86.9</x:v>
      </x:c>
      <x:c r="P447" t="str">
        <x:v>Rainy</x:v>
      </x:c>
      <x:c r="Q447" t="n">
        <x:v>93</x:v>
      </x:c>
      <x:c r="R447" t="n">
        <x:v>62</x:v>
      </x:c>
      <x:c r="S447" t="n">
        <x:v>0.0742</x:v>
      </x:c>
      <x:c r="T447" t="n">
        <x:v>12</x:v>
      </x:c>
      <x:c r="U447" t="n">
        <x:v>745</x:v>
      </x:c>
      <x:c r="V447" t="n">
        <x:v>1485</x:v>
      </x:c>
      <x:c r="W447" t="n">
        <x:v>36</x:v>
      </x:c>
    </x:row>
    <x:row r="448">
      <x:c r="A448" t="str">
        <x:v>PJT_447</x:v>
      </x:c>
      <x:c r="B448" t="str">
        <x:v>Mediterranean</x:v>
      </x:c>
      <x:c r="C448" t="n">
        <x:v>23820</x:v>
      </x:c>
      <x:c r="D448" t="n">
        <x:v>15</x:v>
      </x:c>
      <x:c r="E448" t="str">
        <x:v>Medium</x:v>
      </x:c>
      <x:c r="F448" t="str">
        <x:v>Commercial</x:v>
      </x:c>
      <x:c r="G448" t="str">
        <x:v>Steel</x:v>
      </x:c>
      <x:c r="H448" t="str">
        <x:v>Piles</x:v>
      </x:c>
      <x:c r="I448" t="str">
        <x:v>Mixed</x:v>
      </x:c>
      <x:c r="J448" t="str">
        <x:v>Medium</x:v>
      </x:c>
      <x:c r="K448" t="n">
        <x:v>56977440</x:v>
      </x:c>
      <x:c r="L448" t="n">
        <x:v>1096</x:v>
      </x:c>
      <x:c r="M448" t="n">
        <x:v>419</x:v>
      </x:c>
      <x:c r="N448" t="n">
        <x:v>19.9</x:v>
      </x:c>
      <x:c r="O448" t="n">
        <x:v>58.7</x:v>
      </x:c>
      <x:c r="P448" t="str">
        <x:v>Sunny</x:v>
      </x:c>
      <x:c r="Q448" t="n">
        <x:v>88</x:v>
      </x:c>
      <x:c r="R448" t="n">
        <x:v>78.5</x:v>
      </x:c>
      <x:c r="S448" t="n">
        <x:v>0.0982</x:v>
      </x:c>
      <x:c r="T448" t="n">
        <x:v>16.6</x:v>
      </x:c>
      <x:c r="U448" t="n">
        <x:v>1588</x:v>
      </x:c>
      <x:c r="V448" t="n">
        <x:v>2392</x:v>
      </x:c>
      <x:c r="W448" t="n">
        <x:v>46</x:v>
      </x:c>
    </x:row>
    <x:row r="449">
      <x:c r="A449" t="str">
        <x:v>PJT_448</x:v>
      </x:c>
      <x:c r="B449" t="str">
        <x:v>Continental</x:v>
      </x:c>
      <x:c r="C449" t="n">
        <x:v>13950</x:v>
      </x:c>
      <x:c r="D449" t="n">
        <x:v>16</x:v>
      </x:c>
      <x:c r="E449" t="str">
        <x:v>Medium</x:v>
      </x:c>
      <x:c r="F449" t="str">
        <x:v>Residential</x:v>
      </x:c>
      <x:c r="G449" t="str">
        <x:v>Shear Wall</x:v>
      </x:c>
      <x:c r="H449" t="str">
        <x:v>Raft</x:v>
      </x:c>
      <x:c r="I449" t="str">
        <x:v>Rock</x:v>
      </x:c>
      <x:c r="J449" t="str">
        <x:v>High</x:v>
      </x:c>
      <x:c r="K449" t="n">
        <x:v>23533650</x:v>
      </x:c>
      <x:c r="L449" t="n">
        <x:v>547</x:v>
      </x:c>
      <x:c r="M449" t="n">
        <x:v>728.7</x:v>
      </x:c>
      <x:c r="N449" t="n">
        <x:v>10.3</x:v>
      </x:c>
      <x:c r="O449" t="n">
        <x:v>72.3</x:v>
      </x:c>
      <x:c r="P449" t="str">
        <x:v>Rainy</x:v>
      </x:c>
      <x:c r="Q449" t="n">
        <x:v>84</x:v>
      </x:c>
      <x:c r="R449" t="n">
        <x:v>69.7</x:v>
      </x:c>
      <x:c r="S449" t="n">
        <x:v>0.0857</x:v>
      </x:c>
      <x:c r="T449" t="n">
        <x:v>14.4</x:v>
      </x:c>
      <x:c r="U449" t="n">
        <x:v>871.9</x:v>
      </x:c>
      <x:c r="V449" t="n">
        <x:v>1687</x:v>
      </x:c>
      <x:c r="W449" t="n">
        <x:v>39.2</x:v>
      </x:c>
    </x:row>
    <x:row r="450">
      <x:c r="A450" t="str">
        <x:v>PJT_449</x:v>
      </x:c>
      <x:c r="B450" t="str">
        <x:v>Mediterranean</x:v>
      </x:c>
      <x:c r="C450" t="n">
        <x:v>17500</x:v>
      </x:c>
      <x:c r="D450" t="n">
        <x:v>16</x:v>
      </x:c>
      <x:c r="E450" t="str">
        <x:v>Medium</x:v>
      </x:c>
      <x:c r="F450" t="str">
        <x:v>Mixed-use</x:v>
      </x:c>
      <x:c r="G450" t="str">
        <x:v>Steel</x:v>
      </x:c>
      <x:c r="H450" t="str">
        <x:v>Raft</x:v>
      </x:c>
      <x:c r="I450" t="str">
        <x:v>Rock</x:v>
      </x:c>
      <x:c r="J450" t="str">
        <x:v>High</x:v>
      </x:c>
      <x:c r="K450" t="n">
        <x:v>48352500</x:v>
      </x:c>
      <x:c r="L450" t="n">
        <x:v>884</x:v>
      </x:c>
      <x:c r="M450" t="n">
        <x:v>727.7</x:v>
      </x:c>
      <x:c r="N450" t="n">
        <x:v>11.2</x:v>
      </x:c>
      <x:c r="O450" t="n">
        <x:v>83</x:v>
      </x:c>
      <x:c r="P450" t="str">
        <x:v>Stormy</x:v>
      </x:c>
      <x:c r="Q450" t="n">
        <x:v>75</x:v>
      </x:c>
      <x:c r="R450" t="n">
        <x:v>80.4</x:v>
      </x:c>
      <x:c r="S450" t="n">
        <x:v>0.0988</x:v>
      </x:c>
      <x:c r="T450" t="n">
        <x:v>17.6</x:v>
      </x:c>
      <x:c r="U450" t="n">
        <x:v>1093.8</x:v>
      </x:c>
      <x:c r="V450" t="n">
        <x:v>2763</x:v>
      </x:c>
      <x:c r="W450" t="n">
        <x:v>50.5</x:v>
      </x:c>
    </x:row>
    <x:row r="451">
      <x:c r="A451" t="str">
        <x:v>PJT_450</x:v>
      </x:c>
      <x:c r="B451" t="str">
        <x:v>Marine</x:v>
      </x:c>
      <x:c r="C451" t="n">
        <x:v>16920</x:v>
      </x:c>
      <x:c r="D451" t="n">
        <x:v>14</x:v>
      </x:c>
      <x:c r="E451" t="str">
        <x:v>Medium</x:v>
      </x:c>
      <x:c r="F451" t="str">
        <x:v>Mixed-use</x:v>
      </x:c>
      <x:c r="G451" t="str">
        <x:v>Shear Wall</x:v>
      </x:c>
      <x:c r="H451" t="str">
        <x:v>Piles</x:v>
      </x:c>
      <x:c r="I451" t="str">
        <x:v>Soft Clay</x:v>
      </x:c>
      <x:c r="J451" t="str">
        <x:v>Low</x:v>
      </x:c>
      <x:c r="K451" t="n">
        <x:v>41267880</x:v>
      </x:c>
      <x:c r="L451" t="n">
        <x:v>780</x:v>
      </x:c>
      <x:c r="M451" t="n">
        <x:v>163.2</x:v>
      </x:c>
      <x:c r="N451" t="n">
        <x:v>13</x:v>
      </x:c>
      <x:c r="O451" t="n">
        <x:v>71.1</x:v>
      </x:c>
      <x:c r="P451" t="str">
        <x:v>Sunny</x:v>
      </x:c>
      <x:c r="Q451" t="n">
        <x:v>86</x:v>
      </x:c>
      <x:c r="R451" t="n">
        <x:v>79.4</x:v>
      </x:c>
      <x:c r="S451" t="n">
        <x:v>0.1006</x:v>
      </x:c>
      <x:c r="T451" t="n">
        <x:v>18</x:v>
      </x:c>
      <x:c r="U451" t="n">
        <x:v>1208.6</x:v>
      </x:c>
      <x:c r="V451" t="n">
        <x:v>2439</x:v>
      </x:c>
      <x:c r="W451" t="n">
        <x:v>46.1</x:v>
      </x:c>
    </x:row>
    <x:row r="452">
      <x:c r="A452" t="str">
        <x:v>PJT_451</x:v>
      </x:c>
      <x:c r="B452" t="str">
        <x:v>Humid Subtropical</x:v>
      </x:c>
      <x:c r="C452" t="n">
        <x:v>11820</x:v>
      </x:c>
      <x:c r="D452" t="n">
        <x:v>18</x:v>
      </x:c>
      <x:c r="E452" t="str">
        <x:v>Medium</x:v>
      </x:c>
      <x:c r="F452" t="str">
        <x:v>Residential</x:v>
      </x:c>
      <x:c r="G452" t="str">
        <x:v>Shear Wall</x:v>
      </x:c>
      <x:c r="H452" t="str">
        <x:v>Piles</x:v>
      </x:c>
      <x:c r="I452" t="str">
        <x:v>Sand</x:v>
      </x:c>
      <x:c r="J452" t="str">
        <x:v>Medium</x:v>
      </x:c>
      <x:c r="K452" t="n">
        <x:v>19703940</x:v>
      </x:c>
      <x:c r="L452" t="n">
        <x:v>479</x:v>
      </x:c>
      <x:c r="M452" t="n">
        <x:v>357.8</x:v>
      </x:c>
      <x:c r="N452" t="n">
        <x:v>23.5</x:v>
      </x:c>
      <x:c r="O452" t="n">
        <x:v>90.8</x:v>
      </x:c>
      <x:c r="P452" t="str">
        <x:v>Rainy</x:v>
      </x:c>
      <x:c r="Q452" t="n">
        <x:v>84</x:v>
      </x:c>
      <x:c r="R452" t="n">
        <x:v>78.1</x:v>
      </x:c>
      <x:c r="S452" t="n">
        <x:v>0.0855</x:v>
      </x:c>
      <x:c r="T452" t="n">
        <x:v>12.8</x:v>
      </x:c>
      <x:c r="U452" t="n">
        <x:v>656.7</x:v>
      </x:c>
      <x:c r="V452" t="n">
        <x:v>1667</x:v>
      </x:c>
      <x:c r="W452" t="n">
        <x:v>40.5</x:v>
      </x:c>
    </x:row>
    <x:row r="453">
      <x:c r="A453" t="str">
        <x:v>PJT_452</x:v>
      </x:c>
      <x:c r="B453" t="str">
        <x:v>Mediterranean</x:v>
      </x:c>
      <x:c r="C453" t="n">
        <x:v>38250</x:v>
      </x:c>
      <x:c r="D453" t="n">
        <x:v>20</x:v>
      </x:c>
      <x:c r="E453" t="str">
        <x:v>High</x:v>
      </x:c>
      <x:c r="F453" t="str">
        <x:v>Mixed-use</x:v>
      </x:c>
      <x:c r="G453" t="str">
        <x:v>Steel</x:v>
      </x:c>
      <x:c r="H453" t="str">
        <x:v>Piles</x:v>
      </x:c>
      <x:c r="I453" t="str">
        <x:v>Sand</x:v>
      </x:c>
      <x:c r="J453" t="str">
        <x:v>High</x:v>
      </x:c>
      <x:c r="K453" t="n">
        <x:v>117236250</x:v>
      </x:c>
      <x:c r="L453" t="n">
        <x:v>2123</x:v>
      </x:c>
      <x:c r="M453" t="n">
        <x:v>282.7</x:v>
      </x:c>
      <x:c r="N453" t="n">
        <x:v>21.1</x:v>
      </x:c>
      <x:c r="O453" t="n">
        <x:v>48.5</x:v>
      </x:c>
      <x:c r="P453" t="str">
        <x:v>Sunny</x:v>
      </x:c>
      <x:c r="Q453" t="n">
        <x:v>82</x:v>
      </x:c>
      <x:c r="R453" t="n">
        <x:v>91.7</x:v>
      </x:c>
      <x:c r="S453" t="n">
        <x:v>0.1065</x:v>
      </x:c>
      <x:c r="T453" t="n">
        <x:v>20.7</x:v>
      </x:c>
      <x:c r="U453" t="n">
        <x:v>1912.5</x:v>
      </x:c>
      <x:c r="V453" t="n">
        <x:v>3065</x:v>
      </x:c>
      <x:c r="W453" t="n">
        <x:v>55.5</x:v>
      </x:c>
    </x:row>
    <x:row r="454">
      <x:c r="A454" t="str">
        <x:v>PJT_453</x:v>
      </x:c>
      <x:c r="B454" t="str">
        <x:v>Humid Subtropical</x:v>
      </x:c>
      <x:c r="C454" t="n">
        <x:v>23410</x:v>
      </x:c>
      <x:c r="D454" t="n">
        <x:v>14</x:v>
      </x:c>
      <x:c r="E454" t="str">
        <x:v>Medium</x:v>
      </x:c>
      <x:c r="F454" t="str">
        <x:v>Mixed-use</x:v>
      </x:c>
      <x:c r="G454" t="str">
        <x:v>Steel</x:v>
      </x:c>
      <x:c r="H454" t="str">
        <x:v>Piles</x:v>
      </x:c>
      <x:c r="I454" t="str">
        <x:v>Mixed</x:v>
      </x:c>
      <x:c r="J454" t="str">
        <x:v>Low</x:v>
      </x:c>
      <x:c r="K454" t="n">
        <x:v>62832440</x:v>
      </x:c>
      <x:c r="L454" t="n">
        <x:v>1283</x:v>
      </x:c>
      <x:c r="M454" t="n">
        <x:v>421.2</x:v>
      </x:c>
      <x:c r="N454" t="n">
        <x:v>27.1</x:v>
      </x:c>
      <x:c r="O454" t="n">
        <x:v>85.5</x:v>
      </x:c>
      <x:c r="P454" t="str">
        <x:v>Stormy</x:v>
      </x:c>
      <x:c r="Q454" t="n">
        <x:v>107</x:v>
      </x:c>
      <x:c r="R454" t="n">
        <x:v>77.4</x:v>
      </x:c>
      <x:c r="S454" t="n">
        <x:v>0.1059</x:v>
      </x:c>
      <x:c r="T454" t="n">
        <x:v>17.9</x:v>
      </x:c>
      <x:c r="U454" t="n">
        <x:v>1672.1</x:v>
      </x:c>
      <x:c r="V454" t="n">
        <x:v>2684</x:v>
      </x:c>
      <x:c r="W454" t="n">
        <x:v>54.8</x:v>
      </x:c>
    </x:row>
    <x:row r="455">
      <x:c r="A455" t="str">
        <x:v>PJT_454</x:v>
      </x:c>
      <x:c r="B455" t="str">
        <x:v>Mediterranean</x:v>
      </x:c>
      <x:c r="C455" t="n">
        <x:v>22190</x:v>
      </x:c>
      <x:c r="D455" t="n">
        <x:v>17</x:v>
      </x:c>
      <x:c r="E455" t="str">
        <x:v>Medium</x:v>
      </x:c>
      <x:c r="F455" t="str">
        <x:v>Mixed-use</x:v>
      </x:c>
      <x:c r="G455" t="str">
        <x:v>Shear Wall</x:v>
      </x:c>
      <x:c r="H455" t="str">
        <x:v>Piles</x:v>
      </x:c>
      <x:c r="I455" t="str">
        <x:v>Soft Clay</x:v>
      </x:c>
      <x:c r="J455" t="str">
        <x:v>High</x:v>
      </x:c>
      <x:c r="K455" t="n">
        <x:v>60401180</x:v>
      </x:c>
      <x:c r="L455" t="n">
        <x:v>1138</x:v>
      </x:c>
      <x:c r="M455" t="n">
        <x:v>158.9</x:v>
      </x:c>
      <x:c r="N455" t="n">
        <x:v>16.9</x:v>
      </x:c>
      <x:c r="O455" t="n">
        <x:v>72.1</x:v>
      </x:c>
      <x:c r="P455" t="str">
        <x:v>Rainy</x:v>
      </x:c>
      <x:c r="Q455" t="n">
        <x:v>93</x:v>
      </x:c>
      <x:c r="R455" t="n">
        <x:v>82.3</x:v>
      </x:c>
      <x:c r="S455" t="n">
        <x:v>0.1004</x:v>
      </x:c>
      <x:c r="T455" t="n">
        <x:v>17.6</x:v>
      </x:c>
      <x:c r="U455" t="n">
        <x:v>1305.3</x:v>
      </x:c>
      <x:c r="V455" t="n">
        <x:v>2722</x:v>
      </x:c>
      <x:c r="W455" t="n">
        <x:v>51.3</x:v>
      </x:c>
    </x:row>
    <x:row r="456">
      <x:c r="A456" t="str">
        <x:v>PJT_455</x:v>
      </x:c>
      <x:c r="B456" t="str">
        <x:v>Continental</x:v>
      </x:c>
      <x:c r="C456" t="n">
        <x:v>20220</x:v>
      </x:c>
      <x:c r="D456" t="n">
        <x:v>11</x:v>
      </x:c>
      <x:c r="E456" t="str">
        <x:v>High</x:v>
      </x:c>
      <x:c r="F456" t="str">
        <x:v>Hospital</x:v>
      </x:c>
      <x:c r="G456" t="str">
        <x:v>Shear Wall</x:v>
      </x:c>
      <x:c r="H456" t="str">
        <x:v>Raft</x:v>
      </x:c>
      <x:c r="I456" t="str">
        <x:v>Rock</x:v>
      </x:c>
      <x:c r="J456" t="str">
        <x:v>Medium</x:v>
      </x:c>
      <x:c r="K456" t="n">
        <x:v>64420920</x:v>
      </x:c>
      <x:c r="L456" t="n">
        <x:v>1027</x:v>
      </x:c>
      <x:c r="M456" t="n">
        <x:v>755.2</x:v>
      </x:c>
      <x:c r="N456" t="n">
        <x:v>25.4</x:v>
      </x:c>
      <x:c r="O456" t="n">
        <x:v>63.7</x:v>
      </x:c>
      <x:c r="P456" t="str">
        <x:v>Sunny</x:v>
      </x:c>
      <x:c r="Q456" t="n">
        <x:v>92</x:v>
      </x:c>
      <x:c r="R456" t="n">
        <x:v>82.1</x:v>
      </x:c>
      <x:c r="S456" t="n">
        <x:v>0.1136</x:v>
      </x:c>
      <x:c r="T456" t="n">
        <x:v>22.5</x:v>
      </x:c>
      <x:c r="U456" t="n">
        <x:v>1838.2</x:v>
      </x:c>
      <x:c r="V456" t="n">
        <x:v>3186</x:v>
      </x:c>
      <x:c r="W456" t="n">
        <x:v>50.8</x:v>
      </x:c>
    </x:row>
    <x:row r="457">
      <x:c r="A457" t="str">
        <x:v>PJT_456</x:v>
      </x:c>
      <x:c r="B457" t="str">
        <x:v>Continental</x:v>
      </x:c>
      <x:c r="C457" t="n">
        <x:v>22720</x:v>
      </x:c>
      <x:c r="D457" t="n">
        <x:v>18</x:v>
      </x:c>
      <x:c r="E457" t="str">
        <x:v>Medium</x:v>
      </x:c>
      <x:c r="F457" t="str">
        <x:v>Mixed-use</x:v>
      </x:c>
      <x:c r="G457" t="str">
        <x:v>Steel</x:v>
      </x:c>
      <x:c r="H457" t="str">
        <x:v>Piles</x:v>
      </x:c>
      <x:c r="I457" t="str">
        <x:v>Rock</x:v>
      </x:c>
      <x:c r="J457" t="str">
        <x:v>High</x:v>
      </x:c>
      <x:c r="K457" t="n">
        <x:v>62707200</x:v>
      </x:c>
      <x:c r="L457" t="n">
        <x:v>1091</x:v>
      </x:c>
      <x:c r="M457" t="n">
        <x:v>697.5</x:v>
      </x:c>
      <x:c r="N457" t="n">
        <x:v>23.1</x:v>
      </x:c>
      <x:c r="O457" t="n">
        <x:v>63.9</x:v>
      </x:c>
      <x:c r="P457" t="str">
        <x:v>Sunny</x:v>
      </x:c>
      <x:c r="Q457" t="n">
        <x:v>94</x:v>
      </x:c>
      <x:c r="R457" t="n">
        <x:v>88</x:v>
      </x:c>
      <x:c r="S457" t="n">
        <x:v>0.1038</x:v>
      </x:c>
      <x:c r="T457" t="n">
        <x:v>19.2</x:v>
      </x:c>
      <x:c r="U457" t="n">
        <x:v>1262.2</x:v>
      </x:c>
      <x:c r="V457" t="n">
        <x:v>2760</x:v>
      </x:c>
      <x:c r="W457" t="n">
        <x:v>48</x:v>
      </x:c>
    </x:row>
    <x:row r="458">
      <x:c r="A458" t="str">
        <x:v>PJT_457</x:v>
      </x:c>
      <x:c r="B458" t="str">
        <x:v>Marine</x:v>
      </x:c>
      <x:c r="C458" t="n">
        <x:v>7360</x:v>
      </x:c>
      <x:c r="D458" t="n">
        <x:v>4</x:v>
      </x:c>
      <x:c r="E458" t="str">
        <x:v>Low</x:v>
      </x:c>
      <x:c r="F458" t="str">
        <x:v>School</x:v>
      </x:c>
      <x:c r="G458" t="str">
        <x:v>RC Frame</x:v>
      </x:c>
      <x:c r="H458" t="str">
        <x:v>Raft</x:v>
      </x:c>
      <x:c r="I458" t="str">
        <x:v>Mixed</x:v>
      </x:c>
      <x:c r="J458" t="str">
        <x:v>Low</x:v>
      </x:c>
      <x:c r="K458" t="n">
        <x:v>12328000</x:v>
      </x:c>
      <x:c r="L458" t="n">
        <x:v>250</x:v>
      </x:c>
      <x:c r="M458" t="n">
        <x:v>289.7</x:v>
      </x:c>
      <x:c r="N458" t="n">
        <x:v>14.7</x:v>
      </x:c>
      <x:c r="O458" t="n">
        <x:v>87.9</x:v>
      </x:c>
      <x:c r="P458" t="str">
        <x:v>Stormy</x:v>
      </x:c>
      <x:c r="Q458" t="n">
        <x:v>92</x:v>
      </x:c>
      <x:c r="R458" t="n">
        <x:v>68.5</x:v>
      </x:c>
      <x:c r="S458" t="n">
        <x:v>0.0759</x:v>
      </x:c>
      <x:c r="T458" t="n">
        <x:v>13.7</x:v>
      </x:c>
      <x:c r="U458" t="n">
        <x:v>1840</x:v>
      </x:c>
      <x:c r="V458" t="n">
        <x:v>1675</x:v>
      </x:c>
      <x:c r="W458" t="n">
        <x:v>34</x:v>
      </x:c>
    </x:row>
    <x:row r="459">
      <x:c r="A459" t="str">
        <x:v>PJT_458</x:v>
      </x:c>
      <x:c r="B459" t="str">
        <x:v>Mediterranean</x:v>
      </x:c>
      <x:c r="C459" t="n">
        <x:v>11750</x:v>
      </x:c>
      <x:c r="D459" t="n">
        <x:v>12</x:v>
      </x:c>
      <x:c r="E459" t="str">
        <x:v>Medium</x:v>
      </x:c>
      <x:c r="F459" t="str">
        <x:v>Residential</x:v>
      </x:c>
      <x:c r="G459" t="str">
        <x:v>Shear Wall</x:v>
      </x:c>
      <x:c r="H459" t="str">
        <x:v>Piles</x:v>
      </x:c>
      <x:c r="I459" t="str">
        <x:v>Sand</x:v>
      </x:c>
      <x:c r="J459" t="str">
        <x:v>High</x:v>
      </x:c>
      <x:c r="K459" t="n">
        <x:v>21326250</x:v>
      </x:c>
      <x:c r="L459" t="n">
        <x:v>416</x:v>
      </x:c>
      <x:c r="M459" t="n">
        <x:v>346.8</x:v>
      </x:c>
      <x:c r="N459" t="n">
        <x:v>30</x:v>
      </x:c>
      <x:c r="O459" t="n">
        <x:v>45</x:v>
      </x:c>
      <x:c r="P459" t="str">
        <x:v>Sunny</x:v>
      </x:c>
      <x:c r="Q459" t="n">
        <x:v>80</x:v>
      </x:c>
      <x:c r="R459" t="n">
        <x:v>71.3</x:v>
      </x:c>
      <x:c r="S459" t="n">
        <x:v>0.0857</x:v>
      </x:c>
      <x:c r="T459" t="n">
        <x:v>13.9</x:v>
      </x:c>
      <x:c r="U459" t="n">
        <x:v>979.2</x:v>
      </x:c>
      <x:c r="V459" t="n">
        <x:v>1815</x:v>
      </x:c>
      <x:c r="W459" t="n">
        <x:v>35.4</x:v>
      </x:c>
    </x:row>
    <x:row r="460">
      <x:c r="A460" t="str">
        <x:v>PJT_459</x:v>
      </x:c>
      <x:c r="B460" t="str">
        <x:v>Continental</x:v>
      </x:c>
      <x:c r="C460" t="n">
        <x:v>27650</x:v>
      </x:c>
      <x:c r="D460" t="n">
        <x:v>17</x:v>
      </x:c>
      <x:c r="E460" t="str">
        <x:v>Medium</x:v>
      </x:c>
      <x:c r="F460" t="str">
        <x:v>Mixed-use</x:v>
      </x:c>
      <x:c r="G460" t="str">
        <x:v>Steel</x:v>
      </x:c>
      <x:c r="H460" t="str">
        <x:v>Piles</x:v>
      </x:c>
      <x:c r="I460" t="str">
        <x:v>Mixed</x:v>
      </x:c>
      <x:c r="J460" t="str">
        <x:v>Low</x:v>
      </x:c>
      <x:c r="K460" t="n">
        <x:v>72968350</x:v>
      </x:c>
      <x:c r="L460" t="n">
        <x:v>1360</x:v>
      </x:c>
      <x:c r="M460" t="n">
        <x:v>400</x:v>
      </x:c>
      <x:c r="N460" t="n">
        <x:v>7.2</x:v>
      </x:c>
      <x:c r="O460" t="n">
        <x:v>63.2</x:v>
      </x:c>
      <x:c r="P460" t="str">
        <x:v>Sunny</x:v>
      </x:c>
      <x:c r="Q460" t="n">
        <x:v>99</x:v>
      </x:c>
      <x:c r="R460" t="n">
        <x:v>79.2</x:v>
      </x:c>
      <x:c r="S460" t="n">
        <x:v>0.1011</x:v>
      </x:c>
      <x:c r="T460" t="n">
        <x:v>18.2</x:v>
      </x:c>
      <x:c r="U460" t="n">
        <x:v>1626.5</x:v>
      </x:c>
      <x:c r="V460" t="n">
        <x:v>2639</x:v>
      </x:c>
      <x:c r="W460" t="n">
        <x:v>49.2</x:v>
      </x:c>
    </x:row>
    <x:row r="461">
      <x:c r="A461" t="str">
        <x:v>PJT_460</x:v>
      </x:c>
      <x:c r="B461" t="str">
        <x:v>Continental</x:v>
      </x:c>
      <x:c r="C461" t="n">
        <x:v>5590</x:v>
      </x:c>
      <x:c r="D461" t="n">
        <x:v>2</x:v>
      </x:c>
      <x:c r="E461" t="str">
        <x:v>Low</x:v>
      </x:c>
      <x:c r="F461" t="str">
        <x:v>School</x:v>
      </x:c>
      <x:c r="G461" t="str">
        <x:v>RC Frame</x:v>
      </x:c>
      <x:c r="H461" t="str">
        <x:v>Raft</x:v>
      </x:c>
      <x:c r="I461" t="str">
        <x:v>Mixed</x:v>
      </x:c>
      <x:c r="J461" t="str">
        <x:v>Low</x:v>
      </x:c>
      <x:c r="K461" t="n">
        <x:v>8429720</x:v>
      </x:c>
      <x:c r="L461" t="n">
        <x:v>180</x:v>
      </x:c>
      <x:c r="M461" t="n">
        <x:v>304.7</x:v>
      </x:c>
      <x:c r="N461" t="n">
        <x:v>24.5</x:v>
      </x:c>
      <x:c r="O461" t="n">
        <x:v>43.1</x:v>
      </x:c>
      <x:c r="P461" t="str">
        <x:v>Sunny</x:v>
      </x:c>
      <x:c r="Q461" t="n">
        <x:v>85</x:v>
      </x:c>
      <x:c r="R461" t="n">
        <x:v>67.3</x:v>
      </x:c>
      <x:c r="S461" t="n">
        <x:v>0.0787</x:v>
      </x:c>
      <x:c r="T461" t="n">
        <x:v>12.4</x:v>
      </x:c>
      <x:c r="U461" t="n">
        <x:v>2795</x:v>
      </x:c>
      <x:c r="V461" t="n">
        <x:v>1508</x:v>
      </x:c>
      <x:c r="W461" t="n">
        <x:v>25.9</x:v>
      </x:c>
    </x:row>
    <x:row r="462">
      <x:c r="A462" t="str">
        <x:v>PJT_461</x:v>
      </x:c>
      <x:c r="B462" t="str">
        <x:v>Continental</x:v>
      </x:c>
      <x:c r="C462" t="n">
        <x:v>21800</x:v>
      </x:c>
      <x:c r="D462" t="n">
        <x:v>13</x:v>
      </x:c>
      <x:c r="E462" t="str">
        <x:v>Medium</x:v>
      </x:c>
      <x:c r="F462" t="str">
        <x:v>Hospital</x:v>
      </x:c>
      <x:c r="G462" t="str">
        <x:v>Steel</x:v>
      </x:c>
      <x:c r="H462" t="str">
        <x:v>Piles</x:v>
      </x:c>
      <x:c r="I462" t="str">
        <x:v>Soft Clay</x:v>
      </x:c>
      <x:c r="J462" t="str">
        <x:v>Low</x:v>
      </x:c>
      <x:c r="K462" t="n">
        <x:v>67274800</x:v>
      </x:c>
      <x:c r="L462" t="n">
        <x:v>1140</x:v>
      </x:c>
      <x:c r="M462" t="n">
        <x:v>222.7</x:v>
      </x:c>
      <x:c r="N462" t="n">
        <x:v>5.4</x:v>
      </x:c>
      <x:c r="O462" t="n">
        <x:v>73.1</x:v>
      </x:c>
      <x:c r="P462" t="str">
        <x:v>Rainy</x:v>
      </x:c>
      <x:c r="Q462" t="n">
        <x:v>102</x:v>
      </x:c>
      <x:c r="R462" t="n">
        <x:v>79.8</x:v>
      </x:c>
      <x:c r="S462" t="n">
        <x:v>0.1122</x:v>
      </x:c>
      <x:c r="T462" t="n">
        <x:v>20.9</x:v>
      </x:c>
      <x:c r="U462" t="n">
        <x:v>1676.9</x:v>
      </x:c>
      <x:c r="V462" t="n">
        <x:v>3086</x:v>
      </x:c>
      <x:c r="W462" t="n">
        <x:v>52.3</x:v>
      </x:c>
    </x:row>
    <x:row r="463">
      <x:c r="A463" t="str">
        <x:v>PJT_462</x:v>
      </x:c>
      <x:c r="B463" t="str">
        <x:v>Continental</x:v>
      </x:c>
      <x:c r="C463" t="n">
        <x:v>6030</x:v>
      </x:c>
      <x:c r="D463" t="n">
        <x:v>7</x:v>
      </x:c>
      <x:c r="E463" t="str">
        <x:v>Low</x:v>
      </x:c>
      <x:c r="F463" t="str">
        <x:v>Residential</x:v>
      </x:c>
      <x:c r="G463" t="str">
        <x:v>RC Frame</x:v>
      </x:c>
      <x:c r="H463" t="str">
        <x:v>Raft</x:v>
      </x:c>
      <x:c r="I463" t="str">
        <x:v>Soft Clay</x:v>
      </x:c>
      <x:c r="J463" t="str">
        <x:v>Medium</x:v>
      </x:c>
      <x:c r="K463" t="n">
        <x:v>7947540</x:v>
      </x:c>
      <x:c r="L463" t="n">
        <x:v>192</x:v>
      </x:c>
      <x:c r="M463" t="n">
        <x:v>188.5</x:v>
      </x:c>
      <x:c r="N463" t="n">
        <x:v>21.1</x:v>
      </x:c>
      <x:c r="O463" t="n">
        <x:v>62.7</x:v>
      </x:c>
      <x:c r="P463" t="str">
        <x:v>Cloudy</x:v>
      </x:c>
      <x:c r="Q463" t="n">
        <x:v>73</x:v>
      </x:c>
      <x:c r="R463" t="n">
        <x:v>61.2</x:v>
      </x:c>
      <x:c r="S463" t="n">
        <x:v>0.0758</x:v>
      </x:c>
      <x:c r="T463" t="n">
        <x:v>12.9</x:v>
      </x:c>
      <x:c r="U463" t="n">
        <x:v>861.4</x:v>
      </x:c>
      <x:c r="V463" t="n">
        <x:v>1318</x:v>
      </x:c>
      <x:c r="W463" t="n">
        <x:v>31.9</x:v>
      </x:c>
    </x:row>
    <x:row r="464">
      <x:c r="A464" t="str">
        <x:v>PJT_463</x:v>
      </x:c>
      <x:c r="B464" t="str">
        <x:v>Continental</x:v>
      </x:c>
      <x:c r="C464" t="n">
        <x:v>7150</x:v>
      </x:c>
      <x:c r="D464" t="n">
        <x:v>3</x:v>
      </x:c>
      <x:c r="E464" t="str">
        <x:v>Low</x:v>
      </x:c>
      <x:c r="F464" t="str">
        <x:v>School</x:v>
      </x:c>
      <x:c r="G464" t="str">
        <x:v>Steel</x:v>
      </x:c>
      <x:c r="H464" t="str">
        <x:v>Raft</x:v>
      </x:c>
      <x:c r="I464" t="str">
        <x:v>Mixed</x:v>
      </x:c>
      <x:c r="J464" t="str">
        <x:v>High</x:v>
      </x:c>
      <x:c r="K464" t="n">
        <x:v>13992550</x:v>
      </x:c>
      <x:c r="L464" t="n">
        <x:v>231</x:v>
      </x:c>
      <x:c r="M464" t="n">
        <x:v>309.5</x:v>
      </x:c>
      <x:c r="N464" t="n">
        <x:v>4.9</x:v>
      </x:c>
      <x:c r="O464" t="n">
        <x:v>62.2</x:v>
      </x:c>
      <x:c r="P464" t="str">
        <x:v>Cloudy</x:v>
      </x:c>
      <x:c r="Q464" t="n">
        <x:v>88</x:v>
      </x:c>
      <x:c r="R464" t="n">
        <x:v>67.8</x:v>
      </x:c>
      <x:c r="S464" t="n">
        <x:v>0.0844</x:v>
      </x:c>
      <x:c r="T464" t="n">
        <x:v>14.5</x:v>
      </x:c>
      <x:c r="U464" t="n">
        <x:v>2383.3</x:v>
      </x:c>
      <x:c r="V464" t="n">
        <x:v>1957</x:v>
      </x:c>
      <x:c r="W464" t="n">
        <x:v>32.3</x:v>
      </x:c>
    </x:row>
    <x:row r="465">
      <x:c r="A465" t="str">
        <x:v>PJT_464</x:v>
      </x:c>
      <x:c r="B465" t="str">
        <x:v>Continental</x:v>
      </x:c>
      <x:c r="C465" t="n">
        <x:v>28010</x:v>
      </x:c>
      <x:c r="D465" t="n">
        <x:v>17</x:v>
      </x:c>
      <x:c r="E465" t="str">
        <x:v>Medium</x:v>
      </x:c>
      <x:c r="F465" t="str">
        <x:v>Mixed-use</x:v>
      </x:c>
      <x:c r="G465" t="str">
        <x:v>Steel</x:v>
      </x:c>
      <x:c r="H465" t="str">
        <x:v>Piles</x:v>
      </x:c>
      <x:c r="I465" t="str">
        <x:v>Sand</x:v>
      </x:c>
      <x:c r="J465" t="str">
        <x:v>Medium</x:v>
      </x:c>
      <x:c r="K465" t="n">
        <x:v>77559690</x:v>
      </x:c>
      <x:c r="L465" t="n">
        <x:v>1342</x:v>
      </x:c>
      <x:c r="M465" t="n">
        <x:v>278</x:v>
      </x:c>
      <x:c r="N465" t="n">
        <x:v>16.8</x:v>
      </x:c>
      <x:c r="O465" t="n">
        <x:v>62.5</x:v>
      </x:c>
      <x:c r="P465" t="str">
        <x:v>Sunny</x:v>
      </x:c>
      <x:c r="Q465" t="n">
        <x:v>78</x:v>
      </x:c>
      <x:c r="R465" t="n">
        <x:v>79.3</x:v>
      </x:c>
      <x:c r="S465" t="n">
        <x:v>0.1021</x:v>
      </x:c>
      <x:c r="T465" t="n">
        <x:v>17.9</x:v>
      </x:c>
      <x:c r="U465" t="n">
        <x:v>1647.6</x:v>
      </x:c>
      <x:c r="V465" t="n">
        <x:v>2769</x:v>
      </x:c>
      <x:c r="W465" t="n">
        <x:v>47.9</x:v>
      </x:c>
    </x:row>
    <x:row r="466">
      <x:c r="A466" t="str">
        <x:v>PJT_465</x:v>
      </x:c>
      <x:c r="B466" t="str">
        <x:v>Continental</x:v>
      </x:c>
      <x:c r="C466" t="n">
        <x:v>11350</x:v>
      </x:c>
      <x:c r="D466" t="n">
        <x:v>15</x:v>
      </x:c>
      <x:c r="E466" t="str">
        <x:v>Low</x:v>
      </x:c>
      <x:c r="F466" t="str">
        <x:v>Residential</x:v>
      </x:c>
      <x:c r="G466" t="str">
        <x:v>Shear Wall</x:v>
      </x:c>
      <x:c r="H466" t="str">
        <x:v>Piles</x:v>
      </x:c>
      <x:c r="I466" t="str">
        <x:v>Mixed</x:v>
      </x:c>
      <x:c r="J466" t="str">
        <x:v>High</x:v>
      </x:c>
      <x:c r="K466" t="n">
        <x:v>18216750</x:v>
      </x:c>
      <x:c r="L466" t="n">
        <x:v>389</x:v>
      </x:c>
      <x:c r="M466" t="n">
        <x:v>372.8</x:v>
      </x:c>
      <x:c r="N466" t="n">
        <x:v>19.4</x:v>
      </x:c>
      <x:c r="O466" t="n">
        <x:v>58</x:v>
      </x:c>
      <x:c r="P466" t="str">
        <x:v>Sunny</x:v>
      </x:c>
      <x:c r="Q466" t="n">
        <x:v>85</x:v>
      </x:c>
      <x:c r="R466" t="n">
        <x:v>70.4</x:v>
      </x:c>
      <x:c r="S466" t="n">
        <x:v>0.0811</x:v>
      </x:c>
      <x:c r="T466" t="n">
        <x:v>13</x:v>
      </x:c>
      <x:c r="U466" t="n">
        <x:v>756.7</x:v>
      </x:c>
      <x:c r="V466" t="n">
        <x:v>1605</x:v>
      </x:c>
      <x:c r="W466" t="n">
        <x:v>34.3</x:v>
      </x:c>
    </x:row>
    <x:row r="467">
      <x:c r="A467" t="str">
        <x:v>PJT_466</x:v>
      </x:c>
      <x:c r="B467" t="str">
        <x:v>Mediterranean</x:v>
      </x:c>
      <x:c r="C467" t="n">
        <x:v>15600</x:v>
      </x:c>
      <x:c r="D467" t="n">
        <x:v>12</x:v>
      </x:c>
      <x:c r="E467" t="str">
        <x:v>Medium</x:v>
      </x:c>
      <x:c r="F467" t="str">
        <x:v>Mixed-use</x:v>
      </x:c>
      <x:c r="G467" t="str">
        <x:v>Shear Wall</x:v>
      </x:c>
      <x:c r="H467" t="str">
        <x:v>Raft</x:v>
      </x:c>
      <x:c r="I467" t="str">
        <x:v>Mixed</x:v>
      </x:c>
      <x:c r="J467" t="str">
        <x:v>High</x:v>
      </x:c>
      <x:c r="K467" t="n">
        <x:v>41184000</x:v>
      </x:c>
      <x:c r="L467" t="n">
        <x:v>816</x:v>
      </x:c>
      <x:c r="M467" t="n">
        <x:v>305.1</x:v>
      </x:c>
      <x:c r="N467" t="n">
        <x:v>11.8</x:v>
      </x:c>
      <x:c r="O467" t="n">
        <x:v>87.6</x:v>
      </x:c>
      <x:c r="P467" t="str">
        <x:v>Stormy</x:v>
      </x:c>
      <x:c r="Q467" t="n">
        <x:v>106</x:v>
      </x:c>
      <x:c r="R467" t="n">
        <x:v>75.8</x:v>
      </x:c>
      <x:c r="S467" t="n">
        <x:v>0.1039</x:v>
      </x:c>
      <x:c r="T467" t="n">
        <x:v>18.5</x:v>
      </x:c>
      <x:c r="U467" t="n">
        <x:v>1300</x:v>
      </x:c>
      <x:c r="V467" t="n">
        <x:v>2640</x:v>
      </x:c>
      <x:c r="W467" t="n">
        <x:v>52.3</x:v>
      </x:c>
    </x:row>
    <x:row r="468">
      <x:c r="A468" t="str">
        <x:v>PJT_467</x:v>
      </x:c>
      <x:c r="B468" t="str">
        <x:v>Mediterranean</x:v>
      </x:c>
      <x:c r="C468" t="n">
        <x:v>19700</x:v>
      </x:c>
      <x:c r="D468" t="n">
        <x:v>9</x:v>
      </x:c>
      <x:c r="E468" t="str">
        <x:v>Medium</x:v>
      </x:c>
      <x:c r="F468" t="str">
        <x:v>Hospital</x:v>
      </x:c>
      <x:c r="G468" t="str">
        <x:v>RC Frame</x:v>
      </x:c>
      <x:c r="H468" t="str">
        <x:v>Piles</x:v>
      </x:c>
      <x:c r="I468" t="str">
        <x:v>Soft Clay</x:v>
      </x:c>
      <x:c r="J468" t="str">
        <x:v>Low</x:v>
      </x:c>
      <x:c r="K468" t="n">
        <x:v>58036200</x:v>
      </x:c>
      <x:c r="L468" t="n">
        <x:v>1003</x:v>
      </x:c>
      <x:c r="M468" t="n">
        <x:v>205.2</x:v>
      </x:c>
      <x:c r="N468" t="n">
        <x:v>13.7</x:v>
      </x:c>
      <x:c r="O468" t="n">
        <x:v>75.8</x:v>
      </x:c>
      <x:c r="P468" t="str">
        <x:v>Stormy</x:v>
      </x:c>
      <x:c r="Q468" t="n">
        <x:v>96</x:v>
      </x:c>
      <x:c r="R468" t="n">
        <x:v>85.6</x:v>
      </x:c>
      <x:c r="S468" t="n">
        <x:v>0.1083</x:v>
      </x:c>
      <x:c r="T468" t="n">
        <x:v>21.2</x:v>
      </x:c>
      <x:c r="U468" t="n">
        <x:v>2188.9</x:v>
      </x:c>
      <x:c r="V468" t="n">
        <x:v>2946</x:v>
      </x:c>
      <x:c r="W468" t="n">
        <x:v>50.9</x:v>
      </x:c>
    </x:row>
    <x:row r="469">
      <x:c r="A469" t="str">
        <x:v>PJT_468</x:v>
      </x:c>
      <x:c r="B469" t="str">
        <x:v>Continental</x:v>
      </x:c>
      <x:c r="C469" t="n">
        <x:v>11940</x:v>
      </x:c>
      <x:c r="D469" t="n">
        <x:v>5</x:v>
      </x:c>
      <x:c r="E469" t="str">
        <x:v>Low</x:v>
      </x:c>
      <x:c r="F469" t="str">
        <x:v>Commercial</x:v>
      </x:c>
      <x:c r="G469" t="str">
        <x:v>RC Frame</x:v>
      </x:c>
      <x:c r="H469" t="str">
        <x:v>Raft</x:v>
      </x:c>
      <x:c r="I469" t="str">
        <x:v>Mixed</x:v>
      </x:c>
      <x:c r="J469" t="str">
        <x:v>Low</x:v>
      </x:c>
      <x:c r="K469" t="n">
        <x:v>23032260</x:v>
      </x:c>
      <x:c r="L469" t="n">
        <x:v>427</x:v>
      </x:c>
      <x:c r="M469" t="n">
        <x:v>354.1</x:v>
      </x:c>
      <x:c r="N469" t="n">
        <x:v>7.8</x:v>
      </x:c>
      <x:c r="O469" t="n">
        <x:v>52.9</x:v>
      </x:c>
      <x:c r="P469" t="str">
        <x:v>Sunny</x:v>
      </x:c>
      <x:c r="Q469" t="n">
        <x:v>90</x:v>
      </x:c>
      <x:c r="R469" t="n">
        <x:v>68.7</x:v>
      </x:c>
      <x:c r="S469" t="n">
        <x:v>0.0858</x:v>
      </x:c>
      <x:c r="T469" t="n">
        <x:v>16.1</x:v>
      </x:c>
      <x:c r="U469" t="n">
        <x:v>2388</x:v>
      </x:c>
      <x:c r="V469" t="n">
        <x:v>1929</x:v>
      </x:c>
      <x:c r="W469" t="n">
        <x:v>35.8</x:v>
      </x:c>
    </x:row>
    <x:row r="470">
      <x:c r="A470" t="str">
        <x:v>PJT_469</x:v>
      </x:c>
      <x:c r="B470" t="str">
        <x:v>Mediterranean</x:v>
      </x:c>
      <x:c r="C470" t="n">
        <x:v>4230</x:v>
      </x:c>
      <x:c r="D470" t="n">
        <x:v>2</x:v>
      </x:c>
      <x:c r="E470" t="str">
        <x:v>Low</x:v>
      </x:c>
      <x:c r="F470" t="str">
        <x:v>School</x:v>
      </x:c>
      <x:c r="G470" t="str">
        <x:v>RC Frame</x:v>
      </x:c>
      <x:c r="H470" t="str">
        <x:v>Raft</x:v>
      </x:c>
      <x:c r="I470" t="str">
        <x:v>Soft Clay</x:v>
      </x:c>
      <x:c r="J470" t="str">
        <x:v>Medium</x:v>
      </x:c>
      <x:c r="K470" t="n">
        <x:v>7106400</x:v>
      </x:c>
      <x:c r="L470" t="n">
        <x:v>180</x:v>
      </x:c>
      <x:c r="M470" t="n">
        <x:v>204.4</x:v>
      </x:c>
      <x:c r="N470" t="n">
        <x:v>23</x:v>
      </x:c>
      <x:c r="O470" t="n">
        <x:v>56.9</x:v>
      </x:c>
      <x:c r="P470" t="str">
        <x:v>Cloudy</x:v>
      </x:c>
      <x:c r="Q470" t="n">
        <x:v>69</x:v>
      </x:c>
      <x:c r="R470" t="n">
        <x:v>59.4</x:v>
      </x:c>
      <x:c r="S470" t="n">
        <x:v>0.0811</x:v>
      </x:c>
      <x:c r="T470" t="n">
        <x:v>13.2</x:v>
      </x:c>
      <x:c r="U470" t="n">
        <x:v>2115</x:v>
      </x:c>
      <x:c r="V470" t="n">
        <x:v>1680</x:v>
      </x:c>
      <x:c r="W470" t="n">
        <x:v>28.6</x:v>
      </x:c>
    </x:row>
    <x:row r="471">
      <x:c r="A471" t="str">
        <x:v>PJT_470</x:v>
      </x:c>
      <x:c r="B471" t="str">
        <x:v>Marine</x:v>
      </x:c>
      <x:c r="C471" t="n">
        <x:v>22440</x:v>
      </x:c>
      <x:c r="D471" t="n">
        <x:v>21</x:v>
      </x:c>
      <x:c r="E471" t="str">
        <x:v>Medium</x:v>
      </x:c>
      <x:c r="F471" t="str">
        <x:v>Residential</x:v>
      </x:c>
      <x:c r="G471" t="str">
        <x:v>RC Frame</x:v>
      </x:c>
      <x:c r="H471" t="str">
        <x:v>Piles</x:v>
      </x:c>
      <x:c r="I471" t="str">
        <x:v>Mixed</x:v>
      </x:c>
      <x:c r="J471" t="str">
        <x:v>Low</x:v>
      </x:c>
      <x:c r="K471" t="n">
        <x:v>32291160</x:v>
      </x:c>
      <x:c r="L471" t="n">
        <x:v>918</x:v>
      </x:c>
      <x:c r="M471" t="n">
        <x:v>359</x:v>
      </x:c>
      <x:c r="N471" t="n">
        <x:v>10.2</x:v>
      </x:c>
      <x:c r="O471" t="n">
        <x:v>79</x:v>
      </x:c>
      <x:c r="P471" t="str">
        <x:v>Rainy</x:v>
      </x:c>
      <x:c r="Q471" t="n">
        <x:v>60</x:v>
      </x:c>
      <x:c r="R471" t="n">
        <x:v>76.7</x:v>
      </x:c>
      <x:c r="S471" t="n">
        <x:v>0.0809</x:v>
      </x:c>
      <x:c r="T471" t="n">
        <x:v>12.9</x:v>
      </x:c>
      <x:c r="U471" t="n">
        <x:v>1068.6</x:v>
      </x:c>
      <x:c r="V471" t="n">
        <x:v>1439</x:v>
      </x:c>
      <x:c r="W471" t="n">
        <x:v>40.9</x:v>
      </x:c>
    </x:row>
    <x:row r="472">
      <x:c r="A472" t="str">
        <x:v>PJT_471</x:v>
      </x:c>
      <x:c r="B472" t="str">
        <x:v>Mediterranean</x:v>
      </x:c>
      <x:c r="C472" t="n">
        <x:v>11220</x:v>
      </x:c>
      <x:c r="D472" t="n">
        <x:v>9</x:v>
      </x:c>
      <x:c r="E472" t="str">
        <x:v>Medium</x:v>
      </x:c>
      <x:c r="F472" t="str">
        <x:v>Commercial</x:v>
      </x:c>
      <x:c r="G472" t="str">
        <x:v>Steel</x:v>
      </x:c>
      <x:c r="H472" t="str">
        <x:v>Raft</x:v>
      </x:c>
      <x:c r="I472" t="str">
        <x:v>Rock</x:v>
      </x:c>
      <x:c r="J472" t="str">
        <x:v>Low</x:v>
      </x:c>
      <x:c r="K472" t="n">
        <x:v>25065480</x:v>
      </x:c>
      <x:c r="L472" t="n">
        <x:v>512</x:v>
      </x:c>
      <x:c r="M472" t="n">
        <x:v>659.2</x:v>
      </x:c>
      <x:c r="N472" t="n">
        <x:v>16</x:v>
      </x:c>
      <x:c r="O472" t="n">
        <x:v>70.4</x:v>
      </x:c>
      <x:c r="P472" t="str">
        <x:v>Rainy</x:v>
      </x:c>
      <x:c r="Q472" t="n">
        <x:v>87</x:v>
      </x:c>
      <x:c r="R472" t="n">
        <x:v>71.1</x:v>
      </x:c>
      <x:c r="S472" t="n">
        <x:v>0.0991</x:v>
      </x:c>
      <x:c r="T472" t="n">
        <x:v>16.6</x:v>
      </x:c>
      <x:c r="U472" t="n">
        <x:v>1246.7</x:v>
      </x:c>
      <x:c r="V472" t="n">
        <x:v>2234</x:v>
      </x:c>
      <x:c r="W472" t="n">
        <x:v>45.6</x:v>
      </x:c>
    </x:row>
    <x:row r="473">
      <x:c r="A473" t="str">
        <x:v>PJT_472</x:v>
      </x:c>
      <x:c r="B473" t="str">
        <x:v>Marine</x:v>
      </x:c>
      <x:c r="C473" t="n">
        <x:v>16890</x:v>
      </x:c>
      <x:c r="D473" t="n">
        <x:v>10</x:v>
      </x:c>
      <x:c r="E473" t="str">
        <x:v>Medium</x:v>
      </x:c>
      <x:c r="F473" t="str">
        <x:v>Commercial</x:v>
      </x:c>
      <x:c r="G473" t="str">
        <x:v>RC Frame</x:v>
      </x:c>
      <x:c r="H473" t="str">
        <x:v>Raft</x:v>
      </x:c>
      <x:c r="I473" t="str">
        <x:v>Sand</x:v>
      </x:c>
      <x:c r="J473" t="str">
        <x:v>Low</x:v>
      </x:c>
      <x:c r="K473" t="n">
        <x:v>36414840</x:v>
      </x:c>
      <x:c r="L473" t="n">
        <x:v>686</x:v>
      </x:c>
      <x:c r="M473" t="n">
        <x:v>314.1</x:v>
      </x:c>
      <x:c r="N473" t="n">
        <x:v>19.9</x:v>
      </x:c>
      <x:c r="O473" t="n">
        <x:v>63.8</x:v>
      </x:c>
      <x:c r="P473" t="str">
        <x:v>Cloudy</x:v>
      </x:c>
      <x:c r="Q473" t="n">
        <x:v>81</x:v>
      </x:c>
      <x:c r="R473" t="n">
        <x:v>74.6</x:v>
      </x:c>
      <x:c r="S473" t="n">
        <x:v>0.0879</x:v>
      </x:c>
      <x:c r="T473" t="n">
        <x:v>16.6</x:v>
      </x:c>
      <x:c r="U473" t="n">
        <x:v>1689</x:v>
      </x:c>
      <x:c r="V473" t="n">
        <x:v>2156</x:v>
      </x:c>
      <x:c r="W473" t="n">
        <x:v>40.6</x:v>
      </x:c>
    </x:row>
    <x:row r="474">
      <x:c r="A474" t="str">
        <x:v>PJT_473</x:v>
      </x:c>
      <x:c r="B474" t="str">
        <x:v>Marine</x:v>
      </x:c>
      <x:c r="C474" t="n">
        <x:v>14770</x:v>
      </x:c>
      <x:c r="D474" t="n">
        <x:v>12</x:v>
      </x:c>
      <x:c r="E474" t="str">
        <x:v>Medium</x:v>
      </x:c>
      <x:c r="F474" t="str">
        <x:v>Residential</x:v>
      </x:c>
      <x:c r="G474" t="str">
        <x:v>Shear Wall</x:v>
      </x:c>
      <x:c r="H474" t="str">
        <x:v>Raft</x:v>
      </x:c>
      <x:c r="I474" t="str">
        <x:v>Rock</x:v>
      </x:c>
      <x:c r="J474" t="str">
        <x:v>High</x:v>
      </x:c>
      <x:c r="K474" t="n">
        <x:v>25921350</x:v>
      </x:c>
      <x:c r="L474" t="n">
        <x:v>570</x:v>
      </x:c>
      <x:c r="M474" t="n">
        <x:v>655.3</x:v>
      </x:c>
      <x:c r="N474" t="n">
        <x:v>16.4</x:v>
      </x:c>
      <x:c r="O474" t="n">
        <x:v>87.5</x:v>
      </x:c>
      <x:c r="P474" t="str">
        <x:v>Rainy</x:v>
      </x:c>
      <x:c r="Q474" t="n">
        <x:v>78</x:v>
      </x:c>
      <x:c r="R474" t="n">
        <x:v>67</x:v>
      </x:c>
      <x:c r="S474" t="n">
        <x:v>0.0815</x:v>
      </x:c>
      <x:c r="T474" t="n">
        <x:v>12.6</x:v>
      </x:c>
      <x:c r="U474" t="n">
        <x:v>1230.8</x:v>
      </x:c>
      <x:c r="V474" t="n">
        <x:v>1755</x:v>
      </x:c>
      <x:c r="W474" t="n">
        <x:v>38.6</x:v>
      </x:c>
    </x:row>
    <x:row r="475">
      <x:c r="A475" t="str">
        <x:v>PJT_474</x:v>
      </x:c>
      <x:c r="B475" t="str">
        <x:v>Marine</x:v>
      </x:c>
      <x:c r="C475" t="n">
        <x:v>21470</x:v>
      </x:c>
      <x:c r="D475" t="n">
        <x:v>15</x:v>
      </x:c>
      <x:c r="E475" t="str">
        <x:v>Medium</x:v>
      </x:c>
      <x:c r="F475" t="str">
        <x:v>Commercial</x:v>
      </x:c>
      <x:c r="G475" t="str">
        <x:v>Steel</x:v>
      </x:c>
      <x:c r="H475" t="str">
        <x:v>Piles</x:v>
      </x:c>
      <x:c r="I475" t="str">
        <x:v>Sand</x:v>
      </x:c>
      <x:c r="J475" t="str">
        <x:v>High</x:v>
      </x:c>
      <x:c r="K475" t="n">
        <x:v>52902080</x:v>
      </x:c>
      <x:c r="L475" t="n">
        <x:v>966</x:v>
      </x:c>
      <x:c r="M475" t="n">
        <x:v>255.4</x:v>
      </x:c>
      <x:c r="N475" t="n">
        <x:v>19</x:v>
      </x:c>
      <x:c r="O475" t="n">
        <x:v>78.3</x:v>
      </x:c>
      <x:c r="P475" t="str">
        <x:v>Cloudy</x:v>
      </x:c>
      <x:c r="Q475" t="n">
        <x:v>90</x:v>
      </x:c>
      <x:c r="R475" t="n">
        <x:v>78.6</x:v>
      </x:c>
      <x:c r="S475" t="n">
        <x:v>0.1003</x:v>
      </x:c>
      <x:c r="T475" t="n">
        <x:v>17.4</x:v>
      </x:c>
      <x:c r="U475" t="n">
        <x:v>1431.3</x:v>
      </x:c>
      <x:c r="V475" t="n">
        <x:v>2464</x:v>
      </x:c>
      <x:c r="W475" t="n">
        <x:v>45</x:v>
      </x:c>
    </x:row>
    <x:row r="476">
      <x:c r="A476" t="str">
        <x:v>PJT_475</x:v>
      </x:c>
      <x:c r="B476" t="str">
        <x:v>Marine</x:v>
      </x:c>
      <x:c r="C476" t="n">
        <x:v>9550</x:v>
      </x:c>
      <x:c r="D476" t="n">
        <x:v>12</x:v>
      </x:c>
      <x:c r="E476" t="str">
        <x:v>Medium</x:v>
      </x:c>
      <x:c r="F476" t="str">
        <x:v>Residential</x:v>
      </x:c>
      <x:c r="G476" t="str">
        <x:v>Shear Wall</x:v>
      </x:c>
      <x:c r="H476" t="str">
        <x:v>Raft</x:v>
      </x:c>
      <x:c r="I476" t="str">
        <x:v>Rock</x:v>
      </x:c>
      <x:c r="J476" t="str">
        <x:v>High</x:v>
      </x:c>
      <x:c r="K476" t="n">
        <x:v>16655200</x:v>
      </x:c>
      <x:c r="L476" t="n">
        <x:v>341</x:v>
      </x:c>
      <x:c r="M476" t="n">
        <x:v>682.4</x:v>
      </x:c>
      <x:c r="N476" t="n">
        <x:v>16.3</x:v>
      </x:c>
      <x:c r="O476" t="n">
        <x:v>58.3</x:v>
      </x:c>
      <x:c r="P476" t="str">
        <x:v>Sunny</x:v>
      </x:c>
      <x:c r="Q476" t="n">
        <x:v>74</x:v>
      </x:c>
      <x:c r="R476" t="n">
        <x:v>70.8</x:v>
      </x:c>
      <x:c r="S476" t="n">
        <x:v>0.0829</x:v>
      </x:c>
      <x:c r="T476" t="n">
        <x:v>13.4</x:v>
      </x:c>
      <x:c r="U476" t="n">
        <x:v>795.8</x:v>
      </x:c>
      <x:c r="V476" t="n">
        <x:v>1744</x:v>
      </x:c>
      <x:c r="W476" t="n">
        <x:v>35.7</x:v>
      </x:c>
    </x:row>
    <x:row r="477">
      <x:c r="A477" t="str">
        <x:v>PJT_476</x:v>
      </x:c>
      <x:c r="B477" t="str">
        <x:v>Continental</x:v>
      </x:c>
      <x:c r="C477" t="n">
        <x:v>19420</x:v>
      </x:c>
      <x:c r="D477" t="n">
        <x:v>10</x:v>
      </x:c>
      <x:c r="E477" t="str">
        <x:v>Medium</x:v>
      </x:c>
      <x:c r="F477" t="str">
        <x:v>Commercial</x:v>
      </x:c>
      <x:c r="G477" t="str">
        <x:v>RC Frame</x:v>
      </x:c>
      <x:c r="H477" t="str">
        <x:v>Raft</x:v>
      </x:c>
      <x:c r="I477" t="str">
        <x:v>Mixed</x:v>
      </x:c>
      <x:c r="J477" t="str">
        <x:v>High</x:v>
      </x:c>
      <x:c r="K477" t="n">
        <x:v>44510640</x:v>
      </x:c>
      <x:c r="L477" t="n">
        <x:v>790</x:v>
      </x:c>
      <x:c r="M477" t="n">
        <x:v>298.7</x:v>
      </x:c>
      <x:c r="N477" t="n">
        <x:v>1.6</x:v>
      </x:c>
      <x:c r="O477" t="n">
        <x:v>64.7</x:v>
      </x:c>
      <x:c r="P477" t="str">
        <x:v>Cloudy</x:v>
      </x:c>
      <x:c r="Q477" t="n">
        <x:v>103</x:v>
      </x:c>
      <x:c r="R477" t="n">
        <x:v>77.2</x:v>
      </x:c>
      <x:c r="S477" t="n">
        <x:v>0.0949</x:v>
      </x:c>
      <x:c r="T477" t="n">
        <x:v>16.8</x:v>
      </x:c>
      <x:c r="U477" t="n">
        <x:v>1942</x:v>
      </x:c>
      <x:c r="V477" t="n">
        <x:v>2292</x:v>
      </x:c>
      <x:c r="W477" t="n">
        <x:v>40.7</x:v>
      </x:c>
    </x:row>
    <x:row r="478">
      <x:c r="A478" t="str">
        <x:v>PJT_477</x:v>
      </x:c>
      <x:c r="B478" t="str">
        <x:v>Humid Subtropical</x:v>
      </x:c>
      <x:c r="C478" t="n">
        <x:v>11180</x:v>
      </x:c>
      <x:c r="D478" t="n">
        <x:v>5</x:v>
      </x:c>
      <x:c r="E478" t="str">
        <x:v>Low</x:v>
      </x:c>
      <x:c r="F478" t="str">
        <x:v>School</x:v>
      </x:c>
      <x:c r="G478" t="str">
        <x:v>RC Frame</x:v>
      </x:c>
      <x:c r="H478" t="str">
        <x:v>Raft</x:v>
      </x:c>
      <x:c r="I478" t="str">
        <x:v>Mixed</x:v>
      </x:c>
      <x:c r="J478" t="str">
        <x:v>High</x:v>
      </x:c>
      <x:c r="K478" t="n">
        <x:v>19151340</x:v>
      </x:c>
      <x:c r="L478" t="n">
        <x:v>332</x:v>
      </x:c>
      <x:c r="M478" t="n">
        <x:v>318.3</x:v>
      </x:c>
      <x:c r="N478" t="n">
        <x:v>28.5</x:v>
      </x:c>
      <x:c r="O478" t="n">
        <x:v>81.1</x:v>
      </x:c>
      <x:c r="P478" t="str">
        <x:v>Cloudy</x:v>
      </x:c>
      <x:c r="Q478" t="n">
        <x:v>75</x:v>
      </x:c>
      <x:c r="R478" t="n">
        <x:v>63.2</x:v>
      </x:c>
      <x:c r="S478" t="n">
        <x:v>0.0743</x:v>
      </x:c>
      <x:c r="T478" t="n">
        <x:v>14.1</x:v>
      </x:c>
      <x:c r="U478" t="n">
        <x:v>2236</x:v>
      </x:c>
      <x:c r="V478" t="n">
        <x:v>1713</x:v>
      </x:c>
      <x:c r="W478" t="n">
        <x:v>29.7</x:v>
      </x:c>
    </x:row>
    <x:row r="479">
      <x:c r="A479" t="str">
        <x:v>PJT_478</x:v>
      </x:c>
      <x:c r="B479" t="str">
        <x:v>Continental</x:v>
      </x:c>
      <x:c r="C479" t="n">
        <x:v>19260</x:v>
      </x:c>
      <x:c r="D479" t="n">
        <x:v>12</x:v>
      </x:c>
      <x:c r="E479" t="str">
        <x:v>Medium</x:v>
      </x:c>
      <x:c r="F479" t="str">
        <x:v>Commercial</x:v>
      </x:c>
      <x:c r="G479" t="str">
        <x:v>RC Frame</x:v>
      </x:c>
      <x:c r="H479" t="str">
        <x:v>Raft</x:v>
      </x:c>
      <x:c r="I479" t="str">
        <x:v>Mixed</x:v>
      </x:c>
      <x:c r="J479" t="str">
        <x:v>Medium</x:v>
      </x:c>
      <x:c r="K479" t="n">
        <x:v>40272660</x:v>
      </x:c>
      <x:c r="L479" t="n">
        <x:v>815</x:v>
      </x:c>
      <x:c r="M479" t="n">
        <x:v>301.2</x:v>
      </x:c>
      <x:c r="N479" t="n">
        <x:v>-9.1</x:v>
      </x:c>
      <x:c r="O479" t="n">
        <x:v>64.7</x:v>
      </x:c>
      <x:c r="P479" t="str">
        <x:v>Snowy</x:v>
      </x:c>
      <x:c r="Q479" t="n">
        <x:v>72</x:v>
      </x:c>
      <x:c r="R479" t="n">
        <x:v>74</x:v>
      </x:c>
      <x:c r="S479" t="n">
        <x:v>0.0889</x:v>
      </x:c>
      <x:c r="T479" t="n">
        <x:v>15.6</x:v>
      </x:c>
      <x:c r="U479" t="n">
        <x:v>1605</x:v>
      </x:c>
      <x:c r="V479" t="n">
        <x:v>2091</x:v>
      </x:c>
      <x:c r="W479" t="n">
        <x:v>42.3</x:v>
      </x:c>
    </x:row>
    <x:row r="480">
      <x:c r="A480" t="str">
        <x:v>PJT_479</x:v>
      </x:c>
      <x:c r="B480" t="str">
        <x:v>Humid Subtropical</x:v>
      </x:c>
      <x:c r="C480" t="n">
        <x:v>16870</x:v>
      </x:c>
      <x:c r="D480" t="n">
        <x:v>13</x:v>
      </x:c>
      <x:c r="E480" t="str">
        <x:v>Medium</x:v>
      </x:c>
      <x:c r="F480" t="str">
        <x:v>Mixed-use</x:v>
      </x:c>
      <x:c r="G480" t="str">
        <x:v>Shear Wall</x:v>
      </x:c>
      <x:c r="H480" t="str">
        <x:v>Raft</x:v>
      </x:c>
      <x:c r="I480" t="str">
        <x:v>Rock</x:v>
      </x:c>
      <x:c r="J480" t="str">
        <x:v>Medium</x:v>
      </x:c>
      <x:c r="K480" t="n">
        <x:v>43001630</x:v>
      </x:c>
      <x:c r="L480" t="n">
        <x:v>751</x:v>
      </x:c>
      <x:c r="M480" t="n">
        <x:v>620.3</x:v>
      </x:c>
      <x:c r="N480" t="n">
        <x:v>32.1</x:v>
      </x:c>
      <x:c r="O480" t="n">
        <x:v>66</x:v>
      </x:c>
      <x:c r="P480" t="str">
        <x:v>Sunny</x:v>
      </x:c>
      <x:c r="Q480" t="n">
        <x:v>77</x:v>
      </x:c>
      <x:c r="R480" t="n">
        <x:v>75.8</x:v>
      </x:c>
      <x:c r="S480" t="n">
        <x:v>0.1021</x:v>
      </x:c>
      <x:c r="T480" t="n">
        <x:v>18.3</x:v>
      </x:c>
      <x:c r="U480" t="n">
        <x:v>1297.7</x:v>
      </x:c>
      <x:c r="V480" t="n">
        <x:v>2549</x:v>
      </x:c>
      <x:c r="W480" t="n">
        <x:v>44.5</x:v>
      </x:c>
    </x:row>
    <x:row r="481">
      <x:c r="A481" t="str">
        <x:v>PJT_480</x:v>
      </x:c>
      <x:c r="B481" t="str">
        <x:v>Humid Subtropical</x:v>
      </x:c>
      <x:c r="C481" t="n">
        <x:v>21270</x:v>
      </x:c>
      <x:c r="D481" t="n">
        <x:v>16</x:v>
      </x:c>
      <x:c r="E481" t="str">
        <x:v>Medium</x:v>
      </x:c>
      <x:c r="F481" t="str">
        <x:v>Mixed-use</x:v>
      </x:c>
      <x:c r="G481" t="str">
        <x:v>Shear Wall</x:v>
      </x:c>
      <x:c r="H481" t="str">
        <x:v>Piles</x:v>
      </x:c>
      <x:c r="I481" t="str">
        <x:v>Mixed</x:v>
      </x:c>
      <x:c r="J481" t="str">
        <x:v>Low</x:v>
      </x:c>
      <x:c r="K481" t="n">
        <x:v>54812790</x:v>
      </x:c>
      <x:c r="L481" t="n">
        <x:v>987</x:v>
      </x:c>
      <x:c r="M481" t="n">
        <x:v>370.4</x:v>
      </x:c>
      <x:c r="N481" t="n">
        <x:v>28.6</x:v>
      </x:c>
      <x:c r="O481" t="n">
        <x:v>55</x:v>
      </x:c>
      <x:c r="P481" t="str">
        <x:v>Sunny</x:v>
      </x:c>
      <x:c r="Q481" t="n">
        <x:v>93</x:v>
      </x:c>
      <x:c r="R481" t="n">
        <x:v>86</x:v>
      </x:c>
      <x:c r="S481" t="n">
        <x:v>0.1031</x:v>
      </x:c>
      <x:c r="T481" t="n">
        <x:v>18</x:v>
      </x:c>
      <x:c r="U481" t="n">
        <x:v>1329.4</x:v>
      </x:c>
      <x:c r="V481" t="n">
        <x:v>2577</x:v>
      </x:c>
      <x:c r="W481" t="n">
        <x:v>46.4</x:v>
      </x:c>
    </x:row>
    <x:row r="482">
      <x:c r="A482" t="str">
        <x:v>PJT_481</x:v>
      </x:c>
      <x:c r="B482" t="str">
        <x:v>Continental</x:v>
      </x:c>
      <x:c r="C482" t="n">
        <x:v>27180</x:v>
      </x:c>
      <x:c r="D482" t="n">
        <x:v>20</x:v>
      </x:c>
      <x:c r="E482" t="str">
        <x:v>Medium</x:v>
      </x:c>
      <x:c r="F482" t="str">
        <x:v>Mixed-use</x:v>
      </x:c>
      <x:c r="G482" t="str">
        <x:v>Steel</x:v>
      </x:c>
      <x:c r="H482" t="str">
        <x:v>Piles</x:v>
      </x:c>
      <x:c r="I482" t="str">
        <x:v>Mixed</x:v>
      </x:c>
      <x:c r="J482" t="str">
        <x:v>Low</x:v>
      </x:c>
      <x:c r="K482" t="n">
        <x:v>69417720</x:v>
      </x:c>
      <x:c r="L482" t="n">
        <x:v>1498</x:v>
      </x:c>
      <x:c r="M482" t="n">
        <x:v>415.4</x:v>
      </x:c>
      <x:c r="N482" t="n">
        <x:v>-4.5</x:v>
      </x:c>
      <x:c r="O482" t="n">
        <x:v>68.4</x:v>
      </x:c>
      <x:c r="P482" t="str">
        <x:v>Snowy</x:v>
      </x:c>
      <x:c r="Q482" t="n">
        <x:v>104</x:v>
      </x:c>
      <x:c r="R482" t="n">
        <x:v>80.4</x:v>
      </x:c>
      <x:c r="S482" t="n">
        <x:v>0.1015</x:v>
      </x:c>
      <x:c r="T482" t="n">
        <x:v>19.1</x:v>
      </x:c>
      <x:c r="U482" t="n">
        <x:v>1359</x:v>
      </x:c>
      <x:c r="V482" t="n">
        <x:v>2554</x:v>
      </x:c>
      <x:c r="W482" t="n">
        <x:v>55.1</x:v>
      </x:c>
    </x:row>
    <x:row r="483">
      <x:c r="A483" t="str">
        <x:v>PJT_482</x:v>
      </x:c>
      <x:c r="B483" t="str">
        <x:v>Continental</x:v>
      </x:c>
      <x:c r="C483" t="n">
        <x:v>27270</x:v>
      </x:c>
      <x:c r="D483" t="n">
        <x:v>15</x:v>
      </x:c>
      <x:c r="E483" t="str">
        <x:v>High</x:v>
      </x:c>
      <x:c r="F483" t="str">
        <x:v>Mixed-use</x:v>
      </x:c>
      <x:c r="G483" t="str">
        <x:v>Shear Wall</x:v>
      </x:c>
      <x:c r="H483" t="str">
        <x:v>Piles</x:v>
      </x:c>
      <x:c r="I483" t="str">
        <x:v>Sand</x:v>
      </x:c>
      <x:c r="J483" t="str">
        <x:v>High</x:v>
      </x:c>
      <x:c r="K483" t="n">
        <x:v>74038050</x:v>
      </x:c>
      <x:c r="L483" t="n">
        <x:v>1582</x:v>
      </x:c>
      <x:c r="M483" t="n">
        <x:v>251.5</x:v>
      </x:c>
      <x:c r="N483" t="n">
        <x:v>8.9</x:v>
      </x:c>
      <x:c r="O483" t="n">
        <x:v>89.1</x:v>
      </x:c>
      <x:c r="P483" t="str">
        <x:v>Stormy</x:v>
      </x:c>
      <x:c r="Q483" t="n">
        <x:v>77</x:v>
      </x:c>
      <x:c r="R483" t="n">
        <x:v>84.1</x:v>
      </x:c>
      <x:c r="S483" t="n">
        <x:v>0.1077</x:v>
      </x:c>
      <x:c r="T483" t="n">
        <x:v>20</x:v>
      </x:c>
      <x:c r="U483" t="n">
        <x:v>1818</x:v>
      </x:c>
      <x:c r="V483" t="n">
        <x:v>2715</x:v>
      </x:c>
      <x:c r="W483" t="n">
        <x:v>58</x:v>
      </x:c>
    </x:row>
    <x:row r="484">
      <x:c r="A484" t="str">
        <x:v>PJT_483</x:v>
      </x:c>
      <x:c r="B484" t="str">
        <x:v>Continental</x:v>
      </x:c>
      <x:c r="C484" t="n">
        <x:v>8660</x:v>
      </x:c>
      <x:c r="D484" t="n">
        <x:v>7</x:v>
      </x:c>
      <x:c r="E484" t="str">
        <x:v>Medium</x:v>
      </x:c>
      <x:c r="F484" t="str">
        <x:v>Commercial</x:v>
      </x:c>
      <x:c r="G484" t="str">
        <x:v>RC Frame</x:v>
      </x:c>
      <x:c r="H484" t="str">
        <x:v>Raft</x:v>
      </x:c>
      <x:c r="I484" t="str">
        <x:v>Rock</x:v>
      </x:c>
      <x:c r="J484" t="str">
        <x:v>High</x:v>
      </x:c>
      <x:c r="K484" t="n">
        <x:v>19433040</x:v>
      </x:c>
      <x:c r="L484" t="n">
        <x:v>378</x:v>
      </x:c>
      <x:c r="M484" t="n">
        <x:v>744.8</x:v>
      </x:c>
      <x:c r="N484" t="n">
        <x:v>6.7</x:v>
      </x:c>
      <x:c r="O484" t="n">
        <x:v>74.3</x:v>
      </x:c>
      <x:c r="P484" t="str">
        <x:v>Stormy</x:v>
      </x:c>
      <x:c r="Q484" t="n">
        <x:v>87</x:v>
      </x:c>
      <x:c r="R484" t="n">
        <x:v>79.7</x:v>
      </x:c>
      <x:c r="S484" t="n">
        <x:v>0.0948</x:v>
      </x:c>
      <x:c r="T484" t="n">
        <x:v>15.5</x:v>
      </x:c>
      <x:c r="U484" t="n">
        <x:v>1237.1</x:v>
      </x:c>
      <x:c r="V484" t="n">
        <x:v>2244</x:v>
      </x:c>
      <x:c r="W484" t="n">
        <x:v>43.6</x:v>
      </x:c>
    </x:row>
    <x:row r="485">
      <x:c r="A485" t="str">
        <x:v>PJT_484</x:v>
      </x:c>
      <x:c r="B485" t="str">
        <x:v>Marine</x:v>
      </x:c>
      <x:c r="C485" t="n">
        <x:v>22730</x:v>
      </x:c>
      <x:c r="D485" t="n">
        <x:v>21</x:v>
      </x:c>
      <x:c r="E485" t="str">
        <x:v>Medium</x:v>
      </x:c>
      <x:c r="F485" t="str">
        <x:v>Mixed-use</x:v>
      </x:c>
      <x:c r="G485" t="str">
        <x:v>Steel</x:v>
      </x:c>
      <x:c r="H485" t="str">
        <x:v>Piles</x:v>
      </x:c>
      <x:c r="I485" t="str">
        <x:v>Soft Clay</x:v>
      </x:c>
      <x:c r="J485" t="str">
        <x:v>Medium</x:v>
      </x:c>
      <x:c r="K485" t="n">
        <x:v>62371120</x:v>
      </x:c>
      <x:c r="L485" t="n">
        <x:v>1193</x:v>
      </x:c>
      <x:c r="M485" t="n">
        <x:v>177.7</x:v>
      </x:c>
      <x:c r="N485" t="n">
        <x:v>9.3</x:v>
      </x:c>
      <x:c r="O485" t="n">
        <x:v>88.2</x:v>
      </x:c>
      <x:c r="P485" t="str">
        <x:v>Rainy</x:v>
      </x:c>
      <x:c r="Q485" t="n">
        <x:v>86</x:v>
      </x:c>
      <x:c r="R485" t="n">
        <x:v>85.1</x:v>
      </x:c>
      <x:c r="S485" t="n">
        <x:v>0.1009</x:v>
      </x:c>
      <x:c r="T485" t="n">
        <x:v>17.8</x:v>
      </x:c>
      <x:c r="U485" t="n">
        <x:v>1082.4</x:v>
      </x:c>
      <x:c r="V485" t="n">
        <x:v>2744</x:v>
      </x:c>
      <x:c r="W485" t="n">
        <x:v>52.5</x:v>
      </x:c>
    </x:row>
    <x:row r="486">
      <x:c r="A486" t="str">
        <x:v>PJT_485</x:v>
      </x:c>
      <x:c r="B486" t="str">
        <x:v>Marine</x:v>
      </x:c>
      <x:c r="C486" t="n">
        <x:v>24360</x:v>
      </x:c>
      <x:c r="D486" t="n">
        <x:v>15</x:v>
      </x:c>
      <x:c r="E486" t="str">
        <x:v>Medium</x:v>
      </x:c>
      <x:c r="F486" t="str">
        <x:v>Hospital</x:v>
      </x:c>
      <x:c r="G486" t="str">
        <x:v>Shear Wall</x:v>
      </x:c>
      <x:c r="H486" t="str">
        <x:v>Piles</x:v>
      </x:c>
      <x:c r="I486" t="str">
        <x:v>Soft Clay</x:v>
      </x:c>
      <x:c r="J486" t="str">
        <x:v>Medium</x:v>
      </x:c>
      <x:c r="K486" t="n">
        <x:v>78512280</x:v>
      </x:c>
      <x:c r="L486" t="n">
        <x:v>1269</x:v>
      </x:c>
      <x:c r="M486" t="n">
        <x:v>225.5</x:v>
      </x:c>
      <x:c r="N486" t="n">
        <x:v>19</x:v>
      </x:c>
      <x:c r="O486" t="n">
        <x:v>80.6</x:v>
      </x:c>
      <x:c r="P486" t="str">
        <x:v>Cloudy</x:v>
      </x:c>
      <x:c r="Q486" t="n">
        <x:v>74</x:v>
      </x:c>
      <x:c r="R486" t="n">
        <x:v>83.8</x:v>
      </x:c>
      <x:c r="S486" t="n">
        <x:v>0.1053</x:v>
      </x:c>
      <x:c r="T486" t="n">
        <x:v>20.7</x:v>
      </x:c>
      <x:c r="U486" t="n">
        <x:v>1624</x:v>
      </x:c>
      <x:c r="V486" t="n">
        <x:v>3223</x:v>
      </x:c>
      <x:c r="W486" t="n">
        <x:v>52.1</x:v>
      </x:c>
    </x:row>
    <x:row r="487">
      <x:c r="A487" t="str">
        <x:v>PJT_486</x:v>
      </x:c>
      <x:c r="B487" t="str">
        <x:v>Marine</x:v>
      </x:c>
      <x:c r="C487" t="n">
        <x:v>11640</x:v>
      </x:c>
      <x:c r="D487" t="n">
        <x:v>10</x:v>
      </x:c>
      <x:c r="E487" t="str">
        <x:v>Medium</x:v>
      </x:c>
      <x:c r="F487" t="str">
        <x:v>Mixed-use</x:v>
      </x:c>
      <x:c r="G487" t="str">
        <x:v>Shear Wall</x:v>
      </x:c>
      <x:c r="H487" t="str">
        <x:v>Raft</x:v>
      </x:c>
      <x:c r="I487" t="str">
        <x:v>Sand</x:v>
      </x:c>
      <x:c r="J487" t="str">
        <x:v>High</x:v>
      </x:c>
      <x:c r="K487" t="n">
        <x:v>30357120</x:v>
      </x:c>
      <x:c r="L487" t="n">
        <x:v>530</x:v>
      </x:c>
      <x:c r="M487" t="n">
        <x:v>231.9</x:v>
      </x:c>
      <x:c r="N487" t="n">
        <x:v>16.8</x:v>
      </x:c>
      <x:c r="O487" t="n">
        <x:v>65.7</x:v>
      </x:c>
      <x:c r="P487" t="str">
        <x:v>Cloudy</x:v>
      </x:c>
      <x:c r="Q487" t="n">
        <x:v>76</x:v>
      </x:c>
      <x:c r="R487" t="n">
        <x:v>76</x:v>
      </x:c>
      <x:c r="S487" t="n">
        <x:v>0.0963</x:v>
      </x:c>
      <x:c r="T487" t="n">
        <x:v>17.8</x:v>
      </x:c>
      <x:c r="U487" t="n">
        <x:v>1164</x:v>
      </x:c>
      <x:c r="V487" t="n">
        <x:v>2608</x:v>
      </x:c>
      <x:c r="W487" t="n">
        <x:v>45.5</x:v>
      </x:c>
    </x:row>
    <x:row r="488">
      <x:c r="A488" t="str">
        <x:v>PJT_487</x:v>
      </x:c>
      <x:c r="B488" t="str">
        <x:v>Continental</x:v>
      </x:c>
      <x:c r="C488" t="n">
        <x:v>16450</x:v>
      </x:c>
      <x:c r="D488" t="n">
        <x:v>12</x:v>
      </x:c>
      <x:c r="E488" t="str">
        <x:v>Medium</x:v>
      </x:c>
      <x:c r="F488" t="str">
        <x:v>Commercial</x:v>
      </x:c>
      <x:c r="G488" t="str">
        <x:v>Steel</x:v>
      </x:c>
      <x:c r="H488" t="str">
        <x:v>Raft</x:v>
      </x:c>
      <x:c r="I488" t="str">
        <x:v>Mixed</x:v>
      </x:c>
      <x:c r="J488" t="str">
        <x:v>Low</x:v>
      </x:c>
      <x:c r="K488" t="n">
        <x:v>37144100</x:v>
      </x:c>
      <x:c r="L488" t="n">
        <x:v>691</x:v>
      </x:c>
      <x:c r="M488" t="n">
        <x:v>348.4</x:v>
      </x:c>
      <x:c r="N488" t="n">
        <x:v>21.8</x:v>
      </x:c>
      <x:c r="O488" t="n">
        <x:v>49.9</x:v>
      </x:c>
      <x:c r="P488" t="str">
        <x:v>Cloudy</x:v>
      </x:c>
      <x:c r="Q488" t="n">
        <x:v>75</x:v>
      </x:c>
      <x:c r="R488" t="n">
        <x:v>76.1</x:v>
      </x:c>
      <x:c r="S488" t="n">
        <x:v>0.0989</x:v>
      </x:c>
      <x:c r="T488" t="n">
        <x:v>17.5</x:v>
      </x:c>
      <x:c r="U488" t="n">
        <x:v>1370.8</x:v>
      </x:c>
      <x:c r="V488" t="n">
        <x:v>2258</x:v>
      </x:c>
      <x:c r="W488" t="n">
        <x:v>42</x:v>
      </x:c>
    </x:row>
    <x:row r="489">
      <x:c r="A489" t="str">
        <x:v>PJT_488</x:v>
      </x:c>
      <x:c r="B489" t="str">
        <x:v>Continental</x:v>
      </x:c>
      <x:c r="C489" t="n">
        <x:v>24560</x:v>
      </x:c>
      <x:c r="D489" t="n">
        <x:v>22</x:v>
      </x:c>
      <x:c r="E489" t="str">
        <x:v>Medium</x:v>
      </x:c>
      <x:c r="F489" t="str">
        <x:v>Mixed-use</x:v>
      </x:c>
      <x:c r="G489" t="str">
        <x:v>Steel</x:v>
      </x:c>
      <x:c r="H489" t="str">
        <x:v>Piles</x:v>
      </x:c>
      <x:c r="I489" t="str">
        <x:v>Rock</x:v>
      </x:c>
      <x:c r="J489" t="str">
        <x:v>Low</x:v>
      </x:c>
      <x:c r="K489" t="n">
        <x:v>66017280</x:v>
      </x:c>
      <x:c r="L489" t="n">
        <x:v>1260</x:v>
      </x:c>
      <x:c r="M489" t="n">
        <x:v>753.4</x:v>
      </x:c>
      <x:c r="N489" t="n">
        <x:v>17.2</x:v>
      </x:c>
      <x:c r="O489" t="n">
        <x:v>46.1</x:v>
      </x:c>
      <x:c r="P489" t="str">
        <x:v>Sunny</x:v>
      </x:c>
      <x:c r="Q489" t="n">
        <x:v>102</x:v>
      </x:c>
      <x:c r="R489" t="n">
        <x:v>88.8</x:v>
      </x:c>
      <x:c r="S489" t="n">
        <x:v>0.0982</x:v>
      </x:c>
      <x:c r="T489" t="n">
        <x:v>19.3</x:v>
      </x:c>
      <x:c r="U489" t="n">
        <x:v>1116.4</x:v>
      </x:c>
      <x:c r="V489" t="n">
        <x:v>2688</x:v>
      </x:c>
      <x:c r="W489" t="n">
        <x:v>51.3</x:v>
      </x:c>
    </x:row>
    <x:row r="490">
      <x:c r="A490" t="str">
        <x:v>PJT_489</x:v>
      </x:c>
      <x:c r="B490" t="str">
        <x:v>Marine</x:v>
      </x:c>
      <x:c r="C490" t="n">
        <x:v>17350</x:v>
      </x:c>
      <x:c r="D490" t="n">
        <x:v>12</x:v>
      </x:c>
      <x:c r="E490" t="str">
        <x:v>Medium</x:v>
      </x:c>
      <x:c r="F490" t="str">
        <x:v>Hospital</x:v>
      </x:c>
      <x:c r="G490" t="str">
        <x:v>Shear Wall</x:v>
      </x:c>
      <x:c r="H490" t="str">
        <x:v>Piles</x:v>
      </x:c>
      <x:c r="I490" t="str">
        <x:v>Sand</x:v>
      </x:c>
      <x:c r="J490" t="str">
        <x:v>Medium</x:v>
      </x:c>
      <x:c r="K490" t="n">
        <x:v>54062600</x:v>
      </x:c>
      <x:c r="L490" t="n">
        <x:v>937</x:v>
      </x:c>
      <x:c r="M490" t="n">
        <x:v>315.3</x:v>
      </x:c>
      <x:c r="N490" t="n">
        <x:v>14.1</x:v>
      </x:c>
      <x:c r="O490" t="n">
        <x:v>79.6</x:v>
      </x:c>
      <x:c r="P490" t="str">
        <x:v>Stormy</x:v>
      </x:c>
      <x:c r="Q490" t="n">
        <x:v>83</x:v>
      </x:c>
      <x:c r="R490" t="n">
        <x:v>82.4</x:v>
      </x:c>
      <x:c r="S490" t="n">
        <x:v>0.1057</x:v>
      </x:c>
      <x:c r="T490" t="n">
        <x:v>21.9</x:v>
      </x:c>
      <x:c r="U490" t="n">
        <x:v>1445.8</x:v>
      </x:c>
      <x:c r="V490" t="n">
        <x:v>3116</x:v>
      </x:c>
      <x:c r="W490" t="n">
        <x:v>54</x:v>
      </x:c>
    </x:row>
    <x:row r="491">
      <x:c r="A491" t="str">
        <x:v>PJT_490</x:v>
      </x:c>
      <x:c r="B491" t="str">
        <x:v>Continental</x:v>
      </x:c>
      <x:c r="C491" t="n">
        <x:v>4930</x:v>
      </x:c>
      <x:c r="D491" t="n">
        <x:v>6</x:v>
      </x:c>
      <x:c r="E491" t="str">
        <x:v>Low</x:v>
      </x:c>
      <x:c r="F491" t="str">
        <x:v>Residential</x:v>
      </x:c>
      <x:c r="G491" t="str">
        <x:v>RC Frame</x:v>
      </x:c>
      <x:c r="H491" t="str">
        <x:v>Raft</x:v>
      </x:c>
      <x:c r="I491" t="str">
        <x:v>Soft Clay</x:v>
      </x:c>
      <x:c r="J491" t="str">
        <x:v>Low</x:v>
      </x:c>
      <x:c r="K491" t="n">
        <x:v>5886420</x:v>
      </x:c>
      <x:c r="L491" t="n">
        <x:v>180</x:v>
      </x:c>
      <x:c r="M491" t="n">
        <x:v>151</x:v>
      </x:c>
      <x:c r="N491" t="n">
        <x:v>17.2</x:v>
      </x:c>
      <x:c r="O491" t="n">
        <x:v>38.6</x:v>
      </x:c>
      <x:c r="P491" t="str">
        <x:v>Sunny</x:v>
      </x:c>
      <x:c r="Q491" t="n">
        <x:v>61</x:v>
      </x:c>
      <x:c r="R491" t="n">
        <x:v>68.1</x:v>
      </x:c>
      <x:c r="S491" t="n">
        <x:v>0.0757</x:v>
      </x:c>
      <x:c r="T491" t="n">
        <x:v>12.4</x:v>
      </x:c>
      <x:c r="U491" t="n">
        <x:v>821.7</x:v>
      </x:c>
      <x:c r="V491" t="n">
        <x:v>1194</x:v>
      </x:c>
      <x:c r="W491" t="n">
        <x:v>31</x:v>
      </x:c>
    </x:row>
    <x:row r="492">
      <x:c r="A492" t="str">
        <x:v>PJT_491</x:v>
      </x:c>
      <x:c r="B492" t="str">
        <x:v>Continental</x:v>
      </x:c>
      <x:c r="C492" t="n">
        <x:v>15900</x:v>
      </x:c>
      <x:c r="D492" t="n">
        <x:v>14</x:v>
      </x:c>
      <x:c r="E492" t="str">
        <x:v>Low</x:v>
      </x:c>
      <x:c r="F492" t="str">
        <x:v>Residential</x:v>
      </x:c>
      <x:c r="G492" t="str">
        <x:v>RC Frame</x:v>
      </x:c>
      <x:c r="H492" t="str">
        <x:v>Raft</x:v>
      </x:c>
      <x:c r="I492" t="str">
        <x:v>Mixed</x:v>
      </x:c>
      <x:c r="J492" t="str">
        <x:v>Low</x:v>
      </x:c>
      <x:c r="K492" t="n">
        <x:v>19509300</x:v>
      </x:c>
      <x:c r="L492" t="n">
        <x:v>526</x:v>
      </x:c>
      <x:c r="M492" t="n">
        <x:v>341.5</x:v>
      </x:c>
      <x:c r="N492" t="n">
        <x:v>12.2</x:v>
      </x:c>
      <x:c r="O492" t="n">
        <x:v>83</x:v>
      </x:c>
      <x:c r="P492" t="str">
        <x:v>Rainy</x:v>
      </x:c>
      <x:c r="Q492" t="n">
        <x:v>95</x:v>
      </x:c>
      <x:c r="R492" t="n">
        <x:v>66.5</x:v>
      </x:c>
      <x:c r="S492" t="n">
        <x:v>0.077</x:v>
      </x:c>
      <x:c r="T492" t="n">
        <x:v>12.1</x:v>
      </x:c>
      <x:c r="U492" t="n">
        <x:v>1135.7</x:v>
      </x:c>
      <x:c r="V492" t="n">
        <x:v>1227</x:v>
      </x:c>
      <x:c r="W492" t="n">
        <x:v>33.1</x:v>
      </x:c>
    </x:row>
    <x:row r="493">
      <x:c r="A493" t="str">
        <x:v>PJT_492</x:v>
      </x:c>
      <x:c r="B493" t="str">
        <x:v>Humid Subtropical</x:v>
      </x:c>
      <x:c r="C493" t="n">
        <x:v>22930</x:v>
      </x:c>
      <x:c r="D493" t="n">
        <x:v>19</x:v>
      </x:c>
      <x:c r="E493" t="str">
        <x:v>Medium</x:v>
      </x:c>
      <x:c r="F493" t="str">
        <x:v>Commercial</x:v>
      </x:c>
      <x:c r="G493" t="str">
        <x:v>Steel</x:v>
      </x:c>
      <x:c r="H493" t="str">
        <x:v>Piles</x:v>
      </x:c>
      <x:c r="I493" t="str">
        <x:v>Soft Clay</x:v>
      </x:c>
      <x:c r="J493" t="str">
        <x:v>Medium</x:v>
      </x:c>
      <x:c r="K493" t="n">
        <x:v>61039660</x:v>
      </x:c>
      <x:c r="L493" t="n">
        <x:v>1052</x:v>
      </x:c>
      <x:c r="M493" t="n">
        <x:v>227.5</x:v>
      </x:c>
      <x:c r="N493" t="n">
        <x:v>29.2</x:v>
      </x:c>
      <x:c r="O493" t="n">
        <x:v>52.5</x:v>
      </x:c>
      <x:c r="P493" t="str">
        <x:v>Sunny</x:v>
      </x:c>
      <x:c r="Q493" t="n">
        <x:v>102</x:v>
      </x:c>
      <x:c r="R493" t="n">
        <x:v>75.5</x:v>
      </x:c>
      <x:c r="S493" t="n">
        <x:v>0.0933</x:v>
      </x:c>
      <x:c r="T493" t="n">
        <x:v>17.9</x:v>
      </x:c>
      <x:c r="U493" t="n">
        <x:v>1206.8</x:v>
      </x:c>
      <x:c r="V493" t="n">
        <x:v>2662</x:v>
      </x:c>
      <x:c r="W493" t="n">
        <x:v>45.9</x:v>
      </x:c>
    </x:row>
    <x:row r="494">
      <x:c r="A494" t="str">
        <x:v>PJT_493</x:v>
      </x:c>
      <x:c r="B494" t="str">
        <x:v>Humid Subtropical</x:v>
      </x:c>
      <x:c r="C494" t="n">
        <x:v>8520</x:v>
      </x:c>
      <x:c r="D494" t="n">
        <x:v>11</x:v>
      </x:c>
      <x:c r="E494" t="str">
        <x:v>Low</x:v>
      </x:c>
      <x:c r="F494" t="str">
        <x:v>Residential</x:v>
      </x:c>
      <x:c r="G494" t="str">
        <x:v>RC Frame</x:v>
      </x:c>
      <x:c r="H494" t="str">
        <x:v>Piles</x:v>
      </x:c>
      <x:c r="I494" t="str">
        <x:v>Soft Clay</x:v>
      </x:c>
      <x:c r="J494" t="str">
        <x:v>Low</x:v>
      </x:c>
      <x:c r="K494" t="n">
        <x:v>11936520</x:v>
      </x:c>
      <x:c r="L494" t="n">
        <x:v>268</x:v>
      </x:c>
      <x:c r="M494" t="n">
        <x:v>218.8</x:v>
      </x:c>
      <x:c r="N494" t="n">
        <x:v>33.9</x:v>
      </x:c>
      <x:c r="O494" t="n">
        <x:v>66.4</x:v>
      </x:c>
      <x:c r="P494" t="str">
        <x:v>Sunny</x:v>
      </x:c>
      <x:c r="Q494" t="n">
        <x:v>79</x:v>
      </x:c>
      <x:c r="R494" t="n">
        <x:v>69.8</x:v>
      </x:c>
      <x:c r="S494" t="n">
        <x:v>0.0713</x:v>
      </x:c>
      <x:c r="T494" t="n">
        <x:v>12.7</x:v>
      </x:c>
      <x:c r="U494" t="n">
        <x:v>774.5</x:v>
      </x:c>
      <x:c r="V494" t="n">
        <x:v>1401</x:v>
      </x:c>
      <x:c r="W494" t="n">
        <x:v>31.4</x:v>
      </x:c>
    </x:row>
    <x:row r="495">
      <x:c r="A495" t="str">
        <x:v>PJT_494</x:v>
      </x:c>
      <x:c r="B495" t="str">
        <x:v>Marine</x:v>
      </x:c>
      <x:c r="C495" t="n">
        <x:v>17170</x:v>
      </x:c>
      <x:c r="D495" t="n">
        <x:v>9</x:v>
      </x:c>
      <x:c r="E495" t="str">
        <x:v>Medium</x:v>
      </x:c>
      <x:c r="F495" t="str">
        <x:v>Hospital</x:v>
      </x:c>
      <x:c r="G495" t="str">
        <x:v>RC Frame</x:v>
      </x:c>
      <x:c r="H495" t="str">
        <x:v>Raft</x:v>
      </x:c>
      <x:c r="I495" t="str">
        <x:v>Mixed</x:v>
      </x:c>
      <x:c r="J495" t="str">
        <x:v>Medium</x:v>
      </x:c>
      <x:c r="K495" t="n">
        <x:v>51269620</x:v>
      </x:c>
      <x:c r="L495" t="n">
        <x:v>802</x:v>
      </x:c>
      <x:c r="M495" t="n">
        <x:v>299.3</x:v>
      </x:c>
      <x:c r="N495" t="n">
        <x:v>10.9</x:v>
      </x:c>
      <x:c r="O495" t="n">
        <x:v>69.1</x:v>
      </x:c>
      <x:c r="P495" t="str">
        <x:v>Cloudy</x:v>
      </x:c>
      <x:c r="Q495" t="n">
        <x:v>94</x:v>
      </x:c>
      <x:c r="R495" t="n">
        <x:v>82.4</x:v>
      </x:c>
      <x:c r="S495" t="n">
        <x:v>0.1025</x:v>
      </x:c>
      <x:c r="T495" t="n">
        <x:v>19.6</x:v>
      </x:c>
      <x:c r="U495" t="n">
        <x:v>1907.8</x:v>
      </x:c>
      <x:c r="V495" t="n">
        <x:v>2986</x:v>
      </x:c>
      <x:c r="W495" t="n">
        <x:v>46.7</x:v>
      </x:c>
    </x:row>
    <x:row r="496">
      <x:c r="A496" t="str">
        <x:v>PJT_495</x:v>
      </x:c>
      <x:c r="B496" t="str">
        <x:v>Continental</x:v>
      </x:c>
      <x:c r="C496" t="n">
        <x:v>27030</x:v>
      </x:c>
      <x:c r="D496" t="n">
        <x:v>14</x:v>
      </x:c>
      <x:c r="E496" t="str">
        <x:v>High</x:v>
      </x:c>
      <x:c r="F496" t="str">
        <x:v>Mixed-use</x:v>
      </x:c>
      <x:c r="G496" t="str">
        <x:v>Shear Wall</x:v>
      </x:c>
      <x:c r="H496" t="str">
        <x:v>Piles</x:v>
      </x:c>
      <x:c r="I496" t="str">
        <x:v>Soft Clay</x:v>
      </x:c>
      <x:c r="J496" t="str">
        <x:v>High</x:v>
      </x:c>
      <x:c r="K496" t="n">
        <x:v>77035500</x:v>
      </x:c>
      <x:c r="L496" t="n">
        <x:v>1416</x:v>
      </x:c>
      <x:c r="M496" t="n">
        <x:v>213.8</x:v>
      </x:c>
      <x:c r="N496" t="n">
        <x:v>13.6</x:v>
      </x:c>
      <x:c r="O496" t="n">
        <x:v>55.5</x:v>
      </x:c>
      <x:c r="P496" t="str">
        <x:v>Sunny</x:v>
      </x:c>
      <x:c r="Q496" t="n">
        <x:v>72</x:v>
      </x:c>
      <x:c r="R496" t="n">
        <x:v>83.1</x:v>
      </x:c>
      <x:c r="S496" t="n">
        <x:v>0.1025</x:v>
      </x:c>
      <x:c r="T496" t="n">
        <x:v>20.7</x:v>
      </x:c>
      <x:c r="U496" t="n">
        <x:v>1930.7</x:v>
      </x:c>
      <x:c r="V496" t="n">
        <x:v>2850</x:v>
      </x:c>
      <x:c r="W496" t="n">
        <x:v>52.4</x:v>
      </x:c>
    </x:row>
    <x:row r="497">
      <x:c r="A497" t="str">
        <x:v>PJT_496</x:v>
      </x:c>
      <x:c r="B497" t="str">
        <x:v>Marine</x:v>
      </x:c>
      <x:c r="C497" t="n">
        <x:v>24140</x:v>
      </x:c>
      <x:c r="D497" t="n">
        <x:v>16</x:v>
      </x:c>
      <x:c r="E497" t="str">
        <x:v>Medium</x:v>
      </x:c>
      <x:c r="F497" t="str">
        <x:v>Commercial</x:v>
      </x:c>
      <x:c r="G497" t="str">
        <x:v>Steel</x:v>
      </x:c>
      <x:c r="H497" t="str">
        <x:v>Raft</x:v>
      </x:c>
      <x:c r="I497" t="str">
        <x:v>Rock</x:v>
      </x:c>
      <x:c r="J497" t="str">
        <x:v>Medium</x:v>
      </x:c>
      <x:c r="K497" t="n">
        <x:v>60639680</x:v>
      </x:c>
      <x:c r="L497" t="n">
        <x:v>1125</x:v>
      </x:c>
      <x:c r="M497" t="n">
        <x:v>688</x:v>
      </x:c>
      <x:c r="N497" t="n">
        <x:v>13</x:v>
      </x:c>
      <x:c r="O497" t="n">
        <x:v>74.6</x:v>
      </x:c>
      <x:c r="P497" t="str">
        <x:v>Rainy</x:v>
      </x:c>
      <x:c r="Q497" t="n">
        <x:v>105</x:v>
      </x:c>
      <x:c r="R497" t="n">
        <x:v>74.1</x:v>
      </x:c>
      <x:c r="S497" t="n">
        <x:v>0.0942</x:v>
      </x:c>
      <x:c r="T497" t="n">
        <x:v>16.9</x:v>
      </x:c>
      <x:c r="U497" t="n">
        <x:v>1508.8</x:v>
      </x:c>
      <x:c r="V497" t="n">
        <x:v>2512</x:v>
      </x:c>
      <x:c r="W497" t="n">
        <x:v>46.6</x:v>
      </x:c>
    </x:row>
    <x:row r="498">
      <x:c r="A498" t="str">
        <x:v>PJT_497</x:v>
      </x:c>
      <x:c r="B498" t="str">
        <x:v>Continental</x:v>
      </x:c>
      <x:c r="C498" t="n">
        <x:v>16140</x:v>
      </x:c>
      <x:c r="D498" t="n">
        <x:v>18</x:v>
      </x:c>
      <x:c r="E498" t="str">
        <x:v>Medium</x:v>
      </x:c>
      <x:c r="F498" t="str">
        <x:v>Residential</x:v>
      </x:c>
      <x:c r="G498" t="str">
        <x:v>Shear Wall</x:v>
      </x:c>
      <x:c r="H498" t="str">
        <x:v>Piles</x:v>
      </x:c>
      <x:c r="I498" t="str">
        <x:v>Soft Clay</x:v>
      </x:c>
      <x:c r="J498" t="str">
        <x:v>Medium</x:v>
      </x:c>
      <x:c r="K498" t="n">
        <x:v>27341160</x:v>
      </x:c>
      <x:c r="L498" t="n">
        <x:v>654</x:v>
      </x:c>
      <x:c r="M498" t="n">
        <x:v>214</x:v>
      </x:c>
      <x:c r="N498" t="n">
        <x:v>2.4</x:v>
      </x:c>
      <x:c r="O498" t="n">
        <x:v>58.7</x:v>
      </x:c>
      <x:c r="P498" t="str">
        <x:v>Cloudy</x:v>
      </x:c>
      <x:c r="Q498" t="n">
        <x:v>71</x:v>
      </x:c>
      <x:c r="R498" t="n">
        <x:v>76.6</x:v>
      </x:c>
      <x:c r="S498" t="n">
        <x:v>0.0843</x:v>
      </x:c>
      <x:c r="T498" t="n">
        <x:v>13.9</x:v>
      </x:c>
      <x:c r="U498" t="n">
        <x:v>896.7</x:v>
      </x:c>
      <x:c r="V498" t="n">
        <x:v>1694</x:v>
      </x:c>
      <x:c r="W498" t="n">
        <x:v>40.5</x:v>
      </x:c>
    </x:row>
    <x:row r="499">
      <x:c r="A499" t="str">
        <x:v>PJT_498</x:v>
      </x:c>
      <x:c r="B499" t="str">
        <x:v>Mediterranean</x:v>
      </x:c>
      <x:c r="C499" t="n">
        <x:v>19890</x:v>
      </x:c>
      <x:c r="D499" t="n">
        <x:v>21</x:v>
      </x:c>
      <x:c r="E499" t="str">
        <x:v>High</x:v>
      </x:c>
      <x:c r="F499" t="str">
        <x:v>Commercial</x:v>
      </x:c>
      <x:c r="G499" t="str">
        <x:v>Steel</x:v>
      </x:c>
      <x:c r="H499" t="str">
        <x:v>Piles</x:v>
      </x:c>
      <x:c r="I499" t="str">
        <x:v>Rock</x:v>
      </x:c>
      <x:c r="J499" t="str">
        <x:v>Medium</x:v>
      </x:c>
      <x:c r="K499" t="n">
        <x:v>55015740</x:v>
      </x:c>
      <x:c r="L499" t="n">
        <x:v>998</x:v>
      </x:c>
      <x:c r="M499" t="n">
        <x:v>658</x:v>
      </x:c>
      <x:c r="N499" t="n">
        <x:v>15.2</x:v>
      </x:c>
      <x:c r="O499" t="n">
        <x:v>60.1</x:v>
      </x:c>
      <x:c r="P499" t="str">
        <x:v>Cloudy</x:v>
      </x:c>
      <x:c r="Q499" t="n">
        <x:v>84</x:v>
      </x:c>
      <x:c r="R499" t="n">
        <x:v>85.1</x:v>
      </x:c>
      <x:c r="S499" t="n">
        <x:v>0.1034</x:v>
      </x:c>
      <x:c r="T499" t="n">
        <x:v>19.7</x:v>
      </x:c>
      <x:c r="U499" t="n">
        <x:v>947.1</x:v>
      </x:c>
      <x:c r="V499" t="n">
        <x:v>2766</x:v>
      </x:c>
      <x:c r="W499" t="n">
        <x:v>50.2</x:v>
      </x:c>
    </x:row>
    <x:row r="500">
      <x:c r="A500" t="str">
        <x:v>PJT_499</x:v>
      </x:c>
      <x:c r="B500" t="str">
        <x:v>Marine</x:v>
      </x:c>
      <x:c r="C500" t="n">
        <x:v>25020</x:v>
      </x:c>
      <x:c r="D500" t="n">
        <x:v>14</x:v>
      </x:c>
      <x:c r="E500" t="str">
        <x:v>Medium</x:v>
      </x:c>
      <x:c r="F500" t="str">
        <x:v>Mixed-use</x:v>
      </x:c>
      <x:c r="G500" t="str">
        <x:v>Steel</x:v>
      </x:c>
      <x:c r="H500" t="str">
        <x:v>Piles</x:v>
      </x:c>
      <x:c r="I500" t="str">
        <x:v>Sand</x:v>
      </x:c>
      <x:c r="J500" t="str">
        <x:v>High</x:v>
      </x:c>
      <x:c r="K500" t="n">
        <x:v>70756560</x:v>
      </x:c>
      <x:c r="L500" t="n">
        <x:v>1196</x:v>
      </x:c>
      <x:c r="M500" t="n">
        <x:v>321.6</x:v>
      </x:c>
      <x:c r="N500" t="n">
        <x:v>22.8</x:v>
      </x:c>
      <x:c r="O500" t="n">
        <x:v>60.2</x:v>
      </x:c>
      <x:c r="P500" t="str">
        <x:v>Sunny</x:v>
      </x:c>
      <x:c r="Q500" t="n">
        <x:v>98</x:v>
      </x:c>
      <x:c r="R500" t="n">
        <x:v>77.2</x:v>
      </x:c>
      <x:c r="S500" t="n">
        <x:v>0.1012</x:v>
      </x:c>
      <x:c r="T500" t="n">
        <x:v>17.7</x:v>
      </x:c>
      <x:c r="U500" t="n">
        <x:v>1787.1</x:v>
      </x:c>
      <x:c r="V500" t="n">
        <x:v>2828</x:v>
      </x:c>
      <x:c r="W500" t="n">
        <x:v>47.8</x:v>
      </x:c>
    </x:row>
    <x:row r="501">
      <x:c r="A501" t="str">
        <x:v>PJT_500</x:v>
      </x:c>
      <x:c r="B501" t="str">
        <x:v>Mediterranean</x:v>
      </x:c>
      <x:c r="C501" t="n">
        <x:v>24450</x:v>
      </x:c>
      <x:c r="D501" t="n">
        <x:v>15</x:v>
      </x:c>
      <x:c r="E501" t="str">
        <x:v>High</x:v>
      </x:c>
      <x:c r="F501" t="str">
        <x:v>Mixed-use</x:v>
      </x:c>
      <x:c r="G501" t="str">
        <x:v>Steel</x:v>
      </x:c>
      <x:c r="H501" t="str">
        <x:v>Piles</x:v>
      </x:c>
      <x:c r="I501" t="str">
        <x:v>Sand</x:v>
      </x:c>
      <x:c r="J501" t="str">
        <x:v>Medium</x:v>
      </x:c>
      <x:c r="K501" t="n">
        <x:v>67286400</x:v>
      </x:c>
      <x:c r="L501" t="n">
        <x:v>1335</x:v>
      </x:c>
      <x:c r="M501" t="n">
        <x:v>236.8</x:v>
      </x:c>
      <x:c r="N501" t="n">
        <x:v>17.3</x:v>
      </x:c>
      <x:c r="O501" t="n">
        <x:v>59.8</x:v>
      </x:c>
      <x:c r="P501" t="str">
        <x:v>Cloudy</x:v>
      </x:c>
      <x:c r="Q501" t="n">
        <x:v>76</x:v>
      </x:c>
      <x:c r="R501" t="n">
        <x:v>88.7</x:v>
      </x:c>
      <x:c r="S501" t="n">
        <x:v>0.1083</x:v>
      </x:c>
      <x:c r="T501" t="n">
        <x:v>20.9</x:v>
      </x:c>
      <x:c r="U501" t="n">
        <x:v>1630</x:v>
      </x:c>
      <x:c r="V501" t="n">
        <x:v>2752</x:v>
      </x:c>
      <x:c r="W501" t="n">
        <x:v>54.6</x:v>
      </x:c>
    </x:row>
    <x:row r="502">
      <x:c r="A502" t="str">
        <x:v>PJT_501</x:v>
      </x:c>
      <x:c r="B502" t="str">
        <x:v>Humid Subtropical</x:v>
      </x:c>
      <x:c r="C502" t="n">
        <x:v>5100</x:v>
      </x:c>
      <x:c r="D502" t="n">
        <x:v>2</x:v>
      </x:c>
      <x:c r="E502" t="str">
        <x:v>Low</x:v>
      </x:c>
      <x:c r="F502" t="str">
        <x:v>School</x:v>
      </x:c>
      <x:c r="G502" t="str">
        <x:v>RC Frame</x:v>
      </x:c>
      <x:c r="H502" t="str">
        <x:v>Raft</x:v>
      </x:c>
      <x:c r="I502" t="str">
        <x:v>Mixed</x:v>
      </x:c>
      <x:c r="J502" t="str">
        <x:v>Medium</x:v>
      </x:c>
      <x:c r="K502" t="n">
        <x:v>8741400</x:v>
      </x:c>
      <x:c r="L502" t="n">
        <x:v>180</x:v>
      </x:c>
      <x:c r="M502" t="n">
        <x:v>320.5</x:v>
      </x:c>
      <x:c r="N502" t="n">
        <x:v>21.2</x:v>
      </x:c>
      <x:c r="O502" t="n">
        <x:v>94.6</x:v>
      </x:c>
      <x:c r="P502" t="str">
        <x:v>Stormy</x:v>
      </x:c>
      <x:c r="Q502" t="n">
        <x:v>78</x:v>
      </x:c>
      <x:c r="R502" t="n">
        <x:v>63.7</x:v>
      </x:c>
      <x:c r="S502" t="n">
        <x:v>0.0745</x:v>
      </x:c>
      <x:c r="T502" t="n">
        <x:v>14.3</x:v>
      </x:c>
      <x:c r="U502" t="n">
        <x:v>2550</x:v>
      </x:c>
      <x:c r="V502" t="n">
        <x:v>1714</x:v>
      </x:c>
      <x:c r="W502" t="n">
        <x:v>31.7</x:v>
      </x:c>
    </x:row>
    <x:row r="503">
      <x:c r="A503" t="str">
        <x:v>PJT_502</x:v>
      </x:c>
      <x:c r="B503" t="str">
        <x:v>Continental</x:v>
      </x:c>
      <x:c r="C503" t="n">
        <x:v>16960</x:v>
      </x:c>
      <x:c r="D503" t="n">
        <x:v>14</x:v>
      </x:c>
      <x:c r="E503" t="str">
        <x:v>Medium</x:v>
      </x:c>
      <x:c r="F503" t="str">
        <x:v>Residential</x:v>
      </x:c>
      <x:c r="G503" t="str">
        <x:v>Shear Wall</x:v>
      </x:c>
      <x:c r="H503" t="str">
        <x:v>Raft</x:v>
      </x:c>
      <x:c r="I503" t="str">
        <x:v>Rock</x:v>
      </x:c>
      <x:c r="J503" t="str">
        <x:v>Medium</x:v>
      </x:c>
      <x:c r="K503" t="n">
        <x:v>26186240</x:v>
      </x:c>
      <x:c r="L503" t="n">
        <x:v>605</x:v>
      </x:c>
      <x:c r="M503" t="n">
        <x:v>633</x:v>
      </x:c>
      <x:c r="N503" t="n">
        <x:v>15.6</x:v>
      </x:c>
      <x:c r="O503" t="n">
        <x:v>55.8</x:v>
      </x:c>
      <x:c r="P503" t="str">
        <x:v>Sunny</x:v>
      </x:c>
      <x:c r="Q503" t="n">
        <x:v>84</x:v>
      </x:c>
      <x:c r="R503" t="n">
        <x:v>70.9</x:v>
      </x:c>
      <x:c r="S503" t="n">
        <x:v>0.084</x:v>
      </x:c>
      <x:c r="T503" t="n">
        <x:v>13.5</x:v>
      </x:c>
      <x:c r="U503" t="n">
        <x:v>1211.4</x:v>
      </x:c>
      <x:c r="V503" t="n">
        <x:v>1544</x:v>
      </x:c>
      <x:c r="W503" t="n">
        <x:v>35.7</x:v>
      </x:c>
    </x:row>
    <x:row r="504">
      <x:c r="A504" t="str">
        <x:v>PJT_503</x:v>
      </x:c>
      <x:c r="B504" t="str">
        <x:v>Continental</x:v>
      </x:c>
      <x:c r="C504" t="n">
        <x:v>12790</x:v>
      </x:c>
      <x:c r="D504" t="n">
        <x:v>12</x:v>
      </x:c>
      <x:c r="E504" t="str">
        <x:v>Medium</x:v>
      </x:c>
      <x:c r="F504" t="str">
        <x:v>Mixed-use</x:v>
      </x:c>
      <x:c r="G504" t="str">
        <x:v>Steel</x:v>
      </x:c>
      <x:c r="H504" t="str">
        <x:v>Raft</x:v>
      </x:c>
      <x:c r="I504" t="str">
        <x:v>Mixed</x:v>
      </x:c>
      <x:c r="J504" t="str">
        <x:v>Low</x:v>
      </x:c>
      <x:c r="K504" t="n">
        <x:v>31361080</x:v>
      </x:c>
      <x:c r="L504" t="n">
        <x:v>582</x:v>
      </x:c>
      <x:c r="M504" t="n">
        <x:v>364.6</x:v>
      </x:c>
      <x:c r="N504" t="n">
        <x:v>27.8</x:v>
      </x:c>
      <x:c r="O504" t="n">
        <x:v>59.7</x:v>
      </x:c>
      <x:c r="P504" t="str">
        <x:v>Sunny</x:v>
      </x:c>
      <x:c r="Q504" t="n">
        <x:v>87</x:v>
      </x:c>
      <x:c r="R504" t="n">
        <x:v>81.5</x:v>
      </x:c>
      <x:c r="S504" t="n">
        <x:v>0.106</x:v>
      </x:c>
      <x:c r="T504" t="n">
        <x:v>17.9</x:v>
      </x:c>
      <x:c r="U504" t="n">
        <x:v>1065.8</x:v>
      </x:c>
      <x:c r="V504" t="n">
        <x:v>2452</x:v>
      </x:c>
      <x:c r="W504" t="n">
        <x:v>45.5</x:v>
      </x:c>
    </x:row>
    <x:row r="505">
      <x:c r="A505" t="str">
        <x:v>PJT_504</x:v>
      </x:c>
      <x:c r="B505" t="str">
        <x:v>Mediterranean</x:v>
      </x:c>
      <x:c r="C505" t="n">
        <x:v>13590</x:v>
      </x:c>
      <x:c r="D505" t="n">
        <x:v>9</x:v>
      </x:c>
      <x:c r="E505" t="str">
        <x:v>Medium</x:v>
      </x:c>
      <x:c r="F505" t="str">
        <x:v>Commercial</x:v>
      </x:c>
      <x:c r="G505" t="str">
        <x:v>RC Frame</x:v>
      </x:c>
      <x:c r="H505" t="str">
        <x:v>Raft</x:v>
      </x:c>
      <x:c r="I505" t="str">
        <x:v>Rock</x:v>
      </x:c>
      <x:c r="J505" t="str">
        <x:v>High</x:v>
      </x:c>
      <x:c r="K505" t="n">
        <x:v>31691880</x:v>
      </x:c>
      <x:c r="L505" t="n">
        <x:v>563</x:v>
      </x:c>
      <x:c r="M505" t="n">
        <x:v>720.6</x:v>
      </x:c>
      <x:c r="N505" t="n">
        <x:v>16.6</x:v>
      </x:c>
      <x:c r="O505" t="n">
        <x:v>60.5</x:v>
      </x:c>
      <x:c r="P505" t="str">
        <x:v>Cloudy</x:v>
      </x:c>
      <x:c r="Q505" t="n">
        <x:v>78</x:v>
      </x:c>
      <x:c r="R505" t="n">
        <x:v>77.3</x:v>
      </x:c>
      <x:c r="S505" t="n">
        <x:v>0.0915</x:v>
      </x:c>
      <x:c r="T505" t="n">
        <x:v>15.8</x:v>
      </x:c>
      <x:c r="U505" t="n">
        <x:v>1510</x:v>
      </x:c>
      <x:c r="V505" t="n">
        <x:v>2332</x:v>
      </x:c>
      <x:c r="W505" t="n">
        <x:v>41.4</x:v>
      </x:c>
    </x:row>
    <x:row r="506">
      <x:c r="A506" t="str">
        <x:v>PJT_505</x:v>
      </x:c>
      <x:c r="B506" t="str">
        <x:v>Marine</x:v>
      </x:c>
      <x:c r="C506" t="n">
        <x:v>16140</x:v>
      </x:c>
      <x:c r="D506" t="n">
        <x:v>12</x:v>
      </x:c>
      <x:c r="E506" t="str">
        <x:v>Medium</x:v>
      </x:c>
      <x:c r="F506" t="str">
        <x:v>Commercial</x:v>
      </x:c>
      <x:c r="G506" t="str">
        <x:v>Steel</x:v>
      </x:c>
      <x:c r="H506" t="str">
        <x:v>Piles</x:v>
      </x:c>
      <x:c r="I506" t="str">
        <x:v>Soft Clay</x:v>
      </x:c>
      <x:c r="J506" t="str">
        <x:v>High</x:v>
      </x:c>
      <x:c r="K506" t="n">
        <x:v>40398420</x:v>
      </x:c>
      <x:c r="L506" t="n">
        <x:v>715</x:v>
      </x:c>
      <x:c r="M506" t="n">
        <x:v>200.7</x:v>
      </x:c>
      <x:c r="N506" t="n">
        <x:v>12.5</x:v>
      </x:c>
      <x:c r="O506" t="n">
        <x:v>68.3</x:v>
      </x:c>
      <x:c r="P506" t="str">
        <x:v>Cloudy</x:v>
      </x:c>
      <x:c r="Q506" t="n">
        <x:v>85</x:v>
      </x:c>
      <x:c r="R506" t="n">
        <x:v>79.6</x:v>
      </x:c>
      <x:c r="S506" t="n">
        <x:v>0.0959</x:v>
      </x:c>
      <x:c r="T506" t="n">
        <x:v>17.3</x:v>
      </x:c>
      <x:c r="U506" t="n">
        <x:v>1345</x:v>
      </x:c>
      <x:c r="V506" t="n">
        <x:v>2503</x:v>
      </x:c>
      <x:c r="W506" t="n">
        <x:v>44.3</x:v>
      </x:c>
    </x:row>
    <x:row r="507">
      <x:c r="A507" t="str">
        <x:v>PJT_506</x:v>
      </x:c>
      <x:c r="B507" t="str">
        <x:v>Mediterranean</x:v>
      </x:c>
      <x:c r="C507" t="n">
        <x:v>13950</x:v>
      </x:c>
      <x:c r="D507" t="n">
        <x:v>8</x:v>
      </x:c>
      <x:c r="E507" t="str">
        <x:v>Medium</x:v>
      </x:c>
      <x:c r="F507" t="str">
        <x:v>Hospital</x:v>
      </x:c>
      <x:c r="G507" t="str">
        <x:v>Shear Wall</x:v>
      </x:c>
      <x:c r="H507" t="str">
        <x:v>Raft</x:v>
      </x:c>
      <x:c r="I507" t="str">
        <x:v>Mixed</x:v>
      </x:c>
      <x:c r="J507" t="str">
        <x:v>High</x:v>
      </x:c>
      <x:c r="K507" t="n">
        <x:v>44793450</x:v>
      </x:c>
      <x:c r="L507" t="n">
        <x:v>654</x:v>
      </x:c>
      <x:c r="M507" t="n">
        <x:v>298.1</x:v>
      </x:c>
      <x:c r="N507" t="n">
        <x:v>16.5</x:v>
      </x:c>
      <x:c r="O507" t="n">
        <x:v>66.9</x:v>
      </x:c>
      <x:c r="P507" t="str">
        <x:v>Cloudy</x:v>
      </x:c>
      <x:c r="Q507" t="n">
        <x:v>88</x:v>
      </x:c>
      <x:c r="R507" t="n">
        <x:v>80.8</x:v>
      </x:c>
      <x:c r="S507" t="n">
        <x:v>0.1125</x:v>
      </x:c>
      <x:c r="T507" t="n">
        <x:v>21</x:v>
      </x:c>
      <x:c r="U507" t="n">
        <x:v>1743.8</x:v>
      </x:c>
      <x:c r="V507" t="n">
        <x:v>3211</x:v>
      </x:c>
      <x:c r="W507" t="n">
        <x:v>46.9</x:v>
      </x:c>
    </x:row>
    <x:row r="508">
      <x:c r="A508" t="str">
        <x:v>PJT_507</x:v>
      </x:c>
      <x:c r="B508" t="str">
        <x:v>Marine</x:v>
      </x:c>
      <x:c r="C508" t="n">
        <x:v>10080</x:v>
      </x:c>
      <x:c r="D508" t="n">
        <x:v>7</x:v>
      </x:c>
      <x:c r="E508" t="str">
        <x:v>Medium</x:v>
      </x:c>
      <x:c r="F508" t="str">
        <x:v>Commercial</x:v>
      </x:c>
      <x:c r="G508" t="str">
        <x:v>RC Frame</x:v>
      </x:c>
      <x:c r="H508" t="str">
        <x:v>Raft</x:v>
      </x:c>
      <x:c r="I508" t="str">
        <x:v>Mixed</x:v>
      </x:c>
      <x:c r="J508" t="str">
        <x:v>Medium</x:v>
      </x:c>
      <x:c r="K508" t="n">
        <x:v>22075200</x:v>
      </x:c>
      <x:c r="L508" t="n">
        <x:v>394</x:v>
      </x:c>
      <x:c r="M508" t="n">
        <x:v>356.8</x:v>
      </x:c>
      <x:c r="N508" t="n">
        <x:v>13.9</x:v>
      </x:c>
      <x:c r="O508" t="n">
        <x:v>80.9</x:v>
      </x:c>
      <x:c r="P508" t="str">
        <x:v>Cloudy</x:v>
      </x:c>
      <x:c r="Q508" t="n">
        <x:v>69</x:v>
      </x:c>
      <x:c r="R508" t="n">
        <x:v>71.2</x:v>
      </x:c>
      <x:c r="S508" t="n">
        <x:v>0.0876</x:v>
      </x:c>
      <x:c r="T508" t="n">
        <x:v>16.6</x:v>
      </x:c>
      <x:c r="U508" t="n">
        <x:v>1440</x:v>
      </x:c>
      <x:c r="V508" t="n">
        <x:v>2190</x:v>
      </x:c>
      <x:c r="W508" t="n">
        <x:v>39.1</x:v>
      </x:c>
    </x:row>
    <x:row r="509">
      <x:c r="A509" t="str">
        <x:v>PJT_508</x:v>
      </x:c>
      <x:c r="B509" t="str">
        <x:v>Marine</x:v>
      </x:c>
      <x:c r="C509" t="n">
        <x:v>17550</x:v>
      </x:c>
      <x:c r="D509" t="n">
        <x:v>10</x:v>
      </x:c>
      <x:c r="E509" t="str">
        <x:v>Medium</x:v>
      </x:c>
      <x:c r="F509" t="str">
        <x:v>Hospital</x:v>
      </x:c>
      <x:c r="G509" t="str">
        <x:v>Shear Wall</x:v>
      </x:c>
      <x:c r="H509" t="str">
        <x:v>Raft</x:v>
      </x:c>
      <x:c r="I509" t="str">
        <x:v>Mixed</x:v>
      </x:c>
      <x:c r="J509" t="str">
        <x:v>High</x:v>
      </x:c>
      <x:c r="K509" t="n">
        <x:v>55229850</x:v>
      </x:c>
      <x:c r="L509" t="n">
        <x:v>913</x:v>
      </x:c>
      <x:c r="M509" t="n">
        <x:v>374.8</x:v>
      </x:c>
      <x:c r="N509" t="n">
        <x:v>11.2</x:v>
      </x:c>
      <x:c r="O509" t="n">
        <x:v>80.4</x:v>
      </x:c>
      <x:c r="P509" t="str">
        <x:v>Stormy</x:v>
      </x:c>
      <x:c r="Q509" t="n">
        <x:v>94</x:v>
      </x:c>
      <x:c r="R509" t="n">
        <x:v>81.1</x:v>
      </x:c>
      <x:c r="S509" t="n">
        <x:v>0.1097</x:v>
      </x:c>
      <x:c r="T509" t="n">
        <x:v>21.7</x:v>
      </x:c>
      <x:c r="U509" t="n">
        <x:v>1755</x:v>
      </x:c>
      <x:c r="V509" t="n">
        <x:v>3147</x:v>
      </x:c>
      <x:c r="W509" t="n">
        <x:v>52</x:v>
      </x:c>
    </x:row>
    <x:row r="510">
      <x:c r="A510" t="str">
        <x:v>PJT_509</x:v>
      </x:c>
      <x:c r="B510" t="str">
        <x:v>Marine</x:v>
      </x:c>
      <x:c r="C510" t="n">
        <x:v>24860</x:v>
      </x:c>
      <x:c r="D510" t="n">
        <x:v>17</x:v>
      </x:c>
      <x:c r="E510" t="str">
        <x:v>Medium</x:v>
      </x:c>
      <x:c r="F510" t="str">
        <x:v>Mixed-use</x:v>
      </x:c>
      <x:c r="G510" t="str">
        <x:v>Shear Wall</x:v>
      </x:c>
      <x:c r="H510" t="str">
        <x:v>Piles</x:v>
      </x:c>
      <x:c r="I510" t="str">
        <x:v>Mixed</x:v>
      </x:c>
      <x:c r="J510" t="str">
        <x:v>Low</x:v>
      </x:c>
      <x:c r="K510" t="n">
        <x:v>64760300</x:v>
      </x:c>
      <x:c r="L510" t="n">
        <x:v>1303</x:v>
      </x:c>
      <x:c r="M510" t="n">
        <x:v>288</x:v>
      </x:c>
      <x:c r="N510" t="n">
        <x:v>10.2</x:v>
      </x:c>
      <x:c r="O510" t="n">
        <x:v>76.9</x:v>
      </x:c>
      <x:c r="P510" t="str">
        <x:v>Rainy</x:v>
      </x:c>
      <x:c r="Q510" t="n">
        <x:v>86</x:v>
      </x:c>
      <x:c r="R510" t="n">
        <x:v>78.9</x:v>
      </x:c>
      <x:c r="S510" t="n">
        <x:v>0.0973</x:v>
      </x:c>
      <x:c r="T510" t="n">
        <x:v>18.3</x:v>
      </x:c>
      <x:c r="U510" t="n">
        <x:v>1462.4</x:v>
      </x:c>
      <x:c r="V510" t="n">
        <x:v>2605</x:v>
      </x:c>
      <x:c r="W510" t="n">
        <x:v>52.4</x:v>
      </x:c>
    </x:row>
    <x:row r="511">
      <x:c r="A511" t="str">
        <x:v>PJT_510</x:v>
      </x:c>
      <x:c r="B511" t="str">
        <x:v>Humid Subtropical</x:v>
      </x:c>
      <x:c r="C511" t="n">
        <x:v>21880</x:v>
      </x:c>
      <x:c r="D511" t="n">
        <x:v>18</x:v>
      </x:c>
      <x:c r="E511" t="str">
        <x:v>Medium</x:v>
      </x:c>
      <x:c r="F511" t="str">
        <x:v>Mixed-use</x:v>
      </x:c>
      <x:c r="G511" t="str">
        <x:v>Steel</x:v>
      </x:c>
      <x:c r="H511" t="str">
        <x:v>Piles</x:v>
      </x:c>
      <x:c r="I511" t="str">
        <x:v>Mixed</x:v>
      </x:c>
      <x:c r="J511" t="str">
        <x:v>Low</x:v>
      </x:c>
      <x:c r="K511" t="n">
        <x:v>58988480</x:v>
      </x:c>
      <x:c r="L511" t="n">
        <x:v>1142</x:v>
      </x:c>
      <x:c r="M511" t="n">
        <x:v>364.9</x:v>
      </x:c>
      <x:c r="N511" t="n">
        <x:v>22.4</x:v>
      </x:c>
      <x:c r="O511" t="n">
        <x:v>80.5</x:v>
      </x:c>
      <x:c r="P511" t="str">
        <x:v>Rainy</x:v>
      </x:c>
      <x:c r="Q511" t="n">
        <x:v>88</x:v>
      </x:c>
      <x:c r="R511" t="n">
        <x:v>82.7</x:v>
      </x:c>
      <x:c r="S511" t="n">
        <x:v>0.0986</x:v>
      </x:c>
      <x:c r="T511" t="n">
        <x:v>17.6</x:v>
      </x:c>
      <x:c r="U511" t="n">
        <x:v>1215.6</x:v>
      </x:c>
      <x:c r="V511" t="n">
        <x:v>2696</x:v>
      </x:c>
      <x:c r="W511" t="n">
        <x:v>52.2</x:v>
      </x:c>
    </x:row>
    <x:row r="512">
      <x:c r="A512" t="str">
        <x:v>PJT_511</x:v>
      </x:c>
      <x:c r="B512" t="str">
        <x:v>Continental</x:v>
      </x:c>
      <x:c r="C512" t="n">
        <x:v>18600</x:v>
      </x:c>
      <x:c r="D512" t="n">
        <x:v>17</x:v>
      </x:c>
      <x:c r="E512" t="str">
        <x:v>Medium</x:v>
      </x:c>
      <x:c r="F512" t="str">
        <x:v>Commercial</x:v>
      </x:c>
      <x:c r="G512" t="str">
        <x:v>Steel</x:v>
      </x:c>
      <x:c r="H512" t="str">
        <x:v>Piles</x:v>
      </x:c>
      <x:c r="I512" t="str">
        <x:v>Soft Clay</x:v>
      </x:c>
      <x:c r="J512" t="str">
        <x:v>Low</x:v>
      </x:c>
      <x:c r="K512" t="n">
        <x:v>44919000</x:v>
      </x:c>
      <x:c r="L512" t="n">
        <x:v>854</x:v>
      </x:c>
      <x:c r="M512" t="n">
        <x:v>201.3</x:v>
      </x:c>
      <x:c r="N512" t="n">
        <x:v>24.5</x:v>
      </x:c>
      <x:c r="O512" t="n">
        <x:v>38.6</x:v>
      </x:c>
      <x:c r="P512" t="str">
        <x:v>Sunny</x:v>
      </x:c>
      <x:c r="Q512" t="n">
        <x:v>86</x:v>
      </x:c>
      <x:c r="R512" t="n">
        <x:v>74.8</x:v>
      </x:c>
      <x:c r="S512" t="n">
        <x:v>0.0944</x:v>
      </x:c>
      <x:c r="T512" t="n">
        <x:v>17</x:v>
      </x:c>
      <x:c r="U512" t="n">
        <x:v>1094.1</x:v>
      </x:c>
      <x:c r="V512" t="n">
        <x:v>2415</x:v>
      </x:c>
      <x:c r="W512" t="n">
        <x:v>45.9</x:v>
      </x:c>
    </x:row>
    <x:row r="513">
      <x:c r="A513" t="str">
        <x:v>PJT_512</x:v>
      </x:c>
      <x:c r="B513" t="str">
        <x:v>Mediterranean</x:v>
      </x:c>
      <x:c r="C513" t="n">
        <x:v>21410</x:v>
      </x:c>
      <x:c r="D513" t="n">
        <x:v>13</x:v>
      </x:c>
      <x:c r="E513" t="str">
        <x:v>Medium</x:v>
      </x:c>
      <x:c r="F513" t="str">
        <x:v>Mixed-use</x:v>
      </x:c>
      <x:c r="G513" t="str">
        <x:v>Steel</x:v>
      </x:c>
      <x:c r="H513" t="str">
        <x:v>Piles</x:v>
      </x:c>
      <x:c r="I513" t="str">
        <x:v>Sand</x:v>
      </x:c>
      <x:c r="J513" t="str">
        <x:v>High</x:v>
      </x:c>
      <x:c r="K513" t="n">
        <x:v>58406480</x:v>
      </x:c>
      <x:c r="L513" t="n">
        <x:v>1030</x:v>
      </x:c>
      <x:c r="M513" t="n">
        <x:v>341.1</x:v>
      </x:c>
      <x:c r="N513" t="n">
        <x:v>19.4</x:v>
      </x:c>
      <x:c r="O513" t="n">
        <x:v>58.2</x:v>
      </x:c>
      <x:c r="P513" t="str">
        <x:v>Sunny</x:v>
      </x:c>
      <x:c r="Q513" t="n">
        <x:v>73</x:v>
      </x:c>
      <x:c r="R513" t="n">
        <x:v>75.9</x:v>
      </x:c>
      <x:c r="S513" t="n">
        <x:v>0.1001</x:v>
      </x:c>
      <x:c r="T513" t="n">
        <x:v>17.9</x:v>
      </x:c>
      <x:c r="U513" t="n">
        <x:v>1646.9</x:v>
      </x:c>
      <x:c r="V513" t="n">
        <x:v>2728</x:v>
      </x:c>
      <x:c r="W513" t="n">
        <x:v>48.1</x:v>
      </x:c>
    </x:row>
    <x:row r="514">
      <x:c r="A514" t="str">
        <x:v>PJT_513</x:v>
      </x:c>
      <x:c r="B514" t="str">
        <x:v>Continental</x:v>
      </x:c>
      <x:c r="C514" t="n">
        <x:v>15990</x:v>
      </x:c>
      <x:c r="D514" t="n">
        <x:v>8</x:v>
      </x:c>
      <x:c r="E514" t="str">
        <x:v>Medium</x:v>
      </x:c>
      <x:c r="F514" t="str">
        <x:v>Hospital</x:v>
      </x:c>
      <x:c r="G514" t="str">
        <x:v>RC Frame</x:v>
      </x:c>
      <x:c r="H514" t="str">
        <x:v>Raft</x:v>
      </x:c>
      <x:c r="I514" t="str">
        <x:v>Mixed</x:v>
      </x:c>
      <x:c r="J514" t="str">
        <x:v>Low</x:v>
      </x:c>
      <x:c r="K514" t="n">
        <x:v>47090550</x:v>
      </x:c>
      <x:c r="L514" t="n">
        <x:v>707</x:v>
      </x:c>
      <x:c r="M514" t="n">
        <x:v>298.3</x:v>
      </x:c>
      <x:c r="N514" t="n">
        <x:v>22</x:v>
      </x:c>
      <x:c r="O514" t="n">
        <x:v>55.3</x:v>
      </x:c>
      <x:c r="P514" t="str">
        <x:v>Sunny</x:v>
      </x:c>
      <x:c r="Q514" t="n">
        <x:v>94</x:v>
      </x:c>
      <x:c r="R514" t="n">
        <x:v>78.1</x:v>
      </x:c>
      <x:c r="S514" t="n">
        <x:v>0.1031</x:v>
      </x:c>
      <x:c r="T514" t="n">
        <x:v>20.8</x:v>
      </x:c>
      <x:c r="U514" t="n">
        <x:v>1998.8</x:v>
      </x:c>
      <x:c r="V514" t="n">
        <x:v>2945</x:v>
      </x:c>
      <x:c r="W514" t="n">
        <x:v>44.2</x:v>
      </x:c>
    </x:row>
    <x:row r="515">
      <x:c r="A515" t="str">
        <x:v>PJT_514</x:v>
      </x:c>
      <x:c r="B515" t="str">
        <x:v>Continental</x:v>
      </x:c>
      <x:c r="C515" t="n">
        <x:v>13490</x:v>
      </x:c>
      <x:c r="D515" t="n">
        <x:v>8</x:v>
      </x:c>
      <x:c r="E515" t="str">
        <x:v>Medium</x:v>
      </x:c>
      <x:c r="F515" t="str">
        <x:v>Mixed-use</x:v>
      </x:c>
      <x:c r="G515" t="str">
        <x:v>Steel</x:v>
      </x:c>
      <x:c r="H515" t="str">
        <x:v>Raft</x:v>
      </x:c>
      <x:c r="I515" t="str">
        <x:v>Rock</x:v>
      </x:c>
      <x:c r="J515" t="str">
        <x:v>Low</x:v>
      </x:c>
      <x:c r="K515" t="n">
        <x:v>31809420</x:v>
      </x:c>
      <x:c r="L515" t="n">
        <x:v>665</x:v>
      </x:c>
      <x:c r="M515" t="n">
        <x:v>594.3</x:v>
      </x:c>
      <x:c r="N515" t="n">
        <x:v>19.9</x:v>
      </x:c>
      <x:c r="O515" t="n">
        <x:v>70.4</x:v>
      </x:c>
      <x:c r="P515" t="str">
        <x:v>Stormy</x:v>
      </x:c>
      <x:c r="Q515" t="n">
        <x:v>100</x:v>
      </x:c>
      <x:c r="R515" t="n">
        <x:v>77.3</x:v>
      </x:c>
      <x:c r="S515" t="n">
        <x:v>0.1029</x:v>
      </x:c>
      <x:c r="T515" t="n">
        <x:v>19</x:v>
      </x:c>
      <x:c r="U515" t="n">
        <x:v>1686.2</x:v>
      </x:c>
      <x:c r="V515" t="n">
        <x:v>2358</x:v>
      </x:c>
      <x:c r="W515" t="n">
        <x:v>49.3</x:v>
      </x:c>
    </x:row>
    <x:row r="516">
      <x:c r="A516" t="str">
        <x:v>PJT_515</x:v>
      </x:c>
      <x:c r="B516" t="str">
        <x:v>Humid Subtropical</x:v>
      </x:c>
      <x:c r="C516" t="n">
        <x:v>7630</x:v>
      </x:c>
      <x:c r="D516" t="n">
        <x:v>3</x:v>
      </x:c>
      <x:c r="E516" t="str">
        <x:v>Low</x:v>
      </x:c>
      <x:c r="F516" t="str">
        <x:v>School</x:v>
      </x:c>
      <x:c r="G516" t="str">
        <x:v>RC Frame</x:v>
      </x:c>
      <x:c r="H516" t="str">
        <x:v>Raft</x:v>
      </x:c>
      <x:c r="I516" t="str">
        <x:v>Sand</x:v>
      </x:c>
      <x:c r="J516" t="str">
        <x:v>Low</x:v>
      </x:c>
      <x:c r="K516" t="n">
        <x:v>12238520</x:v>
      </x:c>
      <x:c r="L516" t="n">
        <x:v>231</x:v>
      </x:c>
      <x:c r="M516" t="n">
        <x:v>226.7</x:v>
      </x:c>
      <x:c r="N516" t="n">
        <x:v>26.7</x:v>
      </x:c>
      <x:c r="O516" t="n">
        <x:v>66.3</x:v>
      </x:c>
      <x:c r="P516" t="str">
        <x:v>Cloudy</x:v>
      </x:c>
      <x:c r="Q516" t="n">
        <x:v>93</x:v>
      </x:c>
      <x:c r="R516" t="n">
        <x:v>64.9</x:v>
      </x:c>
      <x:c r="S516" t="n">
        <x:v>0.0767</x:v>
      </x:c>
      <x:c r="T516" t="n">
        <x:v>12.9</x:v>
      </x:c>
      <x:c r="U516" t="n">
        <x:v>2543.3</x:v>
      </x:c>
      <x:c r="V516" t="n">
        <x:v>1604</x:v>
      </x:c>
      <x:c r="W516" t="n">
        <x:v>30.3</x:v>
      </x:c>
    </x:row>
    <x:row r="517">
      <x:c r="A517" t="str">
        <x:v>PJT_516</x:v>
      </x:c>
      <x:c r="B517" t="str">
        <x:v>Marine</x:v>
      </x:c>
      <x:c r="C517" t="n">
        <x:v>23510</x:v>
      </x:c>
      <x:c r="D517" t="n">
        <x:v>12</x:v>
      </x:c>
      <x:c r="E517" t="str">
        <x:v>Medium</x:v>
      </x:c>
      <x:c r="F517" t="str">
        <x:v>Hospital</x:v>
      </x:c>
      <x:c r="G517" t="str">
        <x:v>Shear Wall</x:v>
      </x:c>
      <x:c r="H517" t="str">
        <x:v>Piles</x:v>
      </x:c>
      <x:c r="I517" t="str">
        <x:v>Soft Clay</x:v>
      </x:c>
      <x:c r="J517" t="str">
        <x:v>Medium</x:v>
      </x:c>
      <x:c r="K517" t="n">
        <x:v>75137960</x:v>
      </x:c>
      <x:c r="L517" t="n">
        <x:v>1187</x:v>
      </x:c>
      <x:c r="M517" t="n">
        <x:v>168.3</x:v>
      </x:c>
      <x:c r="N517" t="n">
        <x:v>21.2</x:v>
      </x:c>
      <x:c r="O517" t="n">
        <x:v>58.6</x:v>
      </x:c>
      <x:c r="P517" t="str">
        <x:v>Sunny</x:v>
      </x:c>
      <x:c r="Q517" t="n">
        <x:v>76</x:v>
      </x:c>
      <x:c r="R517" t="n">
        <x:v>81.6</x:v>
      </x:c>
      <x:c r="S517" t="n">
        <x:v>0.1107</x:v>
      </x:c>
      <x:c r="T517" t="n">
        <x:v>20.4</x:v>
      </x:c>
      <x:c r="U517" t="n">
        <x:v>1959.2</x:v>
      </x:c>
      <x:c r="V517" t="n">
        <x:v>3196</x:v>
      </x:c>
      <x:c r="W517" t="n">
        <x:v>50.5</x:v>
      </x:c>
    </x:row>
    <x:row r="518">
      <x:c r="A518" t="str">
        <x:v>PJT_517</x:v>
      </x:c>
      <x:c r="B518" t="str">
        <x:v>Continental</x:v>
      </x:c>
      <x:c r="C518" t="n">
        <x:v>11690</x:v>
      </x:c>
      <x:c r="D518" t="n">
        <x:v>11</x:v>
      </x:c>
      <x:c r="E518" t="str">
        <x:v>Medium</x:v>
      </x:c>
      <x:c r="F518" t="str">
        <x:v>Residential</x:v>
      </x:c>
      <x:c r="G518" t="str">
        <x:v>RC Frame</x:v>
      </x:c>
      <x:c r="H518" t="str">
        <x:v>Piles</x:v>
      </x:c>
      <x:c r="I518" t="str">
        <x:v>Soft Clay</x:v>
      </x:c>
      <x:c r="J518" t="str">
        <x:v>Medium</x:v>
      </x:c>
      <x:c r="K518" t="n">
        <x:v>18949490</x:v>
      </x:c>
      <x:c r="L518" t="n">
        <x:v>415</x:v>
      </x:c>
      <x:c r="M518" t="n">
        <x:v>158.5</x:v>
      </x:c>
      <x:c r="N518" t="n">
        <x:v>7.6</x:v>
      </x:c>
      <x:c r="O518" t="n">
        <x:v>53</x:v>
      </x:c>
      <x:c r="P518" t="str">
        <x:v>Cloudy</x:v>
      </x:c>
      <x:c r="Q518" t="n">
        <x:v>66</x:v>
      </x:c>
      <x:c r="R518" t="n">
        <x:v>71.8</x:v>
      </x:c>
      <x:c r="S518" t="n">
        <x:v>0.0758</x:v>
      </x:c>
      <x:c r="T518" t="n">
        <x:v>13.7</x:v>
      </x:c>
      <x:c r="U518" t="n">
        <x:v>1062.7</x:v>
      </x:c>
      <x:c r="V518" t="n">
        <x:v>1621</x:v>
      </x:c>
      <x:c r="W518" t="n">
        <x:v>35.5</x:v>
      </x:c>
    </x:row>
    <x:row r="519">
      <x:c r="A519" t="str">
        <x:v>PJT_518</x:v>
      </x:c>
      <x:c r="B519" t="str">
        <x:v>Continental</x:v>
      </x:c>
      <x:c r="C519" t="n">
        <x:v>6170</x:v>
      </x:c>
      <x:c r="D519" t="n">
        <x:v>3</x:v>
      </x:c>
      <x:c r="E519" t="str">
        <x:v>Low</x:v>
      </x:c>
      <x:c r="F519" t="str">
        <x:v>School</x:v>
      </x:c>
      <x:c r="G519" t="str">
        <x:v>RC Frame</x:v>
      </x:c>
      <x:c r="H519" t="str">
        <x:v>Strip</x:v>
      </x:c>
      <x:c r="I519" t="str">
        <x:v>Rock</x:v>
      </x:c>
      <x:c r="J519" t="str">
        <x:v>Low</x:v>
      </x:c>
      <x:c r="K519" t="n">
        <x:v>8872460</x:v>
      </x:c>
      <x:c r="L519" t="n">
        <x:v>180</x:v>
      </x:c>
      <x:c r="M519" t="n">
        <x:v>598.9</x:v>
      </x:c>
      <x:c r="N519" t="n">
        <x:v>12.7</x:v>
      </x:c>
      <x:c r="O519" t="n">
        <x:v>50.6</x:v>
      </x:c>
      <x:c r="P519" t="str">
        <x:v>Sunny</x:v>
      </x:c>
      <x:c r="Q519" t="n">
        <x:v>76</x:v>
      </x:c>
      <x:c r="R519" t="n">
        <x:v>59.9</x:v>
      </x:c>
      <x:c r="S519" t="n">
        <x:v>0.0777</x:v>
      </x:c>
      <x:c r="T519" t="n">
        <x:v>12.6</x:v>
      </x:c>
      <x:c r="U519" t="n">
        <x:v>2056.7</x:v>
      </x:c>
      <x:c r="V519" t="n">
        <x:v>1438</x:v>
      </x:c>
      <x:c r="W519" t="n">
        <x:v>24</x:v>
      </x:c>
    </x:row>
    <x:row r="520">
      <x:c r="A520" t="str">
        <x:v>PJT_519</x:v>
      </x:c>
      <x:c r="B520" t="str">
        <x:v>Mediterranean</x:v>
      </x:c>
      <x:c r="C520" t="n">
        <x:v>16480</x:v>
      </x:c>
      <x:c r="D520" t="n">
        <x:v>14</x:v>
      </x:c>
      <x:c r="E520" t="str">
        <x:v>Medium</x:v>
      </x:c>
      <x:c r="F520" t="str">
        <x:v>Mixed-use</x:v>
      </x:c>
      <x:c r="G520" t="str">
        <x:v>Steel</x:v>
      </x:c>
      <x:c r="H520" t="str">
        <x:v>Piles</x:v>
      </x:c>
      <x:c r="I520" t="str">
        <x:v>Soft Clay</x:v>
      </x:c>
      <x:c r="J520" t="str">
        <x:v>Medium</x:v>
      </x:c>
      <x:c r="K520" t="n">
        <x:v>43886240</x:v>
      </x:c>
      <x:c r="L520" t="n">
        <x:v>827</x:v>
      </x:c>
      <x:c r="M520" t="n">
        <x:v>203.5</x:v>
      </x:c>
      <x:c r="N520" t="n">
        <x:v>15.6</x:v>
      </x:c>
      <x:c r="O520" t="n">
        <x:v>54.6</x:v>
      </x:c>
      <x:c r="P520" t="str">
        <x:v>Cloudy</x:v>
      </x:c>
      <x:c r="Q520" t="n">
        <x:v>82</x:v>
      </x:c>
      <x:c r="R520" t="n">
        <x:v>83.7</x:v>
      </x:c>
      <x:c r="S520" t="n">
        <x:v>0.1022</x:v>
      </x:c>
      <x:c r="T520" t="n">
        <x:v>18</x:v>
      </x:c>
      <x:c r="U520" t="n">
        <x:v>1177.1</x:v>
      </x:c>
      <x:c r="V520" t="n">
        <x:v>2663</x:v>
      </x:c>
      <x:c r="W520" t="n">
        <x:v>50.2</x:v>
      </x:c>
    </x:row>
    <x:row r="521">
      <x:c r="A521" t="str">
        <x:v>PJT_520</x:v>
      </x:c>
      <x:c r="B521" t="str">
        <x:v>Mediterranean</x:v>
      </x:c>
      <x:c r="C521" t="n">
        <x:v>9890</x:v>
      </x:c>
      <x:c r="D521" t="n">
        <x:v>5</x:v>
      </x:c>
      <x:c r="E521" t="str">
        <x:v>Medium</x:v>
      </x:c>
      <x:c r="F521" t="str">
        <x:v>Commercial</x:v>
      </x:c>
      <x:c r="G521" t="str">
        <x:v>RC Frame</x:v>
      </x:c>
      <x:c r="H521" t="str">
        <x:v>Raft</x:v>
      </x:c>
      <x:c r="I521" t="str">
        <x:v>Soft Clay</x:v>
      </x:c>
      <x:c r="J521" t="str">
        <x:v>High</x:v>
      </x:c>
      <x:c r="K521" t="n">
        <x:v>22232720</x:v>
      </x:c>
      <x:c r="L521" t="n">
        <x:v>391</x:v>
      </x:c>
      <x:c r="M521" t="n">
        <x:v>200</x:v>
      </x:c>
      <x:c r="N521" t="n">
        <x:v>18.7</x:v>
      </x:c>
      <x:c r="O521" t="n">
        <x:v>51.6</x:v>
      </x:c>
      <x:c r="P521" t="str">
        <x:v>Cloudy</x:v>
      </x:c>
      <x:c r="Q521" t="n">
        <x:v>70</x:v>
      </x:c>
      <x:c r="R521" t="n">
        <x:v>70.3</x:v>
      </x:c>
      <x:c r="S521" t="n">
        <x:v>0.0924</x:v>
      </x:c>
      <x:c r="T521" t="n">
        <x:v>15.5</x:v>
      </x:c>
      <x:c r="U521" t="n">
        <x:v>1978</x:v>
      </x:c>
      <x:c r="V521" t="n">
        <x:v>2248</x:v>
      </x:c>
      <x:c r="W521" t="n">
        <x:v>39.5</x:v>
      </x:c>
    </x:row>
    <x:row r="522">
      <x:c r="A522" t="str">
        <x:v>PJT_521</x:v>
      </x:c>
      <x:c r="B522" t="str">
        <x:v>Continental</x:v>
      </x:c>
      <x:c r="C522" t="n">
        <x:v>3680</x:v>
      </x:c>
      <x:c r="D522" t="n">
        <x:v>2</x:v>
      </x:c>
      <x:c r="E522" t="str">
        <x:v>Low</x:v>
      </x:c>
      <x:c r="F522" t="str">
        <x:v>School</x:v>
      </x:c>
      <x:c r="G522" t="str">
        <x:v>RC Frame</x:v>
      </x:c>
      <x:c r="H522" t="str">
        <x:v>Strip</x:v>
      </x:c>
      <x:c r="I522" t="str">
        <x:v>Mixed</x:v>
      </x:c>
      <x:c r="J522" t="str">
        <x:v>Low</x:v>
      </x:c>
      <x:c r="K522" t="n">
        <x:v>5336000</x:v>
      </x:c>
      <x:c r="L522" t="n">
        <x:v>180</x:v>
      </x:c>
      <x:c r="M522" t="n">
        <x:v>305</x:v>
      </x:c>
      <x:c r="N522" t="n">
        <x:v>19.3</x:v>
      </x:c>
      <x:c r="O522" t="n">
        <x:v>47.1</x:v>
      </x:c>
      <x:c r="P522" t="str">
        <x:v>Sunny</x:v>
      </x:c>
      <x:c r="Q522" t="n">
        <x:v>88</x:v>
      </x:c>
      <x:c r="R522" t="n">
        <x:v>66.2</x:v>
      </x:c>
      <x:c r="S522" t="n">
        <x:v>0.0745</x:v>
      </x:c>
      <x:c r="T522" t="n">
        <x:v>13.8</x:v>
      </x:c>
      <x:c r="U522" t="n">
        <x:v>1840</x:v>
      </x:c>
      <x:c r="V522" t="n">
        <x:v>1450</x:v>
      </x:c>
      <x:c r="W522" t="n">
        <x:v>24</x:v>
      </x:c>
    </x:row>
    <x:row r="523">
      <x:c r="A523" t="str">
        <x:v>PJT_522</x:v>
      </x:c>
      <x:c r="B523" t="str">
        <x:v>Marine</x:v>
      </x:c>
      <x:c r="C523" t="n">
        <x:v>19950</x:v>
      </x:c>
      <x:c r="D523" t="n">
        <x:v>24</x:v>
      </x:c>
      <x:c r="E523" t="str">
        <x:v>Medium</x:v>
      </x:c>
      <x:c r="F523" t="str">
        <x:v>Residential</x:v>
      </x:c>
      <x:c r="G523" t="str">
        <x:v>Shear Wall</x:v>
      </x:c>
      <x:c r="H523" t="str">
        <x:v>Piles</x:v>
      </x:c>
      <x:c r="I523" t="str">
        <x:v>Sand</x:v>
      </x:c>
      <x:c r="J523" t="str">
        <x:v>Medium</x:v>
      </x:c>
      <x:c r="K523" t="n">
        <x:v>34154400</x:v>
      </x:c>
      <x:c r="L523" t="n">
        <x:v>808</x:v>
      </x:c>
      <x:c r="M523" t="n">
        <x:v>329.6</x:v>
      </x:c>
      <x:c r="N523" t="n">
        <x:v>13.5</x:v>
      </x:c>
      <x:c r="O523" t="n">
        <x:v>68</x:v>
      </x:c>
      <x:c r="P523" t="str">
        <x:v>Cloudy</x:v>
      </x:c>
      <x:c r="Q523" t="n">
        <x:v>54</x:v>
      </x:c>
      <x:c r="R523" t="n">
        <x:v>72.8</x:v>
      </x:c>
      <x:c r="S523" t="n">
        <x:v>0.0787</x:v>
      </x:c>
      <x:c r="T523" t="n">
        <x:v>13.8</x:v>
      </x:c>
      <x:c r="U523" t="n">
        <x:v>831.2</x:v>
      </x:c>
      <x:c r="V523" t="n">
        <x:v>1712</x:v>
      </x:c>
      <x:c r="W523" t="n">
        <x:v>40.5</x:v>
      </x:c>
    </x:row>
    <x:row r="524">
      <x:c r="A524" t="str">
        <x:v>PJT_523</x:v>
      </x:c>
      <x:c r="B524" t="str">
        <x:v>Continental</x:v>
      </x:c>
      <x:c r="C524" t="n">
        <x:v>21980</x:v>
      </x:c>
      <x:c r="D524" t="n">
        <x:v>11</x:v>
      </x:c>
      <x:c r="E524" t="str">
        <x:v>Medium</x:v>
      </x:c>
      <x:c r="F524" t="str">
        <x:v>Hospital</x:v>
      </x:c>
      <x:c r="G524" t="str">
        <x:v>Shear Wall</x:v>
      </x:c>
      <x:c r="H524" t="str">
        <x:v>Piles</x:v>
      </x:c>
      <x:c r="I524" t="str">
        <x:v>Mixed</x:v>
      </x:c>
      <x:c r="J524" t="str">
        <x:v>High</x:v>
      </x:c>
      <x:c r="K524" t="n">
        <x:v>72380140</x:v>
      </x:c>
      <x:c r="L524" t="n">
        <x:v>1207</x:v>
      </x:c>
      <x:c r="M524" t="n">
        <x:v>377.6</x:v>
      </x:c>
      <x:c r="N524" t="n">
        <x:v>18.8</x:v>
      </x:c>
      <x:c r="O524" t="n">
        <x:v>83.6</x:v>
      </x:c>
      <x:c r="P524" t="str">
        <x:v>Stormy</x:v>
      </x:c>
      <x:c r="Q524" t="n">
        <x:v>80</x:v>
      </x:c>
      <x:c r="R524" t="n">
        <x:v>81.2</x:v>
      </x:c>
      <x:c r="S524" t="n">
        <x:v>0.1076</x:v>
      </x:c>
      <x:c r="T524" t="n">
        <x:v>20</x:v>
      </x:c>
      <x:c r="U524" t="n">
        <x:v>1998.2</x:v>
      </x:c>
      <x:c r="V524" t="n">
        <x:v>3293</x:v>
      </x:c>
      <x:c r="W524" t="n">
        <x:v>54.9</x:v>
      </x:c>
    </x:row>
    <x:row r="525">
      <x:c r="A525" t="str">
        <x:v>PJT_524</x:v>
      </x:c>
      <x:c r="B525" t="str">
        <x:v>Mediterranean</x:v>
      </x:c>
      <x:c r="C525" t="n">
        <x:v>30190</x:v>
      </x:c>
      <x:c r="D525" t="n">
        <x:v>20</x:v>
      </x:c>
      <x:c r="E525" t="str">
        <x:v>Medium</x:v>
      </x:c>
      <x:c r="F525" t="str">
        <x:v>Commercial</x:v>
      </x:c>
      <x:c r="G525" t="str">
        <x:v>Steel</x:v>
      </x:c>
      <x:c r="H525" t="str">
        <x:v>Piles</x:v>
      </x:c>
      <x:c r="I525" t="str">
        <x:v>Sand</x:v>
      </x:c>
      <x:c r="J525" t="str">
        <x:v>Medium</x:v>
      </x:c>
      <x:c r="K525" t="n">
        <x:v>78977040</x:v>
      </x:c>
      <x:c r="L525" t="n">
        <x:v>1485</x:v>
      </x:c>
      <x:c r="M525" t="n">
        <x:v>307.1</x:v>
      </x:c>
      <x:c r="N525" t="n">
        <x:v>17.7</x:v>
      </x:c>
      <x:c r="O525" t="n">
        <x:v>77.9</x:v>
      </x:c>
      <x:c r="P525" t="str">
        <x:v>Rainy</x:v>
      </x:c>
      <x:c r="Q525" t="n">
        <x:v>83</x:v>
      </x:c>
      <x:c r="R525" t="n">
        <x:v>83.8</x:v>
      </x:c>
      <x:c r="S525" t="n">
        <x:v>0.0955</x:v>
      </x:c>
      <x:c r="T525" t="n">
        <x:v>17.2</x:v>
      </x:c>
      <x:c r="U525" t="n">
        <x:v>1509.5</x:v>
      </x:c>
      <x:c r="V525" t="n">
        <x:v>2616</x:v>
      </x:c>
      <x:c r="W525" t="n">
        <x:v>49.2</x:v>
      </x:c>
    </x:row>
    <x:row r="526">
      <x:c r="A526" t="str">
        <x:v>PJT_525</x:v>
      </x:c>
      <x:c r="B526" t="str">
        <x:v>Marine</x:v>
      </x:c>
      <x:c r="C526" t="n">
        <x:v>10590</x:v>
      </x:c>
      <x:c r="D526" t="n">
        <x:v>12</x:v>
      </x:c>
      <x:c r="E526" t="str">
        <x:v>Medium</x:v>
      </x:c>
      <x:c r="F526" t="str">
        <x:v>Residential</x:v>
      </x:c>
      <x:c r="G526" t="str">
        <x:v>RC Frame</x:v>
      </x:c>
      <x:c r="H526" t="str">
        <x:v>Piles</x:v>
      </x:c>
      <x:c r="I526" t="str">
        <x:v>Soft Clay</x:v>
      </x:c>
      <x:c r="J526" t="str">
        <x:v>Medium</x:v>
      </x:c>
      <x:c r="K526" t="n">
        <x:v>17653530</x:v>
      </x:c>
      <x:c r="L526" t="n">
        <x:v>435</x:v>
      </x:c>
      <x:c r="M526" t="n">
        <x:v>223.4</x:v>
      </x:c>
      <x:c r="N526" t="n">
        <x:v>15.8</x:v>
      </x:c>
      <x:c r="O526" t="n">
        <x:v>93.1</x:v>
      </x:c>
      <x:c r="P526" t="str">
        <x:v>Stormy</x:v>
      </x:c>
      <x:c r="Q526" t="n">
        <x:v>61</x:v>
      </x:c>
      <x:c r="R526" t="n">
        <x:v>73.7</x:v>
      </x:c>
      <x:c r="S526" t="n">
        <x:v>0.0812</x:v>
      </x:c>
      <x:c r="T526" t="n">
        <x:v>13</x:v>
      </x:c>
      <x:c r="U526" t="n">
        <x:v>882.5</x:v>
      </x:c>
      <x:c r="V526" t="n">
        <x:v>1667</x:v>
      </x:c>
      <x:c r="W526" t="n">
        <x:v>41.1</x:v>
      </x:c>
    </x:row>
    <x:row r="527">
      <x:c r="A527" t="str">
        <x:v>PJT_526</x:v>
      </x:c>
      <x:c r="B527" t="str">
        <x:v>Marine</x:v>
      </x:c>
      <x:c r="C527" t="n">
        <x:v>13990</x:v>
      </x:c>
      <x:c r="D527" t="n">
        <x:v>16</x:v>
      </x:c>
      <x:c r="E527" t="str">
        <x:v>Low</x:v>
      </x:c>
      <x:c r="F527" t="str">
        <x:v>Residential</x:v>
      </x:c>
      <x:c r="G527" t="str">
        <x:v>Shear Wall</x:v>
      </x:c>
      <x:c r="H527" t="str">
        <x:v>Piles</x:v>
      </x:c>
      <x:c r="I527" t="str">
        <x:v>Soft Clay</x:v>
      </x:c>
      <x:c r="J527" t="str">
        <x:v>Medium</x:v>
      </x:c>
      <x:c r="K527" t="n">
        <x:v>21110910</x:v>
      </x:c>
      <x:c r="L527" t="n">
        <x:v>518</x:v>
      </x:c>
      <x:c r="M527" t="n">
        <x:v>216.5</x:v>
      </x:c>
      <x:c r="N527" t="n">
        <x:v>10.2</x:v>
      </x:c>
      <x:c r="O527" t="n">
        <x:v>79.7</x:v>
      </x:c>
      <x:c r="P527" t="str">
        <x:v>Cloudy</x:v>
      </x:c>
      <x:c r="Q527" t="n">
        <x:v>85</x:v>
      </x:c>
      <x:c r="R527" t="n">
        <x:v>65.4</x:v>
      </x:c>
      <x:c r="S527" t="n">
        <x:v>0.0792</x:v>
      </x:c>
      <x:c r="T527" t="n">
        <x:v>13.3</x:v>
      </x:c>
      <x:c r="U527" t="n">
        <x:v>874.4</x:v>
      </x:c>
      <x:c r="V527" t="n">
        <x:v>1509</x:v>
      </x:c>
      <x:c r="W527" t="n">
        <x:v>37</x:v>
      </x:c>
    </x:row>
    <x:row r="528">
      <x:c r="A528" t="str">
        <x:v>PJT_527</x:v>
      </x:c>
      <x:c r="B528" t="str">
        <x:v>Continental</x:v>
      </x:c>
      <x:c r="C528" t="n">
        <x:v>37760</x:v>
      </x:c>
      <x:c r="D528" t="n">
        <x:v>16</x:v>
      </x:c>
      <x:c r="E528" t="str">
        <x:v>High</x:v>
      </x:c>
      <x:c r="F528" t="str">
        <x:v>Hospital</x:v>
      </x:c>
      <x:c r="G528" t="str">
        <x:v>Shear Wall</x:v>
      </x:c>
      <x:c r="H528" t="str">
        <x:v>Piles</x:v>
      </x:c>
      <x:c r="I528" t="str">
        <x:v>Mixed</x:v>
      </x:c>
      <x:c r="J528" t="str">
        <x:v>Medium</x:v>
      </x:c>
      <x:c r="K528" t="n">
        <x:v>126382720</x:v>
      </x:c>
      <x:c r="L528" t="n">
        <x:v>2137</x:v>
      </x:c>
      <x:c r="M528" t="n">
        <x:v>343.8</x:v>
      </x:c>
      <x:c r="N528" t="n">
        <x:v>8.2</x:v>
      </x:c>
      <x:c r="O528" t="n">
        <x:v>69.4</x:v>
      </x:c>
      <x:c r="P528" t="str">
        <x:v>Rainy</x:v>
      </x:c>
      <x:c r="Q528" t="n">
        <x:v>87</x:v>
      </x:c>
      <x:c r="R528" t="n">
        <x:v>84.6</x:v>
      </x:c>
      <x:c r="S528" t="n">
        <x:v>0.1125</x:v>
      </x:c>
      <x:c r="T528" t="n">
        <x:v>22.4</x:v>
      </x:c>
      <x:c r="U528" t="n">
        <x:v>2360</x:v>
      </x:c>
      <x:c r="V528" t="n">
        <x:v>3347</x:v>
      </x:c>
      <x:c r="W528" t="n">
        <x:v>56.6</x:v>
      </x:c>
    </x:row>
    <x:row r="529">
      <x:c r="A529" t="str">
        <x:v>PJT_528</x:v>
      </x:c>
      <x:c r="B529" t="str">
        <x:v>Mediterranean</x:v>
      </x:c>
      <x:c r="C529" t="n">
        <x:v>16920</x:v>
      </x:c>
      <x:c r="D529" t="n">
        <x:v>9</x:v>
      </x:c>
      <x:c r="E529" t="str">
        <x:v>Medium</x:v>
      </x:c>
      <x:c r="F529" t="str">
        <x:v>Commercial</x:v>
      </x:c>
      <x:c r="G529" t="str">
        <x:v>RC Frame</x:v>
      </x:c>
      <x:c r="H529" t="str">
        <x:v>Raft</x:v>
      </x:c>
      <x:c r="I529" t="str">
        <x:v>Rock</x:v>
      </x:c>
      <x:c r="J529" t="str">
        <x:v>Low</x:v>
      </x:c>
      <x:c r="K529" t="n">
        <x:v>35244360</x:v>
      </x:c>
      <x:c r="L529" t="n">
        <x:v>736</x:v>
      </x:c>
      <x:c r="M529" t="n">
        <x:v>680.6</x:v>
      </x:c>
      <x:c r="N529" t="n">
        <x:v>13.4</x:v>
      </x:c>
      <x:c r="O529" t="n">
        <x:v>74.2</x:v>
      </x:c>
      <x:c r="P529" t="str">
        <x:v>Stormy</x:v>
      </x:c>
      <x:c r="Q529" t="n">
        <x:v>73</x:v>
      </x:c>
      <x:c r="R529" t="n">
        <x:v>78.2</x:v>
      </x:c>
      <x:c r="S529" t="n">
        <x:v>0.0928</x:v>
      </x:c>
      <x:c r="T529" t="n">
        <x:v>16.3</x:v>
      </x:c>
      <x:c r="U529" t="n">
        <x:v>1880</x:v>
      </x:c>
      <x:c r="V529" t="n">
        <x:v>2083</x:v>
      </x:c>
      <x:c r="W529" t="n">
        <x:v>43.5</x:v>
      </x:c>
    </x:row>
    <x:row r="530">
      <x:c r="A530" t="str">
        <x:v>PJT_529</x:v>
      </x:c>
      <x:c r="B530" t="str">
        <x:v>Marine</x:v>
      </x:c>
      <x:c r="C530" t="n">
        <x:v>12880</x:v>
      </x:c>
      <x:c r="D530" t="n">
        <x:v>10</x:v>
      </x:c>
      <x:c r="E530" t="str">
        <x:v>Medium</x:v>
      </x:c>
      <x:c r="F530" t="str">
        <x:v>Commercial</x:v>
      </x:c>
      <x:c r="G530" t="str">
        <x:v>RC Frame</x:v>
      </x:c>
      <x:c r="H530" t="str">
        <x:v>Raft</x:v>
      </x:c>
      <x:c r="I530" t="str">
        <x:v>Sand</x:v>
      </x:c>
      <x:c r="J530" t="str">
        <x:v>Medium</x:v>
      </x:c>
      <x:c r="K530" t="n">
        <x:v>28529200</x:v>
      </x:c>
      <x:c r="L530" t="n">
        <x:v>554</x:v>
      </x:c>
      <x:c r="M530" t="n">
        <x:v>240.9</x:v>
      </x:c>
      <x:c r="N530" t="n">
        <x:v>16.1</x:v>
      </x:c>
      <x:c r="O530" t="n">
        <x:v>74.3</x:v>
      </x:c>
      <x:c r="P530" t="str">
        <x:v>Rainy</x:v>
      </x:c>
      <x:c r="Q530" t="n">
        <x:v>75</x:v>
      </x:c>
      <x:c r="R530" t="n">
        <x:v>75.2</x:v>
      </x:c>
      <x:c r="S530" t="n">
        <x:v>0.0905</x:v>
      </x:c>
      <x:c r="T530" t="n">
        <x:v>15.7</x:v>
      </x:c>
      <x:c r="U530" t="n">
        <x:v>1288</x:v>
      </x:c>
      <x:c r="V530" t="n">
        <x:v>2215</x:v>
      </x:c>
      <x:c r="W530" t="n">
        <x:v>43</x:v>
      </x:c>
    </x:row>
    <x:row r="531">
      <x:c r="A531" t="str">
        <x:v>PJT_530</x:v>
      </x:c>
      <x:c r="B531" t="str">
        <x:v>Mediterranean</x:v>
      </x:c>
      <x:c r="C531" t="n">
        <x:v>3670</x:v>
      </x:c>
      <x:c r="D531" t="n">
        <x:v>2</x:v>
      </x:c>
      <x:c r="E531" t="str">
        <x:v>Low</x:v>
      </x:c>
      <x:c r="F531" t="str">
        <x:v>School</x:v>
      </x:c>
      <x:c r="G531" t="str">
        <x:v>RC Frame</x:v>
      </x:c>
      <x:c r="H531" t="str">
        <x:v>Strip</x:v>
      </x:c>
      <x:c r="I531" t="str">
        <x:v>Sand</x:v>
      </x:c>
      <x:c r="J531" t="str">
        <x:v>Low</x:v>
      </x:c>
      <x:c r="K531" t="n">
        <x:v>5306820</x:v>
      </x:c>
      <x:c r="L531" t="n">
        <x:v>180</x:v>
      </x:c>
      <x:c r="M531" t="n">
        <x:v>235.8</x:v>
      </x:c>
      <x:c r="N531" t="n">
        <x:v>14.1</x:v>
      </x:c>
      <x:c r="O531" t="n">
        <x:v>55.7</x:v>
      </x:c>
      <x:c r="P531" t="str">
        <x:v>Cloudy</x:v>
      </x:c>
      <x:c r="Q531" t="n">
        <x:v>65</x:v>
      </x:c>
      <x:c r="R531" t="n">
        <x:v>66.9</x:v>
      </x:c>
      <x:c r="S531" t="n">
        <x:v>0.0804</x:v>
      </x:c>
      <x:c r="T531" t="n">
        <x:v>14.2</x:v>
      </x:c>
      <x:c r="U531" t="n">
        <x:v>1835</x:v>
      </x:c>
      <x:c r="V531" t="n">
        <x:v>1446</x:v>
      </x:c>
      <x:c r="W531" t="n">
        <x:v>25.6</x:v>
      </x:c>
    </x:row>
    <x:row r="532">
      <x:c r="A532" t="str">
        <x:v>PJT_531</x:v>
      </x:c>
      <x:c r="B532" t="str">
        <x:v>Continental</x:v>
      </x:c>
      <x:c r="C532" t="n">
        <x:v>27280</x:v>
      </x:c>
      <x:c r="D532" t="n">
        <x:v>12</x:v>
      </x:c>
      <x:c r="E532" t="str">
        <x:v>High</x:v>
      </x:c>
      <x:c r="F532" t="str">
        <x:v>Hospital</x:v>
      </x:c>
      <x:c r="G532" t="str">
        <x:v>Shear Wall</x:v>
      </x:c>
      <x:c r="H532" t="str">
        <x:v>Piles</x:v>
      </x:c>
      <x:c r="I532" t="str">
        <x:v>Soft Clay</x:v>
      </x:c>
      <x:c r="J532" t="str">
        <x:v>High</x:v>
      </x:c>
      <x:c r="K532" t="n">
        <x:v>93706800</x:v>
      </x:c>
      <x:c r="L532" t="n">
        <x:v>1522</x:v>
      </x:c>
      <x:c r="M532" t="n">
        <x:v>213.4</x:v>
      </x:c>
      <x:c r="N532" t="n">
        <x:v>6.3</x:v>
      </x:c>
      <x:c r="O532" t="n">
        <x:v>57</x:v>
      </x:c>
      <x:c r="P532" t="str">
        <x:v>Cloudy</x:v>
      </x:c>
      <x:c r="Q532" t="n">
        <x:v>85</x:v>
      </x:c>
      <x:c r="R532" t="n">
        <x:v>81.8</x:v>
      </x:c>
      <x:c r="S532" t="n">
        <x:v>0.1124</x:v>
      </x:c>
      <x:c r="T532" t="n">
        <x:v>22.6</x:v>
      </x:c>
      <x:c r="U532" t="n">
        <x:v>2273.3</x:v>
      </x:c>
      <x:c r="V532" t="n">
        <x:v>3435</x:v>
      </x:c>
      <x:c r="W532" t="n">
        <x:v>55.8</x:v>
      </x:c>
    </x:row>
    <x:row r="533">
      <x:c r="A533" t="str">
        <x:v>PJT_532</x:v>
      </x:c>
      <x:c r="B533" t="str">
        <x:v>Continental</x:v>
      </x:c>
      <x:c r="C533" t="n">
        <x:v>29600</x:v>
      </x:c>
      <x:c r="D533" t="n">
        <x:v>17</x:v>
      </x:c>
      <x:c r="E533" t="str">
        <x:v>High</x:v>
      </x:c>
      <x:c r="F533" t="str">
        <x:v>Mixed-use</x:v>
      </x:c>
      <x:c r="G533" t="str">
        <x:v>Steel</x:v>
      </x:c>
      <x:c r="H533" t="str">
        <x:v>Piles</x:v>
      </x:c>
      <x:c r="I533" t="str">
        <x:v>Sand</x:v>
      </x:c>
      <x:c r="J533" t="str">
        <x:v>Medium</x:v>
      </x:c>
      <x:c r="K533" t="n">
        <x:v>83264800</x:v>
      </x:c>
      <x:c r="L533" t="n">
        <x:v>1598</x:v>
      </x:c>
      <x:c r="M533" t="n">
        <x:v>249.5</x:v>
      </x:c>
      <x:c r="N533" t="n">
        <x:v>10.6</x:v>
      </x:c>
      <x:c r="O533" t="n">
        <x:v>65.9</x:v>
      </x:c>
      <x:c r="P533" t="str">
        <x:v>Cloudy</x:v>
      </x:c>
      <x:c r="Q533" t="n">
        <x:v>77</x:v>
      </x:c>
      <x:c r="R533" t="n">
        <x:v>86.1</x:v>
      </x:c>
      <x:c r="S533" t="n">
        <x:v>0.106</x:v>
      </x:c>
      <x:c r="T533" t="n">
        <x:v>20.6</x:v>
      </x:c>
      <x:c r="U533" t="n">
        <x:v>1741.2</x:v>
      </x:c>
      <x:c r="V533" t="n">
        <x:v>2813</x:v>
      </x:c>
      <x:c r="W533" t="n">
        <x:v>54</x:v>
      </x:c>
    </x:row>
    <x:row r="534">
      <x:c r="A534" t="str">
        <x:v>PJT_533</x:v>
      </x:c>
      <x:c r="B534" t="str">
        <x:v>Mediterranean</x:v>
      </x:c>
      <x:c r="C534" t="n">
        <x:v>19250</x:v>
      </x:c>
      <x:c r="D534" t="n">
        <x:v>16</x:v>
      </x:c>
      <x:c r="E534" t="str">
        <x:v>Medium</x:v>
      </x:c>
      <x:c r="F534" t="str">
        <x:v>Residential</x:v>
      </x:c>
      <x:c r="G534" t="str">
        <x:v>Shear Wall</x:v>
      </x:c>
      <x:c r="H534" t="str">
        <x:v>Piles</x:v>
      </x:c>
      <x:c r="I534" t="str">
        <x:v>Sand</x:v>
      </x:c>
      <x:c r="J534" t="str">
        <x:v>High</x:v>
      </x:c>
      <x:c r="K534" t="n">
        <x:v>35516250</x:v>
      </x:c>
      <x:c r="L534" t="n">
        <x:v>787</x:v>
      </x:c>
      <x:c r="M534" t="n">
        <x:v>288.2</x:v>
      </x:c>
      <x:c r="N534" t="n">
        <x:v>14.7</x:v>
      </x:c>
      <x:c r="O534" t="n">
        <x:v>74.1</x:v>
      </x:c>
      <x:c r="P534" t="str">
        <x:v>Rainy</x:v>
      </x:c>
      <x:c r="Q534" t="n">
        <x:v>69</x:v>
      </x:c>
      <x:c r="R534" t="n">
        <x:v>69.2</x:v>
      </x:c>
      <x:c r="S534" t="n">
        <x:v>0.0826</x:v>
      </x:c>
      <x:c r="T534" t="n">
        <x:v>13.8</x:v>
      </x:c>
      <x:c r="U534" t="n">
        <x:v>1203.1</x:v>
      </x:c>
      <x:c r="V534" t="n">
        <x:v>1845</x:v>
      </x:c>
      <x:c r="W534" t="n">
        <x:v>40.9</x:v>
      </x:c>
    </x:row>
    <x:row r="535">
      <x:c r="A535" t="str">
        <x:v>PJT_534</x:v>
      </x:c>
      <x:c r="B535" t="str">
        <x:v>Marine</x:v>
      </x:c>
      <x:c r="C535" t="n">
        <x:v>14450</x:v>
      </x:c>
      <x:c r="D535" t="n">
        <x:v>8</x:v>
      </x:c>
      <x:c r="E535" t="str">
        <x:v>Medium</x:v>
      </x:c>
      <x:c r="F535" t="str">
        <x:v>Mixed-use</x:v>
      </x:c>
      <x:c r="G535" t="str">
        <x:v>RC Frame</x:v>
      </x:c>
      <x:c r="H535" t="str">
        <x:v>Piles</x:v>
      </x:c>
      <x:c r="I535" t="str">
        <x:v>Soft Clay</x:v>
      </x:c>
      <x:c r="J535" t="str">
        <x:v>Low</x:v>
      </x:c>
      <x:c r="K535" t="n">
        <x:v>34130900</x:v>
      </x:c>
      <x:c r="L535" t="n">
        <x:v>642</x:v>
      </x:c>
      <x:c r="M535" t="n">
        <x:v>230.8</x:v>
      </x:c>
      <x:c r="N535" t="n">
        <x:v>11.5</x:v>
      </x:c>
      <x:c r="O535" t="n">
        <x:v>59</x:v>
      </x:c>
      <x:c r="P535" t="str">
        <x:v>Sunny</x:v>
      </x:c>
      <x:c r="Q535" t="n">
        <x:v>73</x:v>
      </x:c>
      <x:c r="R535" t="n">
        <x:v>82.2</x:v>
      </x:c>
      <x:c r="S535" t="n">
        <x:v>0.099</x:v>
      </x:c>
      <x:c r="T535" t="n">
        <x:v>17.6</x:v>
      </x:c>
      <x:c r="U535" t="n">
        <x:v>1806.2</x:v>
      </x:c>
      <x:c r="V535" t="n">
        <x:v>2362</x:v>
      </x:c>
      <x:c r="W535" t="n">
        <x:v>44.4</x:v>
      </x:c>
    </x:row>
    <x:row r="536">
      <x:c r="A536" t="str">
        <x:v>PJT_535</x:v>
      </x:c>
      <x:c r="B536" t="str">
        <x:v>Continental</x:v>
      </x:c>
      <x:c r="C536" t="n">
        <x:v>27140</x:v>
      </x:c>
      <x:c r="D536" t="n">
        <x:v>24</x:v>
      </x:c>
      <x:c r="E536" t="str">
        <x:v>High</x:v>
      </x:c>
      <x:c r="F536" t="str">
        <x:v>Mixed-use</x:v>
      </x:c>
      <x:c r="G536" t="str">
        <x:v>Steel</x:v>
      </x:c>
      <x:c r="H536" t="str">
        <x:v>Piles</x:v>
      </x:c>
      <x:c r="I536" t="str">
        <x:v>Sand</x:v>
      </x:c>
      <x:c r="J536" t="str">
        <x:v>Low</x:v>
      </x:c>
      <x:c r="K536" t="n">
        <x:v>76969040</x:v>
      </x:c>
      <x:c r="L536" t="n">
        <x:v>1574</x:v>
      </x:c>
      <x:c r="M536" t="n">
        <x:v>237.2</x:v>
      </x:c>
      <x:c r="N536" t="n">
        <x:v>4.5</x:v>
      </x:c>
      <x:c r="O536" t="n">
        <x:v>89.4</x:v>
      </x:c>
      <x:c r="P536" t="str">
        <x:v>Stormy</x:v>
      </x:c>
      <x:c r="Q536" t="n">
        <x:v>101</x:v>
      </x:c>
      <x:c r="R536" t="n">
        <x:v>89</x:v>
      </x:c>
      <x:c r="S536" t="n">
        <x:v>0.106</x:v>
      </x:c>
      <x:c r="T536" t="n">
        <x:v>19.8</x:v>
      </x:c>
      <x:c r="U536" t="n">
        <x:v>1130.8</x:v>
      </x:c>
      <x:c r="V536" t="n">
        <x:v>2836</x:v>
      </x:c>
      <x:c r="W536" t="n">
        <x:v>58</x:v>
      </x:c>
    </x:row>
    <x:row r="537">
      <x:c r="A537" t="str">
        <x:v>PJT_536</x:v>
      </x:c>
      <x:c r="B537" t="str">
        <x:v>Marine</x:v>
      </x:c>
      <x:c r="C537" t="n">
        <x:v>10570</x:v>
      </x:c>
      <x:c r="D537" t="n">
        <x:v>14</x:v>
      </x:c>
      <x:c r="E537" t="str">
        <x:v>Medium</x:v>
      </x:c>
      <x:c r="F537" t="str">
        <x:v>Residential</x:v>
      </x:c>
      <x:c r="G537" t="str">
        <x:v>RC Frame</x:v>
      </x:c>
      <x:c r="H537" t="str">
        <x:v>Piles</x:v>
      </x:c>
      <x:c r="I537" t="str">
        <x:v>Sand</x:v>
      </x:c>
      <x:c r="J537" t="str">
        <x:v>Low</x:v>
      </x:c>
      <x:c r="K537" t="n">
        <x:v>16119250</x:v>
      </x:c>
      <x:c r="L537" t="n">
        <x:v>389</x:v>
      </x:c>
      <x:c r="M537" t="n">
        <x:v>337.8</x:v>
      </x:c>
      <x:c r="N537" t="n">
        <x:v>17</x:v>
      </x:c>
      <x:c r="O537" t="n">
        <x:v>80.1</x:v>
      </x:c>
      <x:c r="P537" t="str">
        <x:v>Cloudy</x:v>
      </x:c>
      <x:c r="Q537" t="n">
        <x:v>70</x:v>
      </x:c>
      <x:c r="R537" t="n">
        <x:v>70.1</x:v>
      </x:c>
      <x:c r="S537" t="n">
        <x:v>0.0804</x:v>
      </x:c>
      <x:c r="T537" t="n">
        <x:v>12.7</x:v>
      </x:c>
      <x:c r="U537" t="n">
        <x:v>755</x:v>
      </x:c>
      <x:c r="V537" t="n">
        <x:v>1525</x:v>
      </x:c>
      <x:c r="W537" t="n">
        <x:v>36.8</x:v>
      </x:c>
    </x:row>
    <x:row r="538">
      <x:c r="A538" t="str">
        <x:v>PJT_537</x:v>
      </x:c>
      <x:c r="B538" t="str">
        <x:v>Mediterranean</x:v>
      </x:c>
      <x:c r="C538" t="n">
        <x:v>20090</x:v>
      </x:c>
      <x:c r="D538" t="n">
        <x:v>15</x:v>
      </x:c>
      <x:c r="E538" t="str">
        <x:v>Medium</x:v>
      </x:c>
      <x:c r="F538" t="str">
        <x:v>Mixed-use</x:v>
      </x:c>
      <x:c r="G538" t="str">
        <x:v>Steel</x:v>
      </x:c>
      <x:c r="H538" t="str">
        <x:v>Piles</x:v>
      </x:c>
      <x:c r="I538" t="str">
        <x:v>Mixed</x:v>
      </x:c>
      <x:c r="J538" t="str">
        <x:v>Medium</x:v>
      </x:c>
      <x:c r="K538" t="n">
        <x:v>54383630</x:v>
      </x:c>
      <x:c r="L538" t="n">
        <x:v>982</x:v>
      </x:c>
      <x:c r="M538" t="n">
        <x:v>352.3</x:v>
      </x:c>
      <x:c r="N538" t="n">
        <x:v>28.2</x:v>
      </x:c>
      <x:c r="O538" t="n">
        <x:v>57.1</x:v>
      </x:c>
      <x:c r="P538" t="str">
        <x:v>Sunny</x:v>
      </x:c>
      <x:c r="Q538" t="n">
        <x:v>66</x:v>
      </x:c>
      <x:c r="R538" t="n">
        <x:v>78</x:v>
      </x:c>
      <x:c r="S538" t="n">
        <x:v>0.1033</x:v>
      </x:c>
      <x:c r="T538" t="n">
        <x:v>17.9</x:v>
      </x:c>
      <x:c r="U538" t="n">
        <x:v>1339.3</x:v>
      </x:c>
      <x:c r="V538" t="n">
        <x:v>2707</x:v>
      </x:c>
      <x:c r="W538" t="n">
        <x:v>48.9</x:v>
      </x:c>
    </x:row>
    <x:row r="539">
      <x:c r="A539" t="str">
        <x:v>PJT_538</x:v>
      </x:c>
      <x:c r="B539" t="str">
        <x:v>Continental</x:v>
      </x:c>
      <x:c r="C539" t="n">
        <x:v>8270</x:v>
      </x:c>
      <x:c r="D539" t="n">
        <x:v>6</x:v>
      </x:c>
      <x:c r="E539" t="str">
        <x:v>Low</x:v>
      </x:c>
      <x:c r="F539" t="str">
        <x:v>Residential</x:v>
      </x:c>
      <x:c r="G539" t="str">
        <x:v>RC Frame</x:v>
      </x:c>
      <x:c r="H539" t="str">
        <x:v>Raft</x:v>
      </x:c>
      <x:c r="I539" t="str">
        <x:v>Mixed</x:v>
      </x:c>
      <x:c r="J539" t="str">
        <x:v>Low</x:v>
      </x:c>
      <x:c r="K539" t="n">
        <x:v>10246530</x:v>
      </x:c>
      <x:c r="L539" t="n">
        <x:v>288</x:v>
      </x:c>
      <x:c r="M539" t="n">
        <x:v>304.9</x:v>
      </x:c>
      <x:c r="N539" t="n">
        <x:v>11.5</x:v>
      </x:c>
      <x:c r="O539" t="n">
        <x:v>73.6</x:v>
      </x:c>
      <x:c r="P539" t="str">
        <x:v>Stormy</x:v>
      </x:c>
      <x:c r="Q539" t="n">
        <x:v>94</x:v>
      </x:c>
      <x:c r="R539" t="n">
        <x:v>66.7</x:v>
      </x:c>
      <x:c r="S539" t="n">
        <x:v>0.0769</x:v>
      </x:c>
      <x:c r="T539" t="n">
        <x:v>11.9</x:v>
      </x:c>
      <x:c r="U539" t="n">
        <x:v>1378.3</x:v>
      </x:c>
      <x:c r="V539" t="n">
        <x:v>1239</x:v>
      </x:c>
      <x:c r="W539" t="n">
        <x:v>34.8</x:v>
      </x:c>
    </x:row>
    <x:row r="540">
      <x:c r="A540" t="str">
        <x:v>PJT_539</x:v>
      </x:c>
      <x:c r="B540" t="str">
        <x:v>Marine</x:v>
      </x:c>
      <x:c r="C540" t="n">
        <x:v>11290</x:v>
      </x:c>
      <x:c r="D540" t="n">
        <x:v>10</x:v>
      </x:c>
      <x:c r="E540" t="str">
        <x:v>Medium</x:v>
      </x:c>
      <x:c r="F540" t="str">
        <x:v>Commercial</x:v>
      </x:c>
      <x:c r="G540" t="str">
        <x:v>RC Frame</x:v>
      </x:c>
      <x:c r="H540" t="str">
        <x:v>Raft</x:v>
      </x:c>
      <x:c r="I540" t="str">
        <x:v>Mixed</x:v>
      </x:c>
      <x:c r="J540" t="str">
        <x:v>Low</x:v>
      </x:c>
      <x:c r="K540" t="n">
        <x:v>24183180</x:v>
      </x:c>
      <x:c r="L540" t="n">
        <x:v>502</x:v>
      </x:c>
      <x:c r="M540" t="n">
        <x:v>309</x:v>
      </x:c>
      <x:c r="N540" t="n">
        <x:v>16.2</x:v>
      </x:c>
      <x:c r="O540" t="n">
        <x:v>82.7</x:v>
      </x:c>
      <x:c r="P540" t="str">
        <x:v>Stormy</x:v>
      </x:c>
      <x:c r="Q540" t="n">
        <x:v>85</x:v>
      </x:c>
      <x:c r="R540" t="n">
        <x:v>79.8</x:v>
      </x:c>
      <x:c r="S540" t="n">
        <x:v>0.093</x:v>
      </x:c>
      <x:c r="T540" t="n">
        <x:v>15.4</x:v>
      </x:c>
      <x:c r="U540" t="n">
        <x:v>1129</x:v>
      </x:c>
      <x:c r="V540" t="n">
        <x:v>2142</x:v>
      </x:c>
      <x:c r="W540" t="n">
        <x:v>44.5</x:v>
      </x:c>
    </x:row>
    <x:row r="541">
      <x:c r="A541" t="str">
        <x:v>PJT_540</x:v>
      </x:c>
      <x:c r="B541" t="str">
        <x:v>Humid Subtropical</x:v>
      </x:c>
      <x:c r="C541" t="n">
        <x:v>8250</x:v>
      </x:c>
      <x:c r="D541" t="n">
        <x:v>10</x:v>
      </x:c>
      <x:c r="E541" t="str">
        <x:v>Low</x:v>
      </x:c>
      <x:c r="F541" t="str">
        <x:v>Residential</x:v>
      </x:c>
      <x:c r="G541" t="str">
        <x:v>RC Frame</x:v>
      </x:c>
      <x:c r="H541" t="str">
        <x:v>Piles</x:v>
      </x:c>
      <x:c r="I541" t="str">
        <x:v>Soft Clay</x:v>
      </x:c>
      <x:c r="J541" t="str">
        <x:v>Medium</x:v>
      </x:c>
      <x:c r="K541" t="n">
        <x:v>12383250</x:v>
      </x:c>
      <x:c r="L541" t="n">
        <x:v>293</x:v>
      </x:c>
      <x:c r="M541" t="n">
        <x:v>189.5</x:v>
      </x:c>
      <x:c r="N541" t="n">
        <x:v>26.1</x:v>
      </x:c>
      <x:c r="O541" t="n">
        <x:v>72.4</x:v>
      </x:c>
      <x:c r="P541" t="str">
        <x:v>Cloudy</x:v>
      </x:c>
      <x:c r="Q541" t="n">
        <x:v>78</x:v>
      </x:c>
      <x:c r="R541" t="n">
        <x:v>63.1</x:v>
      </x:c>
      <x:c r="S541" t="n">
        <x:v>0.0719</x:v>
      </x:c>
      <x:c r="T541" t="n">
        <x:v>11.9</x:v>
      </x:c>
      <x:c r="U541" t="n">
        <x:v>825</x:v>
      </x:c>
      <x:c r="V541" t="n">
        <x:v>1501</x:v>
      </x:c>
      <x:c r="W541" t="n">
        <x:v>35.5</x:v>
      </x:c>
    </x:row>
    <x:row r="542">
      <x:c r="A542" t="str">
        <x:v>PJT_541</x:v>
      </x:c>
      <x:c r="B542" t="str">
        <x:v>Humid Subtropical</x:v>
      </x:c>
      <x:c r="C542" t="n">
        <x:v>32530</x:v>
      </x:c>
      <x:c r="D542" t="n">
        <x:v>16</x:v>
      </x:c>
      <x:c r="E542" t="str">
        <x:v>High</x:v>
      </x:c>
      <x:c r="F542" t="str">
        <x:v>Hospital</x:v>
      </x:c>
      <x:c r="G542" t="str">
        <x:v>Shear Wall</x:v>
      </x:c>
      <x:c r="H542" t="str">
        <x:v>Piles</x:v>
      </x:c>
      <x:c r="I542" t="str">
        <x:v>Mixed</x:v>
      </x:c>
      <x:c r="J542" t="str">
        <x:v>Medium</x:v>
      </x:c>
      <x:c r="K542" t="n">
        <x:v>111805610</x:v>
      </x:c>
      <x:c r="L542" t="n">
        <x:v>1887</x:v>
      </x:c>
      <x:c r="M542" t="n">
        <x:v>375.9</x:v>
      </x:c>
      <x:c r="N542" t="n">
        <x:v>24.1</x:v>
      </x:c>
      <x:c r="O542" t="n">
        <x:v>93.3</x:v>
      </x:c>
      <x:c r="P542" t="str">
        <x:v>Stormy</x:v>
      </x:c>
      <x:c r="Q542" t="n">
        <x:v>97</x:v>
      </x:c>
      <x:c r="R542" t="n">
        <x:v>86.5</x:v>
      </x:c>
      <x:c r="S542" t="n">
        <x:v>0.112</x:v>
      </x:c>
      <x:c r="T542" t="n">
        <x:v>23.8</x:v>
      </x:c>
      <x:c r="U542" t="n">
        <x:v>2033.1</x:v>
      </x:c>
      <x:c r="V542" t="n">
        <x:v>3437</x:v>
      </x:c>
      <x:c r="W542" t="n">
        <x:v>58</x:v>
      </x:c>
    </x:row>
    <x:row r="543">
      <x:c r="A543" t="str">
        <x:v>PJT_542</x:v>
      </x:c>
      <x:c r="B543" t="str">
        <x:v>Continental</x:v>
      </x:c>
      <x:c r="C543" t="n">
        <x:v>21320</x:v>
      </x:c>
      <x:c r="D543" t="n">
        <x:v>24</x:v>
      </x:c>
      <x:c r="E543" t="str">
        <x:v>Medium</x:v>
      </x:c>
      <x:c r="F543" t="str">
        <x:v>Residential</x:v>
      </x:c>
      <x:c r="G543" t="str">
        <x:v>RC Frame</x:v>
      </x:c>
      <x:c r="H543" t="str">
        <x:v>Piles</x:v>
      </x:c>
      <x:c r="I543" t="str">
        <x:v>Soft Clay</x:v>
      </x:c>
      <x:c r="J543" t="str">
        <x:v>Low</x:v>
      </x:c>
      <x:c r="K543" t="n">
        <x:v>32832800</x:v>
      </x:c>
      <x:c r="L543" t="n">
        <x:v>825</x:v>
      </x:c>
      <x:c r="M543" t="n">
        <x:v>218.2</x:v>
      </x:c>
      <x:c r="N543" t="n">
        <x:v>12.5</x:v>
      </x:c>
      <x:c r="O543" t="n">
        <x:v>43.1</x:v>
      </x:c>
      <x:c r="P543" t="str">
        <x:v>Sunny</x:v>
      </x:c>
      <x:c r="Q543" t="n">
        <x:v>62</x:v>
      </x:c>
      <x:c r="R543" t="n">
        <x:v>75.5</x:v>
      </x:c>
      <x:c r="S543" t="n">
        <x:v>0.0754</x:v>
      </x:c>
      <x:c r="T543" t="n">
        <x:v>13.8</x:v>
      </x:c>
      <x:c r="U543" t="n">
        <x:v>888.3</x:v>
      </x:c>
      <x:c r="V543" t="n">
        <x:v>1540</x:v>
      </x:c>
      <x:c r="W543" t="n">
        <x:v>38.7</x:v>
      </x:c>
    </x:row>
    <x:row r="544">
      <x:c r="A544" t="str">
        <x:v>PJT_543</x:v>
      </x:c>
      <x:c r="B544" t="str">
        <x:v>Humid Subtropical</x:v>
      </x:c>
      <x:c r="C544" t="n">
        <x:v>34460</x:v>
      </x:c>
      <x:c r="D544" t="n">
        <x:v>17</x:v>
      </x:c>
      <x:c r="E544" t="str">
        <x:v>High</x:v>
      </x:c>
      <x:c r="F544" t="str">
        <x:v>Hospital</x:v>
      </x:c>
      <x:c r="G544" t="str">
        <x:v>Shear Wall</x:v>
      </x:c>
      <x:c r="H544" t="str">
        <x:v>Piles</x:v>
      </x:c>
      <x:c r="I544" t="str">
        <x:v>Mixed</x:v>
      </x:c>
      <x:c r="J544" t="str">
        <x:v>Medium</x:v>
      </x:c>
      <x:c r="K544" t="n">
        <x:v>116853860</x:v>
      </x:c>
      <x:c r="L544" t="n">
        <x:v>1819</x:v>
      </x:c>
      <x:c r="M544" t="n">
        <x:v>368.3</x:v>
      </x:c>
      <x:c r="N544" t="n">
        <x:v>33.6</x:v>
      </x:c>
      <x:c r="O544" t="n">
        <x:v>61.1</x:v>
      </x:c>
      <x:c r="P544" t="str">
        <x:v>Sunny</x:v>
      </x:c>
      <x:c r="Q544" t="n">
        <x:v>107</x:v>
      </x:c>
      <x:c r="R544" t="n">
        <x:v>84.9</x:v>
      </x:c>
      <x:c r="S544" t="n">
        <x:v>0.1133</x:v>
      </x:c>
      <x:c r="T544" t="n">
        <x:v>23.5</x:v>
      </x:c>
      <x:c r="U544" t="n">
        <x:v>2027.1</x:v>
      </x:c>
      <x:c r="V544" t="n">
        <x:v>3391</x:v>
      </x:c>
      <x:c r="W544" t="n">
        <x:v>52.8</x:v>
      </x:c>
    </x:row>
    <x:row r="545">
      <x:c r="A545" t="str">
        <x:v>PJT_544</x:v>
      </x:c>
      <x:c r="B545" t="str">
        <x:v>Continental</x:v>
      </x:c>
      <x:c r="C545" t="n">
        <x:v>18210</x:v>
      </x:c>
      <x:c r="D545" t="n">
        <x:v>10</x:v>
      </x:c>
      <x:c r="E545" t="str">
        <x:v>Medium</x:v>
      </x:c>
      <x:c r="F545" t="str">
        <x:v>Hospital</x:v>
      </x:c>
      <x:c r="G545" t="str">
        <x:v>Shear Wall</x:v>
      </x:c>
      <x:c r="H545" t="str">
        <x:v>Piles</x:v>
      </x:c>
      <x:c r="I545" t="str">
        <x:v>Soft Clay</x:v>
      </x:c>
      <x:c r="J545" t="str">
        <x:v>Medium</x:v>
      </x:c>
      <x:c r="K545" t="n">
        <x:v>57798540</x:v>
      </x:c>
      <x:c r="L545" t="n">
        <x:v>910</x:v>
      </x:c>
      <x:c r="M545" t="n">
        <x:v>234.9</x:v>
      </x:c>
      <x:c r="N545" t="n">
        <x:v>18.8</x:v>
      </x:c>
      <x:c r="O545" t="n">
        <x:v>48.2</x:v>
      </x:c>
      <x:c r="P545" t="str">
        <x:v>Sunny</x:v>
      </x:c>
      <x:c r="Q545" t="n">
        <x:v>83</x:v>
      </x:c>
      <x:c r="R545" t="n">
        <x:v>78.3</x:v>
      </x:c>
      <x:c r="S545" t="n">
        <x:v>0.11</x:v>
      </x:c>
      <x:c r="T545" t="n">
        <x:v>20.4</x:v>
      </x:c>
      <x:c r="U545" t="n">
        <x:v>1821</x:v>
      </x:c>
      <x:c r="V545" t="n">
        <x:v>3174</x:v>
      </x:c>
      <x:c r="W545" t="n">
        <x:v>50</x:v>
      </x:c>
    </x:row>
    <x:row r="546">
      <x:c r="A546" t="str">
        <x:v>PJT_545</x:v>
      </x:c>
      <x:c r="B546" t="str">
        <x:v>Mediterranean</x:v>
      </x:c>
      <x:c r="C546" t="n">
        <x:v>15720</x:v>
      </x:c>
      <x:c r="D546" t="n">
        <x:v>9</x:v>
      </x:c>
      <x:c r="E546" t="str">
        <x:v>Medium</x:v>
      </x:c>
      <x:c r="F546" t="str">
        <x:v>Commercial</x:v>
      </x:c>
      <x:c r="G546" t="str">
        <x:v>RC Frame</x:v>
      </x:c>
      <x:c r="H546" t="str">
        <x:v>Raft</x:v>
      </x:c>
      <x:c r="I546" t="str">
        <x:v>Mixed</x:v>
      </x:c>
      <x:c r="J546" t="str">
        <x:v>Medium</x:v>
      </x:c>
      <x:c r="K546" t="n">
        <x:v>33750840</x:v>
      </x:c>
      <x:c r="L546" t="n">
        <x:v>616</x:v>
      </x:c>
      <x:c r="M546" t="n">
        <x:v>351.9</x:v>
      </x:c>
      <x:c r="N546" t="n">
        <x:v>27.6</x:v>
      </x:c>
      <x:c r="O546" t="n">
        <x:v>58.5</x:v>
      </x:c>
      <x:c r="P546" t="str">
        <x:v>Sunny</x:v>
      </x:c>
      <x:c r="Q546" t="n">
        <x:v>73</x:v>
      </x:c>
      <x:c r="R546" t="n">
        <x:v>80.9</x:v>
      </x:c>
      <x:c r="S546" t="n">
        <x:v>0.0879</x:v>
      </x:c>
      <x:c r="T546" t="n">
        <x:v>16.6</x:v>
      </x:c>
      <x:c r="U546" t="n">
        <x:v>1746.7</x:v>
      </x:c>
      <x:c r="V546" t="n">
        <x:v>2147</x:v>
      </x:c>
      <x:c r="W546" t="n">
        <x:v>39.2</x:v>
      </x:c>
    </x:row>
    <x:row r="547">
      <x:c r="A547" t="str">
        <x:v>PJT_546</x:v>
      </x:c>
      <x:c r="B547" t="str">
        <x:v>Mediterranean</x:v>
      </x:c>
      <x:c r="C547" t="n">
        <x:v>27100</x:v>
      </x:c>
      <x:c r="D547" t="n">
        <x:v>22</x:v>
      </x:c>
      <x:c r="E547" t="str">
        <x:v>Medium</x:v>
      </x:c>
      <x:c r="F547" t="str">
        <x:v>Commercial</x:v>
      </x:c>
      <x:c r="G547" t="str">
        <x:v>Steel</x:v>
      </x:c>
      <x:c r="H547" t="str">
        <x:v>Piles</x:v>
      </x:c>
      <x:c r="I547" t="str">
        <x:v>Mixed</x:v>
      </x:c>
      <x:c r="J547" t="str">
        <x:v>Low</x:v>
      </x:c>
      <x:c r="K547" t="n">
        <x:v>67777100</x:v>
      </x:c>
      <x:c r="L547" t="n">
        <x:v>1374</x:v>
      </x:c>
      <x:c r="M547" t="n">
        <x:v>346.5</x:v>
      </x:c>
      <x:c r="N547" t="n">
        <x:v>13.9</x:v>
      </x:c>
      <x:c r="O547" t="n">
        <x:v>83.8</x:v>
      </x:c>
      <x:c r="P547" t="str">
        <x:v>Rainy</x:v>
      </x:c>
      <x:c r="Q547" t="n">
        <x:v>97</x:v>
      </x:c>
      <x:c r="R547" t="n">
        <x:v>85.9</x:v>
      </x:c>
      <x:c r="S547" t="n">
        <x:v>0.0953</x:v>
      </x:c>
      <x:c r="T547" t="n">
        <x:v>16.4</x:v>
      </x:c>
      <x:c r="U547" t="n">
        <x:v>1231.8</x:v>
      </x:c>
      <x:c r="V547" t="n">
        <x:v>2501</x:v>
      </x:c>
      <x:c r="W547" t="n">
        <x:v>50.7</x:v>
      </x:c>
    </x:row>
    <x:row r="548">
      <x:c r="A548" t="str">
        <x:v>PJT_547</x:v>
      </x:c>
      <x:c r="B548" t="str">
        <x:v>Continental</x:v>
      </x:c>
      <x:c r="C548" t="n">
        <x:v>12540</x:v>
      </x:c>
      <x:c r="D548" t="n">
        <x:v>4</x:v>
      </x:c>
      <x:c r="E548" t="str">
        <x:v>Low</x:v>
      </x:c>
      <x:c r="F548" t="str">
        <x:v>School</x:v>
      </x:c>
      <x:c r="G548" t="str">
        <x:v>RC Frame</x:v>
      </x:c>
      <x:c r="H548" t="str">
        <x:v>Raft</x:v>
      </x:c>
      <x:c r="I548" t="str">
        <x:v>Soft Clay</x:v>
      </x:c>
      <x:c r="J548" t="str">
        <x:v>Medium</x:v>
      </x:c>
      <x:c r="K548" t="n">
        <x:v>21731820</x:v>
      </x:c>
      <x:c r="L548" t="n">
        <x:v>357</x:v>
      </x:c>
      <x:c r="M548" t="n">
        <x:v>200.3</x:v>
      </x:c>
      <x:c r="N548" t="n">
        <x:v>1.7</x:v>
      </x:c>
      <x:c r="O548" t="n">
        <x:v>60.5</x:v>
      </x:c>
      <x:c r="P548" t="str">
        <x:v>Cloudy</x:v>
      </x:c>
      <x:c r="Q548" t="n">
        <x:v>73</x:v>
      </x:c>
      <x:c r="R548" t="n">
        <x:v>61.1</x:v>
      </x:c>
      <x:c r="S548" t="n">
        <x:v>0.0815</x:v>
      </x:c>
      <x:c r="T548" t="n">
        <x:v>14.3</x:v>
      </x:c>
      <x:c r="U548" t="n">
        <x:v>3135</x:v>
      </x:c>
      <x:c r="V548" t="n">
        <x:v>1733</x:v>
      </x:c>
      <x:c r="W548" t="n">
        <x:v>28.5</x:v>
      </x:c>
    </x:row>
    <x:row r="549">
      <x:c r="A549" t="str">
        <x:v>PJT_548</x:v>
      </x:c>
      <x:c r="B549" t="str">
        <x:v>Continental</x:v>
      </x:c>
      <x:c r="C549" t="n">
        <x:v>14920</x:v>
      </x:c>
      <x:c r="D549" t="n">
        <x:v>15</x:v>
      </x:c>
      <x:c r="E549" t="str">
        <x:v>Medium</x:v>
      </x:c>
      <x:c r="F549" t="str">
        <x:v>Mixed-use</x:v>
      </x:c>
      <x:c r="G549" t="str">
        <x:v>Steel</x:v>
      </x:c>
      <x:c r="H549" t="str">
        <x:v>Raft</x:v>
      </x:c>
      <x:c r="I549" t="str">
        <x:v>Rock</x:v>
      </x:c>
      <x:c r="J549" t="str">
        <x:v>Low</x:v>
      </x:c>
      <x:c r="K549" t="n">
        <x:v>36494320</x:v>
      </x:c>
      <x:c r="L549" t="n">
        <x:v>731</x:v>
      </x:c>
      <x:c r="M549" t="n">
        <x:v>597.3</x:v>
      </x:c>
      <x:c r="N549" t="n">
        <x:v>2.5</x:v>
      </x:c>
      <x:c r="O549" t="n">
        <x:v>58.7</x:v>
      </x:c>
      <x:c r="P549" t="str">
        <x:v>Cloudy</x:v>
      </x:c>
      <x:c r="Q549" t="n">
        <x:v>71</x:v>
      </x:c>
      <x:c r="R549" t="n">
        <x:v>80</x:v>
      </x:c>
      <x:c r="S549" t="n">
        <x:v>0.106</x:v>
      </x:c>
      <x:c r="T549" t="n">
        <x:v>18.7</x:v>
      </x:c>
      <x:c r="U549" t="n">
        <x:v>994.7</x:v>
      </x:c>
      <x:c r="V549" t="n">
        <x:v>2446</x:v>
      </x:c>
      <x:c r="W549" t="n">
        <x:v>49</x:v>
      </x:c>
    </x:row>
    <x:row r="550">
      <x:c r="A550" t="str">
        <x:v>PJT_549</x:v>
      </x:c>
      <x:c r="B550" t="str">
        <x:v>Mediterranean</x:v>
      </x:c>
      <x:c r="C550" t="n">
        <x:v>12780</x:v>
      </x:c>
      <x:c r="D550" t="n">
        <x:v>5</x:v>
      </x:c>
      <x:c r="E550" t="str">
        <x:v>Low</x:v>
      </x:c>
      <x:c r="F550" t="str">
        <x:v>School</x:v>
      </x:c>
      <x:c r="G550" t="str">
        <x:v>RC Frame</x:v>
      </x:c>
      <x:c r="H550" t="str">
        <x:v>Raft</x:v>
      </x:c>
      <x:c r="I550" t="str">
        <x:v>Soft Clay</x:v>
      </x:c>
      <x:c r="J550" t="str">
        <x:v>Medium</x:v>
      </x:c>
      <x:c r="K550" t="n">
        <x:v>21892140</x:v>
      </x:c>
      <x:c r="L550" t="n">
        <x:v>368</x:v>
      </x:c>
      <x:c r="M550" t="n">
        <x:v>194.5</x:v>
      </x:c>
      <x:c r="N550" t="n">
        <x:v>22.8</x:v>
      </x:c>
      <x:c r="O550" t="n">
        <x:v>64.7</x:v>
      </x:c>
      <x:c r="P550" t="str">
        <x:v>Cloudy</x:v>
      </x:c>
      <x:c r="Q550" t="n">
        <x:v>57</x:v>
      </x:c>
      <x:c r="R550" t="n">
        <x:v>68.3</x:v>
      </x:c>
      <x:c r="S550" t="n">
        <x:v>0.0802</x:v>
      </x:c>
      <x:c r="T550" t="n">
        <x:v>13.5</x:v>
      </x:c>
      <x:c r="U550" t="n">
        <x:v>2556</x:v>
      </x:c>
      <x:c r="V550" t="n">
        <x:v>1713</x:v>
      </x:c>
      <x:c r="W550" t="n">
        <x:v>28.8</x:v>
      </x:c>
    </x:row>
    <x:row r="551">
      <x:c r="A551" t="str">
        <x:v>PJT_550</x:v>
      </x:c>
      <x:c r="B551" t="str">
        <x:v>Humid Subtropical</x:v>
      </x:c>
      <x:c r="C551" t="n">
        <x:v>20170</x:v>
      </x:c>
      <x:c r="D551" t="n">
        <x:v>9</x:v>
      </x:c>
      <x:c r="E551" t="str">
        <x:v>Medium</x:v>
      </x:c>
      <x:c r="F551" t="str">
        <x:v>Hospital</x:v>
      </x:c>
      <x:c r="G551" t="str">
        <x:v>Steel</x:v>
      </x:c>
      <x:c r="H551" t="str">
        <x:v>Raft</x:v>
      </x:c>
      <x:c r="I551" t="str">
        <x:v>Sand</x:v>
      </x:c>
      <x:c r="J551" t="str">
        <x:v>Low</x:v>
      </x:c>
      <x:c r="K551" t="n">
        <x:v>62567340</x:v>
      </x:c>
      <x:c r="L551" t="n">
        <x:v>964</x:v>
      </x:c>
      <x:c r="M551" t="n">
        <x:v>257.3</x:v>
      </x:c>
      <x:c r="N551" t="n">
        <x:v>27</x:v>
      </x:c>
      <x:c r="O551" t="n">
        <x:v>77.3</x:v>
      </x:c>
      <x:c r="P551" t="str">
        <x:v>Cloudy</x:v>
      </x:c>
      <x:c r="Q551" t="n">
        <x:v>74</x:v>
      </x:c>
      <x:c r="R551" t="n">
        <x:v>79.4</x:v>
      </x:c>
      <x:c r="S551" t="n">
        <x:v>0.1105</x:v>
      </x:c>
      <x:c r="T551" t="n">
        <x:v>21.9</x:v>
      </x:c>
      <x:c r="U551" t="n">
        <x:v>2241.1</x:v>
      </x:c>
      <x:c r="V551" t="n">
        <x:v>3102</x:v>
      </x:c>
      <x:c r="W551" t="n">
        <x:v>47.8</x:v>
      </x:c>
    </x:row>
    <x:row r="552">
      <x:c r="A552" t="str">
        <x:v>PJT_551</x:v>
      </x:c>
      <x:c r="B552" t="str">
        <x:v>Humid Subtropical</x:v>
      </x:c>
      <x:c r="C552" t="n">
        <x:v>28910</x:v>
      </x:c>
      <x:c r="D552" t="n">
        <x:v>14</x:v>
      </x:c>
      <x:c r="E552" t="str">
        <x:v>Medium</x:v>
      </x:c>
      <x:c r="F552" t="str">
        <x:v>Hospital</x:v>
      </x:c>
      <x:c r="G552" t="str">
        <x:v>Steel</x:v>
      </x:c>
      <x:c r="H552" t="str">
        <x:v>Piles</x:v>
      </x:c>
      <x:c r="I552" t="str">
        <x:v>Sand</x:v>
      </x:c>
      <x:c r="J552" t="str">
        <x:v>Low</x:v>
      </x:c>
      <x:c r="K552" t="n">
        <x:v>93176930</x:v>
      </x:c>
      <x:c r="L552" t="n">
        <x:v>1512</x:v>
      </x:c>
      <x:c r="M552" t="n">
        <x:v>342.3</x:v>
      </x:c>
      <x:c r="N552" t="n">
        <x:v>26.8</x:v>
      </x:c>
      <x:c r="O552" t="n">
        <x:v>73.8</x:v>
      </x:c>
      <x:c r="P552" t="str">
        <x:v>Cloudy</x:v>
      </x:c>
      <x:c r="Q552" t="n">
        <x:v>77</x:v>
      </x:c>
      <x:c r="R552" t="n">
        <x:v>78.6</x:v>
      </x:c>
      <x:c r="S552" t="n">
        <x:v>0.1105</x:v>
      </x:c>
      <x:c r="T552" t="n">
        <x:v>22.3</x:v>
      </x:c>
      <x:c r="U552" t="n">
        <x:v>2065</x:v>
      </x:c>
      <x:c r="V552" t="n">
        <x:v>3223</x:v>
      </x:c>
      <x:c r="W552" t="n">
        <x:v>52.3</x:v>
      </x:c>
    </x:row>
    <x:row r="553">
      <x:c r="A553" t="str">
        <x:v>PJT_552</x:v>
      </x:c>
      <x:c r="B553" t="str">
        <x:v>Marine</x:v>
      </x:c>
      <x:c r="C553" t="n">
        <x:v>23440</x:v>
      </x:c>
      <x:c r="D553" t="n">
        <x:v>23</x:v>
      </x:c>
      <x:c r="E553" t="str">
        <x:v>High</x:v>
      </x:c>
      <x:c r="F553" t="str">
        <x:v>Mixed-use</x:v>
      </x:c>
      <x:c r="G553" t="str">
        <x:v>Steel</x:v>
      </x:c>
      <x:c r="H553" t="str">
        <x:v>Piles</x:v>
      </x:c>
      <x:c r="I553" t="str">
        <x:v>Mixed</x:v>
      </x:c>
      <x:c r="J553" t="str">
        <x:v>Medium</x:v>
      </x:c>
      <x:c r="K553" t="n">
        <x:v>70085600</x:v>
      </x:c>
      <x:c r="L553" t="n">
        <x:v>1310</x:v>
      </x:c>
      <x:c r="M553" t="n">
        <x:v>402.1</x:v>
      </x:c>
      <x:c r="N553" t="n">
        <x:v>17.6</x:v>
      </x:c>
      <x:c r="O553" t="n">
        <x:v>78.4</x:v>
      </x:c>
      <x:c r="P553" t="str">
        <x:v>Cloudy</x:v>
      </x:c>
      <x:c r="Q553" t="n">
        <x:v>83</x:v>
      </x:c>
      <x:c r="R553" t="n">
        <x:v>89.4</x:v>
      </x:c>
      <x:c r="S553" t="n">
        <x:v>0.1076</x:v>
      </x:c>
      <x:c r="T553" t="n">
        <x:v>21</x:v>
      </x:c>
      <x:c r="U553" t="n">
        <x:v>1019.1</x:v>
      </x:c>
      <x:c r="V553" t="n">
        <x:v>2990</x:v>
      </x:c>
      <x:c r="W553" t="n">
        <x:v>55.9</x:v>
      </x:c>
    </x:row>
    <x:row r="554">
      <x:c r="A554" t="str">
        <x:v>PJT_553</x:v>
      </x:c>
      <x:c r="B554" t="str">
        <x:v>Humid Subtropical</x:v>
      </x:c>
      <x:c r="C554" t="n">
        <x:v>11030</x:v>
      </x:c>
      <x:c r="D554" t="n">
        <x:v>5</x:v>
      </x:c>
      <x:c r="E554" t="str">
        <x:v>Low</x:v>
      </x:c>
      <x:c r="F554" t="str">
        <x:v>School</x:v>
      </x:c>
      <x:c r="G554" t="str">
        <x:v>RC Frame</x:v>
      </x:c>
      <x:c r="H554" t="str">
        <x:v>Raft</x:v>
      </x:c>
      <x:c r="I554" t="str">
        <x:v>Soft Clay</x:v>
      </x:c>
      <x:c r="J554" t="str">
        <x:v>Low</x:v>
      </x:c>
      <x:c r="K554" t="n">
        <x:v>18364950</x:v>
      </x:c>
      <x:c r="L554" t="n">
        <x:v>364</x:v>
      </x:c>
      <x:c r="M554" t="n">
        <x:v>154.1</x:v>
      </x:c>
      <x:c r="N554" t="n">
        <x:v>25.6</x:v>
      </x:c>
      <x:c r="O554" t="n">
        <x:v>93.8</x:v>
      </x:c>
      <x:c r="P554" t="str">
        <x:v>Stormy</x:v>
      </x:c>
      <x:c r="Q554" t="n">
        <x:v>73</x:v>
      </x:c>
      <x:c r="R554" t="n">
        <x:v>64.8</x:v>
      </x:c>
      <x:c r="S554" t="n">
        <x:v>0.0782</x:v>
      </x:c>
      <x:c r="T554" t="n">
        <x:v>14.3</x:v>
      </x:c>
      <x:c r="U554" t="n">
        <x:v>2206</x:v>
      </x:c>
      <x:c r="V554" t="n">
        <x:v>1665</x:v>
      </x:c>
      <x:c r="W554" t="n">
        <x:v>33</x:v>
      </x:c>
    </x:row>
    <x:row r="555">
      <x:c r="A555" t="str">
        <x:v>PJT_554</x:v>
      </x:c>
      <x:c r="B555" t="str">
        <x:v>Humid Subtropical</x:v>
      </x:c>
      <x:c r="C555" t="n">
        <x:v>26050</x:v>
      </x:c>
      <x:c r="D555" t="n">
        <x:v>25</x:v>
      </x:c>
      <x:c r="E555" t="str">
        <x:v>High</x:v>
      </x:c>
      <x:c r="F555" t="str">
        <x:v>Mixed-use</x:v>
      </x:c>
      <x:c r="G555" t="str">
        <x:v>Steel</x:v>
      </x:c>
      <x:c r="H555" t="str">
        <x:v>Piles</x:v>
      </x:c>
      <x:c r="I555" t="str">
        <x:v>Mixed</x:v>
      </x:c>
      <x:c r="J555" t="str">
        <x:v>Medium</x:v>
      </x:c>
      <x:c r="K555" t="n">
        <x:v>77889500</x:v>
      </x:c>
      <x:c r="L555" t="n">
        <x:v>1454</x:v>
      </x:c>
      <x:c r="M555" t="n">
        <x:v>421.6</x:v>
      </x:c>
      <x:c r="N555" t="n">
        <x:v>25.2</x:v>
      </x:c>
      <x:c r="O555" t="n">
        <x:v>66.9</x:v>
      </x:c>
      <x:c r="P555" t="str">
        <x:v>Cloudy</x:v>
      </x:c>
      <x:c r="Q555" t="n">
        <x:v>93</x:v>
      </x:c>
      <x:c r="R555" t="n">
        <x:v>92</x:v>
      </x:c>
      <x:c r="S555" t="n">
        <x:v>0.1051</x:v>
      </x:c>
      <x:c r="T555" t="n">
        <x:v>19.6</x:v>
      </x:c>
      <x:c r="U555" t="n">
        <x:v>1042</x:v>
      </x:c>
      <x:c r="V555" t="n">
        <x:v>2990</x:v>
      </x:c>
      <x:c r="W555" t="n">
        <x:v>55.8</x:v>
      </x:c>
    </x:row>
    <x:row r="556">
      <x:c r="A556" t="str">
        <x:v>PJT_555</x:v>
      </x:c>
      <x:c r="B556" t="str">
        <x:v>Mediterranean</x:v>
      </x:c>
      <x:c r="C556" t="n">
        <x:v>21630</x:v>
      </x:c>
      <x:c r="D556" t="n">
        <x:v>19</x:v>
      </x:c>
      <x:c r="E556" t="str">
        <x:v>Medium</x:v>
      </x:c>
      <x:c r="F556" t="str">
        <x:v>Mixed-use</x:v>
      </x:c>
      <x:c r="G556" t="str">
        <x:v>Steel</x:v>
      </x:c>
      <x:c r="H556" t="str">
        <x:v>Piles</x:v>
      </x:c>
      <x:c r="I556" t="str">
        <x:v>Mixed</x:v>
      </x:c>
      <x:c r="J556" t="str">
        <x:v>Low</x:v>
      </x:c>
      <x:c r="K556" t="n">
        <x:v>59439240</x:v>
      </x:c>
      <x:c r="L556" t="n">
        <x:v>1099</x:v>
      </x:c>
      <x:c r="M556" t="n">
        <x:v>407.4</x:v>
      </x:c>
      <x:c r="N556" t="n">
        <x:v>23.2</x:v>
      </x:c>
      <x:c r="O556" t="n">
        <x:v>50.5</x:v>
      </x:c>
      <x:c r="P556" t="str">
        <x:v>Cloudy</x:v>
      </x:c>
      <x:c r="Q556" t="n">
        <x:v>88</x:v>
      </x:c>
      <x:c r="R556" t="n">
        <x:v>81.8</x:v>
      </x:c>
      <x:c r="S556" t="n">
        <x:v>0.1023</x:v>
      </x:c>
      <x:c r="T556" t="n">
        <x:v>18.8</x:v>
      </x:c>
      <x:c r="U556" t="n">
        <x:v>1138.4</x:v>
      </x:c>
      <x:c r="V556" t="n">
        <x:v>2748</x:v>
      </x:c>
      <x:c r="W556" t="n">
        <x:v>50.8</x:v>
      </x:c>
    </x:row>
    <x:row r="557">
      <x:c r="A557" t="str">
        <x:v>PJT_556</x:v>
      </x:c>
      <x:c r="B557" t="str">
        <x:v>Continental</x:v>
      </x:c>
      <x:c r="C557" t="n">
        <x:v>16370</x:v>
      </x:c>
      <x:c r="D557" t="n">
        <x:v>13</x:v>
      </x:c>
      <x:c r="E557" t="str">
        <x:v>Medium</x:v>
      </x:c>
      <x:c r="F557" t="str">
        <x:v>Mixed-use</x:v>
      </x:c>
      <x:c r="G557" t="str">
        <x:v>Steel</x:v>
      </x:c>
      <x:c r="H557" t="str">
        <x:v>Raft</x:v>
      </x:c>
      <x:c r="I557" t="str">
        <x:v>Rock</x:v>
      </x:c>
      <x:c r="J557" t="str">
        <x:v>Medium</x:v>
      </x:c>
      <x:c r="K557" t="n">
        <x:v>42005420</x:v>
      </x:c>
      <x:c r="L557" t="n">
        <x:v>802</x:v>
      </x:c>
      <x:c r="M557" t="n">
        <x:v>613.3</x:v>
      </x:c>
      <x:c r="N557" t="n">
        <x:v>21.2</x:v>
      </x:c>
      <x:c r="O557" t="n">
        <x:v>59.6</x:v>
      </x:c>
      <x:c r="P557" t="str">
        <x:v>Cloudy</x:v>
      </x:c>
      <x:c r="Q557" t="n">
        <x:v>70</x:v>
      </x:c>
      <x:c r="R557" t="n">
        <x:v>83.5</x:v>
      </x:c>
      <x:c r="S557" t="n">
        <x:v>0.1032</x:v>
      </x:c>
      <x:c r="T557" t="n">
        <x:v>18.1</x:v>
      </x:c>
      <x:c r="U557" t="n">
        <x:v>1259.2</x:v>
      </x:c>
      <x:c r="V557" t="n">
        <x:v>2566</x:v>
      </x:c>
      <x:c r="W557" t="n">
        <x:v>49</x:v>
      </x:c>
    </x:row>
    <x:row r="558">
      <x:c r="A558" t="str">
        <x:v>PJT_557</x:v>
      </x:c>
      <x:c r="B558" t="str">
        <x:v>Humid Subtropical</x:v>
      </x:c>
      <x:c r="C558" t="n">
        <x:v>10800</x:v>
      </x:c>
      <x:c r="D558" t="n">
        <x:v>11</x:v>
      </x:c>
      <x:c r="E558" t="str">
        <x:v>Medium</x:v>
      </x:c>
      <x:c r="F558" t="str">
        <x:v>Residential</x:v>
      </x:c>
      <x:c r="G558" t="str">
        <x:v>RC Frame</x:v>
      </x:c>
      <x:c r="H558" t="str">
        <x:v>Raft</x:v>
      </x:c>
      <x:c r="I558" t="str">
        <x:v>Rock</x:v>
      </x:c>
      <x:c r="J558" t="str">
        <x:v>Low</x:v>
      </x:c>
      <x:c r="K558" t="n">
        <x:v>15184800</x:v>
      </x:c>
      <x:c r="L558" t="n">
        <x:v>342</x:v>
      </x:c>
      <x:c r="M558" t="n">
        <x:v>691.6</x:v>
      </x:c>
      <x:c r="N558" t="n">
        <x:v>34.9</x:v>
      </x:c>
      <x:c r="O558" t="n">
        <x:v>65.6</x:v>
      </x:c>
      <x:c r="P558" t="str">
        <x:v>Sunny</x:v>
      </x:c>
      <x:c r="Q558" t="n">
        <x:v>72</x:v>
      </x:c>
      <x:c r="R558" t="n">
        <x:v>70.1</x:v>
      </x:c>
      <x:c r="S558" t="n">
        <x:v>0.0804</x:v>
      </x:c>
      <x:c r="T558" t="n">
        <x:v>12.8</x:v>
      </x:c>
      <x:c r="U558" t="n">
        <x:v>981.8</x:v>
      </x:c>
      <x:c r="V558" t="n">
        <x:v>1406</x:v>
      </x:c>
      <x:c r="W558" t="n">
        <x:v>31.7</x:v>
      </x:c>
    </x:row>
    <x:row r="559">
      <x:c r="A559" t="str">
        <x:v>PJT_558</x:v>
      </x:c>
      <x:c r="B559" t="str">
        <x:v>Continental</x:v>
      </x:c>
      <x:c r="C559" t="n">
        <x:v>26790</x:v>
      </x:c>
      <x:c r="D559" t="n">
        <x:v>11</x:v>
      </x:c>
      <x:c r="E559" t="str">
        <x:v>Medium</x:v>
      </x:c>
      <x:c r="F559" t="str">
        <x:v>Hospital</x:v>
      </x:c>
      <x:c r="G559" t="str">
        <x:v>Steel</x:v>
      </x:c>
      <x:c r="H559" t="str">
        <x:v>Piles</x:v>
      </x:c>
      <x:c r="I559" t="str">
        <x:v>Soft Clay</x:v>
      </x:c>
      <x:c r="J559" t="str">
        <x:v>Low</x:v>
      </x:c>
      <x:c r="K559" t="n">
        <x:v>81629130</x:v>
      </x:c>
      <x:c r="L559" t="n">
        <x:v>1334</x:v>
      </x:c>
      <x:c r="M559" t="n">
        <x:v>211.3</x:v>
      </x:c>
      <x:c r="N559" t="n">
        <x:v>23.5</x:v>
      </x:c>
      <x:c r="O559" t="n">
        <x:v>39.4</x:v>
      </x:c>
      <x:c r="P559" t="str">
        <x:v>Sunny</x:v>
      </x:c>
      <x:c r="Q559" t="n">
        <x:v>96</x:v>
      </x:c>
      <x:c r="R559" t="n">
        <x:v>81.7</x:v>
      </x:c>
      <x:c r="S559" t="n">
        <x:v>0.1088</x:v>
      </x:c>
      <x:c r="T559" t="n">
        <x:v>21.3</x:v>
      </x:c>
      <x:c r="U559" t="n">
        <x:v>2435.5</x:v>
      </x:c>
      <x:c r="V559" t="n">
        <x:v>3047</x:v>
      </x:c>
      <x:c r="W559" t="n">
        <x:v>49.8</x:v>
      </x:c>
    </x:row>
    <x:row r="560">
      <x:c r="A560" t="str">
        <x:v>PJT_559</x:v>
      </x:c>
      <x:c r="B560" t="str">
        <x:v>Humid Subtropical</x:v>
      </x:c>
      <x:c r="C560" t="n">
        <x:v>34910</x:v>
      </x:c>
      <x:c r="D560" t="n">
        <x:v>25</x:v>
      </x:c>
      <x:c r="E560" t="str">
        <x:v>High</x:v>
      </x:c>
      <x:c r="F560" t="str">
        <x:v>Mixed-use</x:v>
      </x:c>
      <x:c r="G560" t="str">
        <x:v>Steel</x:v>
      </x:c>
      <x:c r="H560" t="str">
        <x:v>Piles</x:v>
      </x:c>
      <x:c r="I560" t="str">
        <x:v>Soft Clay</x:v>
      </x:c>
      <x:c r="J560" t="str">
        <x:v>Medium</x:v>
      </x:c>
      <x:c r="K560" t="n">
        <x:v>105079100</x:v>
      </x:c>
      <x:c r="L560" t="n">
        <x:v>1993</x:v>
      </x:c>
      <x:c r="M560" t="n">
        <x:v>198.2</x:v>
      </x:c>
      <x:c r="N560" t="n">
        <x:v>23.8</x:v>
      </x:c>
      <x:c r="O560" t="n">
        <x:v>66.4</x:v>
      </x:c>
      <x:c r="P560" t="str">
        <x:v>Cloudy</x:v>
      </x:c>
      <x:c r="Q560" t="n">
        <x:v>79</x:v>
      </x:c>
      <x:c r="R560" t="n">
        <x:v>88</x:v>
      </x:c>
      <x:c r="S560" t="n">
        <x:v>0.109</x:v>
      </x:c>
      <x:c r="T560" t="n">
        <x:v>20.9</x:v>
      </x:c>
      <x:c r="U560" t="n">
        <x:v>1396.4</x:v>
      </x:c>
      <x:c r="V560" t="n">
        <x:v>3010</x:v>
      </x:c>
      <x:c r="W560" t="n">
        <x:v>57.1</x:v>
      </x:c>
    </x:row>
    <x:row r="561">
      <x:c r="A561" t="str">
        <x:v>PJT_560</x:v>
      </x:c>
      <x:c r="B561" t="str">
        <x:v>Marine</x:v>
      </x:c>
      <x:c r="C561" t="n">
        <x:v>29370</x:v>
      </x:c>
      <x:c r="D561" t="n">
        <x:v>19</x:v>
      </x:c>
      <x:c r="E561" t="str">
        <x:v>Medium</x:v>
      </x:c>
      <x:c r="F561" t="str">
        <x:v>Commercial</x:v>
      </x:c>
      <x:c r="G561" t="str">
        <x:v>Steel</x:v>
      </x:c>
      <x:c r="H561" t="str">
        <x:v>Piles</x:v>
      </x:c>
      <x:c r="I561" t="str">
        <x:v>Sand</x:v>
      </x:c>
      <x:c r="J561" t="str">
        <x:v>Low</x:v>
      </x:c>
      <x:c r="K561" t="n">
        <x:v>75510270</x:v>
      </x:c>
      <x:c r="L561" t="n">
        <x:v>1342</x:v>
      </x:c>
      <x:c r="M561" t="n">
        <x:v>296.6</x:v>
      </x:c>
      <x:c r="N561" t="n">
        <x:v>16.6</x:v>
      </x:c>
      <x:c r="O561" t="n">
        <x:v>64</x:v>
      </x:c>
      <x:c r="P561" t="str">
        <x:v>Cloudy</x:v>
      </x:c>
      <x:c r="Q561" t="n">
        <x:v>64</x:v>
      </x:c>
      <x:c r="R561" t="n">
        <x:v>76.8</x:v>
      </x:c>
      <x:c r="S561" t="n">
        <x:v>0.0958</x:v>
      </x:c>
      <x:c r="T561" t="n">
        <x:v>18</x:v>
      </x:c>
      <x:c r="U561" t="n">
        <x:v>1545.8</x:v>
      </x:c>
      <x:c r="V561" t="n">
        <x:v>2571</x:v>
      </x:c>
      <x:c r="W561" t="n">
        <x:v>45.7</x:v>
      </x:c>
    </x:row>
    <x:row r="562">
      <x:c r="A562" t="str">
        <x:v>PJT_561</x:v>
      </x:c>
      <x:c r="B562" t="str">
        <x:v>Humid Subtropical</x:v>
      </x:c>
      <x:c r="C562" t="n">
        <x:v>15180</x:v>
      </x:c>
      <x:c r="D562" t="n">
        <x:v>19</x:v>
      </x:c>
      <x:c r="E562" t="str">
        <x:v>Medium</x:v>
      </x:c>
      <x:c r="F562" t="str">
        <x:v>Residential</x:v>
      </x:c>
      <x:c r="G562" t="str">
        <x:v>RC Frame</x:v>
      </x:c>
      <x:c r="H562" t="str">
        <x:v>Piles</x:v>
      </x:c>
      <x:c r="I562" t="str">
        <x:v>Sand</x:v>
      </x:c>
      <x:c r="J562" t="str">
        <x:v>Low</x:v>
      </x:c>
      <x:c r="K562" t="n">
        <x:v>24075480</x:v>
      </x:c>
      <x:c r="L562" t="n">
        <x:v>601</x:v>
      </x:c>
      <x:c r="M562" t="n">
        <x:v>240.1</x:v>
      </x:c>
      <x:c r="N562" t="n">
        <x:v>22</x:v>
      </x:c>
      <x:c r="O562" t="n">
        <x:v>67</x:v>
      </x:c>
      <x:c r="P562" t="str">
        <x:v>Cloudy</x:v>
      </x:c>
      <x:c r="Q562" t="n">
        <x:v>69</x:v>
      </x:c>
      <x:c r="R562" t="n">
        <x:v>71.3</x:v>
      </x:c>
      <x:c r="S562" t="n">
        <x:v>0.0753</x:v>
      </x:c>
      <x:c r="T562" t="n">
        <x:v>12.9</x:v>
      </x:c>
      <x:c r="U562" t="n">
        <x:v>798.9</x:v>
      </x:c>
      <x:c r="V562" t="n">
        <x:v>1586</x:v>
      </x:c>
      <x:c r="W562" t="n">
        <x:v>39.6</x:v>
      </x:c>
    </x:row>
    <x:row r="563">
      <x:c r="A563" t="str">
        <x:v>PJT_562</x:v>
      </x:c>
      <x:c r="B563" t="str">
        <x:v>Humid Subtropical</x:v>
      </x:c>
      <x:c r="C563" t="n">
        <x:v>20750</x:v>
      </x:c>
      <x:c r="D563" t="n">
        <x:v>14</x:v>
      </x:c>
      <x:c r="E563" t="str">
        <x:v>Medium</x:v>
      </x:c>
      <x:c r="F563" t="str">
        <x:v>Commercial</x:v>
      </x:c>
      <x:c r="G563" t="str">
        <x:v>Steel</x:v>
      </x:c>
      <x:c r="H563" t="str">
        <x:v>Piles</x:v>
      </x:c>
      <x:c r="I563" t="str">
        <x:v>Mixed</x:v>
      </x:c>
      <x:c r="J563" t="str">
        <x:v>Low</x:v>
      </x:c>
      <x:c r="K563" t="n">
        <x:v>49779250</x:v>
      </x:c>
      <x:c r="L563" t="n">
        <x:v>977</x:v>
      </x:c>
      <x:c r="M563" t="n">
        <x:v>374.5</x:v>
      </x:c>
      <x:c r="N563" t="n">
        <x:v>26.5</x:v>
      </x:c>
      <x:c r="O563" t="n">
        <x:v>79.7</x:v>
      </x:c>
      <x:c r="P563" t="str">
        <x:v>Cloudy</x:v>
      </x:c>
      <x:c r="Q563" t="n">
        <x:v>85</x:v>
      </x:c>
      <x:c r="R563" t="n">
        <x:v>74.6</x:v>
      </x:c>
      <x:c r="S563" t="n">
        <x:v>0.1004</x:v>
      </x:c>
      <x:c r="T563" t="n">
        <x:v>17.8</x:v>
      </x:c>
      <x:c r="U563" t="n">
        <x:v>1482.1</x:v>
      </x:c>
      <x:c r="V563" t="n">
        <x:v>2399</x:v>
      </x:c>
      <x:c r="W563" t="n">
        <x:v>47.1</x:v>
      </x:c>
    </x:row>
    <x:row r="564">
      <x:c r="A564" t="str">
        <x:v>PJT_563</x:v>
      </x:c>
      <x:c r="B564" t="str">
        <x:v>Humid Subtropical</x:v>
      </x:c>
      <x:c r="C564" t="n">
        <x:v>18600</x:v>
      </x:c>
      <x:c r="D564" t="n">
        <x:v>8</x:v>
      </x:c>
      <x:c r="E564" t="str">
        <x:v>Medium</x:v>
      </x:c>
      <x:c r="F564" t="str">
        <x:v>Hospital</x:v>
      </x:c>
      <x:c r="G564" t="str">
        <x:v>RC Frame</x:v>
      </x:c>
      <x:c r="H564" t="str">
        <x:v>Piles</x:v>
      </x:c>
      <x:c r="I564" t="str">
        <x:v>Soft Clay</x:v>
      </x:c>
      <x:c r="J564" t="str">
        <x:v>Low</x:v>
      </x:c>
      <x:c r="K564" t="n">
        <x:v>56692800</x:v>
      </x:c>
      <x:c r="L564" t="n">
        <x:v>941</x:v>
      </x:c>
      <x:c r="M564" t="n">
        <x:v>236.4</x:v>
      </x:c>
      <x:c r="N564" t="n">
        <x:v>22.6</x:v>
      </x:c>
      <x:c r="O564" t="n">
        <x:v>83.9</x:v>
      </x:c>
      <x:c r="P564" t="str">
        <x:v>Rainy</x:v>
      </x:c>
      <x:c r="Q564" t="n">
        <x:v>87</x:v>
      </x:c>
      <x:c r="R564" t="n">
        <x:v>75.6</x:v>
      </x:c>
      <x:c r="S564" t="n">
        <x:v>0.1057</x:v>
      </x:c>
      <x:c r="T564" t="n">
        <x:v>20</x:v>
      </x:c>
      <x:c r="U564" t="n">
        <x:v>2325</x:v>
      </x:c>
      <x:c r="V564" t="n">
        <x:v>3048</x:v>
      </x:c>
      <x:c r="W564" t="n">
        <x:v>50.6</x:v>
      </x:c>
    </x:row>
    <x:row r="565">
      <x:c r="A565" t="str">
        <x:v>PJT_564</x:v>
      </x:c>
      <x:c r="B565" t="str">
        <x:v>Continental</x:v>
      </x:c>
      <x:c r="C565" t="n">
        <x:v>16710</x:v>
      </x:c>
      <x:c r="D565" t="n">
        <x:v>9</x:v>
      </x:c>
      <x:c r="E565" t="str">
        <x:v>Medium</x:v>
      </x:c>
      <x:c r="F565" t="str">
        <x:v>Hospital</x:v>
      </x:c>
      <x:c r="G565" t="str">
        <x:v>Steel</x:v>
      </x:c>
      <x:c r="H565" t="str">
        <x:v>Raft</x:v>
      </x:c>
      <x:c r="I565" t="str">
        <x:v>Sand</x:v>
      </x:c>
      <x:c r="J565" t="str">
        <x:v>Low</x:v>
      </x:c>
      <x:c r="K565" t="n">
        <x:v>49929480</x:v>
      </x:c>
      <x:c r="L565" t="n">
        <x:v>851</x:v>
      </x:c>
      <x:c r="M565" t="n">
        <x:v>216.3</x:v>
      </x:c>
      <x:c r="N565" t="n">
        <x:v>-7.8</x:v>
      </x:c>
      <x:c r="O565" t="n">
        <x:v>64.1</x:v>
      </x:c>
      <x:c r="P565" t="str">
        <x:v>Snowy</x:v>
      </x:c>
      <x:c r="Q565" t="n">
        <x:v>76</x:v>
      </x:c>
      <x:c r="R565" t="n">
        <x:v>81.6</x:v>
      </x:c>
      <x:c r="S565" t="n">
        <x:v>0.1095</x:v>
      </x:c>
      <x:c r="T565" t="n">
        <x:v>20.7</x:v>
      </x:c>
      <x:c r="U565" t="n">
        <x:v>1856.7</x:v>
      </x:c>
      <x:c r="V565" t="n">
        <x:v>2988</x:v>
      </x:c>
      <x:c r="W565" t="n">
        <x:v>50.9</x:v>
      </x:c>
    </x:row>
    <x:row r="566">
      <x:c r="A566" t="str">
        <x:v>PJT_565</x:v>
      </x:c>
      <x:c r="B566" t="str">
        <x:v>Continental</x:v>
      </x:c>
      <x:c r="C566" t="n">
        <x:v>9670</x:v>
      </x:c>
      <x:c r="D566" t="n">
        <x:v>4</x:v>
      </x:c>
      <x:c r="E566" t="str">
        <x:v>Low</x:v>
      </x:c>
      <x:c r="F566" t="str">
        <x:v>School</x:v>
      </x:c>
      <x:c r="G566" t="str">
        <x:v>RC Frame</x:v>
      </x:c>
      <x:c r="H566" t="str">
        <x:v>Raft</x:v>
      </x:c>
      <x:c r="I566" t="str">
        <x:v>Soft Clay</x:v>
      </x:c>
      <x:c r="J566" t="str">
        <x:v>High</x:v>
      </x:c>
      <x:c r="K566" t="n">
        <x:v>16758110</x:v>
      </x:c>
      <x:c r="L566" t="n">
        <x:v>275</x:v>
      </x:c>
      <x:c r="M566" t="n">
        <x:v>169.7</x:v>
      </x:c>
      <x:c r="N566" t="n">
        <x:v>21.7</x:v>
      </x:c>
      <x:c r="O566" t="n">
        <x:v>58.7</x:v>
      </x:c>
      <x:c r="P566" t="str">
        <x:v>Cloudy</x:v>
      </x:c>
      <x:c r="Q566" t="n">
        <x:v>62</x:v>
      </x:c>
      <x:c r="R566" t="n">
        <x:v>68.9</x:v>
      </x:c>
      <x:c r="S566" t="n">
        <x:v>0.0813</x:v>
      </x:c>
      <x:c r="T566" t="n">
        <x:v>12.5</x:v>
      </x:c>
      <x:c r="U566" t="n">
        <x:v>2417.5</x:v>
      </x:c>
      <x:c r="V566" t="n">
        <x:v>1733</x:v>
      </x:c>
      <x:c r="W566" t="n">
        <x:v>28.4</x:v>
      </x:c>
    </x:row>
    <x:row r="567">
      <x:c r="A567" t="str">
        <x:v>PJT_566</x:v>
      </x:c>
      <x:c r="B567" t="str">
        <x:v>Humid Subtropical</x:v>
      </x:c>
      <x:c r="C567" t="n">
        <x:v>19940</x:v>
      </x:c>
      <x:c r="D567" t="n">
        <x:v>17</x:v>
      </x:c>
      <x:c r="E567" t="str">
        <x:v>Medium</x:v>
      </x:c>
      <x:c r="F567" t="str">
        <x:v>Mixed-use</x:v>
      </x:c>
      <x:c r="G567" t="str">
        <x:v>Steel</x:v>
      </x:c>
      <x:c r="H567" t="str">
        <x:v>Piles</x:v>
      </x:c>
      <x:c r="I567" t="str">
        <x:v>Soft Clay</x:v>
      </x:c>
      <x:c r="J567" t="str">
        <x:v>High</x:v>
      </x:c>
      <x:c r="K567" t="n">
        <x:v>57865880</x:v>
      </x:c>
      <x:c r="L567" t="n">
        <x:v>1005</x:v>
      </x:c>
      <x:c r="M567" t="n">
        <x:v>219.1</x:v>
      </x:c>
      <x:c r="N567" t="n">
        <x:v>30.3</x:v>
      </x:c>
      <x:c r="O567" t="n">
        <x:v>69.9</x:v>
      </x:c>
      <x:c r="P567" t="str">
        <x:v>Sunny</x:v>
      </x:c>
      <x:c r="Q567" t="n">
        <x:v>105</x:v>
      </x:c>
      <x:c r="R567" t="n">
        <x:v>84.2</x:v>
      </x:c>
      <x:c r="S567" t="n">
        <x:v>0.1035</x:v>
      </x:c>
      <x:c r="T567" t="n">
        <x:v>18.6</x:v>
      </x:c>
      <x:c r="U567" t="n">
        <x:v>1172.9</x:v>
      </x:c>
      <x:c r="V567" t="n">
        <x:v>2902</x:v>
      </x:c>
      <x:c r="W567" t="n">
        <x:v>50.4</x:v>
      </x:c>
    </x:row>
    <x:row r="568">
      <x:c r="A568" t="str">
        <x:v>PJT_567</x:v>
      </x:c>
      <x:c r="B568" t="str">
        <x:v>Marine</x:v>
      </x:c>
      <x:c r="C568" t="n">
        <x:v>19660</x:v>
      </x:c>
      <x:c r="D568" t="n">
        <x:v>23</x:v>
      </x:c>
      <x:c r="E568" t="str">
        <x:v>Medium</x:v>
      </x:c>
      <x:c r="F568" t="str">
        <x:v>Residential</x:v>
      </x:c>
      <x:c r="G568" t="str">
        <x:v>Shear Wall</x:v>
      </x:c>
      <x:c r="H568" t="str">
        <x:v>Piles</x:v>
      </x:c>
      <x:c r="I568" t="str">
        <x:v>Mixed</x:v>
      </x:c>
      <x:c r="J568" t="str">
        <x:v>Medium</x:v>
      </x:c>
      <x:c r="K568" t="n">
        <x:v>33775880</x:v>
      </x:c>
      <x:c r="L568" t="n">
        <x:v>771</x:v>
      </x:c>
      <x:c r="M568" t="n">
        <x:v>386.4</x:v>
      </x:c>
      <x:c r="N568" t="n">
        <x:v>21.1</x:v>
      </x:c>
      <x:c r="O568" t="n">
        <x:v>63.4</x:v>
      </x:c>
      <x:c r="P568" t="str">
        <x:v>Sunny</x:v>
      </x:c>
      <x:c r="Q568" t="n">
        <x:v>74</x:v>
      </x:c>
      <x:c r="R568" t="n">
        <x:v>73.2</x:v>
      </x:c>
      <x:c r="S568" t="n">
        <x:v>0.0804</x:v>
      </x:c>
      <x:c r="T568" t="n">
        <x:v>14.6</x:v>
      </x:c>
      <x:c r="U568" t="n">
        <x:v>854.8</x:v>
      </x:c>
      <x:c r="V568" t="n">
        <x:v>1718</x:v>
      </x:c>
      <x:c r="W568" t="n">
        <x:v>39.2</x:v>
      </x:c>
    </x:row>
    <x:row r="569">
      <x:c r="A569" t="str">
        <x:v>PJT_568</x:v>
      </x:c>
      <x:c r="B569" t="str">
        <x:v>Marine</x:v>
      </x:c>
      <x:c r="C569" t="n">
        <x:v>20030</x:v>
      </x:c>
      <x:c r="D569" t="n">
        <x:v>13</x:v>
      </x:c>
      <x:c r="E569" t="str">
        <x:v>High</x:v>
      </x:c>
      <x:c r="F569" t="str">
        <x:v>Hospital</x:v>
      </x:c>
      <x:c r="G569" t="str">
        <x:v>Shear Wall</x:v>
      </x:c>
      <x:c r="H569" t="str">
        <x:v>Piles</x:v>
      </x:c>
      <x:c r="I569" t="str">
        <x:v>Sand</x:v>
      </x:c>
      <x:c r="J569" t="str">
        <x:v>Medium</x:v>
      </x:c>
      <x:c r="K569" t="n">
        <x:v>67100500</x:v>
      </x:c>
      <x:c r="L569" t="n">
        <x:v>1100</x:v>
      </x:c>
      <x:c r="M569" t="n">
        <x:v>236.2</x:v>
      </x:c>
      <x:c r="N569" t="n">
        <x:v>17.3</x:v>
      </x:c>
      <x:c r="O569" t="n">
        <x:v>80.9</x:v>
      </x:c>
      <x:c r="P569" t="str">
        <x:v>Cloudy</x:v>
      </x:c>
      <x:c r="Q569" t="n">
        <x:v>79</x:v>
      </x:c>
      <x:c r="R569" t="n">
        <x:v>91.6</x:v>
      </x:c>
      <x:c r="S569" t="n">
        <x:v>0.1134</x:v>
      </x:c>
      <x:c r="T569" t="n">
        <x:v>22.7</x:v>
      </x:c>
      <x:c r="U569" t="n">
        <x:v>1540.8</x:v>
      </x:c>
      <x:c r="V569" t="n">
        <x:v>3350</x:v>
      </x:c>
      <x:c r="W569" t="n">
        <x:v>54.9</x:v>
      </x:c>
    </x:row>
    <x:row r="570">
      <x:c r="A570" t="str">
        <x:v>PJT_569</x:v>
      </x:c>
      <x:c r="B570" t="str">
        <x:v>Marine</x:v>
      </x:c>
      <x:c r="C570" t="n">
        <x:v>22520</x:v>
      </x:c>
      <x:c r="D570" t="n">
        <x:v>11</x:v>
      </x:c>
      <x:c r="E570" t="str">
        <x:v>Medium</x:v>
      </x:c>
      <x:c r="F570" t="str">
        <x:v>Hospital</x:v>
      </x:c>
      <x:c r="G570" t="str">
        <x:v>Shear Wall</x:v>
      </x:c>
      <x:c r="H570" t="str">
        <x:v>Piles</x:v>
      </x:c>
      <x:c r="I570" t="str">
        <x:v>Soft Clay</x:v>
      </x:c>
      <x:c r="J570" t="str">
        <x:v>Medium</x:v>
      </x:c>
      <x:c r="K570" t="n">
        <x:v>72311720</x:v>
      </x:c>
      <x:c r="L570" t="n">
        <x:v>1268</x:v>
      </x:c>
      <x:c r="M570" t="n">
        <x:v>229.2</x:v>
      </x:c>
      <x:c r="N570" t="n">
        <x:v>7</x:v>
      </x:c>
      <x:c r="O570" t="n">
        <x:v>78.6</x:v>
      </x:c>
      <x:c r="P570" t="str">
        <x:v>Stormy</x:v>
      </x:c>
      <x:c r="Q570" t="n">
        <x:v>95</x:v>
      </x:c>
      <x:c r="R570" t="n">
        <x:v>84.7</x:v>
      </x:c>
      <x:c r="S570" t="n">
        <x:v>0.1083</x:v>
      </x:c>
      <x:c r="T570" t="n">
        <x:v>21</x:v>
      </x:c>
      <x:c r="U570" t="n">
        <x:v>2047.3</x:v>
      </x:c>
      <x:c r="V570" t="n">
        <x:v>3211</x:v>
      </x:c>
      <x:c r="W570" t="n">
        <x:v>56.3</x:v>
      </x:c>
    </x:row>
    <x:row r="571">
      <x:c r="A571" t="str">
        <x:v>PJT_570</x:v>
      </x:c>
      <x:c r="B571" t="str">
        <x:v>Marine</x:v>
      </x:c>
      <x:c r="C571" t="n">
        <x:v>30660</x:v>
      </x:c>
      <x:c r="D571" t="n">
        <x:v>20</x:v>
      </x:c>
      <x:c r="E571" t="str">
        <x:v>Medium</x:v>
      </x:c>
      <x:c r="F571" t="str">
        <x:v>Mixed-use</x:v>
      </x:c>
      <x:c r="G571" t="str">
        <x:v>Steel</x:v>
      </x:c>
      <x:c r="H571" t="str">
        <x:v>Piles</x:v>
      </x:c>
      <x:c r="I571" t="str">
        <x:v>Mixed</x:v>
      </x:c>
      <x:c r="J571" t="str">
        <x:v>Low</x:v>
      </x:c>
      <x:c r="K571" t="n">
        <x:v>84652260</x:v>
      </x:c>
      <x:c r="L571" t="n">
        <x:v>1616</x:v>
      </x:c>
      <x:c r="M571" t="n">
        <x:v>298.7</x:v>
      </x:c>
      <x:c r="N571" t="n">
        <x:v>14</x:v>
      </x:c>
      <x:c r="O571" t="n">
        <x:v>85.3</x:v>
      </x:c>
      <x:c r="P571" t="str">
        <x:v>Rainy</x:v>
      </x:c>
      <x:c r="Q571" t="n">
        <x:v>105</x:v>
      </x:c>
      <x:c r="R571" t="n">
        <x:v>86.8</x:v>
      </x:c>
      <x:c r="S571" t="n">
        <x:v>0.1029</x:v>
      </x:c>
      <x:c r="T571" t="n">
        <x:v>18.1</x:v>
      </x:c>
      <x:c r="U571" t="n">
        <x:v>1533</x:v>
      </x:c>
      <x:c r="V571" t="n">
        <x:v>2761</x:v>
      </x:c>
      <x:c r="W571" t="n">
        <x:v>52.7</x:v>
      </x:c>
    </x:row>
    <x:row r="572">
      <x:c r="A572" t="str">
        <x:v>PJT_571</x:v>
      </x:c>
      <x:c r="B572" t="str">
        <x:v>Humid Subtropical</x:v>
      </x:c>
      <x:c r="C572" t="n">
        <x:v>19570</x:v>
      </x:c>
      <x:c r="D572" t="n">
        <x:v>23</x:v>
      </x:c>
      <x:c r="E572" t="str">
        <x:v>Medium</x:v>
      </x:c>
      <x:c r="F572" t="str">
        <x:v>Residential</x:v>
      </x:c>
      <x:c r="G572" t="str">
        <x:v>Shear Wall</x:v>
      </x:c>
      <x:c r="H572" t="str">
        <x:v>Piles</x:v>
      </x:c>
      <x:c r="I572" t="str">
        <x:v>Mixed</x:v>
      </x:c>
      <x:c r="J572" t="str">
        <x:v>Medium</x:v>
      </x:c>
      <x:c r="K572" t="n">
        <x:v>34345350</x:v>
      </x:c>
      <x:c r="L572" t="n">
        <x:v>806</x:v>
      </x:c>
      <x:c r="M572" t="n">
        <x:v>400</x:v>
      </x:c>
      <x:c r="N572" t="n">
        <x:v>26</x:v>
      </x:c>
      <x:c r="O572" t="n">
        <x:v>90.1</x:v>
      </x:c>
      <x:c r="P572" t="str">
        <x:v>Rainy</x:v>
      </x:c>
      <x:c r="Q572" t="n">
        <x:v>85</x:v>
      </x:c>
      <x:c r="R572" t="n">
        <x:v>76.9</x:v>
      </x:c>
      <x:c r="S572" t="n">
        <x:v>0.0797</x:v>
      </x:c>
      <x:c r="T572" t="n">
        <x:v>13.4</x:v>
      </x:c>
      <x:c r="U572" t="n">
        <x:v>850.9</x:v>
      </x:c>
      <x:c r="V572" t="n">
        <x:v>1755</x:v>
      </x:c>
      <x:c r="W572" t="n">
        <x:v>41.2</x:v>
      </x:c>
    </x:row>
    <x:row r="573">
      <x:c r="A573" t="str">
        <x:v>PJT_572</x:v>
      </x:c>
      <x:c r="B573" t="str">
        <x:v>Continental</x:v>
      </x:c>
      <x:c r="C573" t="n">
        <x:v>37070</x:v>
      </x:c>
      <x:c r="D573" t="n">
        <x:v>27</x:v>
      </x:c>
      <x:c r="E573" t="str">
        <x:v>High</x:v>
      </x:c>
      <x:c r="F573" t="str">
        <x:v>Mixed-use</x:v>
      </x:c>
      <x:c r="G573" t="str">
        <x:v>Steel</x:v>
      </x:c>
      <x:c r="H573" t="str">
        <x:v>Piles</x:v>
      </x:c>
      <x:c r="I573" t="str">
        <x:v>Sand</x:v>
      </x:c>
      <x:c r="J573" t="str">
        <x:v>Medium</x:v>
      </x:c>
      <x:c r="K573" t="n">
        <x:v>105723640</x:v>
      </x:c>
      <x:c r="L573" t="n">
        <x:v>2150</x:v>
      </x:c>
      <x:c r="M573" t="n">
        <x:v>243</x:v>
      </x:c>
      <x:c r="N573" t="n">
        <x:v>-4.2</x:v>
      </x:c>
      <x:c r="O573" t="n">
        <x:v>70</x:v>
      </x:c>
      <x:c r="P573" t="str">
        <x:v>Snowy</x:v>
      </x:c>
      <x:c r="Q573" t="n">
        <x:v>71</x:v>
      </x:c>
      <x:c r="R573" t="n">
        <x:v>92</x:v>
      </x:c>
      <x:c r="S573" t="n">
        <x:v>0.1049</x:v>
      </x:c>
      <x:c r="T573" t="n">
        <x:v>20.3</x:v>
      </x:c>
      <x:c r="U573" t="n">
        <x:v>1373</x:v>
      </x:c>
      <x:c r="V573" t="n">
        <x:v>2852</x:v>
      </x:c>
      <x:c r="W573" t="n">
        <x:v>58</x:v>
      </x:c>
    </x:row>
    <x:row r="574">
      <x:c r="A574" t="str">
        <x:v>PJT_573</x:v>
      </x:c>
      <x:c r="B574" t="str">
        <x:v>Continental</x:v>
      </x:c>
      <x:c r="C574" t="n">
        <x:v>9660</x:v>
      </x:c>
      <x:c r="D574" t="n">
        <x:v>4</x:v>
      </x:c>
      <x:c r="E574" t="str">
        <x:v>Low</x:v>
      </x:c>
      <x:c r="F574" t="str">
        <x:v>School</x:v>
      </x:c>
      <x:c r="G574" t="str">
        <x:v>RC Frame</x:v>
      </x:c>
      <x:c r="H574" t="str">
        <x:v>Raft</x:v>
      </x:c>
      <x:c r="I574" t="str">
        <x:v>Sand</x:v>
      </x:c>
      <x:c r="J574" t="str">
        <x:v>Low</x:v>
      </x:c>
      <x:c r="K574" t="n">
        <x:v>15977640</x:v>
      </x:c>
      <x:c r="L574" t="n">
        <x:v>287</x:v>
      </x:c>
      <x:c r="M574" t="n">
        <x:v>301.8</x:v>
      </x:c>
      <x:c r="N574" t="n">
        <x:v>12.7</x:v>
      </x:c>
      <x:c r="O574" t="n">
        <x:v>67.6</x:v>
      </x:c>
      <x:c r="P574" t="str">
        <x:v>Rainy</x:v>
      </x:c>
      <x:c r="Q574" t="n">
        <x:v>71</x:v>
      </x:c>
      <x:c r="R574" t="n">
        <x:v>69.1</x:v>
      </x:c>
      <x:c r="S574" t="n">
        <x:v>0.0794</x:v>
      </x:c>
      <x:c r="T574" t="n">
        <x:v>12.4</x:v>
      </x:c>
      <x:c r="U574" t="n">
        <x:v>2415</x:v>
      </x:c>
      <x:c r="V574" t="n">
        <x:v>1654</x:v>
      </x:c>
      <x:c r="W574" t="n">
        <x:v>29.7</x:v>
      </x:c>
    </x:row>
    <x:row r="575">
      <x:c r="A575" t="str">
        <x:v>PJT_574</x:v>
      </x:c>
      <x:c r="B575" t="str">
        <x:v>Continental</x:v>
      </x:c>
      <x:c r="C575" t="n">
        <x:v>11190</x:v>
      </x:c>
      <x:c r="D575" t="n">
        <x:v>12</x:v>
      </x:c>
      <x:c r="E575" t="str">
        <x:v>Low</x:v>
      </x:c>
      <x:c r="F575" t="str">
        <x:v>Residential</x:v>
      </x:c>
      <x:c r="G575" t="str">
        <x:v>RC Frame</x:v>
      </x:c>
      <x:c r="H575" t="str">
        <x:v>Raft</x:v>
      </x:c>
      <x:c r="I575" t="str">
        <x:v>Rock</x:v>
      </x:c>
      <x:c r="J575" t="str">
        <x:v>Medium</x:v>
      </x:c>
      <x:c r="K575" t="n">
        <x:v>14893890</x:v>
      </x:c>
      <x:c r="L575" t="n">
        <x:v>392</x:v>
      </x:c>
      <x:c r="M575" t="n">
        <x:v>657</x:v>
      </x:c>
      <x:c r="N575" t="n">
        <x:v>17.2</x:v>
      </x:c>
      <x:c r="O575" t="n">
        <x:v>73</x:v>
      </x:c>
      <x:c r="P575" t="str">
        <x:v>Stormy</x:v>
      </x:c>
      <x:c r="Q575" t="n">
        <x:v>65</x:v>
      </x:c>
      <x:c r="R575" t="n">
        <x:v>67.5</x:v>
      </x:c>
      <x:c r="S575" t="n">
        <x:v>0.0769</x:v>
      </x:c>
      <x:c r="T575" t="n">
        <x:v>12</x:v>
      </x:c>
      <x:c r="U575" t="n">
        <x:v>932.5</x:v>
      </x:c>
      <x:c r="V575" t="n">
        <x:v>1331</x:v>
      </x:c>
      <x:c r="W575" t="n">
        <x:v>35</x:v>
      </x:c>
    </x:row>
    <x:row r="576">
      <x:c r="A576" t="str">
        <x:v>PJT_575</x:v>
      </x:c>
      <x:c r="B576" t="str">
        <x:v>Mediterranean</x:v>
      </x:c>
      <x:c r="C576" t="n">
        <x:v>11630</x:v>
      </x:c>
      <x:c r="D576" t="n">
        <x:v>16</x:v>
      </x:c>
      <x:c r="E576" t="str">
        <x:v>Low</x:v>
      </x:c>
      <x:c r="F576" t="str">
        <x:v>Residential</x:v>
      </x:c>
      <x:c r="G576" t="str">
        <x:v>RC Frame</x:v>
      </x:c>
      <x:c r="H576" t="str">
        <x:v>Piles</x:v>
      </x:c>
      <x:c r="I576" t="str">
        <x:v>Mixed</x:v>
      </x:c>
      <x:c r="J576" t="str">
        <x:v>Low</x:v>
      </x:c>
      <x:c r="K576" t="n">
        <x:v>15653980</x:v>
      </x:c>
      <x:c r="L576" t="n">
        <x:v>366</x:v>
      </x:c>
      <x:c r="M576" t="n">
        <x:v>285.6</x:v>
      </x:c>
      <x:c r="N576" t="n">
        <x:v>30.3</x:v>
      </x:c>
      <x:c r="O576" t="n">
        <x:v>45.9</x:v>
      </x:c>
      <x:c r="P576" t="str">
        <x:v>Sunny</x:v>
      </x:c>
      <x:c r="Q576" t="n">
        <x:v>64</x:v>
      </x:c>
      <x:c r="R576" t="n">
        <x:v>69</x:v>
      </x:c>
      <x:c r="S576" t="n">
        <x:v>0.0719</x:v>
      </x:c>
      <x:c r="T576" t="n">
        <x:v>11.6</x:v>
      </x:c>
      <x:c r="U576" t="n">
        <x:v>726.9</x:v>
      </x:c>
      <x:c r="V576" t="n">
        <x:v>1346</x:v>
      </x:c>
      <x:c r="W576" t="n">
        <x:v>31.5</x:v>
      </x:c>
    </x:row>
    <x:row r="577">
      <x:c r="A577" t="str">
        <x:v>PJT_576</x:v>
      </x:c>
      <x:c r="B577" t="str">
        <x:v>Marine</x:v>
      </x:c>
      <x:c r="C577" t="n">
        <x:v>10660</x:v>
      </x:c>
      <x:c r="D577" t="n">
        <x:v>10</x:v>
      </x:c>
      <x:c r="E577" t="str">
        <x:v>Low</x:v>
      </x:c>
      <x:c r="F577" t="str">
        <x:v>Residential</x:v>
      </x:c>
      <x:c r="G577" t="str">
        <x:v>RC Frame</x:v>
      </x:c>
      <x:c r="H577" t="str">
        <x:v>Raft</x:v>
      </x:c>
      <x:c r="I577" t="str">
        <x:v>Sand</x:v>
      </x:c>
      <x:c r="J577" t="str">
        <x:v>Medium</x:v>
      </x:c>
      <x:c r="K577" t="n">
        <x:v>14774760</x:v>
      </x:c>
      <x:c r="L577" t="n">
        <x:v>374</x:v>
      </x:c>
      <x:c r="M577" t="n">
        <x:v>235.1</x:v>
      </x:c>
      <x:c r="N577" t="n">
        <x:v>7.6</x:v>
      </x:c>
      <x:c r="O577" t="n">
        <x:v>81</x:v>
      </x:c>
      <x:c r="P577" t="str">
        <x:v>Stormy</x:v>
      </x:c>
      <x:c r="Q577" t="n">
        <x:v>88</x:v>
      </x:c>
      <x:c r="R577" t="n">
        <x:v>63.5</x:v>
      </x:c>
      <x:c r="S577" t="n">
        <x:v>0.0769</x:v>
      </x:c>
      <x:c r="T577" t="n">
        <x:v>12.5</x:v>
      </x:c>
      <x:c r="U577" t="n">
        <x:v>1066</x:v>
      </x:c>
      <x:c r="V577" t="n">
        <x:v>1386</x:v>
      </x:c>
      <x:c r="W577" t="n">
        <x:v>35.1</x:v>
      </x:c>
    </x:row>
    <x:row r="578">
      <x:c r="A578" t="str">
        <x:v>PJT_577</x:v>
      </x:c>
      <x:c r="B578" t="str">
        <x:v>Continental</x:v>
      </x:c>
      <x:c r="C578" t="n">
        <x:v>28230</x:v>
      </x:c>
      <x:c r="D578" t="n">
        <x:v>14</x:v>
      </x:c>
      <x:c r="E578" t="str">
        <x:v>Medium</x:v>
      </x:c>
      <x:c r="F578" t="str">
        <x:v>Mixed-use</x:v>
      </x:c>
      <x:c r="G578" t="str">
        <x:v>Steel</x:v>
      </x:c>
      <x:c r="H578" t="str">
        <x:v>Raft</x:v>
      </x:c>
      <x:c r="I578" t="str">
        <x:v>Rock</x:v>
      </x:c>
      <x:c r="J578" t="str">
        <x:v>Low</x:v>
      </x:c>
      <x:c r="K578" t="n">
        <x:v>69586950</x:v>
      </x:c>
      <x:c r="L578" t="n">
        <x:v>1304</x:v>
      </x:c>
      <x:c r="M578" t="n">
        <x:v>592.9</x:v>
      </x:c>
      <x:c r="N578" t="n">
        <x:v>25.7</x:v>
      </x:c>
      <x:c r="O578" t="n">
        <x:v>57.1</x:v>
      </x:c>
      <x:c r="P578" t="str">
        <x:v>Sunny</x:v>
      </x:c>
      <x:c r="Q578" t="n">
        <x:v>92</x:v>
      </x:c>
      <x:c r="R578" t="n">
        <x:v>85</x:v>
      </x:c>
      <x:c r="S578" t="n">
        <x:v>0.0989</x:v>
      </x:c>
      <x:c r="T578" t="n">
        <x:v>18.3</x:v>
      </x:c>
      <x:c r="U578" t="n">
        <x:v>2016.4</x:v>
      </x:c>
      <x:c r="V578" t="n">
        <x:v>2465</x:v>
      </x:c>
      <x:c r="W578" t="n">
        <x:v>46.2</x:v>
      </x:c>
    </x:row>
    <x:row r="579">
      <x:c r="A579" t="str">
        <x:v>PJT_578</x:v>
      </x:c>
      <x:c r="B579" t="str">
        <x:v>Humid Subtropical</x:v>
      </x:c>
      <x:c r="C579" t="n">
        <x:v>24010</x:v>
      </x:c>
      <x:c r="D579" t="n">
        <x:v>20</x:v>
      </x:c>
      <x:c r="E579" t="str">
        <x:v>High</x:v>
      </x:c>
      <x:c r="F579" t="str">
        <x:v>Mixed-use</x:v>
      </x:c>
      <x:c r="G579" t="str">
        <x:v>Steel</x:v>
      </x:c>
      <x:c r="H579" t="str">
        <x:v>Piles</x:v>
      </x:c>
      <x:c r="I579" t="str">
        <x:v>Rock</x:v>
      </x:c>
      <x:c r="J579" t="str">
        <x:v>High</x:v>
      </x:c>
      <x:c r="K579" t="n">
        <x:v>72102030</x:v>
      </x:c>
      <x:c r="L579" t="n">
        <x:v>1289</x:v>
      </x:c>
      <x:c r="M579" t="n">
        <x:v>728.3</x:v>
      </x:c>
      <x:c r="N579" t="n">
        <x:v>28.2</x:v>
      </x:c>
      <x:c r="O579" t="n">
        <x:v>68.3</x:v>
      </x:c>
      <x:c r="P579" t="str">
        <x:v>Cloudy</x:v>
      </x:c>
      <x:c r="Q579" t="n">
        <x:v>75</x:v>
      </x:c>
      <x:c r="R579" t="n">
        <x:v>85.3</x:v>
      </x:c>
      <x:c r="S579" t="n">
        <x:v>0.1069</x:v>
      </x:c>
      <x:c r="T579" t="n">
        <x:v>19.7</x:v>
      </x:c>
      <x:c r="U579" t="n">
        <x:v>1200.5</x:v>
      </x:c>
      <x:c r="V579" t="n">
        <x:v>3003</x:v>
      </x:c>
      <x:c r="W579" t="n">
        <x:v>53.7</x:v>
      </x:c>
    </x:row>
    <x:row r="580">
      <x:c r="A580" t="str">
        <x:v>PJT_579</x:v>
      </x:c>
      <x:c r="B580" t="str">
        <x:v>Marine</x:v>
      </x:c>
      <x:c r="C580" t="n">
        <x:v>9250</x:v>
      </x:c>
      <x:c r="D580" t="n">
        <x:v>8</x:v>
      </x:c>
      <x:c r="E580" t="str">
        <x:v>Medium</x:v>
      </x:c>
      <x:c r="F580" t="str">
        <x:v>Commercial</x:v>
      </x:c>
      <x:c r="G580" t="str">
        <x:v>RC Frame</x:v>
      </x:c>
      <x:c r="H580" t="str">
        <x:v>Piles</x:v>
      </x:c>
      <x:c r="I580" t="str">
        <x:v>Soft Clay</x:v>
      </x:c>
      <x:c r="J580" t="str">
        <x:v>High</x:v>
      </x:c>
      <x:c r="K580" t="n">
        <x:v>22607000</x:v>
      </x:c>
      <x:c r="L580" t="n">
        <x:v>420</x:v>
      </x:c>
      <x:c r="M580" t="n">
        <x:v>206.2</x:v>
      </x:c>
      <x:c r="N580" t="n">
        <x:v>12.2</x:v>
      </x:c>
      <x:c r="O580" t="n">
        <x:v>81.4</x:v>
      </x:c>
      <x:c r="P580" t="str">
        <x:v>Rainy</x:v>
      </x:c>
      <x:c r="Q580" t="n">
        <x:v>101</x:v>
      </x:c>
      <x:c r="R580" t="n">
        <x:v>72.4</x:v>
      </x:c>
      <x:c r="S580" t="n">
        <x:v>0.094</x:v>
      </x:c>
      <x:c r="T580" t="n">
        <x:v>16.4</x:v>
      </x:c>
      <x:c r="U580" t="n">
        <x:v>1156.2</x:v>
      </x:c>
      <x:c r="V580" t="n">
        <x:v>2444</x:v>
      </x:c>
      <x:c r="W580" t="n">
        <x:v>45.4</x:v>
      </x:c>
    </x:row>
    <x:row r="581">
      <x:c r="A581" t="str">
        <x:v>PJT_580</x:v>
      </x:c>
      <x:c r="B581" t="str">
        <x:v>Continental</x:v>
      </x:c>
      <x:c r="C581" t="n">
        <x:v>16750</x:v>
      </x:c>
      <x:c r="D581" t="n">
        <x:v>9</x:v>
      </x:c>
      <x:c r="E581" t="str">
        <x:v>High</x:v>
      </x:c>
      <x:c r="F581" t="str">
        <x:v>Hospital</x:v>
      </x:c>
      <x:c r="G581" t="str">
        <x:v>Shear Wall</x:v>
      </x:c>
      <x:c r="H581" t="str">
        <x:v>Piles</x:v>
      </x:c>
      <x:c r="I581" t="str">
        <x:v>Soft Clay</x:v>
      </x:c>
      <x:c r="J581" t="str">
        <x:v>High</x:v>
      </x:c>
      <x:c r="K581" t="n">
        <x:v>57720500</x:v>
      </x:c>
      <x:c r="L581" t="n">
        <x:v>881</x:v>
      </x:c>
      <x:c r="M581" t="n">
        <x:v>225.7</x:v>
      </x:c>
      <x:c r="N581" t="n">
        <x:v>6.7</x:v>
      </x:c>
      <x:c r="O581" t="n">
        <x:v>58.2</x:v>
      </x:c>
      <x:c r="P581" t="str">
        <x:v>Sunny</x:v>
      </x:c>
      <x:c r="Q581" t="n">
        <x:v>86</x:v>
      </x:c>
      <x:c r="R581" t="n">
        <x:v>81</x:v>
      </x:c>
      <x:c r="S581" t="n">
        <x:v>0.1131</x:v>
      </x:c>
      <x:c r="T581" t="n">
        <x:v>23.8</x:v>
      </x:c>
      <x:c r="U581" t="n">
        <x:v>1861.1</x:v>
      </x:c>
      <x:c r="V581" t="n">
        <x:v>3446</x:v>
      </x:c>
      <x:c r="W581" t="n">
        <x:v>52.6</x:v>
      </x:c>
    </x:row>
    <x:row r="582">
      <x:c r="A582" t="str">
        <x:v>PJT_581</x:v>
      </x:c>
      <x:c r="B582" t="str">
        <x:v>Continental</x:v>
      </x:c>
      <x:c r="C582" t="n">
        <x:v>22260</x:v>
      </x:c>
      <x:c r="D582" t="n">
        <x:v>16</x:v>
      </x:c>
      <x:c r="E582" t="str">
        <x:v>Medium</x:v>
      </x:c>
      <x:c r="F582" t="str">
        <x:v>Mixed-use</x:v>
      </x:c>
      <x:c r="G582" t="str">
        <x:v>Steel</x:v>
      </x:c>
      <x:c r="H582" t="str">
        <x:v>Piles</x:v>
      </x:c>
      <x:c r="I582" t="str">
        <x:v>Sand</x:v>
      </x:c>
      <x:c r="J582" t="str">
        <x:v>Medium</x:v>
      </x:c>
      <x:c r="K582" t="n">
        <x:v>59812620</x:v>
      </x:c>
      <x:c r="L582" t="n">
        <x:v>1220</x:v>
      </x:c>
      <x:c r="M582" t="n">
        <x:v>327.7</x:v>
      </x:c>
      <x:c r="N582" t="n">
        <x:v>-9.5</x:v>
      </x:c>
      <x:c r="O582" t="n">
        <x:v>60.1</x:v>
      </x:c>
      <x:c r="P582" t="str">
        <x:v>Snowy</x:v>
      </x:c>
      <x:c r="Q582" t="n">
        <x:v>93</x:v>
      </x:c>
      <x:c r="R582" t="n">
        <x:v>86.9</x:v>
      </x:c>
      <x:c r="S582" t="n">
        <x:v>0.1052</x:v>
      </x:c>
      <x:c r="T582" t="n">
        <x:v>19.3</x:v>
      </x:c>
      <x:c r="U582" t="n">
        <x:v>1391.2</x:v>
      </x:c>
      <x:c r="V582" t="n">
        <x:v>2687</x:v>
      </x:c>
      <x:c r="W582" t="n">
        <x:v>54.8</x:v>
      </x:c>
    </x:row>
    <x:row r="583">
      <x:c r="A583" t="str">
        <x:v>PJT_582</x:v>
      </x:c>
      <x:c r="B583" t="str">
        <x:v>Mediterranean</x:v>
      </x:c>
      <x:c r="C583" t="n">
        <x:v>17420</x:v>
      </x:c>
      <x:c r="D583" t="n">
        <x:v>10</x:v>
      </x:c>
      <x:c r="E583" t="str">
        <x:v>Medium</x:v>
      </x:c>
      <x:c r="F583" t="str">
        <x:v>Mixed-use</x:v>
      </x:c>
      <x:c r="G583" t="str">
        <x:v>Steel</x:v>
      </x:c>
      <x:c r="H583" t="str">
        <x:v>Raft</x:v>
      </x:c>
      <x:c r="I583" t="str">
        <x:v>Rock</x:v>
      </x:c>
      <x:c r="J583" t="str">
        <x:v>High</x:v>
      </x:c>
      <x:c r="K583" t="n">
        <x:v>46720440</x:v>
      </x:c>
      <x:c r="L583" t="n">
        <x:v>814</x:v>
      </x:c>
      <x:c r="M583" t="n">
        <x:v>723.5</x:v>
      </x:c>
      <x:c r="N583" t="n">
        <x:v>21.6</x:v>
      </x:c>
      <x:c r="O583" t="n">
        <x:v>65.7</x:v>
      </x:c>
      <x:c r="P583" t="str">
        <x:v>Cloudy</x:v>
      </x:c>
      <x:c r="Q583" t="n">
        <x:v>64</x:v>
      </x:c>
      <x:c r="R583" t="n">
        <x:v>79.4</x:v>
      </x:c>
      <x:c r="S583" t="n">
        <x:v>0.0998</x:v>
      </x:c>
      <x:c r="T583" t="n">
        <x:v>19.5</x:v>
      </x:c>
      <x:c r="U583" t="n">
        <x:v>1742</x:v>
      </x:c>
      <x:c r="V583" t="n">
        <x:v>2682</x:v>
      </x:c>
      <x:c r="W583" t="n">
        <x:v>46.7</x:v>
      </x:c>
    </x:row>
    <x:row r="584">
      <x:c r="A584" t="str">
        <x:v>PJT_583</x:v>
      </x:c>
      <x:c r="B584" t="str">
        <x:v>Mediterranean</x:v>
      </x:c>
      <x:c r="C584" t="n">
        <x:v>23920</x:v>
      </x:c>
      <x:c r="D584" t="n">
        <x:v>15</x:v>
      </x:c>
      <x:c r="E584" t="str">
        <x:v>High</x:v>
      </x:c>
      <x:c r="F584" t="str">
        <x:v>Hospital</x:v>
      </x:c>
      <x:c r="G584" t="str">
        <x:v>Shear Wall</x:v>
      </x:c>
      <x:c r="H584" t="str">
        <x:v>Piles</x:v>
      </x:c>
      <x:c r="I584" t="str">
        <x:v>Sand</x:v>
      </x:c>
      <x:c r="J584" t="str">
        <x:v>High</x:v>
      </x:c>
      <x:c r="K584" t="n">
        <x:v>80945280</x:v>
      </x:c>
      <x:c r="L584" t="n">
        <x:v>1328</x:v>
      </x:c>
      <x:c r="M584" t="n">
        <x:v>296.7</x:v>
      </x:c>
      <x:c r="N584" t="n">
        <x:v>31.7</x:v>
      </x:c>
      <x:c r="O584" t="n">
        <x:v>44.8</x:v>
      </x:c>
      <x:c r="P584" t="str">
        <x:v>Sunny</x:v>
      </x:c>
      <x:c r="Q584" t="n">
        <x:v>67</x:v>
      </x:c>
      <x:c r="R584" t="n">
        <x:v>89.7</x:v>
      </x:c>
      <x:c r="S584" t="n">
        <x:v>0.112</x:v>
      </x:c>
      <x:c r="T584" t="n">
        <x:v>23.6</x:v>
      </x:c>
      <x:c r="U584" t="n">
        <x:v>1594.7</x:v>
      </x:c>
      <x:c r="V584" t="n">
        <x:v>3384</x:v>
      </x:c>
      <x:c r="W584" t="n">
        <x:v>55.5</x:v>
      </x:c>
    </x:row>
    <x:row r="585">
      <x:c r="A585" t="str">
        <x:v>PJT_584</x:v>
      </x:c>
      <x:c r="B585" t="str">
        <x:v>Humid Subtropical</x:v>
      </x:c>
      <x:c r="C585" t="n">
        <x:v>11540</x:v>
      </x:c>
      <x:c r="D585" t="n">
        <x:v>10</x:v>
      </x:c>
      <x:c r="E585" t="str">
        <x:v>Low</x:v>
      </x:c>
      <x:c r="F585" t="str">
        <x:v>Residential</x:v>
      </x:c>
      <x:c r="G585" t="str">
        <x:v>RC Frame</x:v>
      </x:c>
      <x:c r="H585" t="str">
        <x:v>Raft</x:v>
      </x:c>
      <x:c r="I585" t="str">
        <x:v>Sand</x:v>
      </x:c>
      <x:c r="J585" t="str">
        <x:v>Medium</x:v>
      </x:c>
      <x:c r="K585" t="n">
        <x:v>15948280</x:v>
      </x:c>
      <x:c r="L585" t="n">
        <x:v>350</x:v>
      </x:c>
      <x:c r="M585" t="n">
        <x:v>230.7</x:v>
      </x:c>
      <x:c r="N585" t="n">
        <x:v>33.7</x:v>
      </x:c>
      <x:c r="O585" t="n">
        <x:v>62.7</x:v>
      </x:c>
      <x:c r="P585" t="str">
        <x:v>Sunny</x:v>
      </x:c>
      <x:c r="Q585" t="n">
        <x:v>73</x:v>
      </x:c>
      <x:c r="R585" t="n">
        <x:v>65.6</x:v>
      </x:c>
      <x:c r="S585" t="n">
        <x:v>0.0722</x:v>
      </x:c>
      <x:c r="T585" t="n">
        <x:v>11.7</x:v>
      </x:c>
      <x:c r="U585" t="n">
        <x:v>1154</x:v>
      </x:c>
      <x:c r="V585" t="n">
        <x:v>1382</x:v>
      </x:c>
      <x:c r="W585" t="n">
        <x:v>30.3</x:v>
      </x:c>
    </x:row>
    <x:row r="586">
      <x:c r="A586" t="str">
        <x:v>PJT_585</x:v>
      </x:c>
      <x:c r="B586" t="str">
        <x:v>Humid Subtropical</x:v>
      </x:c>
      <x:c r="C586" t="n">
        <x:v>15490</x:v>
      </x:c>
      <x:c r="D586" t="n">
        <x:v>11</x:v>
      </x:c>
      <x:c r="E586" t="str">
        <x:v>Medium</x:v>
      </x:c>
      <x:c r="F586" t="str">
        <x:v>Mixed-use</x:v>
      </x:c>
      <x:c r="G586" t="str">
        <x:v>Shear Wall</x:v>
      </x:c>
      <x:c r="H586" t="str">
        <x:v>Piles</x:v>
      </x:c>
      <x:c r="I586" t="str">
        <x:v>Soft Clay</x:v>
      </x:c>
      <x:c r="J586" t="str">
        <x:v>Low</x:v>
      </x:c>
      <x:c r="K586" t="n">
        <x:v>38539120</x:v>
      </x:c>
      <x:c r="L586" t="n">
        <x:v>756</x:v>
      </x:c>
      <x:c r="M586" t="n">
        <x:v>203.1</x:v>
      </x:c>
      <x:c r="N586" t="n">
        <x:v>26.9</x:v>
      </x:c>
      <x:c r="O586" t="n">
        <x:v>64.1</x:v>
      </x:c>
      <x:c r="P586" t="str">
        <x:v>Cloudy</x:v>
      </x:c>
      <x:c r="Q586" t="n">
        <x:v>98</x:v>
      </x:c>
      <x:c r="R586" t="n">
        <x:v>81.2</x:v>
      </x:c>
      <x:c r="S586" t="n">
        <x:v>0.1021</x:v>
      </x:c>
      <x:c r="T586" t="n">
        <x:v>18.8</x:v>
      </x:c>
      <x:c r="U586" t="n">
        <x:v>1408.2</x:v>
      </x:c>
      <x:c r="V586" t="n">
        <x:v>2488</x:v>
      </x:c>
      <x:c r="W586" t="n">
        <x:v>48.8</x:v>
      </x:c>
    </x:row>
    <x:row r="587">
      <x:c r="A587" t="str">
        <x:v>PJT_586</x:v>
      </x:c>
      <x:c r="B587" t="str">
        <x:v>Marine</x:v>
      </x:c>
      <x:c r="C587" t="n">
        <x:v>21260</x:v>
      </x:c>
      <x:c r="D587" t="n">
        <x:v>13</x:v>
      </x:c>
      <x:c r="E587" t="str">
        <x:v>Medium</x:v>
      </x:c>
      <x:c r="F587" t="str">
        <x:v>Commercial</x:v>
      </x:c>
      <x:c r="G587" t="str">
        <x:v>Steel</x:v>
      </x:c>
      <x:c r="H587" t="str">
        <x:v>Piles</x:v>
      </x:c>
      <x:c r="I587" t="str">
        <x:v>Mixed</x:v>
      </x:c>
      <x:c r="J587" t="str">
        <x:v>High</x:v>
      </x:c>
      <x:c r="K587" t="n">
        <x:v>52108260</x:v>
      </x:c>
      <x:c r="L587" t="n">
        <x:v>997</x:v>
      </x:c>
      <x:c r="M587" t="n">
        <x:v>417</x:v>
      </x:c>
      <x:c r="N587" t="n">
        <x:v>8.2</x:v>
      </x:c>
      <x:c r="O587" t="n">
        <x:v>83.3</x:v>
      </x:c>
      <x:c r="P587" t="str">
        <x:v>Rainy</x:v>
      </x:c>
      <x:c r="Q587" t="n">
        <x:v>88</x:v>
      </x:c>
      <x:c r="R587" t="n">
        <x:v>74.5</x:v>
      </x:c>
      <x:c r="S587" t="n">
        <x:v>0.0956</x:v>
      </x:c>
      <x:c r="T587" t="n">
        <x:v>17.6</x:v>
      </x:c>
      <x:c r="U587" t="n">
        <x:v>1635.4</x:v>
      </x:c>
      <x:c r="V587" t="n">
        <x:v>2451</x:v>
      </x:c>
      <x:c r="W587" t="n">
        <x:v>46.9</x:v>
      </x:c>
    </x:row>
    <x:row r="588">
      <x:c r="A588" t="str">
        <x:v>PJT_587</x:v>
      </x:c>
      <x:c r="B588" t="str">
        <x:v>Mediterranean</x:v>
      </x:c>
      <x:c r="C588" t="n">
        <x:v>13200</x:v>
      </x:c>
      <x:c r="D588" t="n">
        <x:v>13</x:v>
      </x:c>
      <x:c r="E588" t="str">
        <x:v>Low</x:v>
      </x:c>
      <x:c r="F588" t="str">
        <x:v>Residential</x:v>
      </x:c>
      <x:c r="G588" t="str">
        <x:v>RC Frame</x:v>
      </x:c>
      <x:c r="H588" t="str">
        <x:v>Raft</x:v>
      </x:c>
      <x:c r="I588" t="str">
        <x:v>Rock</x:v>
      </x:c>
      <x:c r="J588" t="str">
        <x:v>Medium</x:v>
      </x:c>
      <x:c r="K588" t="n">
        <x:v>17912400</x:v>
      </x:c>
      <x:c r="L588" t="n">
        <x:v>383</x:v>
      </x:c>
      <x:c r="M588" t="n">
        <x:v>716.1</x:v>
      </x:c>
      <x:c r="N588" t="n">
        <x:v>28.2</x:v>
      </x:c>
      <x:c r="O588" t="n">
        <x:v>62</x:v>
      </x:c>
      <x:c r="P588" t="str">
        <x:v>Sunny</x:v>
      </x:c>
      <x:c r="Q588" t="n">
        <x:v>84</x:v>
      </x:c>
      <x:c r="R588" t="n">
        <x:v>65.3</x:v>
      </x:c>
      <x:c r="S588" t="n">
        <x:v>0.0716</x:v>
      </x:c>
      <x:c r="T588" t="n">
        <x:v>11.4</x:v>
      </x:c>
      <x:c r="U588" t="n">
        <x:v>1015.4</x:v>
      </x:c>
      <x:c r="V588" t="n">
        <x:v>1357</x:v>
      </x:c>
      <x:c r="W588" t="n">
        <x:v>29</x:v>
      </x:c>
    </x:row>
    <x:row r="589">
      <x:c r="A589" t="str">
        <x:v>PJT_588</x:v>
      </x:c>
      <x:c r="B589" t="str">
        <x:v>Continental</x:v>
      </x:c>
      <x:c r="C589" t="n">
        <x:v>12070</x:v>
      </x:c>
      <x:c r="D589" t="n">
        <x:v>4</x:v>
      </x:c>
      <x:c r="E589" t="str">
        <x:v>Low</x:v>
      </x:c>
      <x:c r="F589" t="str">
        <x:v>School</x:v>
      </x:c>
      <x:c r="G589" t="str">
        <x:v>RC Frame</x:v>
      </x:c>
      <x:c r="H589" t="str">
        <x:v>Raft</x:v>
      </x:c>
      <x:c r="I589" t="str">
        <x:v>Sand</x:v>
      </x:c>
      <x:c r="J589" t="str">
        <x:v>Medium</x:v>
      </x:c>
      <x:c r="K589" t="n">
        <x:v>20084480</x:v>
      </x:c>
      <x:c r="L589" t="n">
        <x:v>309</x:v>
      </x:c>
      <x:c r="M589" t="n">
        <x:v>259.5</x:v>
      </x:c>
      <x:c r="N589" t="n">
        <x:v>12.6</x:v>
      </x:c>
      <x:c r="O589" t="n">
        <x:v>39.6</x:v>
      </x:c>
      <x:c r="P589" t="str">
        <x:v>Sunny</x:v>
      </x:c>
      <x:c r="Q589" t="n">
        <x:v>78</x:v>
      </x:c>
      <x:c r="R589" t="n">
        <x:v>67.2</x:v>
      </x:c>
      <x:c r="S589" t="n">
        <x:v>0.0744</x:v>
      </x:c>
      <x:c r="T589" t="n">
        <x:v>12.8</x:v>
      </x:c>
      <x:c r="U589" t="n">
        <x:v>3017.5</x:v>
      </x:c>
      <x:c r="V589" t="n">
        <x:v>1664</x:v>
      </x:c>
      <x:c r="W589" t="n">
        <x:v>25.6</x:v>
      </x:c>
    </x:row>
    <x:row r="590">
      <x:c r="A590" t="str">
        <x:v>PJT_589</x:v>
      </x:c>
      <x:c r="B590" t="str">
        <x:v>Humid Subtropical</x:v>
      </x:c>
      <x:c r="C590" t="n">
        <x:v>18450</x:v>
      </x:c>
      <x:c r="D590" t="n">
        <x:v>16</x:v>
      </x:c>
      <x:c r="E590" t="str">
        <x:v>High</x:v>
      </x:c>
      <x:c r="F590" t="str">
        <x:v>Mixed-use</x:v>
      </x:c>
      <x:c r="G590" t="str">
        <x:v>Shear Wall</x:v>
      </x:c>
      <x:c r="H590" t="str">
        <x:v>Piles</x:v>
      </x:c>
      <x:c r="I590" t="str">
        <x:v>Mixed</x:v>
      </x:c>
      <x:c r="J590" t="str">
        <x:v>Medium</x:v>
      </x:c>
      <x:c r="K590" t="n">
        <x:v>52545600</x:v>
      </x:c>
      <x:c r="L590" t="n">
        <x:v>985</x:v>
      </x:c>
      <x:c r="M590" t="n">
        <x:v>342.2</x:v>
      </x:c>
      <x:c r="N590" t="n">
        <x:v>25.6</x:v>
      </x:c>
      <x:c r="O590" t="n">
        <x:v>63.3</x:v>
      </x:c>
      <x:c r="P590" t="str">
        <x:v>Cloudy</x:v>
      </x:c>
      <x:c r="Q590" t="n">
        <x:v>99</x:v>
      </x:c>
      <x:c r="R590" t="n">
        <x:v>82.7</x:v>
      </x:c>
      <x:c r="S590" t="n">
        <x:v>0.101</x:v>
      </x:c>
      <x:c r="T590" t="n">
        <x:v>19.8</x:v>
      </x:c>
      <x:c r="U590" t="n">
        <x:v>1153.1</x:v>
      </x:c>
      <x:c r="V590" t="n">
        <x:v>2848</x:v>
      </x:c>
      <x:c r="W590" t="n">
        <x:v>53.4</x:v>
      </x:c>
    </x:row>
    <x:row r="591">
      <x:c r="A591" t="str">
        <x:v>PJT_590</x:v>
      </x:c>
      <x:c r="B591" t="str">
        <x:v>Marine</x:v>
      </x:c>
      <x:c r="C591" t="n">
        <x:v>16990</x:v>
      </x:c>
      <x:c r="D591" t="n">
        <x:v>8</x:v>
      </x:c>
      <x:c r="E591" t="str">
        <x:v>Medium</x:v>
      </x:c>
      <x:c r="F591" t="str">
        <x:v>Hospital</x:v>
      </x:c>
      <x:c r="G591" t="str">
        <x:v>RC Frame</x:v>
      </x:c>
      <x:c r="H591" t="str">
        <x:v>Raft</x:v>
      </x:c>
      <x:c r="I591" t="str">
        <x:v>Mixed</x:v>
      </x:c>
      <x:c r="J591" t="str">
        <x:v>Low</x:v>
      </x:c>
      <x:c r="K591" t="n">
        <x:v>48914210</x:v>
      </x:c>
      <x:c r="L591" t="n">
        <x:v>809</x:v>
      </x:c>
      <x:c r="M591" t="n">
        <x:v>348.1</x:v>
      </x:c>
      <x:c r="N591" t="n">
        <x:v>9.2</x:v>
      </x:c>
      <x:c r="O591" t="n">
        <x:v>69.2</x:v>
      </x:c>
      <x:c r="P591" t="str">
        <x:v>Cloudy</x:v>
      </x:c>
      <x:c r="Q591" t="n">
        <x:v>95</x:v>
      </x:c>
      <x:c r="R591" t="n">
        <x:v>84.9</x:v>
      </x:c>
      <x:c r="S591" t="n">
        <x:v>0.1046</x:v>
      </x:c>
      <x:c r="T591" t="n">
        <x:v>19.6</x:v>
      </x:c>
      <x:c r="U591" t="n">
        <x:v>2123.8</x:v>
      </x:c>
      <x:c r="V591" t="n">
        <x:v>2879</x:v>
      </x:c>
      <x:c r="W591" t="n">
        <x:v>47.6</x:v>
      </x:c>
    </x:row>
    <x:row r="592">
      <x:c r="A592" t="str">
        <x:v>PJT_591</x:v>
      </x:c>
      <x:c r="B592" t="str">
        <x:v>Mediterranean</x:v>
      </x:c>
      <x:c r="C592" t="n">
        <x:v>13910</x:v>
      </x:c>
      <x:c r="D592" t="n">
        <x:v>13</x:v>
      </x:c>
      <x:c r="E592" t="str">
        <x:v>Medium</x:v>
      </x:c>
      <x:c r="F592" t="str">
        <x:v>Residential</x:v>
      </x:c>
      <x:c r="G592" t="str">
        <x:v>Shear Wall</x:v>
      </x:c>
      <x:c r="H592" t="str">
        <x:v>Raft</x:v>
      </x:c>
      <x:c r="I592" t="str">
        <x:v>Mixed</x:v>
      </x:c>
      <x:c r="J592" t="str">
        <x:v>High</x:v>
      </x:c>
      <x:c r="K592" t="n">
        <x:v>24245130</x:v>
      </x:c>
      <x:c r="L592" t="n">
        <x:v>494</x:v>
      </x:c>
      <x:c r="M592" t="n">
        <x:v>307.3</x:v>
      </x:c>
      <x:c r="N592" t="n">
        <x:v>20.7</x:v>
      </x:c>
      <x:c r="O592" t="n">
        <x:v>61.5</x:v>
      </x:c>
      <x:c r="P592" t="str">
        <x:v>Cloudy</x:v>
      </x:c>
      <x:c r="Q592" t="n">
        <x:v>58</x:v>
      </x:c>
      <x:c r="R592" t="n">
        <x:v>67.9</x:v>
      </x:c>
      <x:c r="S592" t="n">
        <x:v>0.0793</x:v>
      </x:c>
      <x:c r="T592" t="n">
        <x:v>14.5</x:v>
      </x:c>
      <x:c r="U592" t="n">
        <x:v>1070</x:v>
      </x:c>
      <x:c r="V592" t="n">
        <x:v>1743</x:v>
      </x:c>
      <x:c r="W592" t="n">
        <x:v>35.5</x:v>
      </x:c>
    </x:row>
    <x:row r="593">
      <x:c r="A593" t="str">
        <x:v>PJT_592</x:v>
      </x:c>
      <x:c r="B593" t="str">
        <x:v>Humid Subtropical</x:v>
      </x:c>
      <x:c r="C593" t="n">
        <x:v>16460</x:v>
      </x:c>
      <x:c r="D593" t="n">
        <x:v>12</x:v>
      </x:c>
      <x:c r="E593" t="str">
        <x:v>Medium</x:v>
      </x:c>
      <x:c r="F593" t="str">
        <x:v>Mixed-use</x:v>
      </x:c>
      <x:c r="G593" t="str">
        <x:v>Steel</x:v>
      </x:c>
      <x:c r="H593" t="str">
        <x:v>Raft</x:v>
      </x:c>
      <x:c r="I593" t="str">
        <x:v>Rock</x:v>
      </x:c>
      <x:c r="J593" t="str">
        <x:v>High</x:v>
      </x:c>
      <x:c r="K593" t="n">
        <x:v>44853500</x:v>
      </x:c>
      <x:c r="L593" t="n">
        <x:v>785</x:v>
      </x:c>
      <x:c r="M593" t="n">
        <x:v>708.8</x:v>
      </x:c>
      <x:c r="N593" t="n">
        <x:v>27</x:v>
      </x:c>
      <x:c r="O593" t="n">
        <x:v>89.6</x:v>
      </x:c>
      <x:c r="P593" t="str">
        <x:v>Rainy</x:v>
      </x:c>
      <x:c r="Q593" t="n">
        <x:v>109</x:v>
      </x:c>
      <x:c r="R593" t="n">
        <x:v>83</x:v>
      </x:c>
      <x:c r="S593" t="n">
        <x:v>0.1002</x:v>
      </x:c>
      <x:c r="T593" t="n">
        <x:v>17.5</x:v>
      </x:c>
      <x:c r="U593" t="n">
        <x:v>1371.7</x:v>
      </x:c>
      <x:c r="V593" t="n">
        <x:v>2725</x:v>
      </x:c>
      <x:c r="W593" t="n">
        <x:v>47.7</x:v>
      </x:c>
    </x:row>
    <x:row r="594">
      <x:c r="A594" t="str">
        <x:v>PJT_593</x:v>
      </x:c>
      <x:c r="B594" t="str">
        <x:v>Marine</x:v>
      </x:c>
      <x:c r="C594" t="n">
        <x:v>13890</x:v>
      </x:c>
      <x:c r="D594" t="n">
        <x:v>9</x:v>
      </x:c>
      <x:c r="E594" t="str">
        <x:v>Medium</x:v>
      </x:c>
      <x:c r="F594" t="str">
        <x:v>Commercial</x:v>
      </x:c>
      <x:c r="G594" t="str">
        <x:v>Steel</x:v>
      </x:c>
      <x:c r="H594" t="str">
        <x:v>Raft</x:v>
      </x:c>
      <x:c r="I594" t="str">
        <x:v>Mixed</x:v>
      </x:c>
      <x:c r="J594" t="str">
        <x:v>Medium</x:v>
      </x:c>
      <x:c r="K594" t="n">
        <x:v>33447120</x:v>
      </x:c>
      <x:c r="L594" t="n">
        <x:v>583</x:v>
      </x:c>
      <x:c r="M594" t="n">
        <x:v>333</x:v>
      </x:c>
      <x:c r="N594" t="n">
        <x:v>12.1</x:v>
      </x:c>
      <x:c r="O594" t="n">
        <x:v>56.3</x:v>
      </x:c>
      <x:c r="P594" t="str">
        <x:v>Sunny</x:v>
      </x:c>
      <x:c r="Q594" t="n">
        <x:v>99</x:v>
      </x:c>
      <x:c r="R594" t="n">
        <x:v>75.5</x:v>
      </x:c>
      <x:c r="S594" t="n">
        <x:v>0.1005</x:v>
      </x:c>
      <x:c r="T594" t="n">
        <x:v>17.3</x:v>
      </x:c>
      <x:c r="U594" t="n">
        <x:v>1543.3</x:v>
      </x:c>
      <x:c r="V594" t="n">
        <x:v>2408</x:v>
      </x:c>
      <x:c r="W594" t="n">
        <x:v>42</x:v>
      </x:c>
    </x:row>
    <x:row r="595">
      <x:c r="A595" t="str">
        <x:v>PJT_594</x:v>
      </x:c>
      <x:c r="B595" t="str">
        <x:v>Continental</x:v>
      </x:c>
      <x:c r="C595" t="n">
        <x:v>13390</x:v>
      </x:c>
      <x:c r="D595" t="n">
        <x:v>15</x:v>
      </x:c>
      <x:c r="E595" t="str">
        <x:v>Low</x:v>
      </x:c>
      <x:c r="F595" t="str">
        <x:v>Residential</x:v>
      </x:c>
      <x:c r="G595" t="str">
        <x:v>Shear Wall</x:v>
      </x:c>
      <x:c r="H595" t="str">
        <x:v>Piles</x:v>
      </x:c>
      <x:c r="I595" t="str">
        <x:v>Mixed</x:v>
      </x:c>
      <x:c r="J595" t="str">
        <x:v>High</x:v>
      </x:c>
      <x:c r="K595" t="n">
        <x:v>21879260</x:v>
      </x:c>
      <x:c r="L595" t="n">
        <x:v>474</x:v>
      </x:c>
      <x:c r="M595" t="n">
        <x:v>425.8</x:v>
      </x:c>
      <x:c r="N595" t="n">
        <x:v>20.8</x:v>
      </x:c>
      <x:c r="O595" t="n">
        <x:v>54.9</x:v>
      </x:c>
      <x:c r="P595" t="str">
        <x:v>Cloudy</x:v>
      </x:c>
      <x:c r="Q595" t="n">
        <x:v>72</x:v>
      </x:c>
      <x:c r="R595" t="n">
        <x:v>69.8</x:v>
      </x:c>
      <x:c r="S595" t="n">
        <x:v>0.0799</x:v>
      </x:c>
      <x:c r="T595" t="n">
        <x:v>13.1</x:v>
      </x:c>
      <x:c r="U595" t="n">
        <x:v>892.7</x:v>
      </x:c>
      <x:c r="V595" t="n">
        <x:v>1634</x:v>
      </x:c>
      <x:c r="W595" t="n">
        <x:v>35.4</x:v>
      </x:c>
    </x:row>
    <x:row r="596">
      <x:c r="A596" t="str">
        <x:v>PJT_595</x:v>
      </x:c>
      <x:c r="B596" t="str">
        <x:v>Continental</x:v>
      </x:c>
      <x:c r="C596" t="n">
        <x:v>13650</x:v>
      </x:c>
      <x:c r="D596" t="n">
        <x:v>4</x:v>
      </x:c>
      <x:c r="E596" t="str">
        <x:v>Low</x:v>
      </x:c>
      <x:c r="F596" t="str">
        <x:v>School</x:v>
      </x:c>
      <x:c r="G596" t="str">
        <x:v>RC Frame</x:v>
      </x:c>
      <x:c r="H596" t="str">
        <x:v>Raft</x:v>
      </x:c>
      <x:c r="I596" t="str">
        <x:v>Sand</x:v>
      </x:c>
      <x:c r="J596" t="str">
        <x:v>Medium</x:v>
      </x:c>
      <x:c r="K596" t="n">
        <x:v>21867300</x:v>
      </x:c>
      <x:c r="L596" t="n">
        <x:v>359</x:v>
      </x:c>
      <x:c r="M596" t="n">
        <x:v>232.3</x:v>
      </x:c>
      <x:c r="N596" t="n">
        <x:v>11.5</x:v>
      </x:c>
      <x:c r="O596" t="n">
        <x:v>53.8</x:v>
      </x:c>
      <x:c r="P596" t="str">
        <x:v>Sunny</x:v>
      </x:c>
      <x:c r="Q596" t="n">
        <x:v>74</x:v>
      </x:c>
      <x:c r="R596" t="n">
        <x:v>69.4</x:v>
      </x:c>
      <x:c r="S596" t="n">
        <x:v>0.0749</x:v>
      </x:c>
      <x:c r="T596" t="n">
        <x:v>13.5</x:v>
      </x:c>
      <x:c r="U596" t="n">
        <x:v>3412.5</x:v>
      </x:c>
      <x:c r="V596" t="n">
        <x:v>1602</x:v>
      </x:c>
      <x:c r="W596" t="n">
        <x:v>26.3</x:v>
      </x:c>
    </x:row>
    <x:row r="597">
      <x:c r="A597" t="str">
        <x:v>PJT_596</x:v>
      </x:c>
      <x:c r="B597" t="str">
        <x:v>Humid Subtropical</x:v>
      </x:c>
      <x:c r="C597" t="n">
        <x:v>14580</x:v>
      </x:c>
      <x:c r="D597" t="n">
        <x:v>10</x:v>
      </x:c>
      <x:c r="E597" t="str">
        <x:v>Medium</x:v>
      </x:c>
      <x:c r="F597" t="str">
        <x:v>Commercial</x:v>
      </x:c>
      <x:c r="G597" t="str">
        <x:v>RC Frame</x:v>
      </x:c>
      <x:c r="H597" t="str">
        <x:v>Piles</x:v>
      </x:c>
      <x:c r="I597" t="str">
        <x:v>Soft Clay</x:v>
      </x:c>
      <x:c r="J597" t="str">
        <x:v>Low</x:v>
      </x:c>
      <x:c r="K597" t="n">
        <x:v>31886460</x:v>
      </x:c>
      <x:c r="L597" t="n">
        <x:v>655</x:v>
      </x:c>
      <x:c r="M597" t="n">
        <x:v>200.9</x:v>
      </x:c>
      <x:c r="N597" t="n">
        <x:v>21.1</x:v>
      </x:c>
      <x:c r="O597" t="n">
        <x:v>75.2</x:v>
      </x:c>
      <x:c r="P597" t="str">
        <x:v>Rainy</x:v>
      </x:c>
      <x:c r="Q597" t="n">
        <x:v>83</x:v>
      </x:c>
      <x:c r="R597" t="n">
        <x:v>76.9</x:v>
      </x:c>
      <x:c r="S597" t="n">
        <x:v>0.09</x:v>
      </x:c>
      <x:c r="T597" t="n">
        <x:v>15.8</x:v>
      </x:c>
      <x:c r="U597" t="n">
        <x:v>1458</x:v>
      </x:c>
      <x:c r="V597" t="n">
        <x:v>2187</x:v>
      </x:c>
      <x:c r="W597" t="n">
        <x:v>44.9</x:v>
      </x:c>
    </x:row>
    <x:row r="598">
      <x:c r="A598" t="str">
        <x:v>PJT_597</x:v>
      </x:c>
      <x:c r="B598" t="str">
        <x:v>Continental</x:v>
      </x:c>
      <x:c r="C598" t="n">
        <x:v>4480</x:v>
      </x:c>
      <x:c r="D598" t="n">
        <x:v>3</x:v>
      </x:c>
      <x:c r="E598" t="str">
        <x:v>Low</x:v>
      </x:c>
      <x:c r="F598" t="str">
        <x:v>School</x:v>
      </x:c>
      <x:c r="G598" t="str">
        <x:v>RC Frame</x:v>
      </x:c>
      <x:c r="H598" t="str">
        <x:v>Strip</x:v>
      </x:c>
      <x:c r="I598" t="str">
        <x:v>Mixed</x:v>
      </x:c>
      <x:c r="J598" t="str">
        <x:v>Low</x:v>
      </x:c>
      <x:c r="K598" t="n">
        <x:v>6567680</x:v>
      </x:c>
      <x:c r="L598" t="n">
        <x:v>180</x:v>
      </x:c>
      <x:c r="M598" t="n">
        <x:v>223.2</x:v>
      </x:c>
      <x:c r="N598" t="n">
        <x:v>5.4</x:v>
      </x:c>
      <x:c r="O598" t="n">
        <x:v>80.8</x:v>
      </x:c>
      <x:c r="P598" t="str">
        <x:v>Stormy</x:v>
      </x:c>
      <x:c r="Q598" t="n">
        <x:v>99</x:v>
      </x:c>
      <x:c r="R598" t="n">
        <x:v>59.4</x:v>
      </x:c>
      <x:c r="S598" t="n">
        <x:v>0.0771</x:v>
      </x:c>
      <x:c r="T598" t="n">
        <x:v>12.6</x:v>
      </x:c>
      <x:c r="U598" t="n">
        <x:v>1493.3</x:v>
      </x:c>
      <x:c r="V598" t="n">
        <x:v>1466</x:v>
      </x:c>
      <x:c r="W598" t="n">
        <x:v>29.4</x:v>
      </x:c>
    </x:row>
    <x:row r="599">
      <x:c r="A599" t="str">
        <x:v>PJT_598</x:v>
      </x:c>
      <x:c r="B599" t="str">
        <x:v>Continental</x:v>
      </x:c>
      <x:c r="C599" t="n">
        <x:v>12790</x:v>
      </x:c>
      <x:c r="D599" t="n">
        <x:v>5</x:v>
      </x:c>
      <x:c r="E599" t="str">
        <x:v>Low</x:v>
      </x:c>
      <x:c r="F599" t="str">
        <x:v>School</x:v>
      </x:c>
      <x:c r="G599" t="str">
        <x:v>RC Frame</x:v>
      </x:c>
      <x:c r="H599" t="str">
        <x:v>Raft</x:v>
      </x:c>
      <x:c r="I599" t="str">
        <x:v>Mixed</x:v>
      </x:c>
      <x:c r="J599" t="str">
        <x:v>Low</x:v>
      </x:c>
      <x:c r="K599" t="n">
        <x:v>19287320</x:v>
      </x:c>
      <x:c r="L599" t="n">
        <x:v>354</x:v>
      </x:c>
      <x:c r="M599" t="n">
        <x:v>289.8</x:v>
      </x:c>
      <x:c r="N599" t="n">
        <x:v>26.3</x:v>
      </x:c>
      <x:c r="O599" t="n">
        <x:v>38.7</x:v>
      </x:c>
      <x:c r="P599" t="str">
        <x:v>Sunny</x:v>
      </x:c>
      <x:c r="Q599" t="n">
        <x:v>65</x:v>
      </x:c>
      <x:c r="R599" t="n">
        <x:v>68.7</x:v>
      </x:c>
      <x:c r="S599" t="n">
        <x:v>0.079</x:v>
      </x:c>
      <x:c r="T599" t="n">
        <x:v>13.1</x:v>
      </x:c>
      <x:c r="U599" t="n">
        <x:v>2558</x:v>
      </x:c>
      <x:c r="V599" t="n">
        <x:v>1508</x:v>
      </x:c>
      <x:c r="W599" t="n">
        <x:v>27.7</x:v>
      </x:c>
    </x:row>
    <x:row r="600">
      <x:c r="A600" t="str">
        <x:v>PJT_599</x:v>
      </x:c>
      <x:c r="B600" t="str">
        <x:v>Mediterranean</x:v>
      </x:c>
      <x:c r="C600" t="n">
        <x:v>29410</x:v>
      </x:c>
      <x:c r="D600" t="n">
        <x:v>14</x:v>
      </x:c>
      <x:c r="E600" t="str">
        <x:v>High</x:v>
      </x:c>
      <x:c r="F600" t="str">
        <x:v>Hospital</x:v>
      </x:c>
      <x:c r="G600" t="str">
        <x:v>Shear Wall</x:v>
      </x:c>
      <x:c r="H600" t="str">
        <x:v>Piles</x:v>
      </x:c>
      <x:c r="I600" t="str">
        <x:v>Soft Clay</x:v>
      </x:c>
      <x:c r="J600" t="str">
        <x:v>High</x:v>
      </x:c>
      <x:c r="K600" t="n">
        <x:v>99788130</x:v>
      </x:c>
      <x:c r="L600" t="n">
        <x:v>1706</x:v>
      </x:c>
      <x:c r="M600" t="n">
        <x:v>193.3</x:v>
      </x:c>
      <x:c r="N600" t="n">
        <x:v>12.2</x:v>
      </x:c>
      <x:c r="O600" t="n">
        <x:v>87.2</x:v>
      </x:c>
      <x:c r="P600" t="str">
        <x:v>Stormy</x:v>
      </x:c>
      <x:c r="Q600" t="n">
        <x:v>75</x:v>
      </x:c>
      <x:c r="R600" t="n">
        <x:v>91.2</x:v>
      </x:c>
      <x:c r="S600" t="n">
        <x:v>0.1172</x:v>
      </x:c>
      <x:c r="T600" t="n">
        <x:v>23.2</x:v>
      </x:c>
      <x:c r="U600" t="n">
        <x:v>2100.7</x:v>
      </x:c>
      <x:c r="V600" t="n">
        <x:v>3393</x:v>
      </x:c>
      <x:c r="W600" t="n">
        <x:v>58</x:v>
      </x:c>
    </x:row>
    <x:row r="601">
      <x:c r="A601" t="str">
        <x:v>PJT_600</x:v>
      </x:c>
      <x:c r="B601" t="str">
        <x:v>Humid Subtropical</x:v>
      </x:c>
      <x:c r="C601" t="n">
        <x:v>8280</x:v>
      </x:c>
      <x:c r="D601" t="n">
        <x:v>4</x:v>
      </x:c>
      <x:c r="E601" t="str">
        <x:v>Low</x:v>
      </x:c>
      <x:c r="F601" t="str">
        <x:v>School</x:v>
      </x:c>
      <x:c r="G601" t="str">
        <x:v>RC Frame</x:v>
      </x:c>
      <x:c r="H601" t="str">
        <x:v>Raft</x:v>
      </x:c>
      <x:c r="I601" t="str">
        <x:v>Soft Clay</x:v>
      </x:c>
      <x:c r="J601" t="str">
        <x:v>High</x:v>
      </x:c>
      <x:c r="K601" t="n">
        <x:v>15011640</x:v>
      </x:c>
      <x:c r="L601" t="n">
        <x:v>259</x:v>
      </x:c>
      <x:c r="M601" t="n">
        <x:v>207</x:v>
      </x:c>
      <x:c r="N601" t="n">
        <x:v>27.2</x:v>
      </x:c>
      <x:c r="O601" t="n">
        <x:v>83.2</x:v>
      </x:c>
      <x:c r="P601" t="str">
        <x:v>Stormy</x:v>
      </x:c>
      <x:c r="Q601" t="n">
        <x:v>91</x:v>
      </x:c>
      <x:c r="R601" t="n">
        <x:v>66.6</x:v>
      </x:c>
      <x:c r="S601" t="n">
        <x:v>0.0775</x:v>
      </x:c>
      <x:c r="T601" t="n">
        <x:v>13</x:v>
      </x:c>
      <x:c r="U601" t="n">
        <x:v>2070</x:v>
      </x:c>
      <x:c r="V601" t="n">
        <x:v>1813</x:v>
      </x:c>
      <x:c r="W601" t="n">
        <x:v>31.3</x:v>
      </x:c>
    </x:row>
    <x:row r="602">
      <x:c r="A602" t="str">
        <x:v>PJT_601</x:v>
      </x:c>
      <x:c r="B602" t="str">
        <x:v>Mediterranean</x:v>
      </x:c>
      <x:c r="C602" t="n">
        <x:v>22280</x:v>
      </x:c>
      <x:c r="D602" t="n">
        <x:v>16</x:v>
      </x:c>
      <x:c r="E602" t="str">
        <x:v>Medium</x:v>
      </x:c>
      <x:c r="F602" t="str">
        <x:v>Commercial</x:v>
      </x:c>
      <x:c r="G602" t="str">
        <x:v>Steel</x:v>
      </x:c>
      <x:c r="H602" t="str">
        <x:v>Piles</x:v>
      </x:c>
      <x:c r="I602" t="str">
        <x:v>Sand</x:v>
      </x:c>
      <x:c r="J602" t="str">
        <x:v>Low</x:v>
      </x:c>
      <x:c r="K602" t="n">
        <x:v>53382880</x:v>
      </x:c>
      <x:c r="L602" t="n">
        <x:v>969</x:v>
      </x:c>
      <x:c r="M602" t="n">
        <x:v>359.5</x:v>
      </x:c>
      <x:c r="N602" t="n">
        <x:v>22.3</x:v>
      </x:c>
      <x:c r="O602" t="n">
        <x:v>50.7</x:v>
      </x:c>
      <x:c r="P602" t="str">
        <x:v>Sunny</x:v>
      </x:c>
      <x:c r="Q602" t="n">
        <x:v>78</x:v>
      </x:c>
      <x:c r="R602" t="n">
        <x:v>82.7</x:v>
      </x:c>
      <x:c r="S602" t="n">
        <x:v>0.0977</x:v>
      </x:c>
      <x:c r="T602" t="n">
        <x:v>17.6</x:v>
      </x:c>
      <x:c r="U602" t="n">
        <x:v>1392.5</x:v>
      </x:c>
      <x:c r="V602" t="n">
        <x:v>2396</x:v>
      </x:c>
      <x:c r="W602" t="n">
        <x:v>43.5</x:v>
      </x:c>
    </x:row>
    <x:row r="603">
      <x:c r="A603" t="str">
        <x:v>PJT_602</x:v>
      </x:c>
      <x:c r="B603" t="str">
        <x:v>Humid Subtropical</x:v>
      </x:c>
      <x:c r="C603" t="n">
        <x:v>17170</x:v>
      </x:c>
      <x:c r="D603" t="n">
        <x:v>17</x:v>
      </x:c>
      <x:c r="E603" t="str">
        <x:v>Medium</x:v>
      </x:c>
      <x:c r="F603" t="str">
        <x:v>Residential</x:v>
      </x:c>
      <x:c r="G603" t="str">
        <x:v>RC Frame</x:v>
      </x:c>
      <x:c r="H603" t="str">
        <x:v>Raft</x:v>
      </x:c>
      <x:c r="I603" t="str">
        <x:v>Rock</x:v>
      </x:c>
      <x:c r="J603" t="str">
        <x:v>Low</x:v>
      </x:c>
      <x:c r="K603" t="n">
        <x:v>25755000</x:v>
      </x:c>
      <x:c r="L603" t="n">
        <x:v>556</x:v>
      </x:c>
      <x:c r="M603" t="n">
        <x:v>762.8</x:v>
      </x:c>
      <x:c r="N603" t="n">
        <x:v>27.6</x:v>
      </x:c>
      <x:c r="O603" t="n">
        <x:v>53.9</x:v>
      </x:c>
      <x:c r="P603" t="str">
        <x:v>Sunny</x:v>
      </x:c>
      <x:c r="Q603" t="n">
        <x:v>73</x:v>
      </x:c>
      <x:c r="R603" t="n">
        <x:v>70.1</x:v>
      </x:c>
      <x:c r="S603" t="n">
        <x:v>0.0752</x:v>
      </x:c>
      <x:c r="T603" t="n">
        <x:v>13.5</x:v>
      </x:c>
      <x:c r="U603" t="n">
        <x:v>1010</x:v>
      </x:c>
      <x:c r="V603" t="n">
        <x:v>1500</x:v>
      </x:c>
      <x:c r="W603" t="n">
        <x:v>32.4</x:v>
      </x:c>
    </x:row>
    <x:row r="604">
      <x:c r="A604" t="str">
        <x:v>PJT_603</x:v>
      </x:c>
      <x:c r="B604" t="str">
        <x:v>Humid Subtropical</x:v>
      </x:c>
      <x:c r="C604" t="n">
        <x:v>9400</x:v>
      </x:c>
      <x:c r="D604" t="n">
        <x:v>12</x:v>
      </x:c>
      <x:c r="E604" t="str">
        <x:v>Low</x:v>
      </x:c>
      <x:c r="F604" t="str">
        <x:v>Residential</x:v>
      </x:c>
      <x:c r="G604" t="str">
        <x:v>Shear Wall</x:v>
      </x:c>
      <x:c r="H604" t="str">
        <x:v>Raft</x:v>
      </x:c>
      <x:c r="I604" t="str">
        <x:v>Mixed</x:v>
      </x:c>
      <x:c r="J604" t="str">
        <x:v>High</x:v>
      </x:c>
      <x:c r="K604" t="n">
        <x:v>14654600</x:v>
      </x:c>
      <x:c r="L604" t="n">
        <x:v>320</x:v>
      </x:c>
      <x:c r="M604" t="n">
        <x:v>310</x:v>
      </x:c>
      <x:c r="N604" t="n">
        <x:v>26.1</x:v>
      </x:c>
      <x:c r="O604" t="n">
        <x:v>79.5</x:v>
      </x:c>
      <x:c r="P604" t="str">
        <x:v>Cloudy</x:v>
      </x:c>
      <x:c r="Q604" t="n">
        <x:v>90</x:v>
      </x:c>
      <x:c r="R604" t="n">
        <x:v>70.4</x:v>
      </x:c>
      <x:c r="S604" t="n">
        <x:v>0.0777</x:v>
      </x:c>
      <x:c r="T604" t="n">
        <x:v>12.6</x:v>
      </x:c>
      <x:c r="U604" t="n">
        <x:v>783.3</x:v>
      </x:c>
      <x:c r="V604" t="n">
        <x:v>1559</x:v>
      </x:c>
      <x:c r="W604" t="n">
        <x:v>34</x:v>
      </x:c>
    </x:row>
    <x:row r="605">
      <x:c r="A605" t="str">
        <x:v>PJT_604</x:v>
      </x:c>
      <x:c r="B605" t="str">
        <x:v>Humid Subtropical</x:v>
      </x:c>
      <x:c r="C605" t="n">
        <x:v>16350</x:v>
      </x:c>
      <x:c r="D605" t="n">
        <x:v>19</x:v>
      </x:c>
      <x:c r="E605" t="str">
        <x:v>Medium</x:v>
      </x:c>
      <x:c r="F605" t="str">
        <x:v>Residential</x:v>
      </x:c>
      <x:c r="G605" t="str">
        <x:v>RC Frame</x:v>
      </x:c>
      <x:c r="H605" t="str">
        <x:v>Piles</x:v>
      </x:c>
      <x:c r="I605" t="str">
        <x:v>Mixed</x:v>
      </x:c>
      <x:c r="J605" t="str">
        <x:v>Low</x:v>
      </x:c>
      <x:c r="K605" t="n">
        <x:v>26012850</x:v>
      </x:c>
      <x:c r="L605" t="n">
        <x:v>598</x:v>
      </x:c>
      <x:c r="M605" t="n">
        <x:v>315.5</x:v>
      </x:c>
      <x:c r="N605" t="n">
        <x:v>33.6</x:v>
      </x:c>
      <x:c r="O605" t="n">
        <x:v>71.8</x:v>
      </x:c>
      <x:c r="P605" t="str">
        <x:v>Sunny</x:v>
      </x:c>
      <x:c r="Q605" t="n">
        <x:v>66</x:v>
      </x:c>
      <x:c r="R605" t="n">
        <x:v>78.9</x:v>
      </x:c>
      <x:c r="S605" t="n">
        <x:v>0.0764</x:v>
      </x:c>
      <x:c r="T605" t="n">
        <x:v>12.4</x:v>
      </x:c>
      <x:c r="U605" t="n">
        <x:v>860.5</x:v>
      </x:c>
      <x:c r="V605" t="n">
        <x:v>1591</x:v>
      </x:c>
      <x:c r="W605" t="n">
        <x:v>36.6</x:v>
      </x:c>
    </x:row>
    <x:row r="606">
      <x:c r="A606" t="str">
        <x:v>PJT_605</x:v>
      </x:c>
      <x:c r="B606" t="str">
        <x:v>Mediterranean</x:v>
      </x:c>
      <x:c r="C606" t="n">
        <x:v>20420</x:v>
      </x:c>
      <x:c r="D606" t="n">
        <x:v>13</x:v>
      </x:c>
      <x:c r="E606" t="str">
        <x:v>Medium</x:v>
      </x:c>
      <x:c r="F606" t="str">
        <x:v>Mixed-use</x:v>
      </x:c>
      <x:c r="G606" t="str">
        <x:v>Shear Wall</x:v>
      </x:c>
      <x:c r="H606" t="str">
        <x:v>Piles</x:v>
      </x:c>
      <x:c r="I606" t="str">
        <x:v>Mixed</x:v>
      </x:c>
      <x:c r="J606" t="str">
        <x:v>High</x:v>
      </x:c>
      <x:c r="K606" t="n">
        <x:v>55828280</x:v>
      </x:c>
      <x:c r="L606" t="n">
        <x:v>976</x:v>
      </x:c>
      <x:c r="M606" t="n">
        <x:v>363.8</x:v>
      </x:c>
      <x:c r="N606" t="n">
        <x:v>16.7</x:v>
      </x:c>
      <x:c r="O606" t="n">
        <x:v>54</x:v>
      </x:c>
      <x:c r="P606" t="str">
        <x:v>Cloudy</x:v>
      </x:c>
      <x:c r="Q606" t="n">
        <x:v>76</x:v>
      </x:c>
      <x:c r="R606" t="n">
        <x:v>84.1</x:v>
      </x:c>
      <x:c r="S606" t="n">
        <x:v>0.1015</x:v>
      </x:c>
      <x:c r="T606" t="n">
        <x:v>19</x:v>
      </x:c>
      <x:c r="U606" t="n">
        <x:v>1570.8</x:v>
      </x:c>
      <x:c r="V606" t="n">
        <x:v>2734</x:v>
      </x:c>
      <x:c r="W606" t="n">
        <x:v>47.8</x:v>
      </x:c>
    </x:row>
    <x:row r="607">
      <x:c r="A607" t="str">
        <x:v>PJT_606</x:v>
      </x:c>
      <x:c r="B607" t="str">
        <x:v>Humid Subtropical</x:v>
      </x:c>
      <x:c r="C607" t="n">
        <x:v>25690</x:v>
      </x:c>
      <x:c r="D607" t="n">
        <x:v>25</x:v>
      </x:c>
      <x:c r="E607" t="str">
        <x:v>High</x:v>
      </x:c>
      <x:c r="F607" t="str">
        <x:v>Mixed-use</x:v>
      </x:c>
      <x:c r="G607" t="str">
        <x:v>Steel</x:v>
      </x:c>
      <x:c r="H607" t="str">
        <x:v>Piles</x:v>
      </x:c>
      <x:c r="I607" t="str">
        <x:v>Mixed</x:v>
      </x:c>
      <x:c r="J607" t="str">
        <x:v>Low</x:v>
      </x:c>
      <x:c r="K607" t="n">
        <x:v>74732210</x:v>
      </x:c>
      <x:c r="L607" t="n">
        <x:v>1464</x:v>
      </x:c>
      <x:c r="M607" t="n">
        <x:v>334.7</x:v>
      </x:c>
      <x:c r="N607" t="n">
        <x:v>21.8</x:v>
      </x:c>
      <x:c r="O607" t="n">
        <x:v>73.6</x:v>
      </x:c>
      <x:c r="P607" t="str">
        <x:v>Cloudy</x:v>
      </x:c>
      <x:c r="Q607" t="n">
        <x:v>84</x:v>
      </x:c>
      <x:c r="R607" t="n">
        <x:v>91.7</x:v>
      </x:c>
      <x:c r="S607" t="n">
        <x:v>0.1045</x:v>
      </x:c>
      <x:c r="T607" t="n">
        <x:v>21.1</x:v>
      </x:c>
      <x:c r="U607" t="n">
        <x:v>1027.6</x:v>
      </x:c>
      <x:c r="V607" t="n">
        <x:v>2909</x:v>
      </x:c>
      <x:c r="W607" t="n">
        <x:v>57</x:v>
      </x:c>
    </x:row>
    <x:row r="608">
      <x:c r="A608" t="str">
        <x:v>PJT_607</x:v>
      </x:c>
      <x:c r="B608" t="str">
        <x:v>Mediterranean</x:v>
      </x:c>
      <x:c r="C608" t="n">
        <x:v>14740</x:v>
      </x:c>
      <x:c r="D608" t="n">
        <x:v>12</x:v>
      </x:c>
      <x:c r="E608" t="str">
        <x:v>Medium</x:v>
      </x:c>
      <x:c r="F608" t="str">
        <x:v>Residential</x:v>
      </x:c>
      <x:c r="G608" t="str">
        <x:v>Shear Wall</x:v>
      </x:c>
      <x:c r="H608" t="str">
        <x:v>Piles</x:v>
      </x:c>
      <x:c r="I608" t="str">
        <x:v>Soft Clay</x:v>
      </x:c>
      <x:c r="J608" t="str">
        <x:v>High</x:v>
      </x:c>
      <x:c r="K608" t="n">
        <x:v>27121600</x:v>
      </x:c>
      <x:c r="L608" t="n">
        <x:v>622</x:v>
      </x:c>
      <x:c r="M608" t="n">
        <x:v>211.7</x:v>
      </x:c>
      <x:c r="N608" t="n">
        <x:v>14.9</x:v>
      </x:c>
      <x:c r="O608" t="n">
        <x:v>74.3</x:v>
      </x:c>
      <x:c r="P608" t="str">
        <x:v>Stormy</x:v>
      </x:c>
      <x:c r="Q608" t="n">
        <x:v>67</x:v>
      </x:c>
      <x:c r="R608" t="n">
        <x:v>71.3</x:v>
      </x:c>
      <x:c r="S608" t="n">
        <x:v>0.0833</x:v>
      </x:c>
      <x:c r="T608" t="n">
        <x:v>12.9</x:v>
      </x:c>
      <x:c r="U608" t="n">
        <x:v>1228.3</x:v>
      </x:c>
      <x:c r="V608" t="n">
        <x:v>1840</x:v>
      </x:c>
      <x:c r="W608" t="n">
        <x:v>42.2</x:v>
      </x:c>
    </x:row>
    <x:row r="609">
      <x:c r="A609" t="str">
        <x:v>PJT_608</x:v>
      </x:c>
      <x:c r="B609" t="str">
        <x:v>Continental</x:v>
      </x:c>
      <x:c r="C609" t="n">
        <x:v>25050</x:v>
      </x:c>
      <x:c r="D609" t="n">
        <x:v>12</x:v>
      </x:c>
      <x:c r="E609" t="str">
        <x:v>Medium</x:v>
      </x:c>
      <x:c r="F609" t="str">
        <x:v>Hospital</x:v>
      </x:c>
      <x:c r="G609" t="str">
        <x:v>Steel</x:v>
      </x:c>
      <x:c r="H609" t="str">
        <x:v>Piles</x:v>
      </x:c>
      <x:c r="I609" t="str">
        <x:v>Sand</x:v>
      </x:c>
      <x:c r="J609" t="str">
        <x:v>Low</x:v>
      </x:c>
      <x:c r="K609" t="n">
        <x:v>79608900</x:v>
      </x:c>
      <x:c r="L609" t="n">
        <x:v>1328</x:v>
      </x:c>
      <x:c r="M609" t="n">
        <x:v>338.4</x:v>
      </x:c>
      <x:c r="N609" t="n">
        <x:v>1.3</x:v>
      </x:c>
      <x:c r="O609" t="n">
        <x:v>69.6</x:v>
      </x:c>
      <x:c r="P609" t="str">
        <x:v>Cloudy</x:v>
      </x:c>
      <x:c r="Q609" t="n">
        <x:v>89</x:v>
      </x:c>
      <x:c r="R609" t="n">
        <x:v>79</x:v>
      </x:c>
      <x:c r="S609" t="n">
        <x:v>0.1125</x:v>
      </x:c>
      <x:c r="T609" t="n">
        <x:v>21.1</x:v>
      </x:c>
      <x:c r="U609" t="n">
        <x:v>2087.5</x:v>
      </x:c>
      <x:c r="V609" t="n">
        <x:v>3178</x:v>
      </x:c>
      <x:c r="W609" t="n">
        <x:v>53</x:v>
      </x:c>
    </x:row>
    <x:row r="610">
      <x:c r="A610" t="str">
        <x:v>PJT_609</x:v>
      </x:c>
      <x:c r="B610" t="str">
        <x:v>Humid Subtropical</x:v>
      </x:c>
      <x:c r="C610" t="n">
        <x:v>16480</x:v>
      </x:c>
      <x:c r="D610" t="n">
        <x:v>9</x:v>
      </x:c>
      <x:c r="E610" t="str">
        <x:v>Medium</x:v>
      </x:c>
      <x:c r="F610" t="str">
        <x:v>Hospital</x:v>
      </x:c>
      <x:c r="G610" t="str">
        <x:v>Steel</x:v>
      </x:c>
      <x:c r="H610" t="str">
        <x:v>Raft</x:v>
      </x:c>
      <x:c r="I610" t="str">
        <x:v>Mixed</x:v>
      </x:c>
      <x:c r="J610" t="str">
        <x:v>Low</x:v>
      </x:c>
      <x:c r="K610" t="n">
        <x:v>51565920</x:v>
      </x:c>
      <x:c r="L610" t="n">
        <x:v>868</x:v>
      </x:c>
      <x:c r="M610" t="n">
        <x:v>294.1</x:v>
      </x:c>
      <x:c r="N610" t="n">
        <x:v>22.7</x:v>
      </x:c>
      <x:c r="O610" t="n">
        <x:v>84.2</x:v>
      </x:c>
      <x:c r="P610" t="str">
        <x:v>Stormy</x:v>
      </x:c>
      <x:c r="Q610" t="n">
        <x:v>105</x:v>
      </x:c>
      <x:c r="R610" t="n">
        <x:v>80.5</x:v>
      </x:c>
      <x:c r="S610" t="n">
        <x:v>0.1135</x:v>
      </x:c>
      <x:c r="T610" t="n">
        <x:v>20.9</x:v>
      </x:c>
      <x:c r="U610" t="n">
        <x:v>1831.1</x:v>
      </x:c>
      <x:c r="V610" t="n">
        <x:v>3129</x:v>
      </x:c>
      <x:c r="W610" t="n">
        <x:v>52.7</x:v>
      </x:c>
    </x:row>
    <x:row r="611">
      <x:c r="A611" t="str">
        <x:v>PJT_610</x:v>
      </x:c>
      <x:c r="B611" t="str">
        <x:v>Mediterranean</x:v>
      </x:c>
      <x:c r="C611" t="n">
        <x:v>3780</x:v>
      </x:c>
      <x:c r="D611" t="n">
        <x:v>6</x:v>
      </x:c>
      <x:c r="E611" t="str">
        <x:v>Low</x:v>
      </x:c>
      <x:c r="F611" t="str">
        <x:v>Residential</x:v>
      </x:c>
      <x:c r="G611" t="str">
        <x:v>RC Frame</x:v>
      </x:c>
      <x:c r="H611" t="str">
        <x:v>Raft</x:v>
      </x:c>
      <x:c r="I611" t="str">
        <x:v>Soft Clay</x:v>
      </x:c>
      <x:c r="J611" t="str">
        <x:v>High</x:v>
      </x:c>
      <x:c r="K611" t="n">
        <x:v>5707800</x:v>
      </x:c>
      <x:c r="L611" t="n">
        <x:v>180</x:v>
      </x:c>
      <x:c r="M611" t="n">
        <x:v>200.1</x:v>
      </x:c>
      <x:c r="N611" t="n">
        <x:v>20.4</x:v>
      </x:c>
      <x:c r="O611" t="n">
        <x:v>49.3</x:v>
      </x:c>
      <x:c r="P611" t="str">
        <x:v>Sunny</x:v>
      </x:c>
      <x:c r="Q611" t="n">
        <x:v>67</x:v>
      </x:c>
      <x:c r="R611" t="n">
        <x:v>67.6</x:v>
      </x:c>
      <x:c r="S611" t="n">
        <x:v>0.0751</x:v>
      </x:c>
      <x:c r="T611" t="n">
        <x:v>12.4</x:v>
      </x:c>
      <x:c r="U611" t="n">
        <x:v>630</x:v>
      </x:c>
      <x:c r="V611" t="n">
        <x:v>1510</x:v>
      </x:c>
      <x:c r="W611" t="n">
        <x:v>27.9</x:v>
      </x:c>
    </x:row>
    <x:row r="612">
      <x:c r="A612" t="str">
        <x:v>PJT_611</x:v>
      </x:c>
      <x:c r="B612" t="str">
        <x:v>Marine</x:v>
      </x:c>
      <x:c r="C612" t="n">
        <x:v>25750</x:v>
      </x:c>
      <x:c r="D612" t="n">
        <x:v>16</x:v>
      </x:c>
      <x:c r="E612" t="str">
        <x:v>Medium</x:v>
      </x:c>
      <x:c r="F612" t="str">
        <x:v>Mixed-use</x:v>
      </x:c>
      <x:c r="G612" t="str">
        <x:v>Shear Wall</x:v>
      </x:c>
      <x:c r="H612" t="str">
        <x:v>Piles</x:v>
      </x:c>
      <x:c r="I612" t="str">
        <x:v>Sand</x:v>
      </x:c>
      <x:c r="J612" t="str">
        <x:v>Low</x:v>
      </x:c>
      <x:c r="K612" t="n">
        <x:v>67156000</x:v>
      </x:c>
      <x:c r="L612" t="n">
        <x:v>1257</x:v>
      </x:c>
      <x:c r="M612" t="n">
        <x:v>238.2</x:v>
      </x:c>
      <x:c r="N612" t="n">
        <x:v>14.9</x:v>
      </x:c>
      <x:c r="O612" t="n">
        <x:v>63.8</x:v>
      </x:c>
      <x:c r="P612" t="str">
        <x:v>Sunny</x:v>
      </x:c>
      <x:c r="Q612" t="n">
        <x:v>71</x:v>
      </x:c>
      <x:c r="R612" t="n">
        <x:v>85.9</x:v>
      </x:c>
      <x:c r="S612" t="n">
        <x:v>0.1005</x:v>
      </x:c>
      <x:c r="T612" t="n">
        <x:v>17.4</x:v>
      </x:c>
      <x:c r="U612" t="n">
        <x:v>1609.4</x:v>
      </x:c>
      <x:c r="V612" t="n">
        <x:v>2608</x:v>
      </x:c>
      <x:c r="W612" t="n">
        <x:v>48.8</x:v>
      </x:c>
    </x:row>
    <x:row r="613">
      <x:c r="A613" t="str">
        <x:v>PJT_612</x:v>
      </x:c>
      <x:c r="B613" t="str">
        <x:v>Continental</x:v>
      </x:c>
      <x:c r="C613" t="n">
        <x:v>6460</x:v>
      </x:c>
      <x:c r="D613" t="n">
        <x:v>6</x:v>
      </x:c>
      <x:c r="E613" t="str">
        <x:v>Low</x:v>
      </x:c>
      <x:c r="F613" t="str">
        <x:v>Residential</x:v>
      </x:c>
      <x:c r="G613" t="str">
        <x:v>RC Frame</x:v>
      </x:c>
      <x:c r="H613" t="str">
        <x:v>Raft</x:v>
      </x:c>
      <x:c r="I613" t="str">
        <x:v>Soft Clay</x:v>
      </x:c>
      <x:c r="J613" t="str">
        <x:v>Medium</x:v>
      </x:c>
      <x:c r="K613" t="n">
        <x:v>9140900</x:v>
      </x:c>
      <x:c r="L613" t="n">
        <x:v>211</x:v>
      </x:c>
      <x:c r="M613" t="n">
        <x:v>182.8</x:v>
      </x:c>
      <x:c r="N613" t="n">
        <x:v>8.1</x:v>
      </x:c>
      <x:c r="O613" t="n">
        <x:v>81.6</x:v>
      </x:c>
      <x:c r="P613" t="str">
        <x:v>Rainy</x:v>
      </x:c>
      <x:c r="Q613" t="n">
        <x:v>77</x:v>
      </x:c>
      <x:c r="R613" t="n">
        <x:v>65.5</x:v>
      </x:c>
      <x:c r="S613" t="n">
        <x:v>0.0738</x:v>
      </x:c>
      <x:c r="T613" t="n">
        <x:v>11.1</x:v>
      </x:c>
      <x:c r="U613" t="n">
        <x:v>1076.7</x:v>
      </x:c>
      <x:c r="V613" t="n">
        <x:v>1415</x:v>
      </x:c>
      <x:c r="W613" t="n">
        <x:v>32.6</x:v>
      </x:c>
    </x:row>
    <x:row r="614">
      <x:c r="A614" t="str">
        <x:v>PJT_613</x:v>
      </x:c>
      <x:c r="B614" t="str">
        <x:v>Marine</x:v>
      </x:c>
      <x:c r="C614" t="n">
        <x:v>20470</x:v>
      </x:c>
      <x:c r="D614" t="n">
        <x:v>11</x:v>
      </x:c>
      <x:c r="E614" t="str">
        <x:v>Medium</x:v>
      </x:c>
      <x:c r="F614" t="str">
        <x:v>Hospital</x:v>
      </x:c>
      <x:c r="G614" t="str">
        <x:v>Shear Wall</x:v>
      </x:c>
      <x:c r="H614" t="str">
        <x:v>Raft</x:v>
      </x:c>
      <x:c r="I614" t="str">
        <x:v>Sand</x:v>
      </x:c>
      <x:c r="J614" t="str">
        <x:v>Medium</x:v>
      </x:c>
      <x:c r="K614" t="n">
        <x:v>64480500</x:v>
      </x:c>
      <x:c r="L614" t="n">
        <x:v>1038</x:v>
      </x:c>
      <x:c r="M614" t="n">
        <x:v>302.4</x:v>
      </x:c>
      <x:c r="N614" t="n">
        <x:v>7.1</x:v>
      </x:c>
      <x:c r="O614" t="n">
        <x:v>78.2</x:v>
      </x:c>
      <x:c r="P614" t="str">
        <x:v>Rainy</x:v>
      </x:c>
      <x:c r="Q614" t="n">
        <x:v>82</x:v>
      </x:c>
      <x:c r="R614" t="n">
        <x:v>82</x:v>
      </x:c>
      <x:c r="S614" t="n">
        <x:v>0.1115</x:v>
      </x:c>
      <x:c r="T614" t="n">
        <x:v>21.1</x:v>
      </x:c>
      <x:c r="U614" t="n">
        <x:v>1860.9</x:v>
      </x:c>
      <x:c r="V614" t="n">
        <x:v>3150</x:v>
      </x:c>
      <x:c r="W614" t="n">
        <x:v>50.7</x:v>
      </x:c>
    </x:row>
    <x:row r="615">
      <x:c r="A615" t="str">
        <x:v>PJT_614</x:v>
      </x:c>
      <x:c r="B615" t="str">
        <x:v>Mediterranean</x:v>
      </x:c>
      <x:c r="C615" t="n">
        <x:v>21530</x:v>
      </x:c>
      <x:c r="D615" t="n">
        <x:v>14</x:v>
      </x:c>
      <x:c r="E615" t="str">
        <x:v>Medium</x:v>
      </x:c>
      <x:c r="F615" t="str">
        <x:v>Commercial</x:v>
      </x:c>
      <x:c r="G615" t="str">
        <x:v>Steel</x:v>
      </x:c>
      <x:c r="H615" t="str">
        <x:v>Piles</x:v>
      </x:c>
      <x:c r="I615" t="str">
        <x:v>Sand</x:v>
      </x:c>
      <x:c r="J615" t="str">
        <x:v>Medium</x:v>
      </x:c>
      <x:c r="K615" t="n">
        <x:v>53997240</x:v>
      </x:c>
      <x:c r="L615" t="n">
        <x:v>971</x:v>
      </x:c>
      <x:c r="M615" t="n">
        <x:v>345.5</x:v>
      </x:c>
      <x:c r="N615" t="n">
        <x:v>21.2</x:v>
      </x:c>
      <x:c r="O615" t="n">
        <x:v>50</x:v>
      </x:c>
      <x:c r="P615" t="str">
        <x:v>Cloudy</x:v>
      </x:c>
      <x:c r="Q615" t="n">
        <x:v>63</x:v>
      </x:c>
      <x:c r="R615" t="n">
        <x:v>77.4</x:v>
      </x:c>
      <x:c r="S615" t="n">
        <x:v>0.0938</x:v>
      </x:c>
      <x:c r="T615" t="n">
        <x:v>18.1</x:v>
      </x:c>
      <x:c r="U615" t="n">
        <x:v>1537.9</x:v>
      </x:c>
      <x:c r="V615" t="n">
        <x:v>2508</x:v>
      </x:c>
      <x:c r="W615" t="n">
        <x:v>45.1</x:v>
      </x:c>
    </x:row>
    <x:row r="616">
      <x:c r="A616" t="str">
        <x:v>PJT_615</x:v>
      </x:c>
      <x:c r="B616" t="str">
        <x:v>Mediterranean</x:v>
      </x:c>
      <x:c r="C616" t="n">
        <x:v>27520</x:v>
      </x:c>
      <x:c r="D616" t="n">
        <x:v>21</x:v>
      </x:c>
      <x:c r="E616" t="str">
        <x:v>High</x:v>
      </x:c>
      <x:c r="F616" t="str">
        <x:v>Mixed-use</x:v>
      </x:c>
      <x:c r="G616" t="str">
        <x:v>Steel</x:v>
      </x:c>
      <x:c r="H616" t="str">
        <x:v>Piles</x:v>
      </x:c>
      <x:c r="I616" t="str">
        <x:v>Soft Clay</x:v>
      </x:c>
      <x:c r="J616" t="str">
        <x:v>Low</x:v>
      </x:c>
      <x:c r="K616" t="n">
        <x:v>76092800</x:v>
      </x:c>
      <x:c r="L616" t="n">
        <x:v>1541</x:v>
      </x:c>
      <x:c r="M616" t="n">
        <x:v>229.3</x:v>
      </x:c>
      <x:c r="N616" t="n">
        <x:v>18</x:v>
      </x:c>
      <x:c r="O616" t="n">
        <x:v>83.1</x:v>
      </x:c>
      <x:c r="P616" t="str">
        <x:v>Rainy</x:v>
      </x:c>
      <x:c r="Q616" t="n">
        <x:v>86</x:v>
      </x:c>
      <x:c r="R616" t="n">
        <x:v>85.9</x:v>
      </x:c>
      <x:c r="S616" t="n">
        <x:v>0.1074</x:v>
      </x:c>
      <x:c r="T616" t="n">
        <x:v>20.4</x:v>
      </x:c>
      <x:c r="U616" t="n">
        <x:v>1310.5</x:v>
      </x:c>
      <x:c r="V616" t="n">
        <x:v>2765</x:v>
      </x:c>
      <x:c r="W616" t="n">
        <x:v>56</x:v>
      </x:c>
    </x:row>
    <x:row r="617">
      <x:c r="A617" t="str">
        <x:v>PJT_616</x:v>
      </x:c>
      <x:c r="B617" t="str">
        <x:v>Mediterranean</x:v>
      </x:c>
      <x:c r="C617" t="n">
        <x:v>19350</x:v>
      </x:c>
      <x:c r="D617" t="n">
        <x:v>14</x:v>
      </x:c>
      <x:c r="E617" t="str">
        <x:v>Medium</x:v>
      </x:c>
      <x:c r="F617" t="str">
        <x:v>Commercial</x:v>
      </x:c>
      <x:c r="G617" t="str">
        <x:v>Steel</x:v>
      </x:c>
      <x:c r="H617" t="str">
        <x:v>Piles</x:v>
      </x:c>
      <x:c r="I617" t="str">
        <x:v>Sand</x:v>
      </x:c>
      <x:c r="J617" t="str">
        <x:v>High</x:v>
      </x:c>
      <x:c r="K617" t="n">
        <x:v>50135850</x:v>
      </x:c>
      <x:c r="L617" t="n">
        <x:v>888</x:v>
      </x:c>
      <x:c r="M617" t="n">
        <x:v>342.8</x:v>
      </x:c>
      <x:c r="N617" t="n">
        <x:v>20.2</x:v>
      </x:c>
      <x:c r="O617" t="n">
        <x:v>57.3</x:v>
      </x:c>
      <x:c r="P617" t="str">
        <x:v>Cloudy</x:v>
      </x:c>
      <x:c r="Q617" t="n">
        <x:v>84</x:v>
      </x:c>
      <x:c r="R617" t="n">
        <x:v>81.2</x:v>
      </x:c>
      <x:c r="S617" t="n">
        <x:v>0.0989</x:v>
      </x:c>
      <x:c r="T617" t="n">
        <x:v>16.8</x:v>
      </x:c>
      <x:c r="U617" t="n">
        <x:v>1382.1</x:v>
      </x:c>
      <x:c r="V617" t="n">
        <x:v>2591</x:v>
      </x:c>
      <x:c r="W617" t="n">
        <x:v>45.9</x:v>
      </x:c>
    </x:row>
    <x:row r="618">
      <x:c r="A618" t="str">
        <x:v>PJT_617</x:v>
      </x:c>
      <x:c r="B618" t="str">
        <x:v>Mediterranean</x:v>
      </x:c>
      <x:c r="C618" t="n">
        <x:v>9370</x:v>
      </x:c>
      <x:c r="D618" t="n">
        <x:v>4</x:v>
      </x:c>
      <x:c r="E618" t="str">
        <x:v>Low</x:v>
      </x:c>
      <x:c r="F618" t="str">
        <x:v>School</x:v>
      </x:c>
      <x:c r="G618" t="str">
        <x:v>RC Frame</x:v>
      </x:c>
      <x:c r="H618" t="str">
        <x:v>Raft</x:v>
      </x:c>
      <x:c r="I618" t="str">
        <x:v>Mixed</x:v>
      </x:c>
      <x:c r="J618" t="str">
        <x:v>High</x:v>
      </x:c>
      <x:c r="K618" t="n">
        <x:v>17203320</x:v>
      </x:c>
      <x:c r="L618" t="n">
        <x:v>279</x:v>
      </x:c>
      <x:c r="M618" t="n">
        <x:v>314.9</x:v>
      </x:c>
      <x:c r="N618" t="n">
        <x:v>12.6</x:v>
      </x:c>
      <x:c r="O618" t="n">
        <x:v>69.3</x:v>
      </x:c>
      <x:c r="P618" t="str">
        <x:v>Rainy</x:v>
      </x:c>
      <x:c r="Q618" t="n">
        <x:v>80</x:v>
      </x:c>
      <x:c r="R618" t="n">
        <x:v>69.4</x:v>
      </x:c>
      <x:c r="S618" t="n">
        <x:v>0.0808</x:v>
      </x:c>
      <x:c r="T618" t="n">
        <x:v>13.4</x:v>
      </x:c>
      <x:c r="U618" t="n">
        <x:v>2342.5</x:v>
      </x:c>
      <x:c r="V618" t="n">
        <x:v>1836</x:v>
      </x:c>
      <x:c r="W618" t="n">
        <x:v>29.8</x:v>
      </x:c>
    </x:row>
    <x:row r="619">
      <x:c r="A619" t="str">
        <x:v>PJT_618</x:v>
      </x:c>
      <x:c r="B619" t="str">
        <x:v>Continental</x:v>
      </x:c>
      <x:c r="C619" t="n">
        <x:v>6230</x:v>
      </x:c>
      <x:c r="D619" t="n">
        <x:v>7</x:v>
      </x:c>
      <x:c r="E619" t="str">
        <x:v>Low</x:v>
      </x:c>
      <x:c r="F619" t="str">
        <x:v>Residential</x:v>
      </x:c>
      <x:c r="G619" t="str">
        <x:v>RC Frame</x:v>
      </x:c>
      <x:c r="H619" t="str">
        <x:v>Raft</x:v>
      </x:c>
      <x:c r="I619" t="str">
        <x:v>Mixed</x:v>
      </x:c>
      <x:c r="J619" t="str">
        <x:v>Low</x:v>
      </x:c>
      <x:c r="K619" t="n">
        <x:v>8074080</x:v>
      </x:c>
      <x:c r="L619" t="n">
        <x:v>180</x:v>
      </x:c>
      <x:c r="M619" t="n">
        <x:v>373.9</x:v>
      </x:c>
      <x:c r="N619" t="n">
        <x:v>12.6</x:v>
      </x:c>
      <x:c r="O619" t="n">
        <x:v>45.9</x:v>
      </x:c>
      <x:c r="P619" t="str">
        <x:v>Sunny</x:v>
      </x:c>
      <x:c r="Q619" t="n">
        <x:v>72</x:v>
      </x:c>
      <x:c r="R619" t="n">
        <x:v>60.5</x:v>
      </x:c>
      <x:c r="S619" t="n">
        <x:v>0.0758</x:v>
      </x:c>
      <x:c r="T619" t="n">
        <x:v>11.5</x:v>
      </x:c>
      <x:c r="U619" t="n">
        <x:v>890</x:v>
      </x:c>
      <x:c r="V619" t="n">
        <x:v>1296</x:v>
      </x:c>
      <x:c r="W619" t="n">
        <x:v>28.8</x:v>
      </x:c>
    </x:row>
    <x:row r="620">
      <x:c r="A620" t="str">
        <x:v>PJT_619</x:v>
      </x:c>
      <x:c r="B620" t="str">
        <x:v>Humid Subtropical</x:v>
      </x:c>
      <x:c r="C620" t="n">
        <x:v>18930</x:v>
      </x:c>
      <x:c r="D620" t="n">
        <x:v>10</x:v>
      </x:c>
      <x:c r="E620" t="str">
        <x:v>Medium</x:v>
      </x:c>
      <x:c r="F620" t="str">
        <x:v>Hospital</x:v>
      </x:c>
      <x:c r="G620" t="str">
        <x:v>Steel</x:v>
      </x:c>
      <x:c r="H620" t="str">
        <x:v>Raft</x:v>
      </x:c>
      <x:c r="I620" t="str">
        <x:v>Mixed</x:v>
      </x:c>
      <x:c r="J620" t="str">
        <x:v>Low</x:v>
      </x:c>
      <x:c r="K620" t="n">
        <x:v>57301110</x:v>
      </x:c>
      <x:c r="L620" t="n">
        <x:v>945</x:v>
      </x:c>
      <x:c r="M620" t="n">
        <x:v>298.4</x:v>
      </x:c>
      <x:c r="N620" t="n">
        <x:v>22</x:v>
      </x:c>
      <x:c r="O620" t="n">
        <x:v>62.4</x:v>
      </x:c>
      <x:c r="P620" t="str">
        <x:v>Cloudy</x:v>
      </x:c>
      <x:c r="Q620" t="n">
        <x:v>84</x:v>
      </x:c>
      <x:c r="R620" t="n">
        <x:v>77.4</x:v>
      </x:c>
      <x:c r="S620" t="n">
        <x:v>0.1085</x:v>
      </x:c>
      <x:c r="T620" t="n">
        <x:v>22</x:v>
      </x:c>
      <x:c r="U620" t="n">
        <x:v>1893</x:v>
      </x:c>
      <x:c r="V620" t="n">
        <x:v>3027</x:v>
      </x:c>
      <x:c r="W620" t="n">
        <x:v>49.9</x:v>
      </x:c>
    </x:row>
    <x:row r="621">
      <x:c r="A621" t="str">
        <x:v>PJT_620</x:v>
      </x:c>
      <x:c r="B621" t="str">
        <x:v>Mediterranean</x:v>
      </x:c>
      <x:c r="C621" t="n">
        <x:v>12380</x:v>
      </x:c>
      <x:c r="D621" t="n">
        <x:v>4</x:v>
      </x:c>
      <x:c r="E621" t="str">
        <x:v>Medium</x:v>
      </x:c>
      <x:c r="F621" t="str">
        <x:v>School</x:v>
      </x:c>
      <x:c r="G621" t="str">
        <x:v>RC Frame</x:v>
      </x:c>
      <x:c r="H621" t="str">
        <x:v>Raft</x:v>
      </x:c>
      <x:c r="I621" t="str">
        <x:v>Soft Clay</x:v>
      </x:c>
      <x:c r="J621" t="str">
        <x:v>High</x:v>
      </x:c>
      <x:c r="K621" t="n">
        <x:v>22729680</x:v>
      </x:c>
      <x:c r="L621" t="n">
        <x:v>394</x:v>
      </x:c>
      <x:c r="M621" t="n">
        <x:v>182.9</x:v>
      </x:c>
      <x:c r="N621" t="n">
        <x:v>20.4</x:v>
      </x:c>
      <x:c r="O621" t="n">
        <x:v>53.3</x:v>
      </x:c>
      <x:c r="P621" t="str">
        <x:v>Cloudy</x:v>
      </x:c>
      <x:c r="Q621" t="n">
        <x:v>71</x:v>
      </x:c>
      <x:c r="R621" t="n">
        <x:v>69.8</x:v>
      </x:c>
      <x:c r="S621" t="n">
        <x:v>0.0838</x:v>
      </x:c>
      <x:c r="T621" t="n">
        <x:v>13.7</x:v>
      </x:c>
      <x:c r="U621" t="n">
        <x:v>3095</x:v>
      </x:c>
      <x:c r="V621" t="n">
        <x:v>1836</x:v>
      </x:c>
      <x:c r="W621" t="n">
        <x:v>31.8</x:v>
      </x:c>
    </x:row>
    <x:row r="622">
      <x:c r="A622" t="str">
        <x:v>PJT_621</x:v>
      </x:c>
      <x:c r="B622" t="str">
        <x:v>Humid Subtropical</x:v>
      </x:c>
      <x:c r="C622" t="n">
        <x:v>11540</x:v>
      </x:c>
      <x:c r="D622" t="n">
        <x:v>5</x:v>
      </x:c>
      <x:c r="E622" t="str">
        <x:v>Low</x:v>
      </x:c>
      <x:c r="F622" t="str">
        <x:v>School</x:v>
      </x:c>
      <x:c r="G622" t="str">
        <x:v>RC Frame</x:v>
      </x:c>
      <x:c r="H622" t="str">
        <x:v>Raft</x:v>
      </x:c>
      <x:c r="I622" t="str">
        <x:v>Mixed</x:v>
      </x:c>
      <x:c r="J622" t="str">
        <x:v>Low</x:v>
      </x:c>
      <x:c r="K622" t="n">
        <x:v>18406300</x:v>
      </x:c>
      <x:c r="L622" t="n">
        <x:v>395</x:v>
      </x:c>
      <x:c r="M622" t="n">
        <x:v>345.1</x:v>
      </x:c>
      <x:c r="N622" t="n">
        <x:v>28.9</x:v>
      </x:c>
      <x:c r="O622" t="n">
        <x:v>93.6</x:v>
      </x:c>
      <x:c r="P622" t="str">
        <x:v>Stormy</x:v>
      </x:c>
      <x:c r="Q622" t="n">
        <x:v>70</x:v>
      </x:c>
      <x:c r="R622" t="n">
        <x:v>69.1</x:v>
      </x:c>
      <x:c r="S622" t="n">
        <x:v>0.0764</x:v>
      </x:c>
      <x:c r="T622" t="n">
        <x:v>12.6</x:v>
      </x:c>
      <x:c r="U622" t="n">
        <x:v>2308</x:v>
      </x:c>
      <x:c r="V622" t="n">
        <x:v>1595</x:v>
      </x:c>
      <x:c r="W622" t="n">
        <x:v>34.2</x:v>
      </x:c>
    </x:row>
    <x:row r="623">
      <x:c r="A623" t="str">
        <x:v>PJT_622</x:v>
      </x:c>
      <x:c r="B623" t="str">
        <x:v>Humid Subtropical</x:v>
      </x:c>
      <x:c r="C623" t="n">
        <x:v>22270</x:v>
      </x:c>
      <x:c r="D623" t="n">
        <x:v>18</x:v>
      </x:c>
      <x:c r="E623" t="str">
        <x:v>Medium</x:v>
      </x:c>
      <x:c r="F623" t="str">
        <x:v>Residential</x:v>
      </x:c>
      <x:c r="G623" t="str">
        <x:v>Shear Wall</x:v>
      </x:c>
      <x:c r="H623" t="str">
        <x:v>Piles</x:v>
      </x:c>
      <x:c r="I623" t="str">
        <x:v>Mixed</x:v>
      </x:c>
      <x:c r="J623" t="str">
        <x:v>Medium</x:v>
      </x:c>
      <x:c r="K623" t="n">
        <x:v>38193050</x:v>
      </x:c>
      <x:c r="L623" t="n">
        <x:v>989</x:v>
      </x:c>
      <x:c r="M623" t="n">
        <x:v>283.3</x:v>
      </x:c>
      <x:c r="N623" t="n">
        <x:v>23</x:v>
      </x:c>
      <x:c r="O623" t="n">
        <x:v>83.5</x:v>
      </x:c>
      <x:c r="P623" t="str">
        <x:v>Stormy</x:v>
      </x:c>
      <x:c r="Q623" t="n">
        <x:v>70</x:v>
      </x:c>
      <x:c r="R623" t="n">
        <x:v>73</x:v>
      </x:c>
      <x:c r="S623" t="n">
        <x:v>0.0821</x:v>
      </x:c>
      <x:c r="T623" t="n">
        <x:v>13.4</x:v>
      </x:c>
      <x:c r="U623" t="n">
        <x:v>1237.2</x:v>
      </x:c>
      <x:c r="V623" t="n">
        <x:v>1715</x:v>
      </x:c>
      <x:c r="W623" t="n">
        <x:v>44.4</x:v>
      </x:c>
    </x:row>
    <x:row r="624">
      <x:c r="A624" t="str">
        <x:v>PJT_623</x:v>
      </x:c>
      <x:c r="B624" t="str">
        <x:v>Humid Subtropical</x:v>
      </x:c>
      <x:c r="C624" t="n">
        <x:v>33780</x:v>
      </x:c>
      <x:c r="D624" t="n">
        <x:v>21</x:v>
      </x:c>
      <x:c r="E624" t="str">
        <x:v>High</x:v>
      </x:c>
      <x:c r="F624" t="str">
        <x:v>Mixed-use</x:v>
      </x:c>
      <x:c r="G624" t="str">
        <x:v>Steel</x:v>
      </x:c>
      <x:c r="H624" t="str">
        <x:v>Piles</x:v>
      </x:c>
      <x:c r="I624" t="str">
        <x:v>Mixed</x:v>
      </x:c>
      <x:c r="J624" t="str">
        <x:v>High</x:v>
      </x:c>
      <x:c r="K624" t="n">
        <x:v>105089580</x:v>
      </x:c>
      <x:c r="L624" t="n">
        <x:v>1824</x:v>
      </x:c>
      <x:c r="M624" t="n">
        <x:v>324.8</x:v>
      </x:c>
      <x:c r="N624" t="n">
        <x:v>29.5</x:v>
      </x:c>
      <x:c r="O624" t="n">
        <x:v>64.6</x:v>
      </x:c>
      <x:c r="P624" t="str">
        <x:v>Cloudy</x:v>
      </x:c>
      <x:c r="Q624" t="n">
        <x:v>75</x:v>
      </x:c>
      <x:c r="R624" t="n">
        <x:v>92</x:v>
      </x:c>
      <x:c r="S624" t="n">
        <x:v>0.1068</x:v>
      </x:c>
      <x:c r="T624" t="n">
        <x:v>20.3</x:v>
      </x:c>
      <x:c r="U624" t="n">
        <x:v>1608.6</x:v>
      </x:c>
      <x:c r="V624" t="n">
        <x:v>3111</x:v>
      </x:c>
      <x:c r="W624" t="n">
        <x:v>54</x:v>
      </x:c>
    </x:row>
    <x:row r="625">
      <x:c r="A625" t="str">
        <x:v>PJT_624</x:v>
      </x:c>
      <x:c r="B625" t="str">
        <x:v>Continental</x:v>
      </x:c>
      <x:c r="C625" t="n">
        <x:v>27480</x:v>
      </x:c>
      <x:c r="D625" t="n">
        <x:v>21</x:v>
      </x:c>
      <x:c r="E625" t="str">
        <x:v>High</x:v>
      </x:c>
      <x:c r="F625" t="str">
        <x:v>Mixed-use</x:v>
      </x:c>
      <x:c r="G625" t="str">
        <x:v>Steel</x:v>
      </x:c>
      <x:c r="H625" t="str">
        <x:v>Piles</x:v>
      </x:c>
      <x:c r="I625" t="str">
        <x:v>Sand</x:v>
      </x:c>
      <x:c r="J625" t="str">
        <x:v>Low</x:v>
      </x:c>
      <x:c r="K625" t="n">
        <x:v>75295200</x:v>
      </x:c>
      <x:c r="L625" t="n">
        <x:v>1542</x:v>
      </x:c>
      <x:c r="M625" t="n">
        <x:v>318.6</x:v>
      </x:c>
      <x:c r="N625" t="n">
        <x:v>9.6</x:v>
      </x:c>
      <x:c r="O625" t="n">
        <x:v>76.2</x:v>
      </x:c>
      <x:c r="P625" t="str">
        <x:v>Rainy</x:v>
      </x:c>
      <x:c r="Q625" t="n">
        <x:v>106</x:v>
      </x:c>
      <x:c r="R625" t="n">
        <x:v>89.3</x:v>
      </x:c>
      <x:c r="S625" t="n">
        <x:v>0.105</x:v>
      </x:c>
      <x:c r="T625" t="n">
        <x:v>19.9</x:v>
      </x:c>
      <x:c r="U625" t="n">
        <x:v>1308.6</x:v>
      </x:c>
      <x:c r="V625" t="n">
        <x:v>2740</x:v>
      </x:c>
      <x:c r="W625" t="n">
        <x:v>56.1</x:v>
      </x:c>
    </x:row>
    <x:row r="626">
      <x:c r="A626" t="str">
        <x:v>PJT_625</x:v>
      </x:c>
      <x:c r="B626" t="str">
        <x:v>Mediterranean</x:v>
      </x:c>
      <x:c r="C626" t="n">
        <x:v>17170</x:v>
      </x:c>
      <x:c r="D626" t="n">
        <x:v>10</x:v>
      </x:c>
      <x:c r="E626" t="str">
        <x:v>Medium</x:v>
      </x:c>
      <x:c r="F626" t="str">
        <x:v>Commercial</x:v>
      </x:c>
      <x:c r="G626" t="str">
        <x:v>RC Frame</x:v>
      </x:c>
      <x:c r="H626" t="str">
        <x:v>Raft</x:v>
      </x:c>
      <x:c r="I626" t="str">
        <x:v>Mixed</x:v>
      </x:c>
      <x:c r="J626" t="str">
        <x:v>High</x:v>
      </x:c>
      <x:c r="K626" t="n">
        <x:v>39181940</x:v>
      </x:c>
      <x:c r="L626" t="n">
        <x:v>658</x:v>
      </x:c>
      <x:c r="M626" t="n">
        <x:v>264</x:v>
      </x:c>
      <x:c r="N626" t="n">
        <x:v>30</x:v>
      </x:c>
      <x:c r="O626" t="n">
        <x:v>46</x:v>
      </x:c>
      <x:c r="P626" t="str">
        <x:v>Sunny</x:v>
      </x:c>
      <x:c r="Q626" t="n">
        <x:v>73</x:v>
      </x:c>
      <x:c r="R626" t="n">
        <x:v>72.8</x:v>
      </x:c>
      <x:c r="S626" t="n">
        <x:v>0.0931</x:v>
      </x:c>
      <x:c r="T626" t="n">
        <x:v>16</x:v>
      </x:c>
      <x:c r="U626" t="n">
        <x:v>1717</x:v>
      </x:c>
      <x:c r="V626" t="n">
        <x:v>2282</x:v>
      </x:c>
      <x:c r="W626" t="n">
        <x:v>38.3</x:v>
      </x:c>
    </x:row>
    <x:row r="627">
      <x:c r="A627" t="str">
        <x:v>PJT_626</x:v>
      </x:c>
      <x:c r="B627" t="str">
        <x:v>Continental</x:v>
      </x:c>
      <x:c r="C627" t="n">
        <x:v>23850</x:v>
      </x:c>
      <x:c r="D627" t="n">
        <x:v>22</x:v>
      </x:c>
      <x:c r="E627" t="str">
        <x:v>High</x:v>
      </x:c>
      <x:c r="F627" t="str">
        <x:v>Mixed-use</x:v>
      </x:c>
      <x:c r="G627" t="str">
        <x:v>Steel</x:v>
      </x:c>
      <x:c r="H627" t="str">
        <x:v>Piles</x:v>
      </x:c>
      <x:c r="I627" t="str">
        <x:v>Mixed</x:v>
      </x:c>
      <x:c r="J627" t="str">
        <x:v>Low</x:v>
      </x:c>
      <x:c r="K627" t="n">
        <x:v>65158200</x:v>
      </x:c>
      <x:c r="L627" t="n">
        <x:v>1348</x:v>
      </x:c>
      <x:c r="M627" t="n">
        <x:v>420.5</x:v>
      </x:c>
      <x:c r="N627" t="n">
        <x:v>3.4</x:v>
      </x:c>
      <x:c r="O627" t="n">
        <x:v>79.6</x:v>
      </x:c>
      <x:c r="P627" t="str">
        <x:v>Rainy</x:v>
      </x:c>
      <x:c r="Q627" t="n">
        <x:v>92</x:v>
      </x:c>
      <x:c r="R627" t="n">
        <x:v>85</x:v>
      </x:c>
      <x:c r="S627" t="n">
        <x:v>0.1063</x:v>
      </x:c>
      <x:c r="T627" t="n">
        <x:v>20.6</x:v>
      </x:c>
      <x:c r="U627" t="n">
        <x:v>1084.1</x:v>
      </x:c>
      <x:c r="V627" t="n">
        <x:v>2732</x:v>
      </x:c>
      <x:c r="W627" t="n">
        <x:v>56.5</x:v>
      </x:c>
    </x:row>
    <x:row r="628">
      <x:c r="A628" t="str">
        <x:v>PJT_627</x:v>
      </x:c>
      <x:c r="B628" t="str">
        <x:v>Marine</x:v>
      </x:c>
      <x:c r="C628" t="n">
        <x:v>22060</x:v>
      </x:c>
      <x:c r="D628" t="n">
        <x:v>20</x:v>
      </x:c>
      <x:c r="E628" t="str">
        <x:v>Medium</x:v>
      </x:c>
      <x:c r="F628" t="str">
        <x:v>Commercial</x:v>
      </x:c>
      <x:c r="G628" t="str">
        <x:v>Steel</x:v>
      </x:c>
      <x:c r="H628" t="str">
        <x:v>Piles</x:v>
      </x:c>
      <x:c r="I628" t="str">
        <x:v>Rock</x:v>
      </x:c>
      <x:c r="J628" t="str">
        <x:v>Medium</x:v>
      </x:c>
      <x:c r="K628" t="n">
        <x:v>55723560</x:v>
      </x:c>
      <x:c r="L628" t="n">
        <x:v>1110</x:v>
      </x:c>
      <x:c r="M628" t="n">
        <x:v>776</x:v>
      </x:c>
      <x:c r="N628" t="n">
        <x:v>14.6</x:v>
      </x:c>
      <x:c r="O628" t="n">
        <x:v>89.1</x:v>
      </x:c>
      <x:c r="P628" t="str">
        <x:v>Stormy</x:v>
      </x:c>
      <x:c r="Q628" t="n">
        <x:v>79</x:v>
      </x:c>
      <x:c r="R628" t="n">
        <x:v>85.6</x:v>
      </x:c>
      <x:c r="S628" t="n">
        <x:v>0.094</x:v>
      </x:c>
      <x:c r="T628" t="n">
        <x:v>16.3</x:v>
      </x:c>
      <x:c r="U628" t="n">
        <x:v>1103</x:v>
      </x:c>
      <x:c r="V628" t="n">
        <x:v>2526</x:v>
      </x:c>
      <x:c r="W628" t="n">
        <x:v>50.3</x:v>
      </x:c>
    </x:row>
    <x:row r="629">
      <x:c r="A629" t="str">
        <x:v>PJT_628</x:v>
      </x:c>
      <x:c r="B629" t="str">
        <x:v>Humid Subtropical</x:v>
      </x:c>
      <x:c r="C629" t="n">
        <x:v>18110</x:v>
      </x:c>
      <x:c r="D629" t="n">
        <x:v>8</x:v>
      </x:c>
      <x:c r="E629" t="str">
        <x:v>Medium</x:v>
      </x:c>
      <x:c r="F629" t="str">
        <x:v>Hospital</x:v>
      </x:c>
      <x:c r="G629" t="str">
        <x:v>Steel</x:v>
      </x:c>
      <x:c r="H629" t="str">
        <x:v>Piles</x:v>
      </x:c>
      <x:c r="I629" t="str">
        <x:v>Soft Clay</x:v>
      </x:c>
      <x:c r="J629" t="str">
        <x:v>Medium</x:v>
      </x:c>
      <x:c r="K629" t="n">
        <x:v>60107090</x:v>
      </x:c>
      <x:c r="L629" t="n">
        <x:v>896</x:v>
      </x:c>
      <x:c r="M629" t="n">
        <x:v>235.2</x:v>
      </x:c>
      <x:c r="N629" t="n">
        <x:v>23.4</x:v>
      </x:c>
      <x:c r="O629" t="n">
        <x:v>77.7</x:v>
      </x:c>
      <x:c r="P629" t="str">
        <x:v>Cloudy</x:v>
      </x:c>
      <x:c r="Q629" t="n">
        <x:v>84</x:v>
      </x:c>
      <x:c r="R629" t="n">
        <x:v>79.4</x:v>
      </x:c>
      <x:c r="S629" t="n">
        <x:v>0.1135</x:v>
      </x:c>
      <x:c r="T629" t="n">
        <x:v>21.6</x:v>
      </x:c>
      <x:c r="U629" t="n">
        <x:v>2263.8</x:v>
      </x:c>
      <x:c r="V629" t="n">
        <x:v>3319</x:v>
      </x:c>
      <x:c r="W629" t="n">
        <x:v>49.5</x:v>
      </x:c>
    </x:row>
    <x:row r="630">
      <x:c r="A630" t="str">
        <x:v>PJT_629</x:v>
      </x:c>
      <x:c r="B630" t="str">
        <x:v>Mediterranean</x:v>
      </x:c>
      <x:c r="C630" t="n">
        <x:v>33720</x:v>
      </x:c>
      <x:c r="D630" t="n">
        <x:v>28</x:v>
      </x:c>
      <x:c r="E630" t="str">
        <x:v>High</x:v>
      </x:c>
      <x:c r="F630" t="str">
        <x:v>Mixed-use</x:v>
      </x:c>
      <x:c r="G630" t="str">
        <x:v>Steel</x:v>
      </x:c>
      <x:c r="H630" t="str">
        <x:v>Piles</x:v>
      </x:c>
      <x:c r="I630" t="str">
        <x:v>Mixed</x:v>
      </x:c>
      <x:c r="J630" t="str">
        <x:v>High</x:v>
      </x:c>
      <x:c r="K630" t="n">
        <x:v>103958760</x:v>
      </x:c>
      <x:c r="L630" t="n">
        <x:v>1801</x:v>
      </x:c>
      <x:c r="M630" t="n">
        <x:v>295.5</x:v>
      </x:c>
      <x:c r="N630" t="n">
        <x:v>23.4</x:v>
      </x:c>
      <x:c r="O630" t="n">
        <x:v>42.5</x:v>
      </x:c>
      <x:c r="P630" t="str">
        <x:v>Sunny</x:v>
      </x:c>
      <x:c r="Q630" t="n">
        <x:v>69</x:v>
      </x:c>
      <x:c r="R630" t="n">
        <x:v>92</x:v>
      </x:c>
      <x:c r="S630" t="n">
        <x:v>0.1062</x:v>
      </x:c>
      <x:c r="T630" t="n">
        <x:v>20.9</x:v>
      </x:c>
      <x:c r="U630" t="n">
        <x:v>1204.3</x:v>
      </x:c>
      <x:c r="V630" t="n">
        <x:v>3083</x:v>
      </x:c>
      <x:c r="W630" t="n">
        <x:v>53.4</x:v>
      </x:c>
    </x:row>
    <x:row r="631">
      <x:c r="A631" t="str">
        <x:v>PJT_630</x:v>
      </x:c>
      <x:c r="B631" t="str">
        <x:v>Humid Subtropical</x:v>
      </x:c>
      <x:c r="C631" t="n">
        <x:v>15110</x:v>
      </x:c>
      <x:c r="D631" t="n">
        <x:v>13</x:v>
      </x:c>
      <x:c r="E631" t="str">
        <x:v>Medium</x:v>
      </x:c>
      <x:c r="F631" t="str">
        <x:v>Commercial</x:v>
      </x:c>
      <x:c r="G631" t="str">
        <x:v>Steel</x:v>
      </x:c>
      <x:c r="H631" t="str">
        <x:v>Piles</x:v>
      </x:c>
      <x:c r="I631" t="str">
        <x:v>Sand</x:v>
      </x:c>
      <x:c r="J631" t="str">
        <x:v>Low</x:v>
      </x:c>
      <x:c r="K631" t="n">
        <x:v>36445320</x:v>
      </x:c>
      <x:c r="L631" t="n">
        <x:v>700</x:v>
      </x:c>
      <x:c r="M631" t="n">
        <x:v>317.1</x:v>
      </x:c>
      <x:c r="N631" t="n">
        <x:v>24.9</x:v>
      </x:c>
      <x:c r="O631" t="n">
        <x:v>64.3</x:v>
      </x:c>
      <x:c r="P631" t="str">
        <x:v>Cloudy</x:v>
      </x:c>
      <x:c r="Q631" t="n">
        <x:v>84</x:v>
      </x:c>
      <x:c r="R631" t="n">
        <x:v>80.6</x:v>
      </x:c>
      <x:c r="S631" t="n">
        <x:v>0.0957</x:v>
      </x:c>
      <x:c r="T631" t="n">
        <x:v>18</x:v>
      </x:c>
      <x:c r="U631" t="n">
        <x:v>1162.3</x:v>
      </x:c>
      <x:c r="V631" t="n">
        <x:v>2412</x:v>
      </x:c>
      <x:c r="W631" t="n">
        <x:v>46.3</x:v>
      </x:c>
    </x:row>
    <x:row r="632">
      <x:c r="A632" t="str">
        <x:v>PJT_631</x:v>
      </x:c>
      <x:c r="B632" t="str">
        <x:v>Continental</x:v>
      </x:c>
      <x:c r="C632" t="n">
        <x:v>14940</x:v>
      </x:c>
      <x:c r="D632" t="n">
        <x:v>10</x:v>
      </x:c>
      <x:c r="E632" t="str">
        <x:v>Medium</x:v>
      </x:c>
      <x:c r="F632" t="str">
        <x:v>Commercial</x:v>
      </x:c>
      <x:c r="G632" t="str">
        <x:v>Steel</x:v>
      </x:c>
      <x:c r="H632" t="str">
        <x:v>Piles</x:v>
      </x:c>
      <x:c r="I632" t="str">
        <x:v>Soft Clay</x:v>
      </x:c>
      <x:c r="J632" t="str">
        <x:v>High</x:v>
      </x:c>
      <x:c r="K632" t="n">
        <x:v>36573120</x:v>
      </x:c>
      <x:c r="L632" t="n">
        <x:v>732</x:v>
      </x:c>
      <x:c r="M632" t="n">
        <x:v>200.1</x:v>
      </x:c>
      <x:c r="N632" t="n">
        <x:v>5.9</x:v>
      </x:c>
      <x:c r="O632" t="n">
        <x:v>70.8</x:v>
      </x:c>
      <x:c r="P632" t="str">
        <x:v>Stormy</x:v>
      </x:c>
      <x:c r="Q632" t="n">
        <x:v>99</x:v>
      </x:c>
      <x:c r="R632" t="n">
        <x:v>76.7</x:v>
      </x:c>
      <x:c r="S632" t="n">
        <x:v>0.1001</x:v>
      </x:c>
      <x:c r="T632" t="n">
        <x:v>16.9</x:v>
      </x:c>
      <x:c r="U632" t="n">
        <x:v>1494</x:v>
      </x:c>
      <x:c r="V632" t="n">
        <x:v>2448</x:v>
      </x:c>
      <x:c r="W632" t="n">
        <x:v>49</x:v>
      </x:c>
    </x:row>
    <x:row r="633">
      <x:c r="A633" t="str">
        <x:v>PJT_632</x:v>
      </x:c>
      <x:c r="B633" t="str">
        <x:v>Marine</x:v>
      </x:c>
      <x:c r="C633" t="n">
        <x:v>12860</x:v>
      </x:c>
      <x:c r="D633" t="n">
        <x:v>4</x:v>
      </x:c>
      <x:c r="E633" t="str">
        <x:v>Low</x:v>
      </x:c>
      <x:c r="F633" t="str">
        <x:v>School</x:v>
      </x:c>
      <x:c r="G633" t="str">
        <x:v>RC Frame</x:v>
      </x:c>
      <x:c r="H633" t="str">
        <x:v>Raft</x:v>
      </x:c>
      <x:c r="I633" t="str">
        <x:v>Soft Clay</x:v>
      </x:c>
      <x:c r="J633" t="str">
        <x:v>Medium</x:v>
      </x:c>
      <x:c r="K633" t="n">
        <x:v>22955100</x:v>
      </x:c>
      <x:c r="L633" t="n">
        <x:v>385</x:v>
      </x:c>
      <x:c r="M633" t="n">
        <x:v>166.4</x:v>
      </x:c>
      <x:c r="N633" t="n">
        <x:v>13.5</x:v>
      </x:c>
      <x:c r="O633" t="n">
        <x:v>65.5</x:v>
      </x:c>
      <x:c r="P633" t="str">
        <x:v>Cloudy</x:v>
      </x:c>
      <x:c r="Q633" t="n">
        <x:v>80</x:v>
      </x:c>
      <x:c r="R633" t="n">
        <x:v>69</x:v>
      </x:c>
      <x:c r="S633" t="n">
        <x:v>0.0797</x:v>
      </x:c>
      <x:c r="T633" t="n">
        <x:v>12.7</x:v>
      </x:c>
      <x:c r="U633" t="n">
        <x:v>3215</x:v>
      </x:c>
      <x:c r="V633" t="n">
        <x:v>1785</x:v>
      </x:c>
      <x:c r="W633" t="n">
        <x:v>29.9</x:v>
      </x:c>
    </x:row>
    <x:row r="634">
      <x:c r="A634" t="str">
        <x:v>PJT_633</x:v>
      </x:c>
      <x:c r="B634" t="str">
        <x:v>Marine</x:v>
      </x:c>
      <x:c r="C634" t="n">
        <x:v>18050</x:v>
      </x:c>
      <x:c r="D634" t="n">
        <x:v>14</x:v>
      </x:c>
      <x:c r="E634" t="str">
        <x:v>Medium</x:v>
      </x:c>
      <x:c r="F634" t="str">
        <x:v>Commercial</x:v>
      </x:c>
      <x:c r="G634" t="str">
        <x:v>Steel</x:v>
      </x:c>
      <x:c r="H634" t="str">
        <x:v>Raft</x:v>
      </x:c>
      <x:c r="I634" t="str">
        <x:v>Mixed</x:v>
      </x:c>
      <x:c r="J634" t="str">
        <x:v>Low</x:v>
      </x:c>
      <x:c r="K634" t="n">
        <x:v>41803800</x:v>
      </x:c>
      <x:c r="L634" t="n">
        <x:v>812</x:v>
      </x:c>
      <x:c r="M634" t="n">
        <x:v>277.9</x:v>
      </x:c>
      <x:c r="N634" t="n">
        <x:v>8.6</x:v>
      </x:c>
      <x:c r="O634" t="n">
        <x:v>75.7</x:v>
      </x:c>
      <x:c r="P634" t="str">
        <x:v>Rainy</x:v>
      </x:c>
      <x:c r="Q634" t="n">
        <x:v>99</x:v>
      </x:c>
      <x:c r="R634" t="n">
        <x:v>81</x:v>
      </x:c>
      <x:c r="S634" t="n">
        <x:v>0.0999</x:v>
      </x:c>
      <x:c r="T634" t="n">
        <x:v>16.9</x:v>
      </x:c>
      <x:c r="U634" t="n">
        <x:v>1289.3</x:v>
      </x:c>
      <x:c r="V634" t="n">
        <x:v>2316</x:v>
      </x:c>
      <x:c r="W634" t="n">
        <x:v>45</x:v>
      </x:c>
    </x:row>
    <x:row r="635">
      <x:c r="A635" t="str">
        <x:v>PJT_634</x:v>
      </x:c>
      <x:c r="B635" t="str">
        <x:v>Humid Subtropical</x:v>
      </x:c>
      <x:c r="C635" t="n">
        <x:v>27100</x:v>
      </x:c>
      <x:c r="D635" t="n">
        <x:v>15</x:v>
      </x:c>
      <x:c r="E635" t="str">
        <x:v>Medium</x:v>
      </x:c>
      <x:c r="F635" t="str">
        <x:v>Hospital</x:v>
      </x:c>
      <x:c r="G635" t="str">
        <x:v>Shear Wall</x:v>
      </x:c>
      <x:c r="H635" t="str">
        <x:v>Piles</x:v>
      </x:c>
      <x:c r="I635" t="str">
        <x:v>Mixed</x:v>
      </x:c>
      <x:c r="J635" t="str">
        <x:v>High</x:v>
      </x:c>
      <x:c r="K635" t="n">
        <x:v>91272800</x:v>
      </x:c>
      <x:c r="L635" t="n">
        <x:v>1480</x:v>
      </x:c>
      <x:c r="M635" t="n">
        <x:v>395.2</x:v>
      </x:c>
      <x:c r="N635" t="n">
        <x:v>1.8</x:v>
      </x:c>
      <x:c r="O635" t="n">
        <x:v>84.2</x:v>
      </x:c>
      <x:c r="P635" t="str">
        <x:v>Snowy</x:v>
      </x:c>
      <x:c r="Q635" t="n">
        <x:v>83</x:v>
      </x:c>
      <x:c r="R635" t="n">
        <x:v>79.8</x:v>
      </x:c>
      <x:c r="S635" t="n">
        <x:v>0.1068</x:v>
      </x:c>
      <x:c r="T635" t="n">
        <x:v>21.4</x:v>
      </x:c>
      <x:c r="U635" t="n">
        <x:v>1806.7</x:v>
      </x:c>
      <x:c r="V635" t="n">
        <x:v>3368</x:v>
      </x:c>
      <x:c r="W635" t="n">
        <x:v>54.6</x:v>
      </x:c>
    </x:row>
    <x:row r="636">
      <x:c r="A636" t="str">
        <x:v>PJT_635</x:v>
      </x:c>
      <x:c r="B636" t="str">
        <x:v>Mediterranean</x:v>
      </x:c>
      <x:c r="C636" t="n">
        <x:v>14360</x:v>
      </x:c>
      <x:c r="D636" t="n">
        <x:v>12</x:v>
      </x:c>
      <x:c r="E636" t="str">
        <x:v>Medium</x:v>
      </x:c>
      <x:c r="F636" t="str">
        <x:v>Mixed-use</x:v>
      </x:c>
      <x:c r="G636" t="str">
        <x:v>Steel</x:v>
      </x:c>
      <x:c r="H636" t="str">
        <x:v>Raft</x:v>
      </x:c>
      <x:c r="I636" t="str">
        <x:v>Mixed</x:v>
      </x:c>
      <x:c r="J636" t="str">
        <x:v>Medium</x:v>
      </x:c>
      <x:c r="K636" t="n">
        <x:v>37738080</x:v>
      </x:c>
      <x:c r="L636" t="n">
        <x:v>646</x:v>
      </x:c>
      <x:c r="M636" t="n">
        <x:v>316.2</x:v>
      </x:c>
      <x:c r="N636" t="n">
        <x:v>26.7</x:v>
      </x:c>
      <x:c r="O636" t="n">
        <x:v>41.9</x:v>
      </x:c>
      <x:c r="P636" t="str">
        <x:v>Sunny</x:v>
      </x:c>
      <x:c r="Q636" t="n">
        <x:v>70</x:v>
      </x:c>
      <x:c r="R636" t="n">
        <x:v>77.1</x:v>
      </x:c>
      <x:c r="S636" t="n">
        <x:v>0.0987</x:v>
      </x:c>
      <x:c r="T636" t="n">
        <x:v>18.2</x:v>
      </x:c>
      <x:c r="U636" t="n">
        <x:v>1196.7</x:v>
      </x:c>
      <x:c r="V636" t="n">
        <x:v>2628</x:v>
      </x:c>
      <x:c r="W636" t="n">
        <x:v>45</x:v>
      </x:c>
    </x:row>
    <x:row r="637">
      <x:c r="A637" t="str">
        <x:v>PJT_636</x:v>
      </x:c>
      <x:c r="B637" t="str">
        <x:v>Mediterranean</x:v>
      </x:c>
      <x:c r="C637" t="n">
        <x:v>24510</x:v>
      </x:c>
      <x:c r="D637" t="n">
        <x:v>23</x:v>
      </x:c>
      <x:c r="E637" t="str">
        <x:v>High</x:v>
      </x:c>
      <x:c r="F637" t="str">
        <x:v>Mixed-use</x:v>
      </x:c>
      <x:c r="G637" t="str">
        <x:v>Steel</x:v>
      </x:c>
      <x:c r="H637" t="str">
        <x:v>Piles</x:v>
      </x:c>
      <x:c r="I637" t="str">
        <x:v>Mixed</x:v>
      </x:c>
      <x:c r="J637" t="str">
        <x:v>Medium</x:v>
      </x:c>
      <x:c r="K637" t="n">
        <x:v>72525090</x:v>
      </x:c>
      <x:c r="L637" t="n">
        <x:v>1365</x:v>
      </x:c>
      <x:c r="M637" t="n">
        <x:v>300.1</x:v>
      </x:c>
      <x:c r="N637" t="n">
        <x:v>29.5</x:v>
      </x:c>
      <x:c r="O637" t="n">
        <x:v>58.6</x:v>
      </x:c>
      <x:c r="P637" t="str">
        <x:v>Sunny</x:v>
      </x:c>
      <x:c r="Q637" t="n">
        <x:v>89</x:v>
      </x:c>
      <x:c r="R637" t="n">
        <x:v>88.1</x:v>
      </x:c>
      <x:c r="S637" t="n">
        <x:v>0.1079</x:v>
      </x:c>
      <x:c r="T637" t="n">
        <x:v>21.1</x:v>
      </x:c>
      <x:c r="U637" t="n">
        <x:v>1065.7</x:v>
      </x:c>
      <x:c r="V637" t="n">
        <x:v>2959</x:v>
      </x:c>
      <x:c r="W637" t="n">
        <x:v>55.7</x:v>
      </x:c>
    </x:row>
    <x:row r="638">
      <x:c r="A638" t="str">
        <x:v>PJT_637</x:v>
      </x:c>
      <x:c r="B638" t="str">
        <x:v>Mediterranean</x:v>
      </x:c>
      <x:c r="C638" t="n">
        <x:v>11590</x:v>
      </x:c>
      <x:c r="D638" t="n">
        <x:v>9</x:v>
      </x:c>
      <x:c r="E638" t="str">
        <x:v>Medium</x:v>
      </x:c>
      <x:c r="F638" t="str">
        <x:v>Commercial</x:v>
      </x:c>
      <x:c r="G638" t="str">
        <x:v>Steel</x:v>
      </x:c>
      <x:c r="H638" t="str">
        <x:v>Raft</x:v>
      </x:c>
      <x:c r="I638" t="str">
        <x:v>Mixed</x:v>
      </x:c>
      <x:c r="J638" t="str">
        <x:v>High</x:v>
      </x:c>
      <x:c r="K638" t="n">
        <x:v>28128930</x:v>
      </x:c>
      <x:c r="L638" t="n">
        <x:v>525</x:v>
      </x:c>
      <x:c r="M638" t="n">
        <x:v>288.8</x:v>
      </x:c>
      <x:c r="N638" t="n">
        <x:v>14.1</x:v>
      </x:c>
      <x:c r="O638" t="n">
        <x:v>80.8</x:v>
      </x:c>
      <x:c r="P638" t="str">
        <x:v>Rainy</x:v>
      </x:c>
      <x:c r="Q638" t="n">
        <x:v>73</x:v>
      </x:c>
      <x:c r="R638" t="n">
        <x:v>71.4</x:v>
      </x:c>
      <x:c r="S638" t="n">
        <x:v>0.0959</x:v>
      </x:c>
      <x:c r="T638" t="n">
        <x:v>16.9</x:v>
      </x:c>
      <x:c r="U638" t="n">
        <x:v>1287.8</x:v>
      </x:c>
      <x:c r="V638" t="n">
        <x:v>2427</x:v>
      </x:c>
      <x:c r="W638" t="n">
        <x:v>45.3</x:v>
      </x:c>
    </x:row>
    <x:row r="639">
      <x:c r="A639" t="str">
        <x:v>PJT_638</x:v>
      </x:c>
      <x:c r="B639" t="str">
        <x:v>Humid Subtropical</x:v>
      </x:c>
      <x:c r="C639" t="n">
        <x:v>28420</x:v>
      </x:c>
      <x:c r="D639" t="n">
        <x:v>14</x:v>
      </x:c>
      <x:c r="E639" t="str">
        <x:v>High</x:v>
      </x:c>
      <x:c r="F639" t="str">
        <x:v>Hospital</x:v>
      </x:c>
      <x:c r="G639" t="str">
        <x:v>Shear Wall</x:v>
      </x:c>
      <x:c r="H639" t="str">
        <x:v>Piles</x:v>
      </x:c>
      <x:c r="I639" t="str">
        <x:v>Soft Clay</x:v>
      </x:c>
      <x:c r="J639" t="str">
        <x:v>High</x:v>
      </x:c>
      <x:c r="K639" t="n">
        <x:v>99271060</x:v>
      </x:c>
      <x:c r="L639" t="n">
        <x:v>1492</x:v>
      </x:c>
      <x:c r="M639" t="n">
        <x:v>206.6</x:v>
      </x:c>
      <x:c r="N639" t="n">
        <x:v>32.6</x:v>
      </x:c>
      <x:c r="O639" t="n">
        <x:v>54.8</x:v>
      </x:c>
      <x:c r="P639" t="str">
        <x:v>Sunny</x:v>
      </x:c>
      <x:c r="Q639" t="n">
        <x:v>73</x:v>
      </x:c>
      <x:c r="R639" t="n">
        <x:v>89.6</x:v>
      </x:c>
      <x:c r="S639" t="n">
        <x:v>0.1101</x:v>
      </x:c>
      <x:c r="T639" t="n">
        <x:v>22.4</x:v>
      </x:c>
      <x:c r="U639" t="n">
        <x:v>2030</x:v>
      </x:c>
      <x:c r="V639" t="n">
        <x:v>3493</x:v>
      </x:c>
      <x:c r="W639" t="n">
        <x:v>52.5</x:v>
      </x:c>
    </x:row>
    <x:row r="640">
      <x:c r="A640" t="str">
        <x:v>PJT_639</x:v>
      </x:c>
      <x:c r="B640" t="str">
        <x:v>Continental</x:v>
      </x:c>
      <x:c r="C640" t="n">
        <x:v>31740</x:v>
      </x:c>
      <x:c r="D640" t="n">
        <x:v>22</x:v>
      </x:c>
      <x:c r="E640" t="str">
        <x:v>Medium</x:v>
      </x:c>
      <x:c r="F640" t="str">
        <x:v>Commercial</x:v>
      </x:c>
      <x:c r="G640" t="str">
        <x:v>Steel</x:v>
      </x:c>
      <x:c r="H640" t="str">
        <x:v>Piles</x:v>
      </x:c>
      <x:c r="I640" t="str">
        <x:v>Rock</x:v>
      </x:c>
      <x:c r="J640" t="str">
        <x:v>Low</x:v>
      </x:c>
      <x:c r="K640" t="n">
        <x:v>74811180</x:v>
      </x:c>
      <x:c r="L640" t="n">
        <x:v>1536</x:v>
      </x:c>
      <x:c r="M640" t="n">
        <x:v>835.6</x:v>
      </x:c>
      <x:c r="N640" t="n">
        <x:v>10.8</x:v>
      </x:c>
      <x:c r="O640" t="n">
        <x:v>85.6</x:v>
      </x:c>
      <x:c r="P640" t="str">
        <x:v>Rainy</x:v>
      </x:c>
      <x:c r="Q640" t="n">
        <x:v>87</x:v>
      </x:c>
      <x:c r="R640" t="n">
        <x:v>83</x:v>
      </x:c>
      <x:c r="S640" t="n">
        <x:v>0.0954</x:v>
      </x:c>
      <x:c r="T640" t="n">
        <x:v>16.2</x:v>
      </x:c>
      <x:c r="U640" t="n">
        <x:v>1442.7</x:v>
      </x:c>
      <x:c r="V640" t="n">
        <x:v>2357</x:v>
      </x:c>
      <x:c r="W640" t="n">
        <x:v>48.4</x:v>
      </x:c>
    </x:row>
    <x:row r="641">
      <x:c r="A641" t="str">
        <x:v>PJT_640</x:v>
      </x:c>
      <x:c r="B641" t="str">
        <x:v>Humid Subtropical</x:v>
      </x:c>
      <x:c r="C641" t="n">
        <x:v>9420</x:v>
      </x:c>
      <x:c r="D641" t="n">
        <x:v>4</x:v>
      </x:c>
      <x:c r="E641" t="str">
        <x:v>Low</x:v>
      </x:c>
      <x:c r="F641" t="str">
        <x:v>School</x:v>
      </x:c>
      <x:c r="G641" t="str">
        <x:v>RC Frame</x:v>
      </x:c>
      <x:c r="H641" t="str">
        <x:v>Raft</x:v>
      </x:c>
      <x:c r="I641" t="str">
        <x:v>Soft Clay</x:v>
      </x:c>
      <x:c r="J641" t="str">
        <x:v>Medium</x:v>
      </x:c>
      <x:c r="K641" t="n">
        <x:v>16230660</x:v>
      </x:c>
      <x:c r="L641" t="n">
        <x:v>250</x:v>
      </x:c>
      <x:c r="M641" t="n">
        <x:v>161.3</x:v>
      </x:c>
      <x:c r="N641" t="n">
        <x:v>33.3</x:v>
      </x:c>
      <x:c r="O641" t="n">
        <x:v>68.8</x:v>
      </x:c>
      <x:c r="P641" t="str">
        <x:v>Sunny</x:v>
      </x:c>
      <x:c r="Q641" t="n">
        <x:v>70</x:v>
      </x:c>
      <x:c r="R641" t="n">
        <x:v>67.1</x:v>
      </x:c>
      <x:c r="S641" t="n">
        <x:v>0.0775</x:v>
      </x:c>
      <x:c r="T641" t="n">
        <x:v>13.1</x:v>
      </x:c>
      <x:c r="U641" t="n">
        <x:v>2355</x:v>
      </x:c>
      <x:c r="V641" t="n">
        <x:v>1723</x:v>
      </x:c>
      <x:c r="W641" t="n">
        <x:v>26.5</x:v>
      </x:c>
    </x:row>
    <x:row r="642">
      <x:c r="A642" t="str">
        <x:v>PJT_641</x:v>
      </x:c>
      <x:c r="B642" t="str">
        <x:v>Continental</x:v>
      </x:c>
      <x:c r="C642" t="n">
        <x:v>33740</x:v>
      </x:c>
      <x:c r="D642" t="n">
        <x:v>21</x:v>
      </x:c>
      <x:c r="E642" t="str">
        <x:v>High</x:v>
      </x:c>
      <x:c r="F642" t="str">
        <x:v>Mixed-use</x:v>
      </x:c>
      <x:c r="G642" t="str">
        <x:v>Steel</x:v>
      </x:c>
      <x:c r="H642" t="str">
        <x:v>Piles</x:v>
      </x:c>
      <x:c r="I642" t="str">
        <x:v>Soft Clay</x:v>
      </x:c>
      <x:c r="J642" t="str">
        <x:v>Medium</x:v>
      </x:c>
      <x:c r="K642" t="n">
        <x:v>94708180</x:v>
      </x:c>
      <x:c r="L642" t="n">
        <x:v>1937</x:v>
      </x:c>
      <x:c r="M642" t="n">
        <x:v>233.1</x:v>
      </x:c>
      <x:c r="N642" t="n">
        <x:v>16</x:v>
      </x:c>
      <x:c r="O642" t="n">
        <x:v>52.1</x:v>
      </x:c>
      <x:c r="P642" t="str">
        <x:v>Cloudy</x:v>
      </x:c>
      <x:c r="Q642" t="n">
        <x:v>73</x:v>
      </x:c>
      <x:c r="R642" t="n">
        <x:v>91.8</x:v>
      </x:c>
      <x:c r="S642" t="n">
        <x:v>0.105</x:v>
      </x:c>
      <x:c r="T642" t="n">
        <x:v>19.5</x:v>
      </x:c>
      <x:c r="U642" t="n">
        <x:v>1606.7</x:v>
      </x:c>
      <x:c r="V642" t="n">
        <x:v>2807</x:v>
      </x:c>
      <x:c r="W642" t="n">
        <x:v>57.4</x:v>
      </x:c>
    </x:row>
    <x:row r="643">
      <x:c r="A643" t="str">
        <x:v>PJT_642</x:v>
      </x:c>
      <x:c r="B643" t="str">
        <x:v>Continental</x:v>
      </x:c>
      <x:c r="C643" t="n">
        <x:v>22370</x:v>
      </x:c>
      <x:c r="D643" t="n">
        <x:v>16</x:v>
      </x:c>
      <x:c r="E643" t="str">
        <x:v>High</x:v>
      </x:c>
      <x:c r="F643" t="str">
        <x:v>Mixed-use</x:v>
      </x:c>
      <x:c r="G643" t="str">
        <x:v>Steel</x:v>
      </x:c>
      <x:c r="H643" t="str">
        <x:v>Raft</x:v>
      </x:c>
      <x:c r="I643" t="str">
        <x:v>Rock</x:v>
      </x:c>
      <x:c r="J643" t="str">
        <x:v>High</x:v>
      </x:c>
      <x:c r="K643" t="n">
        <x:v>62859700</x:v>
      </x:c>
      <x:c r="L643" t="n">
        <x:v>1183</x:v>
      </x:c>
      <x:c r="M643" t="n">
        <x:v>646.1</x:v>
      </x:c>
      <x:c r="N643" t="n">
        <x:v>19.8</x:v>
      </x:c>
      <x:c r="O643" t="n">
        <x:v>65.1</x:v>
      </x:c>
      <x:c r="P643" t="str">
        <x:v>Cloudy</x:v>
      </x:c>
      <x:c r="Q643" t="n">
        <x:v>69</x:v>
      </x:c>
      <x:c r="R643" t="n">
        <x:v>86.6</x:v>
      </x:c>
      <x:c r="S643" t="n">
        <x:v>0.1092</x:v>
      </x:c>
      <x:c r="T643" t="n">
        <x:v>20.7</x:v>
      </x:c>
      <x:c r="U643" t="n">
        <x:v>1398.1</x:v>
      </x:c>
      <x:c r="V643" t="n">
        <x:v>2810</x:v>
      </x:c>
      <x:c r="W643" t="n">
        <x:v>52.9</x:v>
      </x:c>
    </x:row>
    <x:row r="644">
      <x:c r="A644" t="str">
        <x:v>PJT_643</x:v>
      </x:c>
      <x:c r="B644" t="str">
        <x:v>Humid Subtropical</x:v>
      </x:c>
      <x:c r="C644" t="n">
        <x:v>23050</x:v>
      </x:c>
      <x:c r="D644" t="n">
        <x:v>11</x:v>
      </x:c>
      <x:c r="E644" t="str">
        <x:v>Medium</x:v>
      </x:c>
      <x:c r="F644" t="str">
        <x:v>Hospital</x:v>
      </x:c>
      <x:c r="G644" t="str">
        <x:v>Steel</x:v>
      </x:c>
      <x:c r="H644" t="str">
        <x:v>Piles</x:v>
      </x:c>
      <x:c r="I644" t="str">
        <x:v>Mixed</x:v>
      </x:c>
      <x:c r="J644" t="str">
        <x:v>Low</x:v>
      </x:c>
      <x:c r="K644" t="n">
        <x:v>72446150</x:v>
      </x:c>
      <x:c r="L644" t="n">
        <x:v>1254</x:v>
      </x:c>
      <x:c r="M644" t="n">
        <x:v>370.1</x:v>
      </x:c>
      <x:c r="N644" t="n">
        <x:v>25.4</x:v>
      </x:c>
      <x:c r="O644" t="n">
        <x:v>74.8</x:v>
      </x:c>
      <x:c r="P644" t="str">
        <x:v>Rainy</x:v>
      </x:c>
      <x:c r="Q644" t="n">
        <x:v>100</x:v>
      </x:c>
      <x:c r="R644" t="n">
        <x:v>79.7</x:v>
      </x:c>
      <x:c r="S644" t="n">
        <x:v>0.1133</x:v>
      </x:c>
      <x:c r="T644" t="n">
        <x:v>21.9</x:v>
      </x:c>
      <x:c r="U644" t="n">
        <x:v>2095.5</x:v>
      </x:c>
      <x:c r="V644" t="n">
        <x:v>3143</x:v>
      </x:c>
      <x:c r="W644" t="n">
        <x:v>54.4</x:v>
      </x:c>
    </x:row>
    <x:row r="645">
      <x:c r="A645" t="str">
        <x:v>PJT_644</x:v>
      </x:c>
      <x:c r="B645" t="str">
        <x:v>Marine</x:v>
      </x:c>
      <x:c r="C645" t="n">
        <x:v>38020</x:v>
      </x:c>
      <x:c r="D645" t="n">
        <x:v>23</x:v>
      </x:c>
      <x:c r="E645" t="str">
        <x:v>High</x:v>
      </x:c>
      <x:c r="F645" t="str">
        <x:v>Mixed-use</x:v>
      </x:c>
      <x:c r="G645" t="str">
        <x:v>Steel</x:v>
      </x:c>
      <x:c r="H645" t="str">
        <x:v>Piles</x:v>
      </x:c>
      <x:c r="I645" t="str">
        <x:v>Mixed</x:v>
      </x:c>
      <x:c r="J645" t="str">
        <x:v>Low</x:v>
      </x:c>
      <x:c r="K645" t="n">
        <x:v>106988280</x:v>
      </x:c>
      <x:c r="L645" t="n">
        <x:v>2004</x:v>
      </x:c>
      <x:c r="M645" t="n">
        <x:v>322.2</x:v>
      </x:c>
      <x:c r="N645" t="n">
        <x:v>10.7</x:v>
      </x:c>
      <x:c r="O645" t="n">
        <x:v>57.6</x:v>
      </x:c>
      <x:c r="P645" t="str">
        <x:v>Sunny</x:v>
      </x:c>
      <x:c r="Q645" t="n">
        <x:v>72</x:v>
      </x:c>
      <x:c r="R645" t="n">
        <x:v>86.9</x:v>
      </x:c>
      <x:c r="S645" t="n">
        <x:v>0.1043</x:v>
      </x:c>
      <x:c r="T645" t="n">
        <x:v>19.5</x:v>
      </x:c>
      <x:c r="U645" t="n">
        <x:v>1653</x:v>
      </x:c>
      <x:c r="V645" t="n">
        <x:v>2814</x:v>
      </x:c>
      <x:c r="W645" t="n">
        <x:v>52.7</x:v>
      </x:c>
    </x:row>
    <x:row r="646">
      <x:c r="A646" t="str">
        <x:v>PJT_645</x:v>
      </x:c>
      <x:c r="B646" t="str">
        <x:v>Humid Subtropical</x:v>
      </x:c>
      <x:c r="C646" t="n">
        <x:v>20490</x:v>
      </x:c>
      <x:c r="D646" t="n">
        <x:v>26</x:v>
      </x:c>
      <x:c r="E646" t="str">
        <x:v>Medium</x:v>
      </x:c>
      <x:c r="F646" t="str">
        <x:v>Residential</x:v>
      </x:c>
      <x:c r="G646" t="str">
        <x:v>Shear Wall</x:v>
      </x:c>
      <x:c r="H646" t="str">
        <x:v>Piles</x:v>
      </x:c>
      <x:c r="I646" t="str">
        <x:v>Rock</x:v>
      </x:c>
      <x:c r="J646" t="str">
        <x:v>Medium</x:v>
      </x:c>
      <x:c r="K646" t="n">
        <x:v>35406720</x:v>
      </x:c>
      <x:c r="L646" t="n">
        <x:v>934</x:v>
      </x:c>
      <x:c r="M646" t="n">
        <x:v>829</x:v>
      </x:c>
      <x:c r="N646" t="n">
        <x:v>23.7</x:v>
      </x:c>
      <x:c r="O646" t="n">
        <x:v>81.6</x:v>
      </x:c>
      <x:c r="P646" t="str">
        <x:v>Stormy</x:v>
      </x:c>
      <x:c r="Q646" t="n">
        <x:v>94</x:v>
      </x:c>
      <x:c r="R646" t="n">
        <x:v>78.7</x:v>
      </x:c>
      <x:c r="S646" t="n">
        <x:v>0.0818</x:v>
      </x:c>
      <x:c r="T646" t="n">
        <x:v>12.8</x:v>
      </x:c>
      <x:c r="U646" t="n">
        <x:v>788.1</x:v>
      </x:c>
      <x:c r="V646" t="n">
        <x:v>1728</x:v>
      </x:c>
      <x:c r="W646" t="n">
        <x:v>45.6</x:v>
      </x:c>
    </x:row>
    <x:row r="647">
      <x:c r="A647" t="str">
        <x:v>PJT_646</x:v>
      </x:c>
      <x:c r="B647" t="str">
        <x:v>Mediterranean</x:v>
      </x:c>
      <x:c r="C647" t="n">
        <x:v>31660</x:v>
      </x:c>
      <x:c r="D647" t="n">
        <x:v>20</x:v>
      </x:c>
      <x:c r="E647" t="str">
        <x:v>High</x:v>
      </x:c>
      <x:c r="F647" t="str">
        <x:v>Mixed-use</x:v>
      </x:c>
      <x:c r="G647" t="str">
        <x:v>Steel</x:v>
      </x:c>
      <x:c r="H647" t="str">
        <x:v>Piles</x:v>
      </x:c>
      <x:c r="I647" t="str">
        <x:v>Mixed</x:v>
      </x:c>
      <x:c r="J647" t="str">
        <x:v>Low</x:v>
      </x:c>
      <x:c r="K647" t="n">
        <x:v>89692780</x:v>
      </x:c>
      <x:c r="L647" t="n">
        <x:v>1678</x:v>
      </x:c>
      <x:c r="M647" t="n">
        <x:v>318</x:v>
      </x:c>
      <x:c r="N647" t="n">
        <x:v>20.8</x:v>
      </x:c>
      <x:c r="O647" t="n">
        <x:v>51.2</x:v>
      </x:c>
      <x:c r="P647" t="str">
        <x:v>Sunny</x:v>
      </x:c>
      <x:c r="Q647" t="n">
        <x:v>75</x:v>
      </x:c>
      <x:c r="R647" t="n">
        <x:v>92</x:v>
      </x:c>
      <x:c r="S647" t="n">
        <x:v>0.1076</x:v>
      </x:c>
      <x:c r="T647" t="n">
        <x:v>21.2</x:v>
      </x:c>
      <x:c r="U647" t="n">
        <x:v>1583</x:v>
      </x:c>
      <x:c r="V647" t="n">
        <x:v>2833</x:v>
      </x:c>
      <x:c r="W647" t="n">
        <x:v>53</x:v>
      </x:c>
    </x:row>
    <x:row r="648">
      <x:c r="A648" t="str">
        <x:v>PJT_647</x:v>
      </x:c>
      <x:c r="B648" t="str">
        <x:v>Humid Subtropical</x:v>
      </x:c>
      <x:c r="C648" t="n">
        <x:v>22840</x:v>
      </x:c>
      <x:c r="D648" t="n">
        <x:v>18</x:v>
      </x:c>
      <x:c r="E648" t="str">
        <x:v>Medium</x:v>
      </x:c>
      <x:c r="F648" t="str">
        <x:v>Mixed-use</x:v>
      </x:c>
      <x:c r="G648" t="str">
        <x:v>Steel</x:v>
      </x:c>
      <x:c r="H648" t="str">
        <x:v>Piles</x:v>
      </x:c>
      <x:c r="I648" t="str">
        <x:v>Soft Clay</x:v>
      </x:c>
      <x:c r="J648" t="str">
        <x:v>Low</x:v>
      </x:c>
      <x:c r="K648" t="n">
        <x:v>62810000</x:v>
      </x:c>
      <x:c r="L648" t="n">
        <x:v>1096</x:v>
      </x:c>
      <x:c r="M648" t="n">
        <x:v>174.1</x:v>
      </x:c>
      <x:c r="N648" t="n">
        <x:v>33.9</x:v>
      </x:c>
      <x:c r="O648" t="n">
        <x:v>70.5</x:v>
      </x:c>
      <x:c r="P648" t="str">
        <x:v>Sunny</x:v>
      </x:c>
      <x:c r="Q648" t="n">
        <x:v>98</x:v>
      </x:c>
      <x:c r="R648" t="n">
        <x:v>80.9</x:v>
      </x:c>
      <x:c r="S648" t="n">
        <x:v>0.1015</x:v>
      </x:c>
      <x:c r="T648" t="n">
        <x:v>18.8</x:v>
      </x:c>
      <x:c r="U648" t="n">
        <x:v>1268.9</x:v>
      </x:c>
      <x:c r="V648" t="n">
        <x:v>2750</x:v>
      </x:c>
      <x:c r="W648" t="n">
        <x:v>48</x:v>
      </x:c>
    </x:row>
    <x:row r="649">
      <x:c r="A649" t="str">
        <x:v>PJT_648</x:v>
      </x:c>
      <x:c r="B649" t="str">
        <x:v>Mediterranean</x:v>
      </x:c>
      <x:c r="C649" t="n">
        <x:v>22670</x:v>
      </x:c>
      <x:c r="D649" t="n">
        <x:v>21</x:v>
      </x:c>
      <x:c r="E649" t="str">
        <x:v>High</x:v>
      </x:c>
      <x:c r="F649" t="str">
        <x:v>Mixed-use</x:v>
      </x:c>
      <x:c r="G649" t="str">
        <x:v>Steel</x:v>
      </x:c>
      <x:c r="H649" t="str">
        <x:v>Piles</x:v>
      </x:c>
      <x:c r="I649" t="str">
        <x:v>Soft Clay</x:v>
      </x:c>
      <x:c r="J649" t="str">
        <x:v>High</x:v>
      </x:c>
      <x:c r="K649" t="n">
        <x:v>67828640</x:v>
      </x:c>
      <x:c r="L649" t="n">
        <x:v>1315</x:v>
      </x:c>
      <x:c r="M649" t="n">
        <x:v>176.9</x:v>
      </x:c>
      <x:c r="N649" t="n">
        <x:v>13.3</x:v>
      </x:c>
      <x:c r="O649" t="n">
        <x:v>70.5</x:v>
      </x:c>
      <x:c r="P649" t="str">
        <x:v>Rainy</x:v>
      </x:c>
      <x:c r="Q649" t="n">
        <x:v>101</x:v>
      </x:c>
      <x:c r="R649" t="n">
        <x:v>89.6</x:v>
      </x:c>
      <x:c r="S649" t="n">
        <x:v>0.106</x:v>
      </x:c>
      <x:c r="T649" t="n">
        <x:v>20.4</x:v>
      </x:c>
      <x:c r="U649" t="n">
        <x:v>1079.5</x:v>
      </x:c>
      <x:c r="V649" t="n">
        <x:v>2992</x:v>
      </x:c>
      <x:c r="W649" t="n">
        <x:v>58</x:v>
      </x:c>
    </x:row>
    <x:row r="650">
      <x:c r="A650" t="str">
        <x:v>PJT_649</x:v>
      </x:c>
      <x:c r="B650" t="str">
        <x:v>Marine</x:v>
      </x:c>
      <x:c r="C650" t="n">
        <x:v>7240</x:v>
      </x:c>
      <x:c r="D650" t="n">
        <x:v>5</x:v>
      </x:c>
      <x:c r="E650" t="str">
        <x:v>Low</x:v>
      </x:c>
      <x:c r="F650" t="str">
        <x:v>Commercial</x:v>
      </x:c>
      <x:c r="G650" t="str">
        <x:v>RC Frame</x:v>
      </x:c>
      <x:c r="H650" t="str">
        <x:v>Raft</x:v>
      </x:c>
      <x:c r="I650" t="str">
        <x:v>Mixed</x:v>
      </x:c>
      <x:c r="J650" t="str">
        <x:v>Medium</x:v>
      </x:c>
      <x:c r="K650" t="n">
        <x:v>15848360</x:v>
      </x:c>
      <x:c r="L650" t="n">
        <x:v>265</x:v>
      </x:c>
      <x:c r="M650" t="n">
        <x:v>263.9</x:v>
      </x:c>
      <x:c r="N650" t="n">
        <x:v>16.5</x:v>
      </x:c>
      <x:c r="O650" t="n">
        <x:v>77.9</x:v>
      </x:c>
      <x:c r="P650" t="str">
        <x:v>Cloudy</x:v>
      </x:c>
      <x:c r="Q650" t="n">
        <x:v>82</x:v>
      </x:c>
      <x:c r="R650" t="n">
        <x:v>67.2</x:v>
      </x:c>
      <x:c r="S650" t="n">
        <x:v>0.0847</x:v>
      </x:c>
      <x:c r="T650" t="n">
        <x:v>15.7</x:v>
      </x:c>
      <x:c r="U650" t="n">
        <x:v>1448</x:v>
      </x:c>
      <x:c r="V650" t="n">
        <x:v>2189</x:v>
      </x:c>
      <x:c r="W650" t="n">
        <x:v>36.6</x:v>
      </x:c>
    </x:row>
    <x:row r="651">
      <x:c r="A651" t="str">
        <x:v>PJT_650</x:v>
      </x:c>
      <x:c r="B651" t="str">
        <x:v>Marine</x:v>
      </x:c>
      <x:c r="C651" t="n">
        <x:v>6620</x:v>
      </x:c>
      <x:c r="D651" t="n">
        <x:v>3</x:v>
      </x:c>
      <x:c r="E651" t="str">
        <x:v>Low</x:v>
      </x:c>
      <x:c r="F651" t="str">
        <x:v>School</x:v>
      </x:c>
      <x:c r="G651" t="str">
        <x:v>Steel</x:v>
      </x:c>
      <x:c r="H651" t="str">
        <x:v>Raft</x:v>
      </x:c>
      <x:c r="I651" t="str">
        <x:v>Mixed</x:v>
      </x:c>
      <x:c r="J651" t="str">
        <x:v>High</x:v>
      </x:c>
      <x:c r="K651" t="n">
        <x:v>12829560</x:v>
      </x:c>
      <x:c r="L651" t="n">
        <x:v>208</x:v>
      </x:c>
      <x:c r="M651" t="n">
        <x:v>352.4</x:v>
      </x:c>
      <x:c r="N651" t="n">
        <x:v>13.1</x:v>
      </x:c>
      <x:c r="O651" t="n">
        <x:v>74.3</x:v>
      </x:c>
      <x:c r="P651" t="str">
        <x:v>Cloudy</x:v>
      </x:c>
      <x:c r="Q651" t="n">
        <x:v>82</x:v>
      </x:c>
      <x:c r="R651" t="n">
        <x:v>68.3</x:v>
      </x:c>
      <x:c r="S651" t="n">
        <x:v>0.0822</x:v>
      </x:c>
      <x:c r="T651" t="n">
        <x:v>15</x:v>
      </x:c>
      <x:c r="U651" t="n">
        <x:v>2206.7</x:v>
      </x:c>
      <x:c r="V651" t="n">
        <x:v>1938</x:v>
      </x:c>
      <x:c r="W651" t="n">
        <x:v>31.4</x:v>
      </x:c>
    </x:row>
    <x:row r="652">
      <x:c r="A652" t="str">
        <x:v>PJT_651</x:v>
      </x:c>
      <x:c r="B652" t="str">
        <x:v>Marine</x:v>
      </x:c>
      <x:c r="C652" t="n">
        <x:v>26400</x:v>
      </x:c>
      <x:c r="D652" t="n">
        <x:v>14</x:v>
      </x:c>
      <x:c r="E652" t="str">
        <x:v>Medium</x:v>
      </x:c>
      <x:c r="F652" t="str">
        <x:v>Commercial</x:v>
      </x:c>
      <x:c r="G652" t="str">
        <x:v>Steel</x:v>
      </x:c>
      <x:c r="H652" t="str">
        <x:v>Raft</x:v>
      </x:c>
      <x:c r="I652" t="str">
        <x:v>Rock</x:v>
      </x:c>
      <x:c r="J652" t="str">
        <x:v>Medium</x:v>
      </x:c>
      <x:c r="K652" t="n">
        <x:v>63016800</x:v>
      </x:c>
      <x:c r="L652" t="n">
        <x:v>1209</x:v>
      </x:c>
      <x:c r="M652" t="n">
        <x:v>593.9</x:v>
      </x:c>
      <x:c r="N652" t="n">
        <x:v>7.3</x:v>
      </x:c>
      <x:c r="O652" t="n">
        <x:v>83.5</x:v>
      </x:c>
      <x:c r="P652" t="str">
        <x:v>Rainy</x:v>
      </x:c>
      <x:c r="Q652" t="n">
        <x:v>89</x:v>
      </x:c>
      <x:c r="R652" t="n">
        <x:v>82.9</x:v>
      </x:c>
      <x:c r="S652" t="n">
        <x:v>0.0941</x:v>
      </x:c>
      <x:c r="T652" t="n">
        <x:v>16.9</x:v>
      </x:c>
      <x:c r="U652" t="n">
        <x:v>1885.7</x:v>
      </x:c>
      <x:c r="V652" t="n">
        <x:v>2387</x:v>
      </x:c>
      <x:c r="W652" t="n">
        <x:v>45.8</x:v>
      </x:c>
    </x:row>
    <x:row r="653">
      <x:c r="A653" t="str">
        <x:v>PJT_652</x:v>
      </x:c>
      <x:c r="B653" t="str">
        <x:v>Continental</x:v>
      </x:c>
      <x:c r="C653" t="n">
        <x:v>12120</x:v>
      </x:c>
      <x:c r="D653" t="n">
        <x:v>12</x:v>
      </x:c>
      <x:c r="E653" t="str">
        <x:v>Low</x:v>
      </x:c>
      <x:c r="F653" t="str">
        <x:v>Residential</x:v>
      </x:c>
      <x:c r="G653" t="str">
        <x:v>RC Frame</x:v>
      </x:c>
      <x:c r="H653" t="str">
        <x:v>Piles</x:v>
      </x:c>
      <x:c r="I653" t="str">
        <x:v>Soft Clay</x:v>
      </x:c>
      <x:c r="J653" t="str">
        <x:v>Low</x:v>
      </x:c>
      <x:c r="K653" t="n">
        <x:v>16434720</x:v>
      </x:c>
      <x:c r="L653" t="n">
        <x:v>447</x:v>
      </x:c>
      <x:c r="M653" t="n">
        <x:v>183.4</x:v>
      </x:c>
      <x:c r="N653" t="n">
        <x:v>9.8</x:v>
      </x:c>
      <x:c r="O653" t="n">
        <x:v>89.4</x:v>
      </x:c>
      <x:c r="P653" t="str">
        <x:v>Stormy</x:v>
      </x:c>
      <x:c r="Q653" t="n">
        <x:v>81</x:v>
      </x:c>
      <x:c r="R653" t="n">
        <x:v>69.9</x:v>
      </x:c>
      <x:c r="S653" t="n">
        <x:v>0.0708</x:v>
      </x:c>
      <x:c r="T653" t="n">
        <x:v>12.7</x:v>
      </x:c>
      <x:c r="U653" t="n">
        <x:v>1010</x:v>
      </x:c>
      <x:c r="V653" t="n">
        <x:v>1356</x:v>
      </x:c>
      <x:c r="W653" t="n">
        <x:v>36.9</x:v>
      </x:c>
    </x:row>
    <x:row r="654">
      <x:c r="A654" t="str">
        <x:v>PJT_653</x:v>
      </x:c>
      <x:c r="B654" t="str">
        <x:v>Marine</x:v>
      </x:c>
      <x:c r="C654" t="n">
        <x:v>12480</x:v>
      </x:c>
      <x:c r="D654" t="n">
        <x:v>8</x:v>
      </x:c>
      <x:c r="E654" t="str">
        <x:v>Medium</x:v>
      </x:c>
      <x:c r="F654" t="str">
        <x:v>Commercial</x:v>
      </x:c>
      <x:c r="G654" t="str">
        <x:v>Steel</x:v>
      </x:c>
      <x:c r="H654" t="str">
        <x:v>Piles</x:v>
      </x:c>
      <x:c r="I654" t="str">
        <x:v>Soft Clay</x:v>
      </x:c>
      <x:c r="J654" t="str">
        <x:v>Medium</x:v>
      </x:c>
      <x:c r="K654" t="n">
        <x:v>30725760</x:v>
      </x:c>
      <x:c r="L654" t="n">
        <x:v>607</x:v>
      </x:c>
      <x:c r="M654" t="n">
        <x:v>219.7</x:v>
      </x:c>
      <x:c r="N654" t="n">
        <x:v>8.7</x:v>
      </x:c>
      <x:c r="O654" t="n">
        <x:v>80.1</x:v>
      </x:c>
      <x:c r="P654" t="str">
        <x:v>Stormy</x:v>
      </x:c>
      <x:c r="Q654" t="n">
        <x:v>96</x:v>
      </x:c>
      <x:c r="R654" t="n">
        <x:v>80.1</x:v>
      </x:c>
      <x:c r="S654" t="n">
        <x:v>0.0961</x:v>
      </x:c>
      <x:c r="T654" t="n">
        <x:v>17</x:v>
      </x:c>
      <x:c r="U654" t="n">
        <x:v>1560</x:v>
      </x:c>
      <x:c r="V654" t="n">
        <x:v>2462</x:v>
      </x:c>
      <x:c r="W654" t="n">
        <x:v>48.6</x:v>
      </x:c>
    </x:row>
    <x:row r="655">
      <x:c r="A655" t="str">
        <x:v>PJT_654</x:v>
      </x:c>
      <x:c r="B655" t="str">
        <x:v>Continental</x:v>
      </x:c>
      <x:c r="C655" t="n">
        <x:v>15560</x:v>
      </x:c>
      <x:c r="D655" t="n">
        <x:v>9</x:v>
      </x:c>
      <x:c r="E655" t="str">
        <x:v>Medium</x:v>
      </x:c>
      <x:c r="F655" t="str">
        <x:v>Hospital</x:v>
      </x:c>
      <x:c r="G655" t="str">
        <x:v>RC Frame</x:v>
      </x:c>
      <x:c r="H655" t="str">
        <x:v>Raft</x:v>
      </x:c>
      <x:c r="I655" t="str">
        <x:v>Mixed</x:v>
      </x:c>
      <x:c r="J655" t="str">
        <x:v>Low</x:v>
      </x:c>
      <x:c r="K655" t="n">
        <x:v>46119840</x:v>
      </x:c>
      <x:c r="L655" t="n">
        <x:v>716</x:v>
      </x:c>
      <x:c r="M655" t="n">
        <x:v>349.8</x:v>
      </x:c>
      <x:c r="N655" t="n">
        <x:v>10.2</x:v>
      </x:c>
      <x:c r="O655" t="n">
        <x:v>45.6</x:v>
      </x:c>
      <x:c r="P655" t="str">
        <x:v>Sunny</x:v>
      </x:c>
      <x:c r="Q655" t="n">
        <x:v>96</x:v>
      </x:c>
      <x:c r="R655" t="n">
        <x:v>80.6</x:v>
      </x:c>
      <x:c r="S655" t="n">
        <x:v>0.1016</x:v>
      </x:c>
      <x:c r="T655" t="n">
        <x:v>20.2</x:v>
      </x:c>
      <x:c r="U655" t="n">
        <x:v>1728.9</x:v>
      </x:c>
      <x:c r="V655" t="n">
        <x:v>2964</x:v>
      </x:c>
      <x:c r="W655" t="n">
        <x:v>46</x:v>
      </x:c>
    </x:row>
    <x:row r="656">
      <x:c r="A656" t="str">
        <x:v>PJT_655</x:v>
      </x:c>
      <x:c r="B656" t="str">
        <x:v>Humid Subtropical</x:v>
      </x:c>
      <x:c r="C656" t="n">
        <x:v>25570</x:v>
      </x:c>
      <x:c r="D656" t="n">
        <x:v>24</x:v>
      </x:c>
      <x:c r="E656" t="str">
        <x:v>High</x:v>
      </x:c>
      <x:c r="F656" t="str">
        <x:v>Mixed-use</x:v>
      </x:c>
      <x:c r="G656" t="str">
        <x:v>Steel</x:v>
      </x:c>
      <x:c r="H656" t="str">
        <x:v>Piles</x:v>
      </x:c>
      <x:c r="I656" t="str">
        <x:v>Sand</x:v>
      </x:c>
      <x:c r="J656" t="str">
        <x:v>Low</x:v>
      </x:c>
      <x:c r="K656" t="n">
        <x:v>74280850</x:v>
      </x:c>
      <x:c r="L656" t="n">
        <x:v>1404</x:v>
      </x:c>
      <x:c r="M656" t="n">
        <x:v>321.8</x:v>
      </x:c>
      <x:c r="N656" t="n">
        <x:v>26.2</x:v>
      </x:c>
      <x:c r="O656" t="n">
        <x:v>76</x:v>
      </x:c>
      <x:c r="P656" t="str">
        <x:v>Cloudy</x:v>
      </x:c>
      <x:c r="Q656" t="n">
        <x:v>96</x:v>
      </x:c>
      <x:c r="R656" t="n">
        <x:v>85</x:v>
      </x:c>
      <x:c r="S656" t="n">
        <x:v>0.108</x:v>
      </x:c>
      <x:c r="T656" t="n">
        <x:v>20.9</x:v>
      </x:c>
      <x:c r="U656" t="n">
        <x:v>1065.4</x:v>
      </x:c>
      <x:c r="V656" t="n">
        <x:v>2905</x:v>
      </x:c>
      <x:c r="W656" t="n">
        <x:v>54.9</x:v>
      </x:c>
    </x:row>
    <x:row r="657">
      <x:c r="A657" t="str">
        <x:v>PJT_656</x:v>
      </x:c>
      <x:c r="B657" t="str">
        <x:v>Continental</x:v>
      </x:c>
      <x:c r="C657" t="n">
        <x:v>17450</x:v>
      </x:c>
      <x:c r="D657" t="n">
        <x:v>11</x:v>
      </x:c>
      <x:c r="E657" t="str">
        <x:v>Medium</x:v>
      </x:c>
      <x:c r="F657" t="str">
        <x:v>Mixed-use</x:v>
      </x:c>
      <x:c r="G657" t="str">
        <x:v>Steel</x:v>
      </x:c>
      <x:c r="H657" t="str">
        <x:v>Raft</x:v>
      </x:c>
      <x:c r="I657" t="str">
        <x:v>Mixed</x:v>
      </x:c>
      <x:c r="J657" t="str">
        <x:v>Medium</x:v>
      </x:c>
      <x:c r="K657" t="n">
        <x:v>42333700</x:v>
      </x:c>
      <x:c r="L657" t="n">
        <x:v>874</x:v>
      </x:c>
      <x:c r="M657" t="n">
        <x:v>275.5</x:v>
      </x:c>
      <x:c r="N657" t="n">
        <x:v>14.6</x:v>
      </x:c>
      <x:c r="O657" t="n">
        <x:v>79.3</x:v>
      </x:c>
      <x:c r="P657" t="str">
        <x:v>Stormy</x:v>
      </x:c>
      <x:c r="Q657" t="n">
        <x:v>106</x:v>
      </x:c>
      <x:c r="R657" t="n">
        <x:v>75.1</x:v>
      </x:c>
      <x:c r="S657" t="n">
        <x:v>0.1057</x:v>
      </x:c>
      <x:c r="T657" t="n">
        <x:v>17.6</x:v>
      </x:c>
      <x:c r="U657" t="n">
        <x:v>1586.4</x:v>
      </x:c>
      <x:c r="V657" t="n">
        <x:v>2426</x:v>
      </x:c>
      <x:c r="W657" t="n">
        <x:v>50.1</x:v>
      </x:c>
    </x:row>
    <x:row r="658">
      <x:c r="A658" t="str">
        <x:v>PJT_657</x:v>
      </x:c>
      <x:c r="B658" t="str">
        <x:v>Marine</x:v>
      </x:c>
      <x:c r="C658" t="n">
        <x:v>13360</x:v>
      </x:c>
      <x:c r="D658" t="n">
        <x:v>23</x:v>
      </x:c>
      <x:c r="E658" t="str">
        <x:v>Medium</x:v>
      </x:c>
      <x:c r="F658" t="str">
        <x:v>Residential</x:v>
      </x:c>
      <x:c r="G658" t="str">
        <x:v>RC Frame</x:v>
      </x:c>
      <x:c r="H658" t="str">
        <x:v>Piles</x:v>
      </x:c>
      <x:c r="I658" t="str">
        <x:v>Mixed</x:v>
      </x:c>
      <x:c r="J658" t="str">
        <x:v>Low</x:v>
      </x:c>
      <x:c r="K658" t="n">
        <x:v>19559040</x:v>
      </x:c>
      <x:c r="L658" t="n">
        <x:v>529</x:v>
      </x:c>
      <x:c r="M658" t="n">
        <x:v>302.9</x:v>
      </x:c>
      <x:c r="N658" t="n">
        <x:v>11.2</x:v>
      </x:c>
      <x:c r="O658" t="n">
        <x:v>75.8</x:v>
      </x:c>
      <x:c r="P658" t="str">
        <x:v>Cloudy</x:v>
      </x:c>
      <x:c r="Q658" t="n">
        <x:v>61</x:v>
      </x:c>
      <x:c r="R658" t="n">
        <x:v>71.9</x:v>
      </x:c>
      <x:c r="S658" t="n">
        <x:v>0.0785</x:v>
      </x:c>
      <x:c r="T658" t="n">
        <x:v>13.5</x:v>
      </x:c>
      <x:c r="U658" t="n">
        <x:v>580.9</x:v>
      </x:c>
      <x:c r="V658" t="n">
        <x:v>1464</x:v>
      </x:c>
      <x:c r="W658" t="n">
        <x:v>39.6</x:v>
      </x:c>
    </x:row>
    <x:row r="659">
      <x:c r="A659" t="str">
        <x:v>PJT_658</x:v>
      </x:c>
      <x:c r="B659" t="str">
        <x:v>Mediterranean</x:v>
      </x:c>
      <x:c r="C659" t="n">
        <x:v>22420</x:v>
      </x:c>
      <x:c r="D659" t="n">
        <x:v>13</x:v>
      </x:c>
      <x:c r="E659" t="str">
        <x:v>Medium</x:v>
      </x:c>
      <x:c r="F659" t="str">
        <x:v>Mixed-use</x:v>
      </x:c>
      <x:c r="G659" t="str">
        <x:v>Shear Wall</x:v>
      </x:c>
      <x:c r="H659" t="str">
        <x:v>Piles</x:v>
      </x:c>
      <x:c r="I659" t="str">
        <x:v>Mixed</x:v>
      </x:c>
      <x:c r="J659" t="str">
        <x:v>Medium</x:v>
      </x:c>
      <x:c r="K659" t="n">
        <x:v>57462460</x:v>
      </x:c>
      <x:c r="L659" t="n">
        <x:v>1074</x:v>
      </x:c>
      <x:c r="M659" t="n">
        <x:v>382.9</x:v>
      </x:c>
      <x:c r="N659" t="n">
        <x:v>23.2</x:v>
      </x:c>
      <x:c r="O659" t="n">
        <x:v>58.6</x:v>
      </x:c>
      <x:c r="P659" t="str">
        <x:v>Cloudy</x:v>
      </x:c>
      <x:c r="Q659" t="n">
        <x:v>92</x:v>
      </x:c>
      <x:c r="R659" t="n">
        <x:v>84.2</x:v>
      </x:c>
      <x:c r="S659" t="n">
        <x:v>0.1011</x:v>
      </x:c>
      <x:c r="T659" t="n">
        <x:v>18.9</x:v>
      </x:c>
      <x:c r="U659" t="n">
        <x:v>1724.6</x:v>
      </x:c>
      <x:c r="V659" t="n">
        <x:v>2563</x:v>
      </x:c>
      <x:c r="W659" t="n">
        <x:v>47.9</x:v>
      </x:c>
    </x:row>
    <x:row r="660">
      <x:c r="A660" t="str">
        <x:v>PJT_659</x:v>
      </x:c>
      <x:c r="B660" t="str">
        <x:v>Marine</x:v>
      </x:c>
      <x:c r="C660" t="n">
        <x:v>6860</x:v>
      </x:c>
      <x:c r="D660" t="n">
        <x:v>7</x:v>
      </x:c>
      <x:c r="E660" t="str">
        <x:v>Low</x:v>
      </x:c>
      <x:c r="F660" t="str">
        <x:v>Residential</x:v>
      </x:c>
      <x:c r="G660" t="str">
        <x:v>RC Frame</x:v>
      </x:c>
      <x:c r="H660" t="str">
        <x:v>Raft</x:v>
      </x:c>
      <x:c r="I660" t="str">
        <x:v>Mixed</x:v>
      </x:c>
      <x:c r="J660" t="str">
        <x:v>Medium</x:v>
      </x:c>
      <x:c r="K660" t="n">
        <x:v>9988160</x:v>
      </x:c>
      <x:c r="L660" t="n">
        <x:v>205</x:v>
      </x:c>
      <x:c r="M660" t="n">
        <x:v>366.1</x:v>
      </x:c>
      <x:c r="N660" t="n">
        <x:v>19.1</x:v>
      </x:c>
      <x:c r="O660" t="n">
        <x:v>67.6</x:v>
      </x:c>
      <x:c r="P660" t="str">
        <x:v>Cloudy</x:v>
      </x:c>
      <x:c r="Q660" t="n">
        <x:v>74</x:v>
      </x:c>
      <x:c r="R660" t="n">
        <x:v>60.1</x:v>
      </x:c>
      <x:c r="S660" t="n">
        <x:v>0.0779</x:v>
      </x:c>
      <x:c r="T660" t="n">
        <x:v>11.6</x:v>
      </x:c>
      <x:c r="U660" t="n">
        <x:v>980</x:v>
      </x:c>
      <x:c r="V660" t="n">
        <x:v>1456</x:v>
      </x:c>
      <x:c r="W660" t="n">
        <x:v>29.9</x:v>
      </x:c>
    </x:row>
    <x:row r="661">
      <x:c r="A661" t="str">
        <x:v>PJT_660</x:v>
      </x:c>
      <x:c r="B661" t="str">
        <x:v>Continental</x:v>
      </x:c>
      <x:c r="C661" t="n">
        <x:v>20410</x:v>
      </x:c>
      <x:c r="D661" t="n">
        <x:v>22</x:v>
      </x:c>
      <x:c r="E661" t="str">
        <x:v>Medium</x:v>
      </x:c>
      <x:c r="F661" t="str">
        <x:v>Residential</x:v>
      </x:c>
      <x:c r="G661" t="str">
        <x:v>Shear Wall</x:v>
      </x:c>
      <x:c r="H661" t="str">
        <x:v>Piles</x:v>
      </x:c>
      <x:c r="I661" t="str">
        <x:v>Sand</x:v>
      </x:c>
      <x:c r="J661" t="str">
        <x:v>High</x:v>
      </x:c>
      <x:c r="K661" t="n">
        <x:v>33594860</x:v>
      </x:c>
      <x:c r="L661" t="n">
        <x:v>872</x:v>
      </x:c>
      <x:c r="M661" t="n">
        <x:v>260.6</x:v>
      </x:c>
      <x:c r="N661" t="n">
        <x:v>15.8</x:v>
      </x:c>
      <x:c r="O661" t="n">
        <x:v>77.1</x:v>
      </x:c>
      <x:c r="P661" t="str">
        <x:v>Rainy</x:v>
      </x:c>
      <x:c r="Q661" t="n">
        <x:v>98</x:v>
      </x:c>
      <x:c r="R661" t="n">
        <x:v>79.7</x:v>
      </x:c>
      <x:c r="S661" t="n">
        <x:v>0.0849</x:v>
      </x:c>
      <x:c r="T661" t="n">
        <x:v>12.7</x:v>
      </x:c>
      <x:c r="U661" t="n">
        <x:v>927.7</x:v>
      </x:c>
      <x:c r="V661" t="n">
        <x:v>1646</x:v>
      </x:c>
      <x:c r="W661" t="n">
        <x:v>42.7</x:v>
      </x:c>
    </x:row>
    <x:row r="662">
      <x:c r="A662" t="str">
        <x:v>PJT_661</x:v>
      </x:c>
      <x:c r="B662" t="str">
        <x:v>Continental</x:v>
      </x:c>
      <x:c r="C662" t="n">
        <x:v>28690</x:v>
      </x:c>
      <x:c r="D662" t="n">
        <x:v>24</x:v>
      </x:c>
      <x:c r="E662" t="str">
        <x:v>Medium</x:v>
      </x:c>
      <x:c r="F662" t="str">
        <x:v>Residential</x:v>
      </x:c>
      <x:c r="G662" t="str">
        <x:v>Shear Wall</x:v>
      </x:c>
      <x:c r="H662" t="str">
        <x:v>Piles</x:v>
      </x:c>
      <x:c r="I662" t="str">
        <x:v>Mixed</x:v>
      </x:c>
      <x:c r="J662" t="str">
        <x:v>High</x:v>
      </x:c>
      <x:c r="K662" t="n">
        <x:v>49346800</x:v>
      </x:c>
      <x:c r="L662" t="n">
        <x:v>1079</x:v>
      </x:c>
      <x:c r="M662" t="n">
        <x:v>284.2</x:v>
      </x:c>
      <x:c r="N662" t="n">
        <x:v>9.5</x:v>
      </x:c>
      <x:c r="O662" t="n">
        <x:v>49.6</x:v>
      </x:c>
      <x:c r="P662" t="str">
        <x:v>Sunny</x:v>
      </x:c>
      <x:c r="Q662" t="n">
        <x:v>90</x:v>
      </x:c>
      <x:c r="R662" t="n">
        <x:v>79.8</x:v>
      </x:c>
      <x:c r="S662" t="n">
        <x:v>0.0827</x:v>
      </x:c>
      <x:c r="T662" t="n">
        <x:v>13.8</x:v>
      </x:c>
      <x:c r="U662" t="n">
        <x:v>1195.4</x:v>
      </x:c>
      <x:c r="V662" t="n">
        <x:v>1720</x:v>
      </x:c>
      <x:c r="W662" t="n">
        <x:v>37.6</x:v>
      </x:c>
    </x:row>
    <x:row r="663">
      <x:c r="A663" t="str">
        <x:v>PJT_662</x:v>
      </x:c>
      <x:c r="B663" t="str">
        <x:v>Humid Subtropical</x:v>
      </x:c>
      <x:c r="C663" t="n">
        <x:v>19560</x:v>
      </x:c>
      <x:c r="D663" t="n">
        <x:v>18</x:v>
      </x:c>
      <x:c r="E663" t="str">
        <x:v>Medium</x:v>
      </x:c>
      <x:c r="F663" t="str">
        <x:v>Residential</x:v>
      </x:c>
      <x:c r="G663" t="str">
        <x:v>RC Frame</x:v>
      </x:c>
      <x:c r="H663" t="str">
        <x:v>Piles</x:v>
      </x:c>
      <x:c r="I663" t="str">
        <x:v>Mixed</x:v>
      </x:c>
      <x:c r="J663" t="str">
        <x:v>Low</x:v>
      </x:c>
      <x:c r="K663" t="n">
        <x:v>29398680</x:v>
      </x:c>
      <x:c r="L663" t="n">
        <x:v>710</x:v>
      </x:c>
      <x:c r="M663" t="n">
        <x:v>412</x:v>
      </x:c>
      <x:c r="N663" t="n">
        <x:v>23.8</x:v>
      </x:c>
      <x:c r="O663" t="n">
        <x:v>69</x:v>
      </x:c>
      <x:c r="P663" t="str">
        <x:v>Cloudy</x:v>
      </x:c>
      <x:c r="Q663" t="n">
        <x:v>67</x:v>
      </x:c>
      <x:c r="R663" t="n">
        <x:v>71</x:v>
      </x:c>
      <x:c r="S663" t="n">
        <x:v>0.0778</x:v>
      </x:c>
      <x:c r="T663" t="n">
        <x:v>14</x:v>
      </x:c>
      <x:c r="U663" t="n">
        <x:v>1086.7</x:v>
      </x:c>
      <x:c r="V663" t="n">
        <x:v>1503</x:v>
      </x:c>
      <x:c r="W663" t="n">
        <x:v>36.3</x:v>
      </x:c>
    </x:row>
    <x:row r="664">
      <x:c r="A664" t="str">
        <x:v>PJT_663</x:v>
      </x:c>
      <x:c r="B664" t="str">
        <x:v>Humid Subtropical</x:v>
      </x:c>
      <x:c r="C664" t="n">
        <x:v>20330</x:v>
      </x:c>
      <x:c r="D664" t="n">
        <x:v>15</x:v>
      </x:c>
      <x:c r="E664" t="str">
        <x:v>Medium</x:v>
      </x:c>
      <x:c r="F664" t="str">
        <x:v>Commercial</x:v>
      </x:c>
      <x:c r="G664" t="str">
        <x:v>Steel</x:v>
      </x:c>
      <x:c r="H664" t="str">
        <x:v>Raft</x:v>
      </x:c>
      <x:c r="I664" t="str">
        <x:v>Rock</x:v>
      </x:c>
      <x:c r="J664" t="str">
        <x:v>High</x:v>
      </x:c>
      <x:c r="K664" t="n">
        <x:v>50784340</x:v>
      </x:c>
      <x:c r="L664" t="n">
        <x:v>842</x:v>
      </x:c>
      <x:c r="M664" t="n">
        <x:v>663.3</x:v>
      </x:c>
      <x:c r="N664" t="n">
        <x:v>34.8</x:v>
      </x:c>
      <x:c r="O664" t="n">
        <x:v>60.7</x:v>
      </x:c>
      <x:c r="P664" t="str">
        <x:v>Sunny</x:v>
      </x:c>
      <x:c r="Q664" t="n">
        <x:v>73</x:v>
      </x:c>
      <x:c r="R664" t="n">
        <x:v>83.1</x:v>
      </x:c>
      <x:c r="S664" t="n">
        <x:v>0.0963</x:v>
      </x:c>
      <x:c r="T664" t="n">
        <x:v>17.3</x:v>
      </x:c>
      <x:c r="U664" t="n">
        <x:v>1355.3</x:v>
      </x:c>
      <x:c r="V664" t="n">
        <x:v>2498</x:v>
      </x:c>
      <x:c r="W664" t="n">
        <x:v>41.4</x:v>
      </x:c>
    </x:row>
    <x:row r="665">
      <x:c r="A665" t="str">
        <x:v>PJT_664</x:v>
      </x:c>
      <x:c r="B665" t="str">
        <x:v>Continental</x:v>
      </x:c>
      <x:c r="C665" t="n">
        <x:v>17260</x:v>
      </x:c>
      <x:c r="D665" t="n">
        <x:v>19</x:v>
      </x:c>
      <x:c r="E665" t="str">
        <x:v>Medium</x:v>
      </x:c>
      <x:c r="F665" t="str">
        <x:v>Residential</x:v>
      </x:c>
      <x:c r="G665" t="str">
        <x:v>Shear Wall</x:v>
      </x:c>
      <x:c r="H665" t="str">
        <x:v>Piles</x:v>
      </x:c>
      <x:c r="I665" t="str">
        <x:v>Sand</x:v>
      </x:c>
      <x:c r="J665" t="str">
        <x:v>High</x:v>
      </x:c>
      <x:c r="K665" t="n">
        <x:v>28530780</x:v>
      </x:c>
      <x:c r="L665" t="n">
        <x:v>692</x:v>
      </x:c>
      <x:c r="M665" t="n">
        <x:v>279.2</x:v>
      </x:c>
      <x:c r="N665" t="n">
        <x:v>21.8</x:v>
      </x:c>
      <x:c r="O665" t="n">
        <x:v>61.2</x:v>
      </x:c>
      <x:c r="P665" t="str">
        <x:v>Cloudy</x:v>
      </x:c>
      <x:c r="Q665" t="n">
        <x:v>59</x:v>
      </x:c>
      <x:c r="R665" t="n">
        <x:v>73.5</x:v>
      </x:c>
      <x:c r="S665" t="n">
        <x:v>0.0819</x:v>
      </x:c>
      <x:c r="T665" t="n">
        <x:v>13.6</x:v>
      </x:c>
      <x:c r="U665" t="n">
        <x:v>908.4</x:v>
      </x:c>
      <x:c r="V665" t="n">
        <x:v>1653</x:v>
      </x:c>
      <x:c r="W665" t="n">
        <x:v>40.1</x:v>
      </x:c>
    </x:row>
    <x:row r="666">
      <x:c r="A666" t="str">
        <x:v>PJT_665</x:v>
      </x:c>
      <x:c r="B666" t="str">
        <x:v>Humid Subtropical</x:v>
      </x:c>
      <x:c r="C666" t="n">
        <x:v>18110</x:v>
      </x:c>
      <x:c r="D666" t="n">
        <x:v>20</x:v>
      </x:c>
      <x:c r="E666" t="str">
        <x:v>Medium</x:v>
      </x:c>
      <x:c r="F666" t="str">
        <x:v>Residential</x:v>
      </x:c>
      <x:c r="G666" t="str">
        <x:v>Shear Wall</x:v>
      </x:c>
      <x:c r="H666" t="str">
        <x:v>Piles</x:v>
      </x:c>
      <x:c r="I666" t="str">
        <x:v>Rock</x:v>
      </x:c>
      <x:c r="J666" t="str">
        <x:v>Medium</x:v>
      </x:c>
      <x:c r="K666" t="n">
        <x:v>30189370</x:v>
      </x:c>
      <x:c r="L666" t="n">
        <x:v>753</x:v>
      </x:c>
      <x:c r="M666" t="n">
        <x:v>668.4</x:v>
      </x:c>
      <x:c r="N666" t="n">
        <x:v>23.2</x:v>
      </x:c>
      <x:c r="O666" t="n">
        <x:v>82.5</x:v>
      </x:c>
      <x:c r="P666" t="str">
        <x:v>Rainy</x:v>
      </x:c>
      <x:c r="Q666" t="n">
        <x:v>70</x:v>
      </x:c>
      <x:c r="R666" t="n">
        <x:v>80.1</x:v>
      </x:c>
      <x:c r="S666" t="n">
        <x:v>0.084</x:v>
      </x:c>
      <x:c r="T666" t="n">
        <x:v>13.4</x:v>
      </x:c>
      <x:c r="U666" t="n">
        <x:v>905.5</x:v>
      </x:c>
      <x:c r="V666" t="n">
        <x:v>1667</x:v>
      </x:c>
      <x:c r="W666" t="n">
        <x:v>41.6</x:v>
      </x:c>
    </x:row>
    <x:row r="667">
      <x:c r="A667" t="str">
        <x:v>PJT_666</x:v>
      </x:c>
      <x:c r="B667" t="str">
        <x:v>Marine</x:v>
      </x:c>
      <x:c r="C667" t="n">
        <x:v>10450</x:v>
      </x:c>
      <x:c r="D667" t="n">
        <x:v>10</x:v>
      </x:c>
      <x:c r="E667" t="str">
        <x:v>Low</x:v>
      </x:c>
      <x:c r="F667" t="str">
        <x:v>Residential</x:v>
      </x:c>
      <x:c r="G667" t="str">
        <x:v>RC Frame</x:v>
      </x:c>
      <x:c r="H667" t="str">
        <x:v>Raft</x:v>
      </x:c>
      <x:c r="I667" t="str">
        <x:v>Sand</x:v>
      </x:c>
      <x:c r="J667" t="str">
        <x:v>Low</x:v>
      </x:c>
      <x:c r="K667" t="n">
        <x:v>14786750</x:v>
      </x:c>
      <x:c r="L667" t="n">
        <x:v>332</x:v>
      </x:c>
      <x:c r="M667" t="n">
        <x:v>227.3</x:v>
      </x:c>
      <x:c r="N667" t="n">
        <x:v>7.6</x:v>
      </x:c>
      <x:c r="O667" t="n">
        <x:v>89.7</x:v>
      </x:c>
      <x:c r="P667" t="str">
        <x:v>Rainy</x:v>
      </x:c>
      <x:c r="Q667" t="n">
        <x:v>63</x:v>
      </x:c>
      <x:c r="R667" t="n">
        <x:v>62.6</x:v>
      </x:c>
      <x:c r="S667" t="n">
        <x:v>0.0737</x:v>
      </x:c>
      <x:c r="T667" t="n">
        <x:v>12</x:v>
      </x:c>
      <x:c r="U667" t="n">
        <x:v>1045</x:v>
      </x:c>
      <x:c r="V667" t="n">
        <x:v>1415</x:v>
      </x:c>
      <x:c r="W667" t="n">
        <x:v>31.8</x:v>
      </x:c>
    </x:row>
    <x:row r="668">
      <x:c r="A668" t="str">
        <x:v>PJT_667</x:v>
      </x:c>
      <x:c r="B668" t="str">
        <x:v>Mediterranean</x:v>
      </x:c>
      <x:c r="C668" t="n">
        <x:v>12360</x:v>
      </x:c>
      <x:c r="D668" t="n">
        <x:v>14</x:v>
      </x:c>
      <x:c r="E668" t="str">
        <x:v>Medium</x:v>
      </x:c>
      <x:c r="F668" t="str">
        <x:v>Residential</x:v>
      </x:c>
      <x:c r="G668" t="str">
        <x:v>Shear Wall</x:v>
      </x:c>
      <x:c r="H668" t="str">
        <x:v>Piles</x:v>
      </x:c>
      <x:c r="I668" t="str">
        <x:v>Sand</x:v>
      </x:c>
      <x:c r="J668" t="str">
        <x:v>Medium</x:v>
      </x:c>
      <x:c r="K668" t="n">
        <x:v>20628840</x:v>
      </x:c>
      <x:c r="L668" t="n">
        <x:v>468</x:v>
      </x:c>
      <x:c r="M668" t="n">
        <x:v>317.9</x:v>
      </x:c>
      <x:c r="N668" t="n">
        <x:v>23.1</x:v>
      </x:c>
      <x:c r="O668" t="n">
        <x:v>61.3</x:v>
      </x:c>
      <x:c r="P668" t="str">
        <x:v>Cloudy</x:v>
      </x:c>
      <x:c r="Q668" t="n">
        <x:v>66</x:v>
      </x:c>
      <x:c r="R668" t="n">
        <x:v>68.6</x:v>
      </x:c>
      <x:c r="S668" t="n">
        <x:v>0.0792</x:v>
      </x:c>
      <x:c r="T668" t="n">
        <x:v>13</x:v>
      </x:c>
      <x:c r="U668" t="n">
        <x:v>882.9</x:v>
      </x:c>
      <x:c r="V668" t="n">
        <x:v>1669</x:v>
      </x:c>
      <x:c r="W668" t="n">
        <x:v>37.9</x:v>
      </x:c>
    </x:row>
    <x:row r="669">
      <x:c r="A669" t="str">
        <x:v>PJT_668</x:v>
      </x:c>
      <x:c r="B669" t="str">
        <x:v>Mediterranean</x:v>
      </x:c>
      <x:c r="C669" t="n">
        <x:v>21980</x:v>
      </x:c>
      <x:c r="D669" t="n">
        <x:v>12</x:v>
      </x:c>
      <x:c r="E669" t="str">
        <x:v>Medium</x:v>
      </x:c>
      <x:c r="F669" t="str">
        <x:v>Mixed-use</x:v>
      </x:c>
      <x:c r="G669" t="str">
        <x:v>Steel</x:v>
      </x:c>
      <x:c r="H669" t="str">
        <x:v>Piles</x:v>
      </x:c>
      <x:c r="I669" t="str">
        <x:v>Mixed</x:v>
      </x:c>
      <x:c r="J669" t="str">
        <x:v>Medium</x:v>
      </x:c>
      <x:c r="K669" t="n">
        <x:v>59302040</x:v>
      </x:c>
      <x:c r="L669" t="n">
        <x:v>1099</x:v>
      </x:c>
      <x:c r="M669" t="n">
        <x:v>329.1</x:v>
      </x:c>
      <x:c r="N669" t="n">
        <x:v>21.1</x:v>
      </x:c>
      <x:c r="O669" t="n">
        <x:v>63.2</x:v>
      </x:c>
      <x:c r="P669" t="str">
        <x:v>Cloudy</x:v>
      </x:c>
      <x:c r="Q669" t="n">
        <x:v>97</x:v>
      </x:c>
      <x:c r="R669" t="n">
        <x:v>80.5</x:v>
      </x:c>
      <x:c r="S669" t="n">
        <x:v>0.1014</x:v>
      </x:c>
      <x:c r="T669" t="n">
        <x:v>17.7</x:v>
      </x:c>
      <x:c r="U669" t="n">
        <x:v>1831.7</x:v>
      </x:c>
      <x:c r="V669" t="n">
        <x:v>2698</x:v>
      </x:c>
      <x:c r="W669" t="n">
        <x:v>50</x:v>
      </x:c>
    </x:row>
    <x:row r="670">
      <x:c r="A670" t="str">
        <x:v>PJT_669</x:v>
      </x:c>
      <x:c r="B670" t="str">
        <x:v>Mediterranean</x:v>
      </x:c>
      <x:c r="C670" t="n">
        <x:v>5750</x:v>
      </x:c>
      <x:c r="D670" t="n">
        <x:v>4</x:v>
      </x:c>
      <x:c r="E670" t="str">
        <x:v>Low</x:v>
      </x:c>
      <x:c r="F670" t="str">
        <x:v>Commercial</x:v>
      </x:c>
      <x:c r="G670" t="str">
        <x:v>RC Frame</x:v>
      </x:c>
      <x:c r="H670" t="str">
        <x:v>Raft</x:v>
      </x:c>
      <x:c r="I670" t="str">
        <x:v>Mixed</x:v>
      </x:c>
      <x:c r="J670" t="str">
        <x:v>Low</x:v>
      </x:c>
      <x:c r="K670" t="n">
        <x:v>11655250</x:v>
      </x:c>
      <x:c r="L670" t="n">
        <x:v>232</x:v>
      </x:c>
      <x:c r="M670" t="n">
        <x:v>346.6</x:v>
      </x:c>
      <x:c r="N670" t="n">
        <x:v>11.7</x:v>
      </x:c>
      <x:c r="O670" t="n">
        <x:v>70.5</x:v>
      </x:c>
      <x:c r="P670" t="str">
        <x:v>Rainy</x:v>
      </x:c>
      <x:c r="Q670" t="n">
        <x:v>101</x:v>
      </x:c>
      <x:c r="R670" t="n">
        <x:v>63.5</x:v>
      </x:c>
      <x:c r="S670" t="n">
        <x:v>0.0866</x:v>
      </x:c>
      <x:c r="T670" t="n">
        <x:v>15.9</x:v>
      </x:c>
      <x:c r="U670" t="n">
        <x:v>1437.5</x:v>
      </x:c>
      <x:c r="V670" t="n">
        <x:v>2027</x:v>
      </x:c>
      <x:c r="W670" t="n">
        <x:v>40.3</x:v>
      </x:c>
    </x:row>
    <x:row r="671">
      <x:c r="A671" t="str">
        <x:v>PJT_670</x:v>
      </x:c>
      <x:c r="B671" t="str">
        <x:v>Continental</x:v>
      </x:c>
      <x:c r="C671" t="n">
        <x:v>19890</x:v>
      </x:c>
      <x:c r="D671" t="n">
        <x:v>11</x:v>
      </x:c>
      <x:c r="E671" t="str">
        <x:v>Medium</x:v>
      </x:c>
      <x:c r="F671" t="str">
        <x:v>Hospital</x:v>
      </x:c>
      <x:c r="G671" t="str">
        <x:v>Steel</x:v>
      </x:c>
      <x:c r="H671" t="str">
        <x:v>Raft</x:v>
      </x:c>
      <x:c r="I671" t="str">
        <x:v>Mixed</x:v>
      </x:c>
      <x:c r="J671" t="str">
        <x:v>Low</x:v>
      </x:c>
      <x:c r="K671" t="n">
        <x:v>60545160</x:v>
      </x:c>
      <x:c r="L671" t="n">
        <x:v>1076</x:v>
      </x:c>
      <x:c r="M671" t="n">
        <x:v>293.7</x:v>
      </x:c>
      <x:c r="N671" t="n">
        <x:v>13.6</x:v>
      </x:c>
      <x:c r="O671" t="n">
        <x:v>74.6</x:v>
      </x:c>
      <x:c r="P671" t="str">
        <x:v>Stormy</x:v>
      </x:c>
      <x:c r="Q671" t="n">
        <x:v>104</x:v>
      </x:c>
      <x:c r="R671" t="n">
        <x:v>78.1</x:v>
      </x:c>
      <x:c r="S671" t="n">
        <x:v>0.1144</x:v>
      </x:c>
      <x:c r="T671" t="n">
        <x:v>20.3</x:v>
      </x:c>
      <x:c r="U671" t="n">
        <x:v>1808.2</x:v>
      </x:c>
      <x:c r="V671" t="n">
        <x:v>3044</x:v>
      </x:c>
      <x:c r="W671" t="n">
        <x:v>54.1</x:v>
      </x:c>
    </x:row>
    <x:row r="672">
      <x:c r="A672" t="str">
        <x:v>PJT_671</x:v>
      </x:c>
      <x:c r="B672" t="str">
        <x:v>Marine</x:v>
      </x:c>
      <x:c r="C672" t="n">
        <x:v>16060</x:v>
      </x:c>
      <x:c r="D672" t="n">
        <x:v>7</x:v>
      </x:c>
      <x:c r="E672" t="str">
        <x:v>Medium</x:v>
      </x:c>
      <x:c r="F672" t="str">
        <x:v>Hospital</x:v>
      </x:c>
      <x:c r="G672" t="str">
        <x:v>RC Frame</x:v>
      </x:c>
      <x:c r="H672" t="str">
        <x:v>Raft</x:v>
      </x:c>
      <x:c r="I672" t="str">
        <x:v>Rock</x:v>
      </x:c>
      <x:c r="J672" t="str">
        <x:v>Low</x:v>
      </x:c>
      <x:c r="K672" t="n">
        <x:v>47601840</x:v>
      </x:c>
      <x:c r="L672" t="n">
        <x:v>723</x:v>
      </x:c>
      <x:c r="M672" t="n">
        <x:v>716.4</x:v>
      </x:c>
      <x:c r="N672" t="n">
        <x:v>19.9</x:v>
      </x:c>
      <x:c r="O672" t="n">
        <x:v>72.4</x:v>
      </x:c>
      <x:c r="P672" t="str">
        <x:v>Cloudy</x:v>
      </x:c>
      <x:c r="Q672" t="n">
        <x:v>72</x:v>
      </x:c>
      <x:c r="R672" t="n">
        <x:v>75.1</x:v>
      </x:c>
      <x:c r="S672" t="n">
        <x:v>0.1081</x:v>
      </x:c>
      <x:c r="T672" t="n">
        <x:v>19.7</x:v>
      </x:c>
      <x:c r="U672" t="n">
        <x:v>2294.3</x:v>
      </x:c>
      <x:c r="V672" t="n">
        <x:v>2964</x:v>
      </x:c>
      <x:c r="W672" t="n">
        <x:v>45</x:v>
      </x:c>
    </x:row>
    <x:row r="673">
      <x:c r="A673" t="str">
        <x:v>PJT_672</x:v>
      </x:c>
      <x:c r="B673" t="str">
        <x:v>Continental</x:v>
      </x:c>
      <x:c r="C673" t="n">
        <x:v>13840</x:v>
      </x:c>
      <x:c r="D673" t="n">
        <x:v>16</x:v>
      </x:c>
      <x:c r="E673" t="str">
        <x:v>Low</x:v>
      </x:c>
      <x:c r="F673" t="str">
        <x:v>Residential</x:v>
      </x:c>
      <x:c r="G673" t="str">
        <x:v>RC Frame</x:v>
      </x:c>
      <x:c r="H673" t="str">
        <x:v>Piles</x:v>
      </x:c>
      <x:c r="I673" t="str">
        <x:v>Sand</x:v>
      </x:c>
      <x:c r="J673" t="str">
        <x:v>Low</x:v>
      </x:c>
      <x:c r="K673" t="n">
        <x:v>18725520</x:v>
      </x:c>
      <x:c r="L673" t="n">
        <x:v>459</x:v>
      </x:c>
      <x:c r="M673" t="n">
        <x:v>283.3</x:v>
      </x:c>
      <x:c r="N673" t="n">
        <x:v>26.4</x:v>
      </x:c>
      <x:c r="O673" t="n">
        <x:v>62.2</x:v>
      </x:c>
      <x:c r="P673" t="str">
        <x:v>Sunny</x:v>
      </x:c>
      <x:c r="Q673" t="n">
        <x:v>85</x:v>
      </x:c>
      <x:c r="R673" t="n">
        <x:v>72.2</x:v>
      </x:c>
      <x:c r="S673" t="n">
        <x:v>0.077</x:v>
      </x:c>
      <x:c r="T673" t="n">
        <x:v>12.8</x:v>
      </x:c>
      <x:c r="U673" t="n">
        <x:v>865</x:v>
      </x:c>
      <x:c r="V673" t="n">
        <x:v>1353</x:v>
      </x:c>
      <x:c r="W673" t="n">
        <x:v>33.2</x:v>
      </x:c>
    </x:row>
    <x:row r="674">
      <x:c r="A674" t="str">
        <x:v>PJT_673</x:v>
      </x:c>
      <x:c r="B674" t="str">
        <x:v>Marine</x:v>
      </x:c>
      <x:c r="C674" t="n">
        <x:v>31380</x:v>
      </x:c>
      <x:c r="D674" t="n">
        <x:v>21</x:v>
      </x:c>
      <x:c r="E674" t="str">
        <x:v>Medium</x:v>
      </x:c>
      <x:c r="F674" t="str">
        <x:v>Mixed-use</x:v>
      </x:c>
      <x:c r="G674" t="str">
        <x:v>Steel</x:v>
      </x:c>
      <x:c r="H674" t="str">
        <x:v>Piles</x:v>
      </x:c>
      <x:c r="I674" t="str">
        <x:v>Rock</x:v>
      </x:c>
      <x:c r="J674" t="str">
        <x:v>Low</x:v>
      </x:c>
      <x:c r="K674" t="n">
        <x:v>86546040</x:v>
      </x:c>
      <x:c r="L674" t="n">
        <x:v>1550</x:v>
      </x:c>
      <x:c r="M674" t="n">
        <x:v>641.5</x:v>
      </x:c>
      <x:c r="N674" t="n">
        <x:v>13.6</x:v>
      </x:c>
      <x:c r="O674" t="n">
        <x:v>81.6</x:v>
      </x:c>
      <x:c r="P674" t="str">
        <x:v>Cloudy</x:v>
      </x:c>
      <x:c r="Q674" t="n">
        <x:v>82</x:v>
      </x:c>
      <x:c r="R674" t="n">
        <x:v>82</x:v>
      </x:c>
      <x:c r="S674" t="n">
        <x:v>0.1037</x:v>
      </x:c>
      <x:c r="T674" t="n">
        <x:v>18.3</x:v>
      </x:c>
      <x:c r="U674" t="n">
        <x:v>1494.3</x:v>
      </x:c>
      <x:c r="V674" t="n">
        <x:v>2758</x:v>
      </x:c>
      <x:c r="W674" t="n">
        <x:v>49.4</x:v>
      </x:c>
    </x:row>
    <x:row r="675">
      <x:c r="A675" t="str">
        <x:v>PJT_674</x:v>
      </x:c>
      <x:c r="B675" t="str">
        <x:v>Mediterranean</x:v>
      </x:c>
      <x:c r="C675" t="n">
        <x:v>17940</x:v>
      </x:c>
      <x:c r="D675" t="n">
        <x:v>25</x:v>
      </x:c>
      <x:c r="E675" t="str">
        <x:v>Medium</x:v>
      </x:c>
      <x:c r="F675" t="str">
        <x:v>Residential</x:v>
      </x:c>
      <x:c r="G675" t="str">
        <x:v>Shear Wall</x:v>
      </x:c>
      <x:c r="H675" t="str">
        <x:v>Piles</x:v>
      </x:c>
      <x:c r="I675" t="str">
        <x:v>Mixed</x:v>
      </x:c>
      <x:c r="J675" t="str">
        <x:v>High</x:v>
      </x:c>
      <x:c r="K675" t="n">
        <x:v>32022900</x:v>
      </x:c>
      <x:c r="L675" t="n">
        <x:v>703</x:v>
      </x:c>
      <x:c r="M675" t="n">
        <x:v>397.9</x:v>
      </x:c>
      <x:c r="N675" t="n">
        <x:v>26.1</x:v>
      </x:c>
      <x:c r="O675" t="n">
        <x:v>47</x:v>
      </x:c>
      <x:c r="P675" t="str">
        <x:v>Sunny</x:v>
      </x:c>
      <x:c r="Q675" t="n">
        <x:v>78</x:v>
      </x:c>
      <x:c r="R675" t="n">
        <x:v>77.9</x:v>
      </x:c>
      <x:c r="S675" t="n">
        <x:v>0.085</x:v>
      </x:c>
      <x:c r="T675" t="n">
        <x:v>14</x:v>
      </x:c>
      <x:c r="U675" t="n">
        <x:v>717.6</x:v>
      </x:c>
      <x:c r="V675" t="n">
        <x:v>1785</x:v>
      </x:c>
      <x:c r="W675" t="n">
        <x:v>39.2</x:v>
      </x:c>
    </x:row>
    <x:row r="676">
      <x:c r="A676" t="str">
        <x:v>PJT_675</x:v>
      </x:c>
      <x:c r="B676" t="str">
        <x:v>Continental</x:v>
      </x:c>
      <x:c r="C676" t="n">
        <x:v>15790</x:v>
      </x:c>
      <x:c r="D676" t="n">
        <x:v>8</x:v>
      </x:c>
      <x:c r="E676" t="str">
        <x:v>Medium</x:v>
      </x:c>
      <x:c r="F676" t="str">
        <x:v>Hospital</x:v>
      </x:c>
      <x:c r="G676" t="str">
        <x:v>Shear Wall</x:v>
      </x:c>
      <x:c r="H676" t="str">
        <x:v>Piles</x:v>
      </x:c>
      <x:c r="I676" t="str">
        <x:v>Soft Clay</x:v>
      </x:c>
      <x:c r="J676" t="str">
        <x:v>High</x:v>
      </x:c>
      <x:c r="K676" t="n">
        <x:v>51538560</x:v>
      </x:c>
      <x:c r="L676" t="n">
        <x:v>744</x:v>
      </x:c>
      <x:c r="M676" t="n">
        <x:v>167.9</x:v>
      </x:c>
      <x:c r="N676" t="n">
        <x:v>5.4</x:v>
      </x:c>
      <x:c r="O676" t="n">
        <x:v>54.7</x:v>
      </x:c>
      <x:c r="P676" t="str">
        <x:v>Sunny</x:v>
      </x:c>
      <x:c r="Q676" t="n">
        <x:v>103</x:v>
      </x:c>
      <x:c r="R676" t="n">
        <x:v>81</x:v>
      </x:c>
      <x:c r="S676" t="n">
        <x:v>0.1128</x:v>
      </x:c>
      <x:c r="T676" t="n">
        <x:v>21.4</x:v>
      </x:c>
      <x:c r="U676" t="n">
        <x:v>1973.8</x:v>
      </x:c>
      <x:c r="V676" t="n">
        <x:v>3264</x:v>
      </x:c>
      <x:c r="W676" t="n">
        <x:v>47.1</x:v>
      </x:c>
    </x:row>
    <x:row r="677">
      <x:c r="A677" t="str">
        <x:v>PJT_676</x:v>
      </x:c>
      <x:c r="B677" t="str">
        <x:v>Continental</x:v>
      </x:c>
      <x:c r="C677" t="n">
        <x:v>15950</x:v>
      </x:c>
      <x:c r="D677" t="n">
        <x:v>8</x:v>
      </x:c>
      <x:c r="E677" t="str">
        <x:v>Medium</x:v>
      </x:c>
      <x:c r="F677" t="str">
        <x:v>Hospital</x:v>
      </x:c>
      <x:c r="G677" t="str">
        <x:v>RC Frame</x:v>
      </x:c>
      <x:c r="H677" t="str">
        <x:v>Raft</x:v>
      </x:c>
      <x:c r="I677" t="str">
        <x:v>Rock</x:v>
      </x:c>
      <x:c r="J677" t="str">
        <x:v>Medium</x:v>
      </x:c>
      <x:c r="K677" t="n">
        <x:v>47291750</x:v>
      </x:c>
      <x:c r="L677" t="n">
        <x:v>825</x:v>
      </x:c>
      <x:c r="M677" t="n">
        <x:v>752.4</x:v>
      </x:c>
      <x:c r="N677" t="n">
        <x:v>16</x:v>
      </x:c>
      <x:c r="O677" t="n">
        <x:v>86.9</x:v>
      </x:c>
      <x:c r="P677" t="str">
        <x:v>Stormy</x:v>
      </x:c>
      <x:c r="Q677" t="n">
        <x:v>85</x:v>
      </x:c>
      <x:c r="R677" t="n">
        <x:v>75.4</x:v>
      </x:c>
      <x:c r="S677" t="n">
        <x:v>0.1016</x:v>
      </x:c>
      <x:c r="T677" t="n">
        <x:v>20.7</x:v>
      </x:c>
      <x:c r="U677" t="n">
        <x:v>1993.8</x:v>
      </x:c>
      <x:c r="V677" t="n">
        <x:v>2965</x:v>
      </x:c>
      <x:c r="W677" t="n">
        <x:v>51.7</x:v>
      </x:c>
    </x:row>
    <x:row r="678">
      <x:c r="A678" t="str">
        <x:v>PJT_677</x:v>
      </x:c>
      <x:c r="B678" t="str">
        <x:v>Marine</x:v>
      </x:c>
      <x:c r="C678" t="n">
        <x:v>26790</x:v>
      </x:c>
      <x:c r="D678" t="n">
        <x:v>17</x:v>
      </x:c>
      <x:c r="E678" t="str">
        <x:v>High</x:v>
      </x:c>
      <x:c r="F678" t="str">
        <x:v>Mixed-use</x:v>
      </x:c>
      <x:c r="G678" t="str">
        <x:v>Shear Wall</x:v>
      </x:c>
      <x:c r="H678" t="str">
        <x:v>Piles</x:v>
      </x:c>
      <x:c r="I678" t="str">
        <x:v>Sand</x:v>
      </x:c>
      <x:c r="J678" t="str">
        <x:v>Medium</x:v>
      </x:c>
      <x:c r="K678" t="n">
        <x:v>77155200</x:v>
      </x:c>
      <x:c r="L678" t="n">
        <x:v>1444</x:v>
      </x:c>
      <x:c r="M678" t="n">
        <x:v>346.6</x:v>
      </x:c>
      <x:c r="N678" t="n">
        <x:v>21.4</x:v>
      </x:c>
      <x:c r="O678" t="n">
        <x:v>58.8</x:v>
      </x:c>
      <x:c r="P678" t="str">
        <x:v>Sunny</x:v>
      </x:c>
      <x:c r="Q678" t="n">
        <x:v>87</x:v>
      </x:c>
      <x:c r="R678" t="n">
        <x:v>91.3</x:v>
      </x:c>
      <x:c r="S678" t="n">
        <x:v>0.1017</x:v>
      </x:c>
      <x:c r="T678" t="n">
        <x:v>19.4</x:v>
      </x:c>
      <x:c r="U678" t="n">
        <x:v>1575.9</x:v>
      </x:c>
      <x:c r="V678" t="n">
        <x:v>2880</x:v>
      </x:c>
      <x:c r="W678" t="n">
        <x:v>53.9</x:v>
      </x:c>
    </x:row>
    <x:row r="679">
      <x:c r="A679" t="str">
        <x:v>PJT_678</x:v>
      </x:c>
      <x:c r="B679" t="str">
        <x:v>Continental</x:v>
      </x:c>
      <x:c r="C679" t="n">
        <x:v>15270</x:v>
      </x:c>
      <x:c r="D679" t="n">
        <x:v>11</x:v>
      </x:c>
      <x:c r="E679" t="str">
        <x:v>Medium</x:v>
      </x:c>
      <x:c r="F679" t="str">
        <x:v>Residential</x:v>
      </x:c>
      <x:c r="G679" t="str">
        <x:v>Shear Wall</x:v>
      </x:c>
      <x:c r="H679" t="str">
        <x:v>Raft</x:v>
      </x:c>
      <x:c r="I679" t="str">
        <x:v>Rock</x:v>
      </x:c>
      <x:c r="J679" t="str">
        <x:v>High</x:v>
      </x:c>
      <x:c r="K679" t="n">
        <x:v>26004810</x:v>
      </x:c>
      <x:c r="L679" t="n">
        <x:v>533</x:v>
      </x:c>
      <x:c r="M679" t="n">
        <x:v>768.8</x:v>
      </x:c>
      <x:c r="N679" t="n">
        <x:v>12.5</x:v>
      </x:c>
      <x:c r="O679" t="n">
        <x:v>49.3</x:v>
      </x:c>
      <x:c r="P679" t="str">
        <x:v>Cloudy</x:v>
      </x:c>
      <x:c r="Q679" t="n">
        <x:v>82</x:v>
      </x:c>
      <x:c r="R679" t="n">
        <x:v>69.1</x:v>
      </x:c>
      <x:c r="S679" t="n">
        <x:v>0.0839</x:v>
      </x:c>
      <x:c r="T679" t="n">
        <x:v>14</x:v>
      </x:c>
      <x:c r="U679" t="n">
        <x:v>1388.2</x:v>
      </x:c>
      <x:c r="V679" t="n">
        <x:v>1703</x:v>
      </x:c>
      <x:c r="W679" t="n">
        <x:v>34.9</x:v>
      </x:c>
    </x:row>
    <x:row r="680">
      <x:c r="A680" t="str">
        <x:v>PJT_679</x:v>
      </x:c>
      <x:c r="B680" t="str">
        <x:v>Mediterranean</x:v>
      </x:c>
      <x:c r="C680" t="n">
        <x:v>15630</x:v>
      </x:c>
      <x:c r="D680" t="n">
        <x:v>13</x:v>
      </x:c>
      <x:c r="E680" t="str">
        <x:v>Medium</x:v>
      </x:c>
      <x:c r="F680" t="str">
        <x:v>Residential</x:v>
      </x:c>
      <x:c r="G680" t="str">
        <x:v>Shear Wall</x:v>
      </x:c>
      <x:c r="H680" t="str">
        <x:v>Raft</x:v>
      </x:c>
      <x:c r="I680" t="str">
        <x:v>Mixed</x:v>
      </x:c>
      <x:c r="J680" t="str">
        <x:v>High</x:v>
      </x:c>
      <x:c r="K680" t="n">
        <x:v>25977060</x:v>
      </x:c>
      <x:c r="L680" t="n">
        <x:v>553</x:v>
      </x:c>
      <x:c r="M680" t="n">
        <x:v>358.9</x:v>
      </x:c>
      <x:c r="N680" t="n">
        <x:v>15.6</x:v>
      </x:c>
      <x:c r="O680" t="n">
        <x:v>58.3</x:v>
      </x:c>
      <x:c r="P680" t="str">
        <x:v>Cloudy</x:v>
      </x:c>
      <x:c r="Q680" t="n">
        <x:v>80</x:v>
      </x:c>
      <x:c r="R680" t="n">
        <x:v>70.7</x:v>
      </x:c>
      <x:c r="S680" t="n">
        <x:v>0.0804</x:v>
      </x:c>
      <x:c r="T680" t="n">
        <x:v>14.4</x:v>
      </x:c>
      <x:c r="U680" t="n">
        <x:v>1202.3</x:v>
      </x:c>
      <x:c r="V680" t="n">
        <x:v>1662</x:v>
      </x:c>
      <x:c r="W680" t="n">
        <x:v>35.4</x:v>
      </x:c>
    </x:row>
    <x:row r="681">
      <x:c r="A681" t="str">
        <x:v>PJT_680</x:v>
      </x:c>
      <x:c r="B681" t="str">
        <x:v>Continental</x:v>
      </x:c>
      <x:c r="C681" t="n">
        <x:v>20320</x:v>
      </x:c>
      <x:c r="D681" t="n">
        <x:v>21</x:v>
      </x:c>
      <x:c r="E681" t="str">
        <x:v>Medium</x:v>
      </x:c>
      <x:c r="F681" t="str">
        <x:v>Residential</x:v>
      </x:c>
      <x:c r="G681" t="str">
        <x:v>RC Frame</x:v>
      </x:c>
      <x:c r="H681" t="str">
        <x:v>Piles</x:v>
      </x:c>
      <x:c r="I681" t="str">
        <x:v>Mixed</x:v>
      </x:c>
      <x:c r="J681" t="str">
        <x:v>Low</x:v>
      </x:c>
      <x:c r="K681" t="n">
        <x:v>29260800</x:v>
      </x:c>
      <x:c r="L681" t="n">
        <x:v>833</x:v>
      </x:c>
      <x:c r="M681" t="n">
        <x:v>379.4</x:v>
      </x:c>
      <x:c r="N681" t="n">
        <x:v>-7.2</x:v>
      </x:c>
      <x:c r="O681" t="n">
        <x:v>62.4</x:v>
      </x:c>
      <x:c r="P681" t="str">
        <x:v>Snowy</x:v>
      </x:c>
      <x:c r="Q681" t="n">
        <x:v>90</x:v>
      </x:c>
      <x:c r="R681" t="n">
        <x:v>73.3</x:v>
      </x:c>
      <x:c r="S681" t="n">
        <x:v>0.0749</x:v>
      </x:c>
      <x:c r="T681" t="n">
        <x:v>13.9</x:v>
      </x:c>
      <x:c r="U681" t="n">
        <x:v>967.6</x:v>
      </x:c>
      <x:c r="V681" t="n">
        <x:v>1440</x:v>
      </x:c>
      <x:c r="W681" t="n">
        <x:v>41</x:v>
      </x:c>
    </x:row>
    <x:row r="682">
      <x:c r="A682" t="str">
        <x:v>PJT_681</x:v>
      </x:c>
      <x:c r="B682" t="str">
        <x:v>Mediterranean</x:v>
      </x:c>
      <x:c r="C682" t="n">
        <x:v>17690</x:v>
      </x:c>
      <x:c r="D682" t="n">
        <x:v>20</x:v>
      </x:c>
      <x:c r="E682" t="str">
        <x:v>Medium</x:v>
      </x:c>
      <x:c r="F682" t="str">
        <x:v>Mixed-use</x:v>
      </x:c>
      <x:c r="G682" t="str">
        <x:v>Steel</x:v>
      </x:c>
      <x:c r="H682" t="str">
        <x:v>Piles</x:v>
      </x:c>
      <x:c r="I682" t="str">
        <x:v>Sand</x:v>
      </x:c>
      <x:c r="J682" t="str">
        <x:v>Medium</x:v>
      </x:c>
      <x:c r="K682" t="n">
        <x:v>48806710</x:v>
      </x:c>
      <x:c r="L682" t="n">
        <x:v>927</x:v>
      </x:c>
      <x:c r="M682" t="n">
        <x:v>241.2</x:v>
      </x:c>
      <x:c r="N682" t="n">
        <x:v>13.3</x:v>
      </x:c>
      <x:c r="O682" t="n">
        <x:v>76.9</x:v>
      </x:c>
      <x:c r="P682" t="str">
        <x:v>Rainy</x:v>
      </x:c>
      <x:c r="Q682" t="n">
        <x:v>91</x:v>
      </x:c>
      <x:c r="R682" t="n">
        <x:v>85.2</x:v>
      </x:c>
      <x:c r="S682" t="n">
        <x:v>0.101</x:v>
      </x:c>
      <x:c r="T682" t="n">
        <x:v>19</x:v>
      </x:c>
      <x:c r="U682" t="n">
        <x:v>884.5</x:v>
      </x:c>
      <x:c r="V682" t="n">
        <x:v>2759</x:v>
      </x:c>
      <x:c r="W682" t="n">
        <x:v>52.4</x:v>
      </x:c>
    </x:row>
    <x:row r="683">
      <x:c r="A683" t="str">
        <x:v>PJT_682</x:v>
      </x:c>
      <x:c r="B683" t="str">
        <x:v>Humid Subtropical</x:v>
      </x:c>
      <x:c r="C683" t="n">
        <x:v>8400</x:v>
      </x:c>
      <x:c r="D683" t="n">
        <x:v>3</x:v>
      </x:c>
      <x:c r="E683" t="str">
        <x:v>Low</x:v>
      </x:c>
      <x:c r="F683" t="str">
        <x:v>School</x:v>
      </x:c>
      <x:c r="G683" t="str">
        <x:v>RC Frame</x:v>
      </x:c>
      <x:c r="H683" t="str">
        <x:v>Raft</x:v>
      </x:c>
      <x:c r="I683" t="str">
        <x:v>Rock</x:v>
      </x:c>
      <x:c r="J683" t="str">
        <x:v>Medium</x:v>
      </x:c>
      <x:c r="K683" t="n">
        <x:v>14658000</x:v>
      </x:c>
      <x:c r="L683" t="n">
        <x:v>228</x:v>
      </x:c>
      <x:c r="M683" t="n">
        <x:v>615.9</x:v>
      </x:c>
      <x:c r="N683" t="n">
        <x:v>26.5</x:v>
      </x:c>
      <x:c r="O683" t="n">
        <x:v>55.3</x:v>
      </x:c>
      <x:c r="P683" t="str">
        <x:v>Sunny</x:v>
      </x:c>
      <x:c r="Q683" t="n">
        <x:v>82</x:v>
      </x:c>
      <x:c r="R683" t="n">
        <x:v>67.3</x:v>
      </x:c>
      <x:c r="S683" t="n">
        <x:v>0.0793</x:v>
      </x:c>
      <x:c r="T683" t="n">
        <x:v>13.6</x:v>
      </x:c>
      <x:c r="U683" t="n">
        <x:v>2800</x:v>
      </x:c>
      <x:c r="V683" t="n">
        <x:v>1745</x:v>
      </x:c>
      <x:c r="W683" t="n">
        <x:v>27.1</x:v>
      </x:c>
    </x:row>
    <x:row r="684">
      <x:c r="A684" t="str">
        <x:v>PJT_683</x:v>
      </x:c>
      <x:c r="B684" t="str">
        <x:v>Continental</x:v>
      </x:c>
      <x:c r="C684" t="n">
        <x:v>22030</x:v>
      </x:c>
      <x:c r="D684" t="n">
        <x:v>14</x:v>
      </x:c>
      <x:c r="E684" t="str">
        <x:v>Medium</x:v>
      </x:c>
      <x:c r="F684" t="str">
        <x:v>Commercial</x:v>
      </x:c>
      <x:c r="G684" t="str">
        <x:v>Steel</x:v>
      </x:c>
      <x:c r="H684" t="str">
        <x:v>Piles</x:v>
      </x:c>
      <x:c r="I684" t="str">
        <x:v>Soft Clay</x:v>
      </x:c>
      <x:c r="J684" t="str">
        <x:v>Low</x:v>
      </x:c>
      <x:c r="K684" t="n">
        <x:v>50448700</x:v>
      </x:c>
      <x:c r="L684" t="n">
        <x:v>1046</x:v>
      </x:c>
      <x:c r="M684" t="n">
        <x:v>186.3</x:v>
      </x:c>
      <x:c r="N684" t="n">
        <x:v>11.1</x:v>
      </x:c>
      <x:c r="O684" t="n">
        <x:v>79.6</x:v>
      </x:c>
      <x:c r="P684" t="str">
        <x:v>Rainy</x:v>
      </x:c>
      <x:c r="Q684" t="n">
        <x:v>84</x:v>
      </x:c>
      <x:c r="R684" t="n">
        <x:v>77.8</x:v>
      </x:c>
      <x:c r="S684" t="n">
        <x:v>0.097</x:v>
      </x:c>
      <x:c r="T684" t="n">
        <x:v>17.8</x:v>
      </x:c>
      <x:c r="U684" t="n">
        <x:v>1573.6</x:v>
      </x:c>
      <x:c r="V684" t="n">
        <x:v>2290</x:v>
      </x:c>
      <x:c r="W684" t="n">
        <x:v>47.5</x:v>
      </x:c>
    </x:row>
    <x:row r="685">
      <x:c r="A685" t="str">
        <x:v>PJT_684</x:v>
      </x:c>
      <x:c r="B685" t="str">
        <x:v>Mediterranean</x:v>
      </x:c>
      <x:c r="C685" t="n">
        <x:v>14270</x:v>
      </x:c>
      <x:c r="D685" t="n">
        <x:v>9</x:v>
      </x:c>
      <x:c r="E685" t="str">
        <x:v>Medium</x:v>
      </x:c>
      <x:c r="F685" t="str">
        <x:v>Hospital</x:v>
      </x:c>
      <x:c r="G685" t="str">
        <x:v>Shear Wall</x:v>
      </x:c>
      <x:c r="H685" t="str">
        <x:v>Raft</x:v>
      </x:c>
      <x:c r="I685" t="str">
        <x:v>Mixed</x:v>
      </x:c>
      <x:c r="J685" t="str">
        <x:v>High</x:v>
      </x:c>
      <x:c r="K685" t="n">
        <x:v>45407140</x:v>
      </x:c>
      <x:c r="L685" t="n">
        <x:v>731</x:v>
      </x:c>
      <x:c r="M685" t="n">
        <x:v>298</x:v>
      </x:c>
      <x:c r="N685" t="n">
        <x:v>9.7</x:v>
      </x:c>
      <x:c r="O685" t="n">
        <x:v>77</x:v>
      </x:c>
      <x:c r="P685" t="str">
        <x:v>Rainy</x:v>
      </x:c>
      <x:c r="Q685" t="n">
        <x:v>87</x:v>
      </x:c>
      <x:c r="R685" t="n">
        <x:v>81.3</x:v>
      </x:c>
      <x:c r="S685" t="n">
        <x:v>0.1124</x:v>
      </x:c>
      <x:c r="T685" t="n">
        <x:v>21.3</x:v>
      </x:c>
      <x:c r="U685" t="n">
        <x:v>1585.6</x:v>
      </x:c>
      <x:c r="V685" t="n">
        <x:v>3182</x:v>
      </x:c>
      <x:c r="W685" t="n">
        <x:v>51.2</x:v>
      </x:c>
    </x:row>
    <x:row r="686">
      <x:c r="A686" t="str">
        <x:v>PJT_685</x:v>
      </x:c>
      <x:c r="B686" t="str">
        <x:v>Continental</x:v>
      </x:c>
      <x:c r="C686" t="n">
        <x:v>30640</x:v>
      </x:c>
      <x:c r="D686" t="n">
        <x:v>27</x:v>
      </x:c>
      <x:c r="E686" t="str">
        <x:v>High</x:v>
      </x:c>
      <x:c r="F686" t="str">
        <x:v>Mixed-use</x:v>
      </x:c>
      <x:c r="G686" t="str">
        <x:v>Steel</x:v>
      </x:c>
      <x:c r="H686" t="str">
        <x:v>Piles</x:v>
      </x:c>
      <x:c r="I686" t="str">
        <x:v>Sand</x:v>
      </x:c>
      <x:c r="J686" t="str">
        <x:v>High</x:v>
      </x:c>
      <x:c r="K686" t="n">
        <x:v>88090000</x:v>
      </x:c>
      <x:c r="L686" t="n">
        <x:v>1777</x:v>
      </x:c>
      <x:c r="M686" t="n">
        <x:v>243.4</x:v>
      </x:c>
      <x:c r="N686" t="n">
        <x:v>16.2</x:v>
      </x:c>
      <x:c r="O686" t="n">
        <x:v>89.8</x:v>
      </x:c>
      <x:c r="P686" t="str">
        <x:v>Stormy</x:v>
      </x:c>
      <x:c r="Q686" t="n">
        <x:v>108</x:v>
      </x:c>
      <x:c r="R686" t="n">
        <x:v>88.2</x:v>
      </x:c>
      <x:c r="S686" t="n">
        <x:v>0.1097</x:v>
      </x:c>
      <x:c r="T686" t="n">
        <x:v>19.3</x:v>
      </x:c>
      <x:c r="U686" t="n">
        <x:v>1134.8</x:v>
      </x:c>
      <x:c r="V686" t="n">
        <x:v>2875</x:v>
      </x:c>
      <x:c r="W686" t="n">
        <x:v>58</x:v>
      </x:c>
    </x:row>
    <x:row r="687">
      <x:c r="A687" t="str">
        <x:v>PJT_686</x:v>
      </x:c>
      <x:c r="B687" t="str">
        <x:v>Continental</x:v>
      </x:c>
      <x:c r="C687" t="n">
        <x:v>14080</x:v>
      </x:c>
      <x:c r="D687" t="n">
        <x:v>8</x:v>
      </x:c>
      <x:c r="E687" t="str">
        <x:v>Medium</x:v>
      </x:c>
      <x:c r="F687" t="str">
        <x:v>Commercial</x:v>
      </x:c>
      <x:c r="G687" t="str">
        <x:v>Steel</x:v>
      </x:c>
      <x:c r="H687" t="str">
        <x:v>Raft</x:v>
      </x:c>
      <x:c r="I687" t="str">
        <x:v>Sand</x:v>
      </x:c>
      <x:c r="J687" t="str">
        <x:v>Medium</x:v>
      </x:c>
      <x:c r="K687" t="n">
        <x:v>33440000</x:v>
      </x:c>
      <x:c r="L687" t="n">
        <x:v>607</x:v>
      </x:c>
      <x:c r="M687" t="n">
        <x:v>219.2</x:v>
      </x:c>
      <x:c r="N687" t="n">
        <x:v>14.7</x:v>
      </x:c>
      <x:c r="O687" t="n">
        <x:v>69.3</x:v>
      </x:c>
      <x:c r="P687" t="str">
        <x:v>Cloudy</x:v>
      </x:c>
      <x:c r="Q687" t="n">
        <x:v>100</x:v>
      </x:c>
      <x:c r="R687" t="n">
        <x:v>71.2</x:v>
      </x:c>
      <x:c r="S687" t="n">
        <x:v>0.099</x:v>
      </x:c>
      <x:c r="T687" t="n">
        <x:v>18</x:v>
      </x:c>
      <x:c r="U687" t="n">
        <x:v>1760</x:v>
      </x:c>
      <x:c r="V687" t="n">
        <x:v>2375</x:v>
      </x:c>
      <x:c r="W687" t="n">
        <x:v>43.1</x:v>
      </x:c>
    </x:row>
    <x:row r="688">
      <x:c r="A688" t="str">
        <x:v>PJT_687</x:v>
      </x:c>
      <x:c r="B688" t="str">
        <x:v>Continental</x:v>
      </x:c>
      <x:c r="C688" t="n">
        <x:v>7150</x:v>
      </x:c>
      <x:c r="D688" t="n">
        <x:v>2</x:v>
      </x:c>
      <x:c r="E688" t="str">
        <x:v>Low</x:v>
      </x:c>
      <x:c r="F688" t="str">
        <x:v>School</x:v>
      </x:c>
      <x:c r="G688" t="str">
        <x:v>Steel</x:v>
      </x:c>
      <x:c r="H688" t="str">
        <x:v>Raft</x:v>
      </x:c>
      <x:c r="I688" t="str">
        <x:v>Mixed</x:v>
      </x:c>
      <x:c r="J688" t="str">
        <x:v>High</x:v>
      </x:c>
      <x:c r="K688" t="n">
        <x:v>13413400</x:v>
      </x:c>
      <x:c r="L688" t="n">
        <x:v>230</x:v>
      </x:c>
      <x:c r="M688" t="n">
        <x:v>364.5</x:v>
      </x:c>
      <x:c r="N688" t="n">
        <x:v>12.8</x:v>
      </x:c>
      <x:c r="O688" t="n">
        <x:v>57</x:v>
      </x:c>
      <x:c r="P688" t="str">
        <x:v>Cloudy</x:v>
      </x:c>
      <x:c r="Q688" t="n">
        <x:v>84</x:v>
      </x:c>
      <x:c r="R688" t="n">
        <x:v>64.5</x:v>
      </x:c>
      <x:c r="S688" t="n">
        <x:v>0.0852</x:v>
      </x:c>
      <x:c r="T688" t="n">
        <x:v>14.4</x:v>
      </x:c>
      <x:c r="U688" t="n">
        <x:v>3575</x:v>
      </x:c>
      <x:c r="V688" t="n">
        <x:v>1876</x:v>
      </x:c>
      <x:c r="W688" t="n">
        <x:v>32.1</x:v>
      </x:c>
    </x:row>
    <x:row r="689">
      <x:c r="A689" t="str">
        <x:v>PJT_688</x:v>
      </x:c>
      <x:c r="B689" t="str">
        <x:v>Mediterranean</x:v>
      </x:c>
      <x:c r="C689" t="n">
        <x:v>14720</x:v>
      </x:c>
      <x:c r="D689" t="n">
        <x:v>24</x:v>
      </x:c>
      <x:c r="E689" t="str">
        <x:v>Medium</x:v>
      </x:c>
      <x:c r="F689" t="str">
        <x:v>Residential</x:v>
      </x:c>
      <x:c r="G689" t="str">
        <x:v>RC Frame</x:v>
      </x:c>
      <x:c r="H689" t="str">
        <x:v>Piles</x:v>
      </x:c>
      <x:c r="I689" t="str">
        <x:v>Mixed</x:v>
      </x:c>
      <x:c r="J689" t="str">
        <x:v>Low</x:v>
      </x:c>
      <x:c r="K689" t="n">
        <x:v>23404800</x:v>
      </x:c>
      <x:c r="L689" t="n">
        <x:v>536</x:v>
      </x:c>
      <x:c r="M689" t="n">
        <x:v>308.7</x:v>
      </x:c>
      <x:c r="N689" t="n">
        <x:v>26.3</x:v>
      </x:c>
      <x:c r="O689" t="n">
        <x:v>54.1</x:v>
      </x:c>
      <x:c r="P689" t="str">
        <x:v>Sunny</x:v>
      </x:c>
      <x:c r="Q689" t="n">
        <x:v>70</x:v>
      </x:c>
      <x:c r="R689" t="n">
        <x:v>76.8</x:v>
      </x:c>
      <x:c r="S689" t="n">
        <x:v>0.0768</x:v>
      </x:c>
      <x:c r="T689" t="n">
        <x:v>14</x:v>
      </x:c>
      <x:c r="U689" t="n">
        <x:v>613.3</x:v>
      </x:c>
      <x:c r="V689" t="n">
        <x:v>1590</x:v>
      </x:c>
      <x:c r="W689" t="n">
        <x:v>36.4</x:v>
      </x:c>
    </x:row>
    <x:row r="690">
      <x:c r="A690" t="str">
        <x:v>PJT_689</x:v>
      </x:c>
      <x:c r="B690" t="str">
        <x:v>Continental</x:v>
      </x:c>
      <x:c r="C690" t="n">
        <x:v>18260</x:v>
      </x:c>
      <x:c r="D690" t="n">
        <x:v>15</x:v>
      </x:c>
      <x:c r="E690" t="str">
        <x:v>Medium</x:v>
      </x:c>
      <x:c r="F690" t="str">
        <x:v>Mixed-use</x:v>
      </x:c>
      <x:c r="G690" t="str">
        <x:v>Shear Wall</x:v>
      </x:c>
      <x:c r="H690" t="str">
        <x:v>Piles</x:v>
      </x:c>
      <x:c r="I690" t="str">
        <x:v>Mixed</x:v>
      </x:c>
      <x:c r="J690" t="str">
        <x:v>Low</x:v>
      </x:c>
      <x:c r="K690" t="n">
        <x:v>43458800</x:v>
      </x:c>
      <x:c r="L690" t="n">
        <x:v>898</x:v>
      </x:c>
      <x:c r="M690" t="n">
        <x:v>290.4</x:v>
      </x:c>
      <x:c r="N690" t="n">
        <x:v>16.8</x:v>
      </x:c>
      <x:c r="O690" t="n">
        <x:v>48.8</x:v>
      </x:c>
      <x:c r="P690" t="str">
        <x:v>Cloudy</x:v>
      </x:c>
      <x:c r="Q690" t="n">
        <x:v>74</x:v>
      </x:c>
      <x:c r="R690" t="n">
        <x:v>85.1</x:v>
      </x:c>
      <x:c r="S690" t="n">
        <x:v>0.0994</x:v>
      </x:c>
      <x:c r="T690" t="n">
        <x:v>18.6</x:v>
      </x:c>
      <x:c r="U690" t="n">
        <x:v>1217.3</x:v>
      </x:c>
      <x:c r="V690" t="n">
        <x:v>2380</x:v>
      </x:c>
      <x:c r="W690" t="n">
        <x:v>49.2</x:v>
      </x:c>
    </x:row>
    <x:row r="691">
      <x:c r="A691" t="str">
        <x:v>PJT_690</x:v>
      </x:c>
      <x:c r="B691" t="str">
        <x:v>Humid Subtropical</x:v>
      </x:c>
      <x:c r="C691" t="n">
        <x:v>6880</x:v>
      </x:c>
      <x:c r="D691" t="n">
        <x:v>3</x:v>
      </x:c>
      <x:c r="E691" t="str">
        <x:v>Low</x:v>
      </x:c>
      <x:c r="F691" t="str">
        <x:v>School</x:v>
      </x:c>
      <x:c r="G691" t="str">
        <x:v>RC Frame</x:v>
      </x:c>
      <x:c r="H691" t="str">
        <x:v>Raft</x:v>
      </x:c>
      <x:c r="I691" t="str">
        <x:v>Mixed</x:v>
      </x:c>
      <x:c r="J691" t="str">
        <x:v>Low</x:v>
      </x:c>
      <x:c r="K691" t="n">
        <x:v>11441440</x:v>
      </x:c>
      <x:c r="L691" t="n">
        <x:v>195</x:v>
      </x:c>
      <x:c r="M691" t="n">
        <x:v>368.1</x:v>
      </x:c>
      <x:c r="N691" t="n">
        <x:v>25.6</x:v>
      </x:c>
      <x:c r="O691" t="n">
        <x:v>79.4</x:v>
      </x:c>
      <x:c r="P691" t="str">
        <x:v>Cloudy</x:v>
      </x:c>
      <x:c r="Q691" t="n">
        <x:v>74</x:v>
      </x:c>
      <x:c r="R691" t="n">
        <x:v>66.7</x:v>
      </x:c>
      <x:c r="S691" t="n">
        <x:v>0.0819</x:v>
      </x:c>
      <x:c r="T691" t="n">
        <x:v>14.2</x:v>
      </x:c>
      <x:c r="U691" t="n">
        <x:v>2293.3</x:v>
      </x:c>
      <x:c r="V691" t="n">
        <x:v>1663</x:v>
      </x:c>
      <x:c r="W691" t="n">
        <x:v>28.4</x:v>
      </x:c>
    </x:row>
    <x:row r="692">
      <x:c r="A692" t="str">
        <x:v>PJT_691</x:v>
      </x:c>
      <x:c r="B692" t="str">
        <x:v>Marine</x:v>
      </x:c>
      <x:c r="C692" t="n">
        <x:v>13720</x:v>
      </x:c>
      <x:c r="D692" t="n">
        <x:v>10</x:v>
      </x:c>
      <x:c r="E692" t="str">
        <x:v>Medium</x:v>
      </x:c>
      <x:c r="F692" t="str">
        <x:v>Mixed-use</x:v>
      </x:c>
      <x:c r="G692" t="str">
        <x:v>Steel</x:v>
      </x:c>
      <x:c r="H692" t="str">
        <x:v>Piles</x:v>
      </x:c>
      <x:c r="I692" t="str">
        <x:v>Soft Clay</x:v>
      </x:c>
      <x:c r="J692" t="str">
        <x:v>Medium</x:v>
      </x:c>
      <x:c r="K692" t="n">
        <x:v>37263520</x:v>
      </x:c>
      <x:c r="L692" t="n">
        <x:v>682</x:v>
      </x:c>
      <x:c r="M692" t="n">
        <x:v>239.8</x:v>
      </x:c>
      <x:c r="N692" t="n">
        <x:v>8.6</x:v>
      </x:c>
      <x:c r="O692" t="n">
        <x:v>70.4</x:v>
      </x:c>
      <x:c r="P692" t="str">
        <x:v>Cloudy</x:v>
      </x:c>
      <x:c r="Q692" t="n">
        <x:v>75</x:v>
      </x:c>
      <x:c r="R692" t="n">
        <x:v>80.1</x:v>
      </x:c>
      <x:c r="S692" t="n">
        <x:v>0.1022</x:v>
      </x:c>
      <x:c r="T692" t="n">
        <x:v>19</x:v>
      </x:c>
      <x:c r="U692" t="n">
        <x:v>1372</x:v>
      </x:c>
      <x:c r="V692" t="n">
        <x:v>2716</x:v>
      </x:c>
      <x:c r="W692" t="n">
        <x:v>49.7</x:v>
      </x:c>
    </x:row>
    <x:row r="693">
      <x:c r="A693" t="str">
        <x:v>PJT_692</x:v>
      </x:c>
      <x:c r="B693" t="str">
        <x:v>Continental</x:v>
      </x:c>
      <x:c r="C693" t="n">
        <x:v>23170</x:v>
      </x:c>
      <x:c r="D693" t="n">
        <x:v>25</x:v>
      </x:c>
      <x:c r="E693" t="str">
        <x:v>Medium</x:v>
      </x:c>
      <x:c r="F693" t="str">
        <x:v>Residential</x:v>
      </x:c>
      <x:c r="G693" t="str">
        <x:v>RC Frame</x:v>
      </x:c>
      <x:c r="H693" t="str">
        <x:v>Piles</x:v>
      </x:c>
      <x:c r="I693" t="str">
        <x:v>Mixed</x:v>
      </x:c>
      <x:c r="J693" t="str">
        <x:v>Low</x:v>
      </x:c>
      <x:c r="K693" t="n">
        <x:v>32090450</x:v>
      </x:c>
      <x:c r="L693" t="n">
        <x:v>945</x:v>
      </x:c>
      <x:c r="M693" t="n">
        <x:v>295.3</x:v>
      </x:c>
      <x:c r="N693" t="n">
        <x:v>-7.5</x:v>
      </x:c>
      <x:c r="O693" t="n">
        <x:v>77.2</x:v>
      </x:c>
      <x:c r="P693" t="str">
        <x:v>Snowy</x:v>
      </x:c>
      <x:c r="Q693" t="n">
        <x:v>63</x:v>
      </x:c>
      <x:c r="R693" t="n">
        <x:v>81.7</x:v>
      </x:c>
      <x:c r="S693" t="n">
        <x:v>0.0792</x:v>
      </x:c>
      <x:c r="T693" t="n">
        <x:v>12.9</x:v>
      </x:c>
      <x:c r="U693" t="n">
        <x:v>926.8</x:v>
      </x:c>
      <x:c r="V693" t="n">
        <x:v>1385</x:v>
      </x:c>
      <x:c r="W693" t="n">
        <x:v>40.8</x:v>
      </x:c>
    </x:row>
    <x:row r="694">
      <x:c r="A694" t="str">
        <x:v>PJT_693</x:v>
      </x:c>
      <x:c r="B694" t="str">
        <x:v>Marine</x:v>
      </x:c>
      <x:c r="C694" t="n">
        <x:v>27120</x:v>
      </x:c>
      <x:c r="D694" t="n">
        <x:v>21</x:v>
      </x:c>
      <x:c r="E694" t="str">
        <x:v>High</x:v>
      </x:c>
      <x:c r="F694" t="str">
        <x:v>Mixed-use</x:v>
      </x:c>
      <x:c r="G694" t="str">
        <x:v>Steel</x:v>
      </x:c>
      <x:c r="H694" t="str">
        <x:v>Piles</x:v>
      </x:c>
      <x:c r="I694" t="str">
        <x:v>Rock</x:v>
      </x:c>
      <x:c r="J694" t="str">
        <x:v>Medium</x:v>
      </x:c>
      <x:c r="K694" t="n">
        <x:v>80871840</x:v>
      </x:c>
      <x:c r="L694" t="n">
        <x:v>1473</x:v>
      </x:c>
      <x:c r="M694" t="n">
        <x:v>746.8</x:v>
      </x:c>
      <x:c r="N694" t="n">
        <x:v>14.6</x:v>
      </x:c>
      <x:c r="O694" t="n">
        <x:v>67.5</x:v>
      </x:c>
      <x:c r="P694" t="str">
        <x:v>Cloudy</x:v>
      </x:c>
      <x:c r="Q694" t="n">
        <x:v>98</x:v>
      </x:c>
      <x:c r="R694" t="n">
        <x:v>92</x:v>
      </x:c>
      <x:c r="S694" t="n">
        <x:v>0.1053</x:v>
      </x:c>
      <x:c r="T694" t="n">
        <x:v>19.5</x:v>
      </x:c>
      <x:c r="U694" t="n">
        <x:v>1291.4</x:v>
      </x:c>
      <x:c r="V694" t="n">
        <x:v>2982</x:v>
      </x:c>
      <x:c r="W694" t="n">
        <x:v>54.3</x:v>
      </x:c>
    </x:row>
    <x:row r="695">
      <x:c r="A695" t="str">
        <x:v>PJT_694</x:v>
      </x:c>
      <x:c r="B695" t="str">
        <x:v>Mediterranean</x:v>
      </x:c>
      <x:c r="C695" t="n">
        <x:v>21460</x:v>
      </x:c>
      <x:c r="D695" t="n">
        <x:v>14</x:v>
      </x:c>
      <x:c r="E695" t="str">
        <x:v>Medium</x:v>
      </x:c>
      <x:c r="F695" t="str">
        <x:v>Mixed-use</x:v>
      </x:c>
      <x:c r="G695" t="str">
        <x:v>Steel</x:v>
      </x:c>
      <x:c r="H695" t="str">
        <x:v>Piles</x:v>
      </x:c>
      <x:c r="I695" t="str">
        <x:v>Mixed</x:v>
      </x:c>
      <x:c r="J695" t="str">
        <x:v>Low</x:v>
      </x:c>
      <x:c r="K695" t="n">
        <x:v>56032060</x:v>
      </x:c>
      <x:c r="L695" t="n">
        <x:v>1155</x:v>
      </x:c>
      <x:c r="M695" t="n">
        <x:v>308.3</x:v>
      </x:c>
      <x:c r="N695" t="n">
        <x:v>11.8</x:v>
      </x:c>
      <x:c r="O695" t="n">
        <x:v>73.1</x:v>
      </x:c>
      <x:c r="P695" t="str">
        <x:v>Stormy</x:v>
      </x:c>
      <x:c r="Q695" t="n">
        <x:v>86</x:v>
      </x:c>
      <x:c r="R695" t="n">
        <x:v>81.3</x:v>
      </x:c>
      <x:c r="S695" t="n">
        <x:v>0.0987</x:v>
      </x:c>
      <x:c r="T695" t="n">
        <x:v>17.7</x:v>
      </x:c>
      <x:c r="U695" t="n">
        <x:v>1532.9</x:v>
      </x:c>
      <x:c r="V695" t="n">
        <x:v>2611</x:v>
      </x:c>
      <x:c r="W695" t="n">
        <x:v>53.8</x:v>
      </x:c>
    </x:row>
    <x:row r="696">
      <x:c r="A696" t="str">
        <x:v>PJT_695</x:v>
      </x:c>
      <x:c r="B696" t="str">
        <x:v>Humid Subtropical</x:v>
      </x:c>
      <x:c r="C696" t="n">
        <x:v>15930</x:v>
      </x:c>
      <x:c r="D696" t="n">
        <x:v>10</x:v>
      </x:c>
      <x:c r="E696" t="str">
        <x:v>Medium</x:v>
      </x:c>
      <x:c r="F696" t="str">
        <x:v>Commercial</x:v>
      </x:c>
      <x:c r="G696" t="str">
        <x:v>RC Frame</x:v>
      </x:c>
      <x:c r="H696" t="str">
        <x:v>Raft</x:v>
      </x:c>
      <x:c r="I696" t="str">
        <x:v>Sand</x:v>
      </x:c>
      <x:c r="J696" t="str">
        <x:v>Low</x:v>
      </x:c>
      <x:c r="K696" t="n">
        <x:v>35316810</x:v>
      </x:c>
      <x:c r="L696" t="n">
        <x:v>699</x:v>
      </x:c>
      <x:c r="M696" t="n">
        <x:v>256</x:v>
      </x:c>
      <x:c r="N696" t="n">
        <x:v>-0.3</x:v>
      </x:c>
      <x:c r="O696" t="n">
        <x:v>73.5</x:v>
      </x:c>
      <x:c r="P696" t="str">
        <x:v>Snowy</x:v>
      </x:c>
      <x:c r="Q696" t="n">
        <x:v>97</x:v>
      </x:c>
      <x:c r="R696" t="n">
        <x:v>72.6</x:v>
      </x:c>
      <x:c r="S696" t="n">
        <x:v>0.087</x:v>
      </x:c>
      <x:c r="T696" t="n">
        <x:v>15.6</x:v>
      </x:c>
      <x:c r="U696" t="n">
        <x:v>1593</x:v>
      </x:c>
      <x:c r="V696" t="n">
        <x:v>2217</x:v>
      </x:c>
      <x:c r="W696" t="n">
        <x:v>43.9</x:v>
      </x:c>
    </x:row>
    <x:row r="697">
      <x:c r="A697" t="str">
        <x:v>PJT_696</x:v>
      </x:c>
      <x:c r="B697" t="str">
        <x:v>Marine</x:v>
      </x:c>
      <x:c r="C697" t="n">
        <x:v>5560</x:v>
      </x:c>
      <x:c r="D697" t="n">
        <x:v>3</x:v>
      </x:c>
      <x:c r="E697" t="str">
        <x:v>Low</x:v>
      </x:c>
      <x:c r="F697" t="str">
        <x:v>School</x:v>
      </x:c>
      <x:c r="G697" t="str">
        <x:v>Steel</x:v>
      </x:c>
      <x:c r="H697" t="str">
        <x:v>Raft</x:v>
      </x:c>
      <x:c r="I697" t="str">
        <x:v>Mixed</x:v>
      </x:c>
      <x:c r="J697" t="str">
        <x:v>High</x:v>
      </x:c>
      <x:c r="K697" t="n">
        <x:v>11092200</x:v>
      </x:c>
      <x:c r="L697" t="n">
        <x:v>193</x:v>
      </x:c>
      <x:c r="M697" t="n">
        <x:v>283.4</x:v>
      </x:c>
      <x:c r="N697" t="n">
        <x:v>10.6</x:v>
      </x:c>
      <x:c r="O697" t="n">
        <x:v>75.9</x:v>
      </x:c>
      <x:c r="P697" t="str">
        <x:v>Rainy</x:v>
      </x:c>
      <x:c r="Q697" t="n">
        <x:v>82</x:v>
      </x:c>
      <x:c r="R697" t="n">
        <x:v>64.4</x:v>
      </x:c>
      <x:c r="S697" t="n">
        <x:v>0.0861</x:v>
      </x:c>
      <x:c r="T697" t="n">
        <x:v>14.2</x:v>
      </x:c>
      <x:c r="U697" t="n">
        <x:v>1853.3</x:v>
      </x:c>
      <x:c r="V697" t="n">
        <x:v>1995</x:v>
      </x:c>
      <x:c r="W697" t="n">
        <x:v>34.7</x:v>
      </x:c>
    </x:row>
    <x:row r="698">
      <x:c r="A698" t="str">
        <x:v>PJT_697</x:v>
      </x:c>
      <x:c r="B698" t="str">
        <x:v>Marine</x:v>
      </x:c>
      <x:c r="C698" t="n">
        <x:v>8850</x:v>
      </x:c>
      <x:c r="D698" t="n">
        <x:v>7</x:v>
      </x:c>
      <x:c r="E698" t="str">
        <x:v>Medium</x:v>
      </x:c>
      <x:c r="F698" t="str">
        <x:v>Commercial</x:v>
      </x:c>
      <x:c r="G698" t="str">
        <x:v>RC Frame</x:v>
      </x:c>
      <x:c r="H698" t="str">
        <x:v>Raft</x:v>
      </x:c>
      <x:c r="I698" t="str">
        <x:v>Sand</x:v>
      </x:c>
      <x:c r="J698" t="str">
        <x:v>Low</x:v>
      </x:c>
      <x:c r="K698" t="n">
        <x:v>19638150</x:v>
      </x:c>
      <x:c r="L698" t="n">
        <x:v>343</x:v>
      </x:c>
      <x:c r="M698" t="n">
        <x:v>232.4</x:v>
      </x:c>
      <x:c r="N698" t="n">
        <x:v>18.6</x:v>
      </x:c>
      <x:c r="O698" t="n">
        <x:v>60.2</x:v>
      </x:c>
      <x:c r="P698" t="str">
        <x:v>Sunny</x:v>
      </x:c>
      <x:c r="Q698" t="n">
        <x:v>93</x:v>
      </x:c>
      <x:c r="R698" t="n">
        <x:v>78.4</x:v>
      </x:c>
      <x:c r="S698" t="n">
        <x:v>0.0912</x:v>
      </x:c>
      <x:c r="T698" t="n">
        <x:v>17.2</x:v>
      </x:c>
      <x:c r="U698" t="n">
        <x:v>1264.3</x:v>
      </x:c>
      <x:c r="V698" t="n">
        <x:v>2219</x:v>
      </x:c>
      <x:c r="W698" t="n">
        <x:v>38.8</x:v>
      </x:c>
    </x:row>
    <x:row r="699">
      <x:c r="A699" t="str">
        <x:v>PJT_698</x:v>
      </x:c>
      <x:c r="B699" t="str">
        <x:v>Marine</x:v>
      </x:c>
      <x:c r="C699" t="n">
        <x:v>16420</x:v>
      </x:c>
      <x:c r="D699" t="n">
        <x:v>16</x:v>
      </x:c>
      <x:c r="E699" t="str">
        <x:v>Medium</x:v>
      </x:c>
      <x:c r="F699" t="str">
        <x:v>Residential</x:v>
      </x:c>
      <x:c r="G699" t="str">
        <x:v>RC Frame</x:v>
      </x:c>
      <x:c r="H699" t="str">
        <x:v>Piles</x:v>
      </x:c>
      <x:c r="I699" t="str">
        <x:v>Soft Clay</x:v>
      </x:c>
      <x:c r="J699" t="str">
        <x:v>Low</x:v>
      </x:c>
      <x:c r="K699" t="n">
        <x:v>25680880</x:v>
      </x:c>
      <x:c r="L699" t="n">
        <x:v>691</x:v>
      </x:c>
      <x:c r="M699" t="n">
        <x:v>174.1</x:v>
      </x:c>
      <x:c r="N699" t="n">
        <x:v>7.3</x:v>
      </x:c>
      <x:c r="O699" t="n">
        <x:v>79.9</x:v>
      </x:c>
      <x:c r="P699" t="str">
        <x:v>Stormy</x:v>
      </x:c>
      <x:c r="Q699" t="n">
        <x:v>93</x:v>
      </x:c>
      <x:c r="R699" t="n">
        <x:v>73.3</x:v>
      </x:c>
      <x:c r="S699" t="n">
        <x:v>0.0805</x:v>
      </x:c>
      <x:c r="T699" t="n">
        <x:v>12.7</x:v>
      </x:c>
      <x:c r="U699" t="n">
        <x:v>1026.2</x:v>
      </x:c>
      <x:c r="V699" t="n">
        <x:v>1564</x:v>
      </x:c>
      <x:c r="W699" t="n">
        <x:v>42.1</x:v>
      </x:c>
    </x:row>
    <x:row r="700">
      <x:c r="A700" t="str">
        <x:v>PJT_699</x:v>
      </x:c>
      <x:c r="B700" t="str">
        <x:v>Continental</x:v>
      </x:c>
      <x:c r="C700" t="n">
        <x:v>20400</x:v>
      </x:c>
      <x:c r="D700" t="n">
        <x:v>10</x:v>
      </x:c>
      <x:c r="E700" t="str">
        <x:v>Medium</x:v>
      </x:c>
      <x:c r="F700" t="str">
        <x:v>Commercial</x:v>
      </x:c>
      <x:c r="G700" t="str">
        <x:v>Steel</x:v>
      </x:c>
      <x:c r="H700" t="str">
        <x:v>Piles</x:v>
      </x:c>
      <x:c r="I700" t="str">
        <x:v>Mixed</x:v>
      </x:c>
      <x:c r="J700" t="str">
        <x:v>Medium</x:v>
      </x:c>
      <x:c r="K700" t="n">
        <x:v>48266400</x:v>
      </x:c>
      <x:c r="L700" t="n">
        <x:v>875</x:v>
      </x:c>
      <x:c r="M700" t="n">
        <x:v>406.2</x:v>
      </x:c>
      <x:c r="N700" t="n">
        <x:v>26.5</x:v>
      </x:c>
      <x:c r="O700" t="n">
        <x:v>59.3</x:v>
      </x:c>
      <x:c r="P700" t="str">
        <x:v>Sunny</x:v>
      </x:c>
      <x:c r="Q700" t="n">
        <x:v>98</x:v>
      </x:c>
      <x:c r="R700" t="n">
        <x:v>78.5</x:v>
      </x:c>
      <x:c r="S700" t="n">
        <x:v>0.0931</x:v>
      </x:c>
      <x:c r="T700" t="n">
        <x:v>16.8</x:v>
      </x:c>
      <x:c r="U700" t="n">
        <x:v>2040</x:v>
      </x:c>
      <x:c r="V700" t="n">
        <x:v>2366</x:v>
      </x:c>
      <x:c r="W700" t="n">
        <x:v>42.9</x:v>
      </x:c>
    </x:row>
    <x:row r="701">
      <x:c r="A701" t="str">
        <x:v>PJT_700</x:v>
      </x:c>
      <x:c r="B701" t="str">
        <x:v>Mediterranean</x:v>
      </x:c>
      <x:c r="C701" t="n">
        <x:v>8330</x:v>
      </x:c>
      <x:c r="D701" t="n">
        <x:v>4</x:v>
      </x:c>
      <x:c r="E701" t="str">
        <x:v>Low</x:v>
      </x:c>
      <x:c r="F701" t="str">
        <x:v>School</x:v>
      </x:c>
      <x:c r="G701" t="str">
        <x:v>RC Frame</x:v>
      </x:c>
      <x:c r="H701" t="str">
        <x:v>Raft</x:v>
      </x:c>
      <x:c r="I701" t="str">
        <x:v>Rock</x:v>
      </x:c>
      <x:c r="J701" t="str">
        <x:v>Medium</x:v>
      </x:c>
      <x:c r="K701" t="n">
        <x:v>14210980</x:v>
      </x:c>
      <x:c r="L701" t="n">
        <x:v>242</x:v>
      </x:c>
      <x:c r="M701" t="n">
        <x:v>709.4</x:v>
      </x:c>
      <x:c r="N701" t="n">
        <x:v>13.9</x:v>
      </x:c>
      <x:c r="O701" t="n">
        <x:v>81.4</x:v>
      </x:c>
      <x:c r="P701" t="str">
        <x:v>Rainy</x:v>
      </x:c>
      <x:c r="Q701" t="n">
        <x:v>89</x:v>
      </x:c>
      <x:c r="R701" t="n">
        <x:v>64.6</x:v>
      </x:c>
      <x:c r="S701" t="n">
        <x:v>0.0753</x:v>
      </x:c>
      <x:c r="T701" t="n">
        <x:v>12.9</x:v>
      </x:c>
      <x:c r="U701" t="n">
        <x:v>2082.5</x:v>
      </x:c>
      <x:c r="V701" t="n">
        <x:v>1706</x:v>
      </x:c>
      <x:c r="W701" t="n">
        <x:v>29</x:v>
      </x:c>
    </x:row>
    <x:row r="702">
      <x:c r="A702" t="str">
        <x:v>PJT_701</x:v>
      </x:c>
      <x:c r="B702" t="str">
        <x:v>Continental</x:v>
      </x:c>
      <x:c r="C702" t="n">
        <x:v>17090</x:v>
      </x:c>
      <x:c r="D702" t="n">
        <x:v>14</x:v>
      </x:c>
      <x:c r="E702" t="str">
        <x:v>Medium</x:v>
      </x:c>
      <x:c r="F702" t="str">
        <x:v>Commercial</x:v>
      </x:c>
      <x:c r="G702" t="str">
        <x:v>Steel</x:v>
      </x:c>
      <x:c r="H702" t="str">
        <x:v>Raft</x:v>
      </x:c>
      <x:c r="I702" t="str">
        <x:v>Mixed</x:v>
      </x:c>
      <x:c r="J702" t="str">
        <x:v>High</x:v>
      </x:c>
      <x:c r="K702" t="n">
        <x:v>41750870</x:v>
      </x:c>
      <x:c r="L702" t="n">
        <x:v>726</x:v>
      </x:c>
      <x:c r="M702" t="n">
        <x:v>320.2</x:v>
      </x:c>
      <x:c r="N702" t="n">
        <x:v>17.2</x:v>
      </x:c>
      <x:c r="O702" t="n">
        <x:v>53.1</x:v>
      </x:c>
      <x:c r="P702" t="str">
        <x:v>Sunny</x:v>
      </x:c>
      <x:c r="Q702" t="n">
        <x:v>89</x:v>
      </x:c>
      <x:c r="R702" t="n">
        <x:v>74.2</x:v>
      </x:c>
      <x:c r="S702" t="n">
        <x:v>0.0974</x:v>
      </x:c>
      <x:c r="T702" t="n">
        <x:v>17.4</x:v>
      </x:c>
      <x:c r="U702" t="n">
        <x:v>1220.7</x:v>
      </x:c>
      <x:c r="V702" t="n">
        <x:v>2443</x:v>
      </x:c>
      <x:c r="W702" t="n">
        <x:v>42.5</x:v>
      </x:c>
    </x:row>
    <x:row r="703">
      <x:c r="A703" t="str">
        <x:v>PJT_702</x:v>
      </x:c>
      <x:c r="B703" t="str">
        <x:v>Mediterranean</x:v>
      </x:c>
      <x:c r="C703" t="n">
        <x:v>14700</x:v>
      </x:c>
      <x:c r="D703" t="n">
        <x:v>17</x:v>
      </x:c>
      <x:c r="E703" t="str">
        <x:v>Medium</x:v>
      </x:c>
      <x:c r="F703" t="str">
        <x:v>Residential</x:v>
      </x:c>
      <x:c r="G703" t="str">
        <x:v>Shear Wall</x:v>
      </x:c>
      <x:c r="H703" t="str">
        <x:v>Piles</x:v>
      </x:c>
      <x:c r="I703" t="str">
        <x:v>Soft Clay</x:v>
      </x:c>
      <x:c r="J703" t="str">
        <x:v>High</x:v>
      </x:c>
      <x:c r="K703" t="n">
        <x:v>26048400</x:v>
      </x:c>
      <x:c r="L703" t="n">
        <x:v>570</x:v>
      </x:c>
      <x:c r="M703" t="n">
        <x:v>171.5</x:v>
      </x:c>
      <x:c r="N703" t="n">
        <x:v>27</x:v>
      </x:c>
      <x:c r="O703" t="n">
        <x:v>53.2</x:v>
      </x:c>
      <x:c r="P703" t="str">
        <x:v>Sunny</x:v>
      </x:c>
      <x:c r="Q703" t="n">
        <x:v>69</x:v>
      </x:c>
      <x:c r="R703" t="n">
        <x:v>78.2</x:v>
      </x:c>
      <x:c r="S703" t="n">
        <x:v>0.0783</x:v>
      </x:c>
      <x:c r="T703" t="n">
        <x:v>14</x:v>
      </x:c>
      <x:c r="U703" t="n">
        <x:v>864.7</x:v>
      </x:c>
      <x:c r="V703" t="n">
        <x:v>1772</x:v>
      </x:c>
      <x:c r="W703" t="n">
        <x:v>38.8</x:v>
      </x:c>
    </x:row>
    <x:row r="704">
      <x:c r="A704" t="str">
        <x:v>PJT_703</x:v>
      </x:c>
      <x:c r="B704" t="str">
        <x:v>Marine</x:v>
      </x:c>
      <x:c r="C704" t="n">
        <x:v>25040</x:v>
      </x:c>
      <x:c r="D704" t="n">
        <x:v>24</x:v>
      </x:c>
      <x:c r="E704" t="str">
        <x:v>High</x:v>
      </x:c>
      <x:c r="F704" t="str">
        <x:v>Mixed-use</x:v>
      </x:c>
      <x:c r="G704" t="str">
        <x:v>Steel</x:v>
      </x:c>
      <x:c r="H704" t="str">
        <x:v>Piles</x:v>
      </x:c>
      <x:c r="I704" t="str">
        <x:v>Mixed</x:v>
      </x:c>
      <x:c r="J704" t="str">
        <x:v>Medium</x:v>
      </x:c>
      <x:c r="K704" t="n">
        <x:v>71839760</x:v>
      </x:c>
      <x:c r="L704" t="n">
        <x:v>1402</x:v>
      </x:c>
      <x:c r="M704" t="n">
        <x:v>351.3</x:v>
      </x:c>
      <x:c r="N704" t="n">
        <x:v>19.6</x:v>
      </x:c>
      <x:c r="O704" t="n">
        <x:v>63.5</x:v>
      </x:c>
      <x:c r="P704" t="str">
        <x:v>Cloudy</x:v>
      </x:c>
      <x:c r="Q704" t="n">
        <x:v>66</x:v>
      </x:c>
      <x:c r="R704" t="n">
        <x:v>92</x:v>
      </x:c>
      <x:c r="S704" t="n">
        <x:v>0.1064</x:v>
      </x:c>
      <x:c r="T704" t="n">
        <x:v>20.6</x:v>
      </x:c>
      <x:c r="U704" t="n">
        <x:v>1043.3</x:v>
      </x:c>
      <x:c r="V704" t="n">
        <x:v>2869</x:v>
      </x:c>
      <x:c r="W704" t="n">
        <x:v>56</x:v>
      </x:c>
    </x:row>
    <x:row r="705">
      <x:c r="A705" t="str">
        <x:v>PJT_704</x:v>
      </x:c>
      <x:c r="B705" t="str">
        <x:v>Continental</x:v>
      </x:c>
      <x:c r="C705" t="n">
        <x:v>9840</x:v>
      </x:c>
      <x:c r="D705" t="n">
        <x:v>14</x:v>
      </x:c>
      <x:c r="E705" t="str">
        <x:v>Medium</x:v>
      </x:c>
      <x:c r="F705" t="str">
        <x:v>Residential</x:v>
      </x:c>
      <x:c r="G705" t="str">
        <x:v>Shear Wall</x:v>
      </x:c>
      <x:c r="H705" t="str">
        <x:v>Piles</x:v>
      </x:c>
      <x:c r="I705" t="str">
        <x:v>Soft Clay</x:v>
      </x:c>
      <x:c r="J705" t="str">
        <x:v>Medium</x:v>
      </x:c>
      <x:c r="K705" t="n">
        <x:v>15183120</x:v>
      </x:c>
      <x:c r="L705" t="n">
        <x:v>435</x:v>
      </x:c>
      <x:c r="M705" t="n">
        <x:v>234.4</x:v>
      </x:c>
      <x:c r="N705" t="n">
        <x:v>7.6</x:v>
      </x:c>
      <x:c r="O705" t="n">
        <x:v>77.1</x:v>
      </x:c>
      <x:c r="P705" t="str">
        <x:v>Stormy</x:v>
      </x:c>
      <x:c r="Q705" t="n">
        <x:v>71</x:v>
      </x:c>
      <x:c r="R705" t="n">
        <x:v>76.5</x:v>
      </x:c>
      <x:c r="S705" t="n">
        <x:v>0.0851</x:v>
      </x:c>
      <x:c r="T705" t="n">
        <x:v>12.6</x:v>
      </x:c>
      <x:c r="U705" t="n">
        <x:v>702.9</x:v>
      </x:c>
      <x:c r="V705" t="n">
        <x:v>1543</x:v>
      </x:c>
      <x:c r="W705" t="n">
        <x:v>44.2</x:v>
      </x:c>
    </x:row>
    <x:row r="706">
      <x:c r="A706" t="str">
        <x:v>PJT_705</x:v>
      </x:c>
      <x:c r="B706" t="str">
        <x:v>Marine</x:v>
      </x:c>
      <x:c r="C706" t="n">
        <x:v>24450</x:v>
      </x:c>
      <x:c r="D706" t="n">
        <x:v>10</x:v>
      </x:c>
      <x:c r="E706" t="str">
        <x:v>Medium</x:v>
      </x:c>
      <x:c r="F706" t="str">
        <x:v>Hospital</x:v>
      </x:c>
      <x:c r="G706" t="str">
        <x:v>Shear Wall</x:v>
      </x:c>
      <x:c r="H706" t="str">
        <x:v>Piles</x:v>
      </x:c>
      <x:c r="I706" t="str">
        <x:v>Mixed</x:v>
      </x:c>
      <x:c r="J706" t="str">
        <x:v>High</x:v>
      </x:c>
      <x:c r="K706" t="n">
        <x:v>80636100</x:v>
      </x:c>
      <x:c r="L706" t="n">
        <x:v>1225</x:v>
      </x:c>
      <x:c r="M706" t="n">
        <x:v>392.6</x:v>
      </x:c>
      <x:c r="N706" t="n">
        <x:v>15.8</x:v>
      </x:c>
      <x:c r="O706" t="n">
        <x:v>68.4</x:v>
      </x:c>
      <x:c r="P706" t="str">
        <x:v>Cloudy</x:v>
      </x:c>
      <x:c r="Q706" t="n">
        <x:v>81</x:v>
      </x:c>
      <x:c r="R706" t="n">
        <x:v>82.8</x:v>
      </x:c>
      <x:c r="S706" t="n">
        <x:v>0.1071</x:v>
      </x:c>
      <x:c r="T706" t="n">
        <x:v>21.8</x:v>
      </x:c>
      <x:c r="U706" t="n">
        <x:v>2445</x:v>
      </x:c>
      <x:c r="V706" t="n">
        <x:v>3298</x:v>
      </x:c>
      <x:c r="W706" t="n">
        <x:v>50.1</x:v>
      </x:c>
    </x:row>
    <x:row r="707">
      <x:c r="A707" t="str">
        <x:v>PJT_706</x:v>
      </x:c>
      <x:c r="B707" t="str">
        <x:v>Mediterranean</x:v>
      </x:c>
      <x:c r="C707" t="n">
        <x:v>10730</x:v>
      </x:c>
      <x:c r="D707" t="n">
        <x:v>6</x:v>
      </x:c>
      <x:c r="E707" t="str">
        <x:v>Low</x:v>
      </x:c>
      <x:c r="F707" t="str">
        <x:v>Commercial</x:v>
      </x:c>
      <x:c r="G707" t="str">
        <x:v>RC Frame</x:v>
      </x:c>
      <x:c r="H707" t="str">
        <x:v>Raft</x:v>
      </x:c>
      <x:c r="I707" t="str">
        <x:v>Rock</x:v>
      </x:c>
      <x:c r="J707" t="str">
        <x:v>High</x:v>
      </x:c>
      <x:c r="K707" t="n">
        <x:v>23606000</x:v>
      </x:c>
      <x:c r="L707" t="n">
        <x:v>412</x:v>
      </x:c>
      <x:c r="M707" t="n">
        <x:v>611.2</x:v>
      </x:c>
      <x:c r="N707" t="n">
        <x:v>15.4</x:v>
      </x:c>
      <x:c r="O707" t="n">
        <x:v>72.2</x:v>
      </x:c>
      <x:c r="P707" t="str">
        <x:v>Rainy</x:v>
      </x:c>
      <x:c r="Q707" t="n">
        <x:v>81</x:v>
      </x:c>
      <x:c r="R707" t="n">
        <x:v>65.5</x:v>
      </x:c>
      <x:c r="S707" t="n">
        <x:v>0.0878</x:v>
      </x:c>
      <x:c r="T707" t="n">
        <x:v>15.3</x:v>
      </x:c>
      <x:c r="U707" t="n">
        <x:v>1788.3</x:v>
      </x:c>
      <x:c r="V707" t="n">
        <x:v>2200</x:v>
      </x:c>
      <x:c r="W707" t="n">
        <x:v>38.4</x:v>
      </x:c>
    </x:row>
    <x:row r="708">
      <x:c r="A708" t="str">
        <x:v>PJT_707</x:v>
      </x:c>
      <x:c r="B708" t="str">
        <x:v>Humid Subtropical</x:v>
      </x:c>
      <x:c r="C708" t="n">
        <x:v>10640</x:v>
      </x:c>
      <x:c r="D708" t="n">
        <x:v>8</x:v>
      </x:c>
      <x:c r="E708" t="str">
        <x:v>Medium</x:v>
      </x:c>
      <x:c r="F708" t="str">
        <x:v>Commercial</x:v>
      </x:c>
      <x:c r="G708" t="str">
        <x:v>Steel</x:v>
      </x:c>
      <x:c r="H708" t="str">
        <x:v>Raft</x:v>
      </x:c>
      <x:c r="I708" t="str">
        <x:v>Mixed</x:v>
      </x:c>
      <x:c r="J708" t="str">
        <x:v>High</x:v>
      </x:c>
      <x:c r="K708" t="n">
        <x:v>25802000</x:v>
      </x:c>
      <x:c r="L708" t="n">
        <x:v>455</x:v>
      </x:c>
      <x:c r="M708" t="n">
        <x:v>286.6</x:v>
      </x:c>
      <x:c r="N708" t="n">
        <x:v>27</x:v>
      </x:c>
      <x:c r="O708" t="n">
        <x:v>64.9</x:v>
      </x:c>
      <x:c r="P708" t="str">
        <x:v>Cloudy</x:v>
      </x:c>
      <x:c r="Q708" t="n">
        <x:v>79</x:v>
      </x:c>
      <x:c r="R708" t="n">
        <x:v>79.8</x:v>
      </x:c>
      <x:c r="S708" t="n">
        <x:v>0.0981</x:v>
      </x:c>
      <x:c r="T708" t="n">
        <x:v>18</x:v>
      </x:c>
      <x:c r="U708" t="n">
        <x:v>1330</x:v>
      </x:c>
      <x:c r="V708" t="n">
        <x:v>2425</x:v>
      </x:c>
      <x:c r="W708" t="n">
        <x:v>42.8</x:v>
      </x:c>
    </x:row>
    <x:row r="709">
      <x:c r="A709" t="str">
        <x:v>PJT_708</x:v>
      </x:c>
      <x:c r="B709" t="str">
        <x:v>Marine</x:v>
      </x:c>
      <x:c r="C709" t="n">
        <x:v>22870</x:v>
      </x:c>
      <x:c r="D709" t="n">
        <x:v>16</x:v>
      </x:c>
      <x:c r="E709" t="str">
        <x:v>Medium</x:v>
      </x:c>
      <x:c r="F709" t="str">
        <x:v>Commercial</x:v>
      </x:c>
      <x:c r="G709" t="str">
        <x:v>Steel</x:v>
      </x:c>
      <x:c r="H709" t="str">
        <x:v>Piles</x:v>
      </x:c>
      <x:c r="I709" t="str">
        <x:v>Soft Clay</x:v>
      </x:c>
      <x:c r="J709" t="str">
        <x:v>High</x:v>
      </x:c>
      <x:c r="K709" t="n">
        <x:v>60468280</x:v>
      </x:c>
      <x:c r="L709" t="n">
        <x:v>1134</x:v>
      </x:c>
      <x:c r="M709" t="n">
        <x:v>168.2</x:v>
      </x:c>
      <x:c r="N709" t="n">
        <x:v>13</x:v>
      </x:c>
      <x:c r="O709" t="n">
        <x:v>81.6</x:v>
      </x:c>
      <x:c r="P709" t="str">
        <x:v>Rainy</x:v>
      </x:c>
      <x:c r="Q709" t="n">
        <x:v>81</x:v>
      </x:c>
      <x:c r="R709" t="n">
        <x:v>77.6</x:v>
      </x:c>
      <x:c r="S709" t="n">
        <x:v>0.093</x:v>
      </x:c>
      <x:c r="T709" t="n">
        <x:v>18</x:v>
      </x:c>
      <x:c r="U709" t="n">
        <x:v>1429.4</x:v>
      </x:c>
      <x:c r="V709" t="n">
        <x:v>2644</x:v>
      </x:c>
      <x:c r="W709" t="n">
        <x:v>49.6</x:v>
      </x:c>
    </x:row>
    <x:row r="710">
      <x:c r="A710" t="str">
        <x:v>PJT_709</x:v>
      </x:c>
      <x:c r="B710" t="str">
        <x:v>Continental</x:v>
      </x:c>
      <x:c r="C710" t="n">
        <x:v>13360</x:v>
      </x:c>
      <x:c r="D710" t="n">
        <x:v>12</x:v>
      </x:c>
      <x:c r="E710" t="str">
        <x:v>Medium</x:v>
      </x:c>
      <x:c r="F710" t="str">
        <x:v>Residential</x:v>
      </x:c>
      <x:c r="G710" t="str">
        <x:v>Shear Wall</x:v>
      </x:c>
      <x:c r="H710" t="str">
        <x:v>Piles</x:v>
      </x:c>
      <x:c r="I710" t="str">
        <x:v>Soft Clay</x:v>
      </x:c>
      <x:c r="J710" t="str">
        <x:v>High</x:v>
      </x:c>
      <x:c r="K710" t="n">
        <x:v>22872320</x:v>
      </x:c>
      <x:c r="L710" t="n">
        <x:v>509</x:v>
      </x:c>
      <x:c r="M710" t="n">
        <x:v>167.4</x:v>
      </x:c>
      <x:c r="N710" t="n">
        <x:v>1.1</x:v>
      </x:c>
      <x:c r="O710" t="n">
        <x:v>69.1</x:v>
      </x:c>
      <x:c r="P710" t="str">
        <x:v>Cloudy</x:v>
      </x:c>
      <x:c r="Q710" t="n">
        <x:v>87</x:v>
      </x:c>
      <x:c r="R710" t="n">
        <x:v>75.6</x:v>
      </x:c>
      <x:c r="S710" t="n">
        <x:v>0.0823</x:v>
      </x:c>
      <x:c r="T710" t="n">
        <x:v>13.4</x:v>
      </x:c>
      <x:c r="U710" t="n">
        <x:v>1113.3</x:v>
      </x:c>
      <x:c r="V710" t="n">
        <x:v>1712</x:v>
      </x:c>
      <x:c r="W710" t="n">
        <x:v>38.1</x:v>
      </x:c>
    </x:row>
    <x:row r="711">
      <x:c r="A711" t="str">
        <x:v>PJT_710</x:v>
      </x:c>
      <x:c r="B711" t="str">
        <x:v>Marine</x:v>
      </x:c>
      <x:c r="C711" t="n">
        <x:v>29490</x:v>
      </x:c>
      <x:c r="D711" t="n">
        <x:v>12</x:v>
      </x:c>
      <x:c r="E711" t="str">
        <x:v>Medium</x:v>
      </x:c>
      <x:c r="F711" t="str">
        <x:v>Hospital</x:v>
      </x:c>
      <x:c r="G711" t="str">
        <x:v>Steel</x:v>
      </x:c>
      <x:c r="H711" t="str">
        <x:v>Piles</x:v>
      </x:c>
      <x:c r="I711" t="str">
        <x:v>Soft Clay</x:v>
      </x:c>
      <x:c r="J711" t="str">
        <x:v>Low</x:v>
      </x:c>
      <x:c r="K711" t="n">
        <x:v>94751370</x:v>
      </x:c>
      <x:c r="L711" t="n">
        <x:v>1616</x:v>
      </x:c>
      <x:c r="M711" t="n">
        <x:v>186.1</x:v>
      </x:c>
      <x:c r="N711" t="n">
        <x:v>13.9</x:v>
      </x:c>
      <x:c r="O711" t="n">
        <x:v>74.5</x:v>
      </x:c>
      <x:c r="P711" t="str">
        <x:v>Rainy</x:v>
      </x:c>
      <x:c r="Q711" t="n">
        <x:v>82</x:v>
      </x:c>
      <x:c r="R711" t="n">
        <x:v>83.7</x:v>
      </x:c>
      <x:c r="S711" t="n">
        <x:v>0.1112</x:v>
      </x:c>
      <x:c r="T711" t="n">
        <x:v>21.8</x:v>
      </x:c>
      <x:c r="U711" t="n">
        <x:v>2457.5</x:v>
      </x:c>
      <x:c r="V711" t="n">
        <x:v>3213</x:v>
      </x:c>
      <x:c r="W711" t="n">
        <x:v>54.8</x:v>
      </x:c>
    </x:row>
    <x:row r="712">
      <x:c r="A712" t="str">
        <x:v>PJT_711</x:v>
      </x:c>
      <x:c r="B712" t="str">
        <x:v>Marine</x:v>
      </x:c>
      <x:c r="C712" t="n">
        <x:v>30720</x:v>
      </x:c>
      <x:c r="D712" t="n">
        <x:v>17</x:v>
      </x:c>
      <x:c r="E712" t="str">
        <x:v>Medium</x:v>
      </x:c>
      <x:c r="F712" t="str">
        <x:v>Mixed-use</x:v>
      </x:c>
      <x:c r="G712" t="str">
        <x:v>Shear Wall</x:v>
      </x:c>
      <x:c r="H712" t="str">
        <x:v>Piles</x:v>
      </x:c>
      <x:c r="I712" t="str">
        <x:v>Sand</x:v>
      </x:c>
      <x:c r="J712" t="str">
        <x:v>Low</x:v>
      </x:c>
      <x:c r="K712" t="n">
        <x:v>83343360</x:v>
      </x:c>
      <x:c r="L712" t="n">
        <x:v>1573</x:v>
      </x:c>
      <x:c r="M712" t="n">
        <x:v>351.4</x:v>
      </x:c>
      <x:c r="N712" t="n">
        <x:v>16</x:v>
      </x:c>
      <x:c r="O712" t="n">
        <x:v>77.9</x:v>
      </x:c>
      <x:c r="P712" t="str">
        <x:v>Rainy</x:v>
      </x:c>
      <x:c r="Q712" t="n">
        <x:v>96</x:v>
      </x:c>
      <x:c r="R712" t="n">
        <x:v>78.3</x:v>
      </x:c>
      <x:c r="S712" t="n">
        <x:v>0.0977</x:v>
      </x:c>
      <x:c r="T712" t="n">
        <x:v>18.5</x:v>
      </x:c>
      <x:c r="U712" t="n">
        <x:v>1807.1</x:v>
      </x:c>
      <x:c r="V712" t="n">
        <x:v>2713</x:v>
      </x:c>
      <x:c r="W712" t="n">
        <x:v>51.2</x:v>
      </x:c>
    </x:row>
    <x:row r="713">
      <x:c r="A713" t="str">
        <x:v>PJT_712</x:v>
      </x:c>
      <x:c r="B713" t="str">
        <x:v>Continental</x:v>
      </x:c>
      <x:c r="C713" t="n">
        <x:v>24420</x:v>
      </x:c>
      <x:c r="D713" t="n">
        <x:v>11</x:v>
      </x:c>
      <x:c r="E713" t="str">
        <x:v>Medium</x:v>
      </x:c>
      <x:c r="F713" t="str">
        <x:v>Commercial</x:v>
      </x:c>
      <x:c r="G713" t="str">
        <x:v>Steel</x:v>
      </x:c>
      <x:c r="H713" t="str">
        <x:v>Raft</x:v>
      </x:c>
      <x:c r="I713" t="str">
        <x:v>Sand</x:v>
      </x:c>
      <x:c r="J713" t="str">
        <x:v>Low</x:v>
      </x:c>
      <x:c r="K713" t="n">
        <x:v>55799700</x:v>
      </x:c>
      <x:c r="L713" t="n">
        <x:v>1133</x:v>
      </x:c>
      <x:c r="M713" t="n">
        <x:v>236.1</x:v>
      </x:c>
      <x:c r="N713" t="n">
        <x:v>15.3</x:v>
      </x:c>
      <x:c r="O713" t="n">
        <x:v>66.4</x:v>
      </x:c>
      <x:c r="P713" t="str">
        <x:v>Rainy</x:v>
      </x:c>
      <x:c r="Q713" t="n">
        <x:v>93</x:v>
      </x:c>
      <x:c r="R713" t="n">
        <x:v>80</x:v>
      </x:c>
      <x:c r="S713" t="n">
        <x:v>0.0949</x:v>
      </x:c>
      <x:c r="T713" t="n">
        <x:v>16.4</x:v>
      </x:c>
      <x:c r="U713" t="n">
        <x:v>2220</x:v>
      </x:c>
      <x:c r="V713" t="n">
        <x:v>2285</x:v>
      </x:c>
      <x:c r="W713" t="n">
        <x:v>46.4</x:v>
      </x:c>
    </x:row>
    <x:row r="714">
      <x:c r="A714" t="str">
        <x:v>PJT_713</x:v>
      </x:c>
      <x:c r="B714" t="str">
        <x:v>Mediterranean</x:v>
      </x:c>
      <x:c r="C714" t="n">
        <x:v>13580</x:v>
      </x:c>
      <x:c r="D714" t="n">
        <x:v>14</x:v>
      </x:c>
      <x:c r="E714" t="str">
        <x:v>Low</x:v>
      </x:c>
      <x:c r="F714" t="str">
        <x:v>Residential</x:v>
      </x:c>
      <x:c r="G714" t="str">
        <x:v>Shear Wall</x:v>
      </x:c>
      <x:c r="H714" t="str">
        <x:v>Piles</x:v>
      </x:c>
      <x:c r="I714" t="str">
        <x:v>Soft Clay</x:v>
      </x:c>
      <x:c r="J714" t="str">
        <x:v>High</x:v>
      </x:c>
      <x:c r="K714" t="n">
        <x:v>23126740</x:v>
      </x:c>
      <x:c r="L714" t="n">
        <x:v>523</x:v>
      </x:c>
      <x:c r="M714" t="n">
        <x:v>184.7</x:v>
      </x:c>
      <x:c r="N714" t="n">
        <x:v>-0.5</x:v>
      </x:c>
      <x:c r="O714" t="n">
        <x:v>63.3</x:v>
      </x:c>
      <x:c r="P714" t="str">
        <x:v>Snowy</x:v>
      </x:c>
      <x:c r="Q714" t="n">
        <x:v>78</x:v>
      </x:c>
      <x:c r="R714" t="n">
        <x:v>68.9</x:v>
      </x:c>
      <x:c r="S714" t="n">
        <x:v>0.075</x:v>
      </x:c>
      <x:c r="T714" t="n">
        <x:v>12.9</x:v>
      </x:c>
      <x:c r="U714" t="n">
        <x:v>970</x:v>
      </x:c>
      <x:c r="V714" t="n">
        <x:v>1703</x:v>
      </x:c>
      <x:c r="W714" t="n">
        <x:v>38.5</x:v>
      </x:c>
    </x:row>
    <x:row r="715">
      <x:c r="A715" t="str">
        <x:v>PJT_714</x:v>
      </x:c>
      <x:c r="B715" t="str">
        <x:v>Continental</x:v>
      </x:c>
      <x:c r="C715" t="n">
        <x:v>12340</x:v>
      </x:c>
      <x:c r="D715" t="n">
        <x:v>12</x:v>
      </x:c>
      <x:c r="E715" t="str">
        <x:v>Low</x:v>
      </x:c>
      <x:c r="F715" t="str">
        <x:v>Residential</x:v>
      </x:c>
      <x:c r="G715" t="str">
        <x:v>RC Frame</x:v>
      </x:c>
      <x:c r="H715" t="str">
        <x:v>Piles</x:v>
      </x:c>
      <x:c r="I715" t="str">
        <x:v>Soft Clay</x:v>
      </x:c>
      <x:c r="J715" t="str">
        <x:v>Low</x:v>
      </x:c>
      <x:c r="K715" t="n">
        <x:v>15733500</x:v>
      </x:c>
      <x:c r="L715" t="n">
        <x:v>421</x:v>
      </x:c>
      <x:c r="M715" t="n">
        <x:v>214.6</x:v>
      </x:c>
      <x:c r="N715" t="n">
        <x:v>5.6</x:v>
      </x:c>
      <x:c r="O715" t="n">
        <x:v>46.8</x:v>
      </x:c>
      <x:c r="P715" t="str">
        <x:v>Sunny</x:v>
      </x:c>
      <x:c r="Q715" t="n">
        <x:v>84</x:v>
      </x:c>
      <x:c r="R715" t="n">
        <x:v>67.3</x:v>
      </x:c>
      <x:c r="S715" t="n">
        <x:v>0.0702</x:v>
      </x:c>
      <x:c r="T715" t="n">
        <x:v>11.9</x:v>
      </x:c>
      <x:c r="U715" t="n">
        <x:v>1028.3</x:v>
      </x:c>
      <x:c r="V715" t="n">
        <x:v>1275</x:v>
      </x:c>
      <x:c r="W715" t="n">
        <x:v>34.1</x:v>
      </x:c>
    </x:row>
    <x:row r="716">
      <x:c r="A716" t="str">
        <x:v>PJT_715</x:v>
      </x:c>
      <x:c r="B716" t="str">
        <x:v>Continental</x:v>
      </x:c>
      <x:c r="C716" t="n">
        <x:v>28240</x:v>
      </x:c>
      <x:c r="D716" t="n">
        <x:v>20</x:v>
      </x:c>
      <x:c r="E716" t="str">
        <x:v>Medium</x:v>
      </x:c>
      <x:c r="F716" t="str">
        <x:v>Mixed-use</x:v>
      </x:c>
      <x:c r="G716" t="str">
        <x:v>Steel</x:v>
      </x:c>
      <x:c r="H716" t="str">
        <x:v>Piles</x:v>
      </x:c>
      <x:c r="I716" t="str">
        <x:v>Soft Clay</x:v>
      </x:c>
      <x:c r="J716" t="str">
        <x:v>Medium</x:v>
      </x:c>
      <x:c r="K716" t="n">
        <x:v>75372560</x:v>
      </x:c>
      <x:c r="L716" t="n">
        <x:v>1398</x:v>
      </x:c>
      <x:c r="M716" t="n">
        <x:v>187.5</x:v>
      </x:c>
      <x:c r="N716" t="n">
        <x:v>9.5</x:v>
      </x:c>
      <x:c r="O716" t="n">
        <x:v>60.2</x:v>
      </x:c>
      <x:c r="P716" t="str">
        <x:v>Cloudy</x:v>
      </x:c>
      <x:c r="Q716" t="n">
        <x:v>91</x:v>
      </x:c>
      <x:c r="R716" t="n">
        <x:v>88</x:v>
      </x:c>
      <x:c r="S716" t="n">
        <x:v>0.105</x:v>
      </x:c>
      <x:c r="T716" t="n">
        <x:v>19</x:v>
      </x:c>
      <x:c r="U716" t="n">
        <x:v>1412</x:v>
      </x:c>
      <x:c r="V716" t="n">
        <x:v>2669</x:v>
      </x:c>
      <x:c r="W716" t="n">
        <x:v>49.5</x:v>
      </x:c>
    </x:row>
    <x:row r="717">
      <x:c r="A717" t="str">
        <x:v>PJT_716</x:v>
      </x:c>
      <x:c r="B717" t="str">
        <x:v>Continental</x:v>
      </x:c>
      <x:c r="C717" t="n">
        <x:v>18000</x:v>
      </x:c>
      <x:c r="D717" t="n">
        <x:v>11</x:v>
      </x:c>
      <x:c r="E717" t="str">
        <x:v>Medium</x:v>
      </x:c>
      <x:c r="F717" t="str">
        <x:v>Commercial</x:v>
      </x:c>
      <x:c r="G717" t="str">
        <x:v>Steel</x:v>
      </x:c>
      <x:c r="H717" t="str">
        <x:v>Raft</x:v>
      </x:c>
      <x:c r="I717" t="str">
        <x:v>Mixed</x:v>
      </x:c>
      <x:c r="J717" t="str">
        <x:v>High</x:v>
      </x:c>
      <x:c r="K717" t="n">
        <x:v>43668000</x:v>
      </x:c>
      <x:c r="L717" t="n">
        <x:v>846</x:v>
      </x:c>
      <x:c r="M717" t="n">
        <x:v>338.9</x:v>
      </x:c>
      <x:c r="N717" t="n">
        <x:v>-9.1</x:v>
      </x:c>
      <x:c r="O717" t="n">
        <x:v>58.9</x:v>
      </x:c>
      <x:c r="P717" t="str">
        <x:v>Snowy</x:v>
      </x:c>
      <x:c r="Q717" t="n">
        <x:v>88</x:v>
      </x:c>
      <x:c r="R717" t="n">
        <x:v>79</x:v>
      </x:c>
      <x:c r="S717" t="n">
        <x:v>0.1008</x:v>
      </x:c>
      <x:c r="T717" t="n">
        <x:v>17.2</x:v>
      </x:c>
      <x:c r="U717" t="n">
        <x:v>1636.4</x:v>
      </x:c>
      <x:c r="V717" t="n">
        <x:v>2426</x:v>
      </x:c>
      <x:c r="W717" t="n">
        <x:v>47</x:v>
      </x:c>
    </x:row>
    <x:row r="718">
      <x:c r="A718" t="str">
        <x:v>PJT_717</x:v>
      </x:c>
      <x:c r="B718" t="str">
        <x:v>Mediterranean</x:v>
      </x:c>
      <x:c r="C718" t="n">
        <x:v>19510</x:v>
      </x:c>
      <x:c r="D718" t="n">
        <x:v>16</x:v>
      </x:c>
      <x:c r="E718" t="str">
        <x:v>Medium</x:v>
      </x:c>
      <x:c r="F718" t="str">
        <x:v>Residential</x:v>
      </x:c>
      <x:c r="G718" t="str">
        <x:v>Shear Wall</x:v>
      </x:c>
      <x:c r="H718" t="str">
        <x:v>Piles</x:v>
      </x:c>
      <x:c r="I718" t="str">
        <x:v>Mixed</x:v>
      </x:c>
      <x:c r="J718" t="str">
        <x:v>Medium</x:v>
      </x:c>
      <x:c r="K718" t="n">
        <x:v>33479160</x:v>
      </x:c>
      <x:c r="L718" t="n">
        <x:v>776</x:v>
      </x:c>
      <x:c r="M718" t="n">
        <x:v>308.3</x:v>
      </x:c>
      <x:c r="N718" t="n">
        <x:v>10.7</x:v>
      </x:c>
      <x:c r="O718" t="n">
        <x:v>77.5</x:v>
      </x:c>
      <x:c r="P718" t="str">
        <x:v>Rainy</x:v>
      </x:c>
      <x:c r="Q718" t="n">
        <x:v>60</x:v>
      </x:c>
      <x:c r="R718" t="n">
        <x:v>75.6</x:v>
      </x:c>
      <x:c r="S718" t="n">
        <x:v>0.0849</x:v>
      </x:c>
      <x:c r="T718" t="n">
        <x:v>13.2</x:v>
      </x:c>
      <x:c r="U718" t="n">
        <x:v>1219.4</x:v>
      </x:c>
      <x:c r="V718" t="n">
        <x:v>1716</x:v>
      </x:c>
      <x:c r="W718" t="n">
        <x:v>39.8</x:v>
      </x:c>
    </x:row>
    <x:row r="719">
      <x:c r="A719" t="str">
        <x:v>PJT_718</x:v>
      </x:c>
      <x:c r="B719" t="str">
        <x:v>Humid Subtropical</x:v>
      </x:c>
      <x:c r="C719" t="n">
        <x:v>28060</x:v>
      </x:c>
      <x:c r="D719" t="n">
        <x:v>21</x:v>
      </x:c>
      <x:c r="E719" t="str">
        <x:v>High</x:v>
      </x:c>
      <x:c r="F719" t="str">
        <x:v>Mixed-use</x:v>
      </x:c>
      <x:c r="G719" t="str">
        <x:v>Steel</x:v>
      </x:c>
      <x:c r="H719" t="str">
        <x:v>Piles</x:v>
      </x:c>
      <x:c r="I719" t="str">
        <x:v>Soft Clay</x:v>
      </x:c>
      <x:c r="J719" t="str">
        <x:v>Low</x:v>
      </x:c>
      <x:c r="K719" t="n">
        <x:v>81430120</x:v>
      </x:c>
      <x:c r="L719" t="n">
        <x:v>1605</x:v>
      </x:c>
      <x:c r="M719" t="n">
        <x:v>156.5</x:v>
      </x:c>
      <x:c r="N719" t="n">
        <x:v>28.2</x:v>
      </x:c>
      <x:c r="O719" t="n">
        <x:v>75.3</x:v>
      </x:c>
      <x:c r="P719" t="str">
        <x:v>Cloudy</x:v>
      </x:c>
      <x:c r="Q719" t="n">
        <x:v>86</x:v>
      </x:c>
      <x:c r="R719" t="n">
        <x:v>90.5</x:v>
      </x:c>
      <x:c r="S719" t="n">
        <x:v>0.1104</x:v>
      </x:c>
      <x:c r="T719" t="n">
        <x:v>19.6</x:v>
      </x:c>
      <x:c r="U719" t="n">
        <x:v>1336.2</x:v>
      </x:c>
      <x:c r="V719" t="n">
        <x:v>2902</x:v>
      </x:c>
      <x:c r="W719" t="n">
        <x:v>57.2</x:v>
      </x:c>
    </x:row>
    <x:row r="720">
      <x:c r="A720" t="str">
        <x:v>PJT_719</x:v>
      </x:c>
      <x:c r="B720" t="str">
        <x:v>Humid Subtropical</x:v>
      </x:c>
      <x:c r="C720" t="n">
        <x:v>8870</x:v>
      </x:c>
      <x:c r="D720" t="n">
        <x:v>7</x:v>
      </x:c>
      <x:c r="E720" t="str">
        <x:v>Low</x:v>
      </x:c>
      <x:c r="F720" t="str">
        <x:v>Residential</x:v>
      </x:c>
      <x:c r="G720" t="str">
        <x:v>RC Frame</x:v>
      </x:c>
      <x:c r="H720" t="str">
        <x:v>Raft</x:v>
      </x:c>
      <x:c r="I720" t="str">
        <x:v>Sand</x:v>
      </x:c>
      <x:c r="J720" t="str">
        <x:v>High</x:v>
      </x:c>
      <x:c r="K720" t="n">
        <x:v>12746190</x:v>
      </x:c>
      <x:c r="L720" t="n">
        <x:v>247</x:v>
      </x:c>
      <x:c r="M720" t="n">
        <x:v>240.5</x:v>
      </x:c>
      <x:c r="N720" t="n">
        <x:v>31.6</x:v>
      </x:c>
      <x:c r="O720" t="n">
        <x:v>52.7</x:v>
      </x:c>
      <x:c r="P720" t="str">
        <x:v>Sunny</x:v>
      </x:c>
      <x:c r="Q720" t="n">
        <x:v>92</x:v>
      </x:c>
      <x:c r="R720" t="n">
        <x:v>64.2</x:v>
      </x:c>
      <x:c r="S720" t="n">
        <x:v>0.0739</x:v>
      </x:c>
      <x:c r="T720" t="n">
        <x:v>13</x:v>
      </x:c>
      <x:c r="U720" t="n">
        <x:v>1267.1</x:v>
      </x:c>
      <x:c r="V720" t="n">
        <x:v>1437</x:v>
      </x:c>
      <x:c r="W720" t="n">
        <x:v>27.9</x:v>
      </x:c>
    </x:row>
    <x:row r="721">
      <x:c r="A721" t="str">
        <x:v>PJT_720</x:v>
      </x:c>
      <x:c r="B721" t="str">
        <x:v>Marine</x:v>
      </x:c>
      <x:c r="C721" t="n">
        <x:v>10260</x:v>
      </x:c>
      <x:c r="D721" t="n">
        <x:v>6</x:v>
      </x:c>
      <x:c r="E721" t="str">
        <x:v>Medium</x:v>
      </x:c>
      <x:c r="F721" t="str">
        <x:v>Hospital</x:v>
      </x:c>
      <x:c r="G721" t="str">
        <x:v>RC Frame</x:v>
      </x:c>
      <x:c r="H721" t="str">
        <x:v>Raft</x:v>
      </x:c>
      <x:c r="I721" t="str">
        <x:v>Sand</x:v>
      </x:c>
      <x:c r="J721" t="str">
        <x:v>Medium</x:v>
      </x:c>
      <x:c r="K721" t="n">
        <x:v>30338820</x:v>
      </x:c>
      <x:c r="L721" t="n">
        <x:v>463</x:v>
      </x:c>
      <x:c r="M721" t="n">
        <x:v>217.5</x:v>
      </x:c>
      <x:c r="N721" t="n">
        <x:v>12.4</x:v>
      </x:c>
      <x:c r="O721" t="n">
        <x:v>64.7</x:v>
      </x:c>
      <x:c r="P721" t="str">
        <x:v>Cloudy</x:v>
      </x:c>
      <x:c r="Q721" t="n">
        <x:v>86</x:v>
      </x:c>
      <x:c r="R721" t="n">
        <x:v>81.8</x:v>
      </x:c>
      <x:c r="S721" t="n">
        <x:v>0.1021</x:v>
      </x:c>
      <x:c r="T721" t="n">
        <x:v>21.4</x:v>
      </x:c>
      <x:c r="U721" t="n">
        <x:v>1710</x:v>
      </x:c>
      <x:c r="V721" t="n">
        <x:v>2957</x:v>
      </x:c>
      <x:c r="W721" t="n">
        <x:v>45.1</x:v>
      </x:c>
    </x:row>
    <x:row r="722">
      <x:c r="A722" t="str">
        <x:v>PJT_721</x:v>
      </x:c>
      <x:c r="B722" t="str">
        <x:v>Humid Subtropical</x:v>
      </x:c>
      <x:c r="C722" t="n">
        <x:v>11500</x:v>
      </x:c>
      <x:c r="D722" t="n">
        <x:v>10</x:v>
      </x:c>
      <x:c r="E722" t="str">
        <x:v>Low</x:v>
      </x:c>
      <x:c r="F722" t="str">
        <x:v>Residential</x:v>
      </x:c>
      <x:c r="G722" t="str">
        <x:v>RC Frame</x:v>
      </x:c>
      <x:c r="H722" t="str">
        <x:v>Raft</x:v>
      </x:c>
      <x:c r="I722" t="str">
        <x:v>Sand</x:v>
      </x:c>
      <x:c r="J722" t="str">
        <x:v>Low</x:v>
      </x:c>
      <x:c r="K722" t="n">
        <x:v>15226000</x:v>
      </x:c>
      <x:c r="L722" t="n">
        <x:v>398</x:v>
      </x:c>
      <x:c r="M722" t="n">
        <x:v>270.6</x:v>
      </x:c>
      <x:c r="N722" t="n">
        <x:v>20.6</x:v>
      </x:c>
      <x:c r="O722" t="n">
        <x:v>90.6</x:v>
      </x:c>
      <x:c r="P722" t="str">
        <x:v>Rainy</x:v>
      </x:c>
      <x:c r="Q722" t="n">
        <x:v>93</x:v>
      </x:c>
      <x:c r="R722" t="n">
        <x:v>63.8</x:v>
      </x:c>
      <x:c r="S722" t="n">
        <x:v>0.0753</x:v>
      </x:c>
      <x:c r="T722" t="n">
        <x:v>12.1</x:v>
      </x:c>
      <x:c r="U722" t="n">
        <x:v>1150</x:v>
      </x:c>
      <x:c r="V722" t="n">
        <x:v>1324</x:v>
      </x:c>
      <x:c r="W722" t="n">
        <x:v>34.6</x:v>
      </x:c>
    </x:row>
    <x:row r="723">
      <x:c r="A723" t="str">
        <x:v>PJT_722</x:v>
      </x:c>
      <x:c r="B723" t="str">
        <x:v>Marine</x:v>
      </x:c>
      <x:c r="C723" t="n">
        <x:v>21770</x:v>
      </x:c>
      <x:c r="D723" t="n">
        <x:v>12</x:v>
      </x:c>
      <x:c r="E723" t="str">
        <x:v>Medium</x:v>
      </x:c>
      <x:c r="F723" t="str">
        <x:v>Mixed-use</x:v>
      </x:c>
      <x:c r="G723" t="str">
        <x:v>Shear Wall</x:v>
      </x:c>
      <x:c r="H723" t="str">
        <x:v>Raft</x:v>
      </x:c>
      <x:c r="I723" t="str">
        <x:v>Rock</x:v>
      </x:c>
      <x:c r="J723" t="str">
        <x:v>Low</x:v>
      </x:c>
      <x:c r="K723" t="n">
        <x:v>52792250</x:v>
      </x:c>
      <x:c r="L723" t="n">
        <x:v>993</x:v>
      </x:c>
      <x:c r="M723" t="n">
        <x:v>624</x:v>
      </x:c>
      <x:c r="N723" t="n">
        <x:v>13.1</x:v>
      </x:c>
      <x:c r="O723" t="n">
        <x:v>75.5</x:v>
      </x:c>
      <x:c r="P723" t="str">
        <x:v>Cloudy</x:v>
      </x:c>
      <x:c r="Q723" t="n">
        <x:v>87</x:v>
      </x:c>
      <x:c r="R723" t="n">
        <x:v>83.1</x:v>
      </x:c>
      <x:c r="S723" t="n">
        <x:v>0.1</x:v>
      </x:c>
      <x:c r="T723" t="n">
        <x:v>18.5</x:v>
      </x:c>
      <x:c r="U723" t="n">
        <x:v>1814.2</x:v>
      </x:c>
      <x:c r="V723" t="n">
        <x:v>2425</x:v>
      </x:c>
      <x:c r="W723" t="n">
        <x:v>45.6</x:v>
      </x:c>
    </x:row>
    <x:row r="724">
      <x:c r="A724" t="str">
        <x:v>PJT_723</x:v>
      </x:c>
      <x:c r="B724" t="str">
        <x:v>Humid Subtropical</x:v>
      </x:c>
      <x:c r="C724" t="n">
        <x:v>20510</x:v>
      </x:c>
      <x:c r="D724" t="n">
        <x:v>15</x:v>
      </x:c>
      <x:c r="E724" t="str">
        <x:v>Medium</x:v>
      </x:c>
      <x:c r="F724" t="str">
        <x:v>Commercial</x:v>
      </x:c>
      <x:c r="G724" t="str">
        <x:v>Steel</x:v>
      </x:c>
      <x:c r="H724" t="str">
        <x:v>Piles</x:v>
      </x:c>
      <x:c r="I724" t="str">
        <x:v>Sand</x:v>
      </x:c>
      <x:c r="J724" t="str">
        <x:v>Medium</x:v>
      </x:c>
      <x:c r="K724" t="n">
        <x:v>49675220</x:v>
      </x:c>
      <x:c r="L724" t="n">
        <x:v>880</x:v>
      </x:c>
      <x:c r="M724" t="n">
        <x:v>316.3</x:v>
      </x:c>
      <x:c r="N724" t="n">
        <x:v>28.7</x:v>
      </x:c>
      <x:c r="O724" t="n">
        <x:v>66.8</x:v>
      </x:c>
      <x:c r="P724" t="str">
        <x:v>Sunny</x:v>
      </x:c>
      <x:c r="Q724" t="n">
        <x:v>96</x:v>
      </x:c>
      <x:c r="R724" t="n">
        <x:v>79.3</x:v>
      </x:c>
      <x:c r="S724" t="n">
        <x:v>0.0957</x:v>
      </x:c>
      <x:c r="T724" t="n">
        <x:v>16.5</x:v>
      </x:c>
      <x:c r="U724" t="n">
        <x:v>1367.3</x:v>
      </x:c>
      <x:c r="V724" t="n">
        <x:v>2422</x:v>
      </x:c>
      <x:c r="W724" t="n">
        <x:v>42.9</x:v>
      </x:c>
    </x:row>
    <x:row r="725">
      <x:c r="A725" t="str">
        <x:v>PJT_724</x:v>
      </x:c>
      <x:c r="B725" t="str">
        <x:v>Mediterranean</x:v>
      </x:c>
      <x:c r="C725" t="n">
        <x:v>23510</x:v>
      </x:c>
      <x:c r="D725" t="n">
        <x:v>20</x:v>
      </x:c>
      <x:c r="E725" t="str">
        <x:v>High</x:v>
      </x:c>
      <x:c r="F725" t="str">
        <x:v>Commercial</x:v>
      </x:c>
      <x:c r="G725" t="str">
        <x:v>Steel</x:v>
      </x:c>
      <x:c r="H725" t="str">
        <x:v>Piles</x:v>
      </x:c>
      <x:c r="I725" t="str">
        <x:v>Mixed</x:v>
      </x:c>
      <x:c r="J725" t="str">
        <x:v>High</x:v>
      </x:c>
      <x:c r="K725" t="n">
        <x:v>65028660</x:v>
      </x:c>
      <x:c r="L725" t="n">
        <x:v>1272</x:v>
      </x:c>
      <x:c r="M725" t="n">
        <x:v>306.9</x:v>
      </x:c>
      <x:c r="N725" t="n">
        <x:v>1</x:v>
      </x:c>
      <x:c r="O725" t="n">
        <x:v>79.8</x:v>
      </x:c>
      <x:c r="P725" t="str">
        <x:v>Snowy</x:v>
      </x:c>
      <x:c r="Q725" t="n">
        <x:v>93</x:v>
      </x:c>
      <x:c r="R725" t="n">
        <x:v>83.1</x:v>
      </x:c>
      <x:c r="S725" t="n">
        <x:v>0.1042</x:v>
      </x:c>
      <x:c r="T725" t="n">
        <x:v>18.6</x:v>
      </x:c>
      <x:c r="U725" t="n">
        <x:v>1175.5</x:v>
      </x:c>
      <x:c r="V725" t="n">
        <x:v>2766</x:v>
      </x:c>
      <x:c r="W725" t="n">
        <x:v>54.1</x:v>
      </x:c>
    </x:row>
    <x:row r="726">
      <x:c r="A726" t="str">
        <x:v>PJT_725</x:v>
      </x:c>
      <x:c r="B726" t="str">
        <x:v>Humid Subtropical</x:v>
      </x:c>
      <x:c r="C726" t="n">
        <x:v>27100</x:v>
      </x:c>
      <x:c r="D726" t="n">
        <x:v>21</x:v>
      </x:c>
      <x:c r="E726" t="str">
        <x:v>High</x:v>
      </x:c>
      <x:c r="F726" t="str">
        <x:v>Mixed-use</x:v>
      </x:c>
      <x:c r="G726" t="str">
        <x:v>Steel</x:v>
      </x:c>
      <x:c r="H726" t="str">
        <x:v>Piles</x:v>
      </x:c>
      <x:c r="I726" t="str">
        <x:v>Soft Clay</x:v>
      </x:c>
      <x:c r="J726" t="str">
        <x:v>Low</x:v>
      </x:c>
      <x:c r="K726" t="n">
        <x:v>77533100</x:v>
      </x:c>
      <x:c r="L726" t="n">
        <x:v>1485</x:v>
      </x:c>
      <x:c r="M726" t="n">
        <x:v>192.3</x:v>
      </x:c>
      <x:c r="N726" t="n">
        <x:v>24.1</x:v>
      </x:c>
      <x:c r="O726" t="n">
        <x:v>72.2</x:v>
      </x:c>
      <x:c r="P726" t="str">
        <x:v>Cloudy</x:v>
      </x:c>
      <x:c r="Q726" t="n">
        <x:v>74</x:v>
      </x:c>
      <x:c r="R726" t="n">
        <x:v>83.5</x:v>
      </x:c>
      <x:c r="S726" t="n">
        <x:v>0.1077</x:v>
      </x:c>
      <x:c r="T726" t="n">
        <x:v>21</x:v>
      </x:c>
      <x:c r="U726" t="n">
        <x:v>1290.5</x:v>
      </x:c>
      <x:c r="V726" t="n">
        <x:v>2861</x:v>
      </x:c>
      <x:c r="W726" t="n">
        <x:v>54.8</x:v>
      </x:c>
    </x:row>
    <x:row r="727">
      <x:c r="A727" t="str">
        <x:v>PJT_726</x:v>
      </x:c>
      <x:c r="B727" t="str">
        <x:v>Humid Subtropical</x:v>
      </x:c>
      <x:c r="C727" t="n">
        <x:v>4460</x:v>
      </x:c>
      <x:c r="D727" t="n">
        <x:v>2</x:v>
      </x:c>
      <x:c r="E727" t="str">
        <x:v>Low</x:v>
      </x:c>
      <x:c r="F727" t="str">
        <x:v>School</x:v>
      </x:c>
      <x:c r="G727" t="str">
        <x:v>Steel</x:v>
      </x:c>
      <x:c r="H727" t="str">
        <x:v>Strip</x:v>
      </x:c>
      <x:c r="I727" t="str">
        <x:v>Rock</x:v>
      </x:c>
      <x:c r="J727" t="str">
        <x:v>High</x:v>
      </x:c>
      <x:c r="K727" t="n">
        <x:v>8514140</x:v>
      </x:c>
      <x:c r="L727" t="n">
        <x:v>180</x:v>
      </x:c>
      <x:c r="M727" t="n">
        <x:v>620</x:v>
      </x:c>
      <x:c r="N727" t="n">
        <x:v>26.6</x:v>
      </x:c>
      <x:c r="O727" t="n">
        <x:v>57.7</x:v>
      </x:c>
      <x:c r="P727" t="str">
        <x:v>Sunny</x:v>
      </x:c>
      <x:c r="Q727" t="n">
        <x:v>65</x:v>
      </x:c>
      <x:c r="R727" t="n">
        <x:v>61</x:v>
      </x:c>
      <x:c r="S727" t="n">
        <x:v>0.0856</x:v>
      </x:c>
      <x:c r="T727" t="n">
        <x:v>14.8</x:v>
      </x:c>
      <x:c r="U727" t="n">
        <x:v>2230</x:v>
      </x:c>
      <x:c r="V727" t="n">
        <x:v>1909</x:v>
      </x:c>
      <x:c r="W727" t="n">
        <x:v>25.1</x:v>
      </x:c>
    </x:row>
    <x:row r="728">
      <x:c r="A728" t="str">
        <x:v>PJT_727</x:v>
      </x:c>
      <x:c r="B728" t="str">
        <x:v>Mediterranean</x:v>
      </x:c>
      <x:c r="C728" t="n">
        <x:v>27170</x:v>
      </x:c>
      <x:c r="D728" t="n">
        <x:v>21</x:v>
      </x:c>
      <x:c r="E728" t="str">
        <x:v>Medium</x:v>
      </x:c>
      <x:c r="F728" t="str">
        <x:v>Commercial</x:v>
      </x:c>
      <x:c r="G728" t="str">
        <x:v>Steel</x:v>
      </x:c>
      <x:c r="H728" t="str">
        <x:v>Piles</x:v>
      </x:c>
      <x:c r="I728" t="str">
        <x:v>Sand</x:v>
      </x:c>
      <x:c r="J728" t="str">
        <x:v>Medium</x:v>
      </x:c>
      <x:c r="K728" t="n">
        <x:v>70805020</x:v>
      </x:c>
      <x:c r="L728" t="n">
        <x:v>1274</x:v>
      </x:c>
      <x:c r="M728" t="n">
        <x:v>328.2</x:v>
      </x:c>
      <x:c r="N728" t="n">
        <x:v>21</x:v>
      </x:c>
      <x:c r="O728" t="n">
        <x:v>54.7</x:v>
      </x:c>
      <x:c r="P728" t="str">
        <x:v>Sunny</x:v>
      </x:c>
      <x:c r="Q728" t="n">
        <x:v>74</x:v>
      </x:c>
      <x:c r="R728" t="n">
        <x:v>83.9</x:v>
      </x:c>
      <x:c r="S728" t="n">
        <x:v>0.0983</x:v>
      </x:c>
      <x:c r="T728" t="n">
        <x:v>17</x:v>
      </x:c>
      <x:c r="U728" t="n">
        <x:v>1293.8</x:v>
      </x:c>
      <x:c r="V728" t="n">
        <x:v>2606</x:v>
      </x:c>
      <x:c r="W728" t="n">
        <x:v>46.9</x:v>
      </x:c>
    </x:row>
    <x:row r="729">
      <x:c r="A729" t="str">
        <x:v>PJT_728</x:v>
      </x:c>
      <x:c r="B729" t="str">
        <x:v>Mediterranean</x:v>
      </x:c>
      <x:c r="C729" t="n">
        <x:v>7100</x:v>
      </x:c>
      <x:c r="D729" t="n">
        <x:v>8</x:v>
      </x:c>
      <x:c r="E729" t="str">
        <x:v>Low</x:v>
      </x:c>
      <x:c r="F729" t="str">
        <x:v>Residential</x:v>
      </x:c>
      <x:c r="G729" t="str">
        <x:v>RC Frame</x:v>
      </x:c>
      <x:c r="H729" t="str">
        <x:v>Raft</x:v>
      </x:c>
      <x:c r="I729" t="str">
        <x:v>Sand</x:v>
      </x:c>
      <x:c r="J729" t="str">
        <x:v>Medium</x:v>
      </x:c>
      <x:c r="K729" t="n">
        <x:v>10138800</x:v>
      </x:c>
      <x:c r="L729" t="n">
        <x:v>207</x:v>
      </x:c>
      <x:c r="M729" t="n">
        <x:v>283.5</x:v>
      </x:c>
      <x:c r="N729" t="n">
        <x:v>20.8</x:v>
      </x:c>
      <x:c r="O729" t="n">
        <x:v>43.3</x:v>
      </x:c>
      <x:c r="P729" t="str">
        <x:v>Sunny</x:v>
      </x:c>
      <x:c r="Q729" t="n">
        <x:v>84</x:v>
      </x:c>
      <x:c r="R729" t="n">
        <x:v>62.3</x:v>
      </x:c>
      <x:c r="S729" t="n">
        <x:v>0.0714</x:v>
      </x:c>
      <x:c r="T729" t="n">
        <x:v>12.3</x:v>
      </x:c>
      <x:c r="U729" t="n">
        <x:v>887.5</x:v>
      </x:c>
      <x:c r="V729" t="n">
        <x:v>1428</x:v>
      </x:c>
      <x:c r="W729" t="n">
        <x:v>29.1</x:v>
      </x:c>
    </x:row>
    <x:row r="730">
      <x:c r="A730" t="str">
        <x:v>PJT_729</x:v>
      </x:c>
      <x:c r="B730" t="str">
        <x:v>Continental</x:v>
      </x:c>
      <x:c r="C730" t="n">
        <x:v>13420</x:v>
      </x:c>
      <x:c r="D730" t="n">
        <x:v>6</x:v>
      </x:c>
      <x:c r="E730" t="str">
        <x:v>Medium</x:v>
      </x:c>
      <x:c r="F730" t="str">
        <x:v>Hospital</x:v>
      </x:c>
      <x:c r="G730" t="str">
        <x:v>RC Frame</x:v>
      </x:c>
      <x:c r="H730" t="str">
        <x:v>Raft</x:v>
      </x:c>
      <x:c r="I730" t="str">
        <x:v>Mixed</x:v>
      </x:c>
      <x:c r="J730" t="str">
        <x:v>Low</x:v>
      </x:c>
      <x:c r="K730" t="n">
        <x:v>38649600</x:v>
      </x:c>
      <x:c r="L730" t="n">
        <x:v>585</x:v>
      </x:c>
      <x:c r="M730" t="n">
        <x:v>264.5</x:v>
      </x:c>
      <x:c r="N730" t="n">
        <x:v>11</x:v>
      </x:c>
      <x:c r="O730" t="n">
        <x:v>49.5</x:v>
      </x:c>
      <x:c r="P730" t="str">
        <x:v>Sunny</x:v>
      </x:c>
      <x:c r="Q730" t="n">
        <x:v>82</x:v>
      </x:c>
      <x:c r="R730" t="n">
        <x:v>82.6</x:v>
      </x:c>
      <x:c r="S730" t="n">
        <x:v>0.1016</x:v>
      </x:c>
      <x:c r="T730" t="n">
        <x:v>20.6</x:v>
      </x:c>
      <x:c r="U730" t="n">
        <x:v>2236.7</x:v>
      </x:c>
      <x:c r="V730" t="n">
        <x:v>2880</x:v>
      </x:c>
      <x:c r="W730" t="n">
        <x:v>43.6</x:v>
      </x:c>
    </x:row>
    <x:row r="731">
      <x:c r="A731" t="str">
        <x:v>PJT_730</x:v>
      </x:c>
      <x:c r="B731" t="str">
        <x:v>Humid Subtropical</x:v>
      </x:c>
      <x:c r="C731" t="n">
        <x:v>6460</x:v>
      </x:c>
      <x:c r="D731" t="n">
        <x:v>3</x:v>
      </x:c>
      <x:c r="E731" t="str">
        <x:v>Low</x:v>
      </x:c>
      <x:c r="F731" t="str">
        <x:v>School</x:v>
      </x:c>
      <x:c r="G731" t="str">
        <x:v>RC Frame</x:v>
      </x:c>
      <x:c r="H731" t="str">
        <x:v>Raft</x:v>
      </x:c>
      <x:c r="I731" t="str">
        <x:v>Mixed</x:v>
      </x:c>
      <x:c r="J731" t="str">
        <x:v>Low</x:v>
      </x:c>
      <x:c r="K731" t="n">
        <x:v>11001380</x:v>
      </x:c>
      <x:c r="L731" t="n">
        <x:v>186</x:v>
      </x:c>
      <x:c r="M731" t="n">
        <x:v>296.6</x:v>
      </x:c>
      <x:c r="N731" t="n">
        <x:v>28.6</x:v>
      </x:c>
      <x:c r="O731" t="n">
        <x:v>70.7</x:v>
      </x:c>
      <x:c r="P731" t="str">
        <x:v>Cloudy</x:v>
      </x:c>
      <x:c r="Q731" t="n">
        <x:v>72</x:v>
      </x:c>
      <x:c r="R731" t="n">
        <x:v>60.4</x:v>
      </x:c>
      <x:c r="S731" t="n">
        <x:v>0.0743</x:v>
      </x:c>
      <x:c r="T731" t="n">
        <x:v>13.3</x:v>
      </x:c>
      <x:c r="U731" t="n">
        <x:v>2153.3</x:v>
      </x:c>
      <x:c r="V731" t="n">
        <x:v>1703</x:v>
      </x:c>
      <x:c r="W731" t="n">
        <x:v>28.8</x:v>
      </x:c>
    </x:row>
    <x:row r="732">
      <x:c r="A732" t="str">
        <x:v>PJT_731</x:v>
      </x:c>
      <x:c r="B732" t="str">
        <x:v>Humid Subtropical</x:v>
      </x:c>
      <x:c r="C732" t="n">
        <x:v>14720</x:v>
      </x:c>
      <x:c r="D732" t="n">
        <x:v>8</x:v>
      </x:c>
      <x:c r="E732" t="str">
        <x:v>Medium</x:v>
      </x:c>
      <x:c r="F732" t="str">
        <x:v>Hospital</x:v>
      </x:c>
      <x:c r="G732" t="str">
        <x:v>Shear Wall</x:v>
      </x:c>
      <x:c r="H732" t="str">
        <x:v>Raft</x:v>
      </x:c>
      <x:c r="I732" t="str">
        <x:v>Mixed</x:v>
      </x:c>
      <x:c r="J732" t="str">
        <x:v>High</x:v>
      </x:c>
      <x:c r="K732" t="n">
        <x:v>46868480</x:v>
      </x:c>
      <x:c r="L732" t="n">
        <x:v>686</x:v>
      </x:c>
      <x:c r="M732" t="n">
        <x:v>362.6</x:v>
      </x:c>
      <x:c r="N732" t="n">
        <x:v>24.8</x:v>
      </x:c>
      <x:c r="O732" t="n">
        <x:v>64.5</x:v>
      </x:c>
      <x:c r="P732" t="str">
        <x:v>Cloudy</x:v>
      </x:c>
      <x:c r="Q732" t="n">
        <x:v>97</x:v>
      </x:c>
      <x:c r="R732" t="n">
        <x:v>76.1</x:v>
      </x:c>
      <x:c r="S732" t="n">
        <x:v>0.1079</x:v>
      </x:c>
      <x:c r="T732" t="n">
        <x:v>20.9</x:v>
      </x:c>
      <x:c r="U732" t="n">
        <x:v>1840</x:v>
      </x:c>
      <x:c r="V732" t="n">
        <x:v>3184</x:v>
      </x:c>
      <x:c r="W732" t="n">
        <x:v>46.6</x:v>
      </x:c>
    </x:row>
    <x:row r="733">
      <x:c r="A733" t="str">
        <x:v>PJT_732</x:v>
      </x:c>
      <x:c r="B733" t="str">
        <x:v>Humid Subtropical</x:v>
      </x:c>
      <x:c r="C733" t="n">
        <x:v>18540</x:v>
      </x:c>
      <x:c r="D733" t="n">
        <x:v>8</x:v>
      </x:c>
      <x:c r="E733" t="str">
        <x:v>Medium</x:v>
      </x:c>
      <x:c r="F733" t="str">
        <x:v>Hospital</x:v>
      </x:c>
      <x:c r="G733" t="str">
        <x:v>RC Frame</x:v>
      </x:c>
      <x:c r="H733" t="str">
        <x:v>Piles</x:v>
      </x:c>
      <x:c r="I733" t="str">
        <x:v>Soft Clay</x:v>
      </x:c>
      <x:c r="J733" t="str">
        <x:v>Low</x:v>
      </x:c>
      <x:c r="K733" t="n">
        <x:v>55582920</x:v>
      </x:c>
      <x:c r="L733" t="n">
        <x:v>901</x:v>
      </x:c>
      <x:c r="M733" t="n">
        <x:v>191.6</x:v>
      </x:c>
      <x:c r="N733" t="n">
        <x:v>31.3</x:v>
      </x:c>
      <x:c r="O733" t="n">
        <x:v>53.2</x:v>
      </x:c>
      <x:c r="P733" t="str">
        <x:v>Sunny</x:v>
      </x:c>
      <x:c r="Q733" t="n">
        <x:v>77</x:v>
      </x:c>
      <x:c r="R733" t="n">
        <x:v>80.4</x:v>
      </x:c>
      <x:c r="S733" t="n">
        <x:v>0.1052</x:v>
      </x:c>
      <x:c r="T733" t="n">
        <x:v>20.8</x:v>
      </x:c>
      <x:c r="U733" t="n">
        <x:v>2317.5</x:v>
      </x:c>
      <x:c r="V733" t="n">
        <x:v>2998</x:v>
      </x:c>
      <x:c r="W733" t="n">
        <x:v>48.6</x:v>
      </x:c>
    </x:row>
    <x:row r="734">
      <x:c r="A734" t="str">
        <x:v>PJT_733</x:v>
      </x:c>
      <x:c r="B734" t="str">
        <x:v>Continental</x:v>
      </x:c>
      <x:c r="C734" t="n">
        <x:v>24970</x:v>
      </x:c>
      <x:c r="D734" t="n">
        <x:v>12</x:v>
      </x:c>
      <x:c r="E734" t="str">
        <x:v>High</x:v>
      </x:c>
      <x:c r="F734" t="str">
        <x:v>Hospital</x:v>
      </x:c>
      <x:c r="G734" t="str">
        <x:v>Shear Wall</x:v>
      </x:c>
      <x:c r="H734" t="str">
        <x:v>Piles</x:v>
      </x:c>
      <x:c r="I734" t="str">
        <x:v>Mixed</x:v>
      </x:c>
      <x:c r="J734" t="str">
        <x:v>Medium</x:v>
      </x:c>
      <x:c r="K734" t="n">
        <x:v>82201240</x:v>
      </x:c>
      <x:c r="L734" t="n">
        <x:v>1406</x:v>
      </x:c>
      <x:c r="M734" t="n">
        <x:v>395.3</x:v>
      </x:c>
      <x:c r="N734" t="n">
        <x:v>8.8</x:v>
      </x:c>
      <x:c r="O734" t="n">
        <x:v>71.6</x:v>
      </x:c>
      <x:c r="P734" t="str">
        <x:v>Cloudy</x:v>
      </x:c>
      <x:c r="Q734" t="n">
        <x:v>92</x:v>
      </x:c>
      <x:c r="R734" t="n">
        <x:v>85.6</x:v>
      </x:c>
      <x:c r="S734" t="n">
        <x:v>0.1121</x:v>
      </x:c>
      <x:c r="T734" t="n">
        <x:v>23.1</x:v>
      </x:c>
      <x:c r="U734" t="n">
        <x:v>2080.8</x:v>
      </x:c>
      <x:c r="V734" t="n">
        <x:v>3292</x:v>
      </x:c>
      <x:c r="W734" t="n">
        <x:v>56.3</x:v>
      </x:c>
    </x:row>
    <x:row r="735">
      <x:c r="A735" t="str">
        <x:v>PJT_734</x:v>
      </x:c>
      <x:c r="B735" t="str">
        <x:v>Marine</x:v>
      </x:c>
      <x:c r="C735" t="n">
        <x:v>15680</x:v>
      </x:c>
      <x:c r="D735" t="n">
        <x:v>13</x:v>
      </x:c>
      <x:c r="E735" t="str">
        <x:v>Medium</x:v>
      </x:c>
      <x:c r="F735" t="str">
        <x:v>Residential</x:v>
      </x:c>
      <x:c r="G735" t="str">
        <x:v>RC Frame</x:v>
      </x:c>
      <x:c r="H735" t="str">
        <x:v>Piles</x:v>
      </x:c>
      <x:c r="I735" t="str">
        <x:v>Soft Clay</x:v>
      </x:c>
      <x:c r="J735" t="str">
        <x:v>Medium</x:v>
      </x:c>
      <x:c r="K735" t="n">
        <x:v>24256960</x:v>
      </x:c>
      <x:c r="L735" t="n">
        <x:v>622</x:v>
      </x:c>
      <x:c r="M735" t="n">
        <x:v>218.5</x:v>
      </x:c>
      <x:c r="N735" t="n">
        <x:v>15</x:v>
      </x:c>
      <x:c r="O735" t="n">
        <x:v>90.5</x:v>
      </x:c>
      <x:c r="P735" t="str">
        <x:v>Rainy</x:v>
      </x:c>
      <x:c r="Q735" t="n">
        <x:v>91</x:v>
      </x:c>
      <x:c r="R735" t="n">
        <x:v>68</x:v>
      </x:c>
      <x:c r="S735" t="n">
        <x:v>0.0811</x:v>
      </x:c>
      <x:c r="T735" t="n">
        <x:v>12.5</x:v>
      </x:c>
      <x:c r="U735" t="n">
        <x:v>1206.2</x:v>
      </x:c>
      <x:c r="V735" t="n">
        <x:v>1547</x:v>
      </x:c>
      <x:c r="W735" t="n">
        <x:v>39.7</x:v>
      </x:c>
    </x:row>
    <x:row r="736">
      <x:c r="A736" t="str">
        <x:v>PJT_735</x:v>
      </x:c>
      <x:c r="B736" t="str">
        <x:v>Humid Subtropical</x:v>
      </x:c>
      <x:c r="C736" t="n">
        <x:v>13120</x:v>
      </x:c>
      <x:c r="D736" t="n">
        <x:v>7</x:v>
      </x:c>
      <x:c r="E736" t="str">
        <x:v>Medium</x:v>
      </x:c>
      <x:c r="F736" t="str">
        <x:v>Commercial</x:v>
      </x:c>
      <x:c r="G736" t="str">
        <x:v>RC Frame</x:v>
      </x:c>
      <x:c r="H736" t="str">
        <x:v>Raft</x:v>
      </x:c>
      <x:c r="I736" t="str">
        <x:v>Mixed</x:v>
      </x:c>
      <x:c r="J736" t="str">
        <x:v>Low</x:v>
      </x:c>
      <x:c r="K736" t="n">
        <x:v>27447040</x:v>
      </x:c>
      <x:c r="L736" t="n">
        <x:v>563</x:v>
      </x:c>
      <x:c r="M736" t="n">
        <x:v>286.4</x:v>
      </x:c>
      <x:c r="N736" t="n">
        <x:v>25.9</x:v>
      </x:c>
      <x:c r="O736" t="n">
        <x:v>84.2</x:v>
      </x:c>
      <x:c r="P736" t="str">
        <x:v>Rainy</x:v>
      </x:c>
      <x:c r="Q736" t="n">
        <x:v>90</x:v>
      </x:c>
      <x:c r="R736" t="n">
        <x:v>74.9</x:v>
      </x:c>
      <x:c r="S736" t="n">
        <x:v>0.0921</x:v>
      </x:c>
      <x:c r="T736" t="n">
        <x:v>17.3</x:v>
      </x:c>
      <x:c r="U736" t="n">
        <x:v>1874.3</x:v>
      </x:c>
      <x:c r="V736" t="n">
        <x:v>2092</x:v>
      </x:c>
      <x:c r="W736" t="n">
        <x:v>42.9</x:v>
      </x:c>
    </x:row>
    <x:row r="737">
      <x:c r="A737" t="str">
        <x:v>PJT_736</x:v>
      </x:c>
      <x:c r="B737" t="str">
        <x:v>Humid Subtropical</x:v>
      </x:c>
      <x:c r="C737" t="n">
        <x:v>26030</x:v>
      </x:c>
      <x:c r="D737" t="n">
        <x:v>17</x:v>
      </x:c>
      <x:c r="E737" t="str">
        <x:v>Medium</x:v>
      </x:c>
      <x:c r="F737" t="str">
        <x:v>Commercial</x:v>
      </x:c>
      <x:c r="G737" t="str">
        <x:v>Steel</x:v>
      </x:c>
      <x:c r="H737" t="str">
        <x:v>Raft</x:v>
      </x:c>
      <x:c r="I737" t="str">
        <x:v>Rock</x:v>
      </x:c>
      <x:c r="J737" t="str">
        <x:v>Low</x:v>
      </x:c>
      <x:c r="K737" t="n">
        <x:v>63929680</x:v>
      </x:c>
      <x:c r="L737" t="n">
        <x:v>1109</x:v>
      </x:c>
      <x:c r="M737" t="n">
        <x:v>598.1</x:v>
      </x:c>
      <x:c r="N737" t="n">
        <x:v>26.4</x:v>
      </x:c>
      <x:c r="O737" t="n">
        <x:v>59.1</x:v>
      </x:c>
      <x:c r="P737" t="str">
        <x:v>Sunny</x:v>
      </x:c>
      <x:c r="Q737" t="n">
        <x:v>82</x:v>
      </x:c>
      <x:c r="R737" t="n">
        <x:v>84.3</x:v>
      </x:c>
      <x:c r="S737" t="n">
        <x:v>0.1005</x:v>
      </x:c>
      <x:c r="T737" t="n">
        <x:v>16.3</x:v>
      </x:c>
      <x:c r="U737" t="n">
        <x:v>1531.2</x:v>
      </x:c>
      <x:c r="V737" t="n">
        <x:v>2456</x:v>
      </x:c>
      <x:c r="W737" t="n">
        <x:v>42.6</x:v>
      </x:c>
    </x:row>
    <x:row r="738">
      <x:c r="A738" t="str">
        <x:v>PJT_737</x:v>
      </x:c>
      <x:c r="B738" t="str">
        <x:v>Marine</x:v>
      </x:c>
      <x:c r="C738" t="n">
        <x:v>12980</x:v>
      </x:c>
      <x:c r="D738" t="n">
        <x:v>25</x:v>
      </x:c>
      <x:c r="E738" t="str">
        <x:v>Medium</x:v>
      </x:c>
      <x:c r="F738" t="str">
        <x:v>Residential</x:v>
      </x:c>
      <x:c r="G738" t="str">
        <x:v>Shear Wall</x:v>
      </x:c>
      <x:c r="H738" t="str">
        <x:v>Piles</x:v>
      </x:c>
      <x:c r="I738" t="str">
        <x:v>Mixed</x:v>
      </x:c>
      <x:c r="J738" t="str">
        <x:v>Medium</x:v>
      </x:c>
      <x:c r="K738" t="n">
        <x:v>22740960</x:v>
      </x:c>
      <x:c r="L738" t="n">
        <x:v>526</x:v>
      </x:c>
      <x:c r="M738" t="n">
        <x:v>380.2</x:v>
      </x:c>
      <x:c r="N738" t="n">
        <x:v>19.8</x:v>
      </x:c>
      <x:c r="O738" t="n">
        <x:v>76.3</x:v>
      </x:c>
      <x:c r="P738" t="str">
        <x:v>Cloudy</x:v>
      </x:c>
      <x:c r="Q738" t="n">
        <x:v>57</x:v>
      </x:c>
      <x:c r="R738" t="n">
        <x:v>79.6</x:v>
      </x:c>
      <x:c r="S738" t="n">
        <x:v>0.0791</x:v>
      </x:c>
      <x:c r="T738" t="n">
        <x:v>12.6</x:v>
      </x:c>
      <x:c r="U738" t="n">
        <x:v>519.2</x:v>
      </x:c>
      <x:c r="V738" t="n">
        <x:v>1752</x:v>
      </x:c>
      <x:c r="W738" t="n">
        <x:v>40.5</x:v>
      </x:c>
    </x:row>
    <x:row r="739">
      <x:c r="A739" t="str">
        <x:v>PJT_738</x:v>
      </x:c>
      <x:c r="B739" t="str">
        <x:v>Humid Subtropical</x:v>
      </x:c>
      <x:c r="C739" t="n">
        <x:v>11480</x:v>
      </x:c>
      <x:c r="D739" t="n">
        <x:v>10</x:v>
      </x:c>
      <x:c r="E739" t="str">
        <x:v>Medium</x:v>
      </x:c>
      <x:c r="F739" t="str">
        <x:v>Residential</x:v>
      </x:c>
      <x:c r="G739" t="str">
        <x:v>RC Frame</x:v>
      </x:c>
      <x:c r="H739" t="str">
        <x:v>Raft</x:v>
      </x:c>
      <x:c r="I739" t="str">
        <x:v>Mixed</x:v>
      </x:c>
      <x:c r="J739" t="str">
        <x:v>Medium</x:v>
      </x:c>
      <x:c r="K739" t="n">
        <x:v>16714880</x:v>
      </x:c>
      <x:c r="L739" t="n">
        <x:v>400</x:v>
      </x:c>
      <x:c r="M739" t="n">
        <x:v>302</x:v>
      </x:c>
      <x:c r="N739" t="n">
        <x:v>25.7</x:v>
      </x:c>
      <x:c r="O739" t="n">
        <x:v>78.9</x:v>
      </x:c>
      <x:c r="P739" t="str">
        <x:v>Cloudy</x:v>
      </x:c>
      <x:c r="Q739" t="n">
        <x:v>73</x:v>
      </x:c>
      <x:c r="R739" t="n">
        <x:v>70.8</x:v>
      </x:c>
      <x:c r="S739" t="n">
        <x:v>0.0798</x:v>
      </x:c>
      <x:c r="T739" t="n">
        <x:v>12.5</x:v>
      </x:c>
      <x:c r="U739" t="n">
        <x:v>1148</x:v>
      </x:c>
      <x:c r="V739" t="n">
        <x:v>1456</x:v>
      </x:c>
      <x:c r="W739" t="n">
        <x:v>34.8</x:v>
      </x:c>
    </x:row>
    <x:row r="740">
      <x:c r="A740" t="str">
        <x:v>PJT_739</x:v>
      </x:c>
      <x:c r="B740" t="str">
        <x:v>Humid Subtropical</x:v>
      </x:c>
      <x:c r="C740" t="n">
        <x:v>12560</x:v>
      </x:c>
      <x:c r="D740" t="n">
        <x:v>13</x:v>
      </x:c>
      <x:c r="E740" t="str">
        <x:v>Low</x:v>
      </x:c>
      <x:c r="F740" t="str">
        <x:v>Residential</x:v>
      </x:c>
      <x:c r="G740" t="str">
        <x:v>RC Frame</x:v>
      </x:c>
      <x:c r="H740" t="str">
        <x:v>Piles</x:v>
      </x:c>
      <x:c r="I740" t="str">
        <x:v>Sand</x:v>
      </x:c>
      <x:c r="J740" t="str">
        <x:v>Medium</x:v>
      </x:c>
      <x:c r="K740" t="n">
        <x:v>17697040</x:v>
      </x:c>
      <x:c r="L740" t="n">
        <x:v>409</x:v>
      </x:c>
      <x:c r="M740" t="n">
        <x:v>342.9</x:v>
      </x:c>
      <x:c r="N740" t="n">
        <x:v>25.9</x:v>
      </x:c>
      <x:c r="O740" t="n">
        <x:v>81</x:v>
      </x:c>
      <x:c r="P740" t="str">
        <x:v>Cloudy</x:v>
      </x:c>
      <x:c r="Q740" t="n">
        <x:v>88</x:v>
      </x:c>
      <x:c r="R740" t="n">
        <x:v>64.3</x:v>
      </x:c>
      <x:c r="S740" t="n">
        <x:v>0.0731</x:v>
      </x:c>
      <x:c r="T740" t="n">
        <x:v>12</x:v>
      </x:c>
      <x:c r="U740" t="n">
        <x:v>966.2</x:v>
      </x:c>
      <x:c r="V740" t="n">
        <x:v>1409</x:v>
      </x:c>
      <x:c r="W740" t="n">
        <x:v>32.6</x:v>
      </x:c>
    </x:row>
    <x:row r="741">
      <x:c r="A741" t="str">
        <x:v>PJT_740</x:v>
      </x:c>
      <x:c r="B741" t="str">
        <x:v>Humid Subtropical</x:v>
      </x:c>
      <x:c r="C741" t="n">
        <x:v>16550</x:v>
      </x:c>
      <x:c r="D741" t="n">
        <x:v>20</x:v>
      </x:c>
      <x:c r="E741" t="str">
        <x:v>Medium</x:v>
      </x:c>
      <x:c r="F741" t="str">
        <x:v>Residential</x:v>
      </x:c>
      <x:c r="G741" t="str">
        <x:v>RC Frame</x:v>
      </x:c>
      <x:c r="H741" t="str">
        <x:v>Piles</x:v>
      </x:c>
      <x:c r="I741" t="str">
        <x:v>Rock</x:v>
      </x:c>
      <x:c r="J741" t="str">
        <x:v>Low</x:v>
      </x:c>
      <x:c r="K741" t="n">
        <x:v>26877200</x:v>
      </x:c>
      <x:c r="L741" t="n">
        <x:v>627</x:v>
      </x:c>
      <x:c r="M741" t="n">
        <x:v>783.4</x:v>
      </x:c>
      <x:c r="N741" t="n">
        <x:v>26.7</x:v>
      </x:c>
      <x:c r="O741" t="n">
        <x:v>78.1</x:v>
      </x:c>
      <x:c r="P741" t="str">
        <x:v>Cloudy</x:v>
      </x:c>
      <x:c r="Q741" t="n">
        <x:v>92</x:v>
      </x:c>
      <x:c r="R741" t="n">
        <x:v>74.6</x:v>
      </x:c>
      <x:c r="S741" t="n">
        <x:v>0.0762</x:v>
      </x:c>
      <x:c r="T741" t="n">
        <x:v>12.7</x:v>
      </x:c>
      <x:c r="U741" t="n">
        <x:v>827.5</x:v>
      </x:c>
      <x:c r="V741" t="n">
        <x:v>1624</x:v>
      </x:c>
      <x:c r="W741" t="n">
        <x:v>37.9</x:v>
      </x:c>
    </x:row>
    <x:row r="742">
      <x:c r="A742" t="str">
        <x:v>PJT_741</x:v>
      </x:c>
      <x:c r="B742" t="str">
        <x:v>Continental</x:v>
      </x:c>
      <x:c r="C742" t="n">
        <x:v>6850</x:v>
      </x:c>
      <x:c r="D742" t="n">
        <x:v>3</x:v>
      </x:c>
      <x:c r="E742" t="str">
        <x:v>Low</x:v>
      </x:c>
      <x:c r="F742" t="str">
        <x:v>School</x:v>
      </x:c>
      <x:c r="G742" t="str">
        <x:v>RC Frame</x:v>
      </x:c>
      <x:c r="H742" t="str">
        <x:v>Raft</x:v>
      </x:c>
      <x:c r="I742" t="str">
        <x:v>Mixed</x:v>
      </x:c>
      <x:c r="J742" t="str">
        <x:v>Low</x:v>
      </x:c>
      <x:c r="K742" t="n">
        <x:v>10364050</x:v>
      </x:c>
      <x:c r="L742" t="n">
        <x:v>227</x:v>
      </x:c>
      <x:c r="M742" t="n">
        <x:v>357.4</x:v>
      </x:c>
      <x:c r="N742" t="n">
        <x:v>-2.9</x:v>
      </x:c>
      <x:c r="O742" t="n">
        <x:v>59.8</x:v>
      </x:c>
      <x:c r="P742" t="str">
        <x:v>Snowy</x:v>
      </x:c>
      <x:c r="Q742" t="n">
        <x:v>74</x:v>
      </x:c>
      <x:c r="R742" t="n">
        <x:v>65.1</x:v>
      </x:c>
      <x:c r="S742" t="n">
        <x:v>0.078</x:v>
      </x:c>
      <x:c r="T742" t="n">
        <x:v>13.5</x:v>
      </x:c>
      <x:c r="U742" t="n">
        <x:v>2283.3</x:v>
      </x:c>
      <x:c r="V742" t="n">
        <x:v>1513</x:v>
      </x:c>
      <x:c r="W742" t="n">
        <x:v>33.2</x:v>
      </x:c>
    </x:row>
    <x:row r="743">
      <x:c r="A743" t="str">
        <x:v>PJT_742</x:v>
      </x:c>
      <x:c r="B743" t="str">
        <x:v>Humid Subtropical</x:v>
      </x:c>
      <x:c r="C743" t="n">
        <x:v>21000</x:v>
      </x:c>
      <x:c r="D743" t="n">
        <x:v>13</x:v>
      </x:c>
      <x:c r="E743" t="str">
        <x:v>Medium</x:v>
      </x:c>
      <x:c r="F743" t="str">
        <x:v>Commercial</x:v>
      </x:c>
      <x:c r="G743" t="str">
        <x:v>Steel</x:v>
      </x:c>
      <x:c r="H743" t="str">
        <x:v>Piles</x:v>
      </x:c>
      <x:c r="I743" t="str">
        <x:v>Mixed</x:v>
      </x:c>
      <x:c r="J743" t="str">
        <x:v>Low</x:v>
      </x:c>
      <x:c r="K743" t="n">
        <x:v>48867000</x:v>
      </x:c>
      <x:c r="L743" t="n">
        <x:v>1079</x:v>
      </x:c>
      <x:c r="M743" t="n">
        <x:v>352.4</x:v>
      </x:c>
      <x:c r="N743" t="n">
        <x:v>20.5</x:v>
      </x:c>
      <x:c r="O743" t="n">
        <x:v>92.2</x:v>
      </x:c>
      <x:c r="P743" t="str">
        <x:v>Stormy</x:v>
      </x:c>
      <x:c r="Q743" t="n">
        <x:v>89</x:v>
      </x:c>
      <x:c r="R743" t="n">
        <x:v>79.5</x:v>
      </x:c>
      <x:c r="S743" t="n">
        <x:v>0.0963</x:v>
      </x:c>
      <x:c r="T743" t="n">
        <x:v>17.2</x:v>
      </x:c>
      <x:c r="U743" t="n">
        <x:v>1615.4</x:v>
      </x:c>
      <x:c r="V743" t="n">
        <x:v>2327</x:v>
      </x:c>
      <x:c r="W743" t="n">
        <x:v>51.4</x:v>
      </x:c>
    </x:row>
    <x:row r="744">
      <x:c r="A744" t="str">
        <x:v>PJT_743</x:v>
      </x:c>
      <x:c r="B744" t="str">
        <x:v>Continental</x:v>
      </x:c>
      <x:c r="C744" t="n">
        <x:v>16980</x:v>
      </x:c>
      <x:c r="D744" t="n">
        <x:v>19</x:v>
      </x:c>
      <x:c r="E744" t="str">
        <x:v>Low</x:v>
      </x:c>
      <x:c r="F744" t="str">
        <x:v>Residential</x:v>
      </x:c>
      <x:c r="G744" t="str">
        <x:v>RC Frame</x:v>
      </x:c>
      <x:c r="H744" t="str">
        <x:v>Piles</x:v>
      </x:c>
      <x:c r="I744" t="str">
        <x:v>Mixed</x:v>
      </x:c>
      <x:c r="J744" t="str">
        <x:v>Low</x:v>
      </x:c>
      <x:c r="K744" t="n">
        <x:v>23755020</x:v>
      </x:c>
      <x:c r="L744" t="n">
        <x:v>588</x:v>
      </x:c>
      <x:c r="M744" t="n">
        <x:v>397.3</x:v>
      </x:c>
      <x:c r="N744" t="n">
        <x:v>26.2</x:v>
      </x:c>
      <x:c r="O744" t="n">
        <x:v>49.2</x:v>
      </x:c>
      <x:c r="P744" t="str">
        <x:v>Sunny</x:v>
      </x:c>
      <x:c r="Q744" t="n">
        <x:v>77</x:v>
      </x:c>
      <x:c r="R744" t="n">
        <x:v>70.8</x:v>
      </x:c>
      <x:c r="S744" t="n">
        <x:v>0.0752</x:v>
      </x:c>
      <x:c r="T744" t="n">
        <x:v>11.5</x:v>
      </x:c>
      <x:c r="U744" t="n">
        <x:v>893.7</x:v>
      </x:c>
      <x:c r="V744" t="n">
        <x:v>1399</x:v>
      </x:c>
      <x:c r="W744" t="n">
        <x:v>34.6</x:v>
      </x:c>
    </x:row>
    <x:row r="745">
      <x:c r="A745" t="str">
        <x:v>PJT_744</x:v>
      </x:c>
      <x:c r="B745" t="str">
        <x:v>Humid Subtropical</x:v>
      </x:c>
      <x:c r="C745" t="n">
        <x:v>11520</x:v>
      </x:c>
      <x:c r="D745" t="n">
        <x:v>12</x:v>
      </x:c>
      <x:c r="E745" t="str">
        <x:v>Medium</x:v>
      </x:c>
      <x:c r="F745" t="str">
        <x:v>Residential</x:v>
      </x:c>
      <x:c r="G745" t="str">
        <x:v>Shear Wall</x:v>
      </x:c>
      <x:c r="H745" t="str">
        <x:v>Raft</x:v>
      </x:c>
      <x:c r="I745" t="str">
        <x:v>Mixed</x:v>
      </x:c>
      <x:c r="J745" t="str">
        <x:v>High</x:v>
      </x:c>
      <x:c r="K745" t="n">
        <x:v>19434240</x:v>
      </x:c>
      <x:c r="L745" t="n">
        <x:v>465</x:v>
      </x:c>
      <x:c r="M745" t="n">
        <x:v>263.5</x:v>
      </x:c>
      <x:c r="N745" t="n">
        <x:v>22.3</x:v>
      </x:c>
      <x:c r="O745" t="n">
        <x:v>75.2</x:v>
      </x:c>
      <x:c r="P745" t="str">
        <x:v>Rainy</x:v>
      </x:c>
      <x:c r="Q745" t="n">
        <x:v>103</x:v>
      </x:c>
      <x:c r="R745" t="n">
        <x:v>71.7</x:v>
      </x:c>
      <x:c r="S745" t="n">
        <x:v>0.0849</x:v>
      </x:c>
      <x:c r="T745" t="n">
        <x:v>13.5</x:v>
      </x:c>
      <x:c r="U745" t="n">
        <x:v>960</x:v>
      </x:c>
      <x:c r="V745" t="n">
        <x:v>1687</x:v>
      </x:c>
      <x:c r="W745" t="n">
        <x:v>40.4</x:v>
      </x:c>
    </x:row>
    <x:row r="746">
      <x:c r="A746" t="str">
        <x:v>PJT_745</x:v>
      </x:c>
      <x:c r="B746" t="str">
        <x:v>Continental</x:v>
      </x:c>
      <x:c r="C746" t="n">
        <x:v>15080</x:v>
      </x:c>
      <x:c r="D746" t="n">
        <x:v>14</x:v>
      </x:c>
      <x:c r="E746" t="str">
        <x:v>Medium</x:v>
      </x:c>
      <x:c r="F746" t="str">
        <x:v>Residential</x:v>
      </x:c>
      <x:c r="G746" t="str">
        <x:v>Shear Wall</x:v>
      </x:c>
      <x:c r="H746" t="str">
        <x:v>Piles</x:v>
      </x:c>
      <x:c r="I746" t="str">
        <x:v>Sand</x:v>
      </x:c>
      <x:c r="J746" t="str">
        <x:v>High</x:v>
      </x:c>
      <x:c r="K746" t="n">
        <x:v>26088400</x:v>
      </x:c>
      <x:c r="L746" t="n">
        <x:v>664</x:v>
      </x:c>
      <x:c r="M746" t="n">
        <x:v>323.9</x:v>
      </x:c>
      <x:c r="N746" t="n">
        <x:v>-6.3</x:v>
      </x:c>
      <x:c r="O746" t="n">
        <x:v>79.5</x:v>
      </x:c>
      <x:c r="P746" t="str">
        <x:v>Snowy</x:v>
      </x:c>
      <x:c r="Q746" t="n">
        <x:v>79</x:v>
      </x:c>
      <x:c r="R746" t="n">
        <x:v>67.8</x:v>
      </x:c>
      <x:c r="S746" t="n">
        <x:v>0.0844</x:v>
      </x:c>
      <x:c r="T746" t="n">
        <x:v>12.8</x:v>
      </x:c>
      <x:c r="U746" t="n">
        <x:v>1077.1</x:v>
      </x:c>
      <x:c r="V746" t="n">
        <x:v>1730</x:v>
      </x:c>
      <x:c r="W746" t="n">
        <x:v>44</x:v>
      </x:c>
    </x:row>
    <x:row r="747">
      <x:c r="A747" t="str">
        <x:v>PJT_746</x:v>
      </x:c>
      <x:c r="B747" t="str">
        <x:v>Humid Subtropical</x:v>
      </x:c>
      <x:c r="C747" t="n">
        <x:v>25900</x:v>
      </x:c>
      <x:c r="D747" t="n">
        <x:v>21</x:v>
      </x:c>
      <x:c r="E747" t="str">
        <x:v>High</x:v>
      </x:c>
      <x:c r="F747" t="str">
        <x:v>Mixed-use</x:v>
      </x:c>
      <x:c r="G747" t="str">
        <x:v>Steel</x:v>
      </x:c>
      <x:c r="H747" t="str">
        <x:v>Piles</x:v>
      </x:c>
      <x:c r="I747" t="str">
        <x:v>Rock</x:v>
      </x:c>
      <x:c r="J747" t="str">
        <x:v>High</x:v>
      </x:c>
      <x:c r="K747" t="n">
        <x:v>76456800</x:v>
      </x:c>
      <x:c r="L747" t="n">
        <x:v>1494</x:v>
      </x:c>
      <x:c r="M747" t="n">
        <x:v>669.6</x:v>
      </x:c>
      <x:c r="N747" t="n">
        <x:v>28.3</x:v>
      </x:c>
      <x:c r="O747" t="n">
        <x:v>90.4</x:v>
      </x:c>
      <x:c r="P747" t="str">
        <x:v>Stormy</x:v>
      </x:c>
      <x:c r="Q747" t="n">
        <x:v>96</x:v>
      </x:c>
      <x:c r="R747" t="n">
        <x:v>83.6</x:v>
      </x:c>
      <x:c r="S747" t="n">
        <x:v>0.1098</x:v>
      </x:c>
      <x:c r="T747" t="n">
        <x:v>20.6</x:v>
      </x:c>
      <x:c r="U747" t="n">
        <x:v>1233.3</x:v>
      </x:c>
      <x:c r="V747" t="n">
        <x:v>2952</x:v>
      </x:c>
      <x:c r="W747" t="n">
        <x:v>57.7</x:v>
      </x:c>
    </x:row>
    <x:row r="748">
      <x:c r="A748" t="str">
        <x:v>PJT_747</x:v>
      </x:c>
      <x:c r="B748" t="str">
        <x:v>Marine</x:v>
      </x:c>
      <x:c r="C748" t="n">
        <x:v>15880</x:v>
      </x:c>
      <x:c r="D748" t="n">
        <x:v>9</x:v>
      </x:c>
      <x:c r="E748" t="str">
        <x:v>Medium</x:v>
      </x:c>
      <x:c r="F748" t="str">
        <x:v>Hospital</x:v>
      </x:c>
      <x:c r="G748" t="str">
        <x:v>Steel</x:v>
      </x:c>
      <x:c r="H748" t="str">
        <x:v>Raft</x:v>
      </x:c>
      <x:c r="I748" t="str">
        <x:v>Mixed</x:v>
      </x:c>
      <x:c r="J748" t="str">
        <x:v>Medium</x:v>
      </x:c>
      <x:c r="K748" t="n">
        <x:v>50927160</x:v>
      </x:c>
      <x:c r="L748" t="n">
        <x:v>756</x:v>
      </x:c>
      <x:c r="M748" t="n">
        <x:v>273.1</x:v>
      </x:c>
      <x:c r="N748" t="n">
        <x:v>8</x:v>
      </x:c>
      <x:c r="O748" t="n">
        <x:v>62.7</x:v>
      </x:c>
      <x:c r="P748" t="str">
        <x:v>Cloudy</x:v>
      </x:c>
      <x:c r="Q748" t="n">
        <x:v>77</x:v>
      </x:c>
      <x:c r="R748" t="n">
        <x:v>83.4</x:v>
      </x:c>
      <x:c r="S748" t="n">
        <x:v>0.1074</x:v>
      </x:c>
      <x:c r="T748" t="n">
        <x:v>21</x:v>
      </x:c>
      <x:c r="U748" t="n">
        <x:v>1764.4</x:v>
      </x:c>
      <x:c r="V748" t="n">
        <x:v>3207</x:v>
      </x:c>
      <x:c r="W748" t="n">
        <x:v>47.6</x:v>
      </x:c>
    </x:row>
    <x:row r="749">
      <x:c r="A749" t="str">
        <x:v>PJT_748</x:v>
      </x:c>
      <x:c r="B749" t="str">
        <x:v>Marine</x:v>
      </x:c>
      <x:c r="C749" t="n">
        <x:v>28200</x:v>
      </x:c>
      <x:c r="D749" t="n">
        <x:v>20</x:v>
      </x:c>
      <x:c r="E749" t="str">
        <x:v>High</x:v>
      </x:c>
      <x:c r="F749" t="str">
        <x:v>Commercial</x:v>
      </x:c>
      <x:c r="G749" t="str">
        <x:v>Steel</x:v>
      </x:c>
      <x:c r="H749" t="str">
        <x:v>Piles</x:v>
      </x:c>
      <x:c r="I749" t="str">
        <x:v>Sand</x:v>
      </x:c>
      <x:c r="J749" t="str">
        <x:v>Medium</x:v>
      </x:c>
      <x:c r="K749" t="n">
        <x:v>79016400</x:v>
      </x:c>
      <x:c r="L749" t="n">
        <x:v>1393</x:v>
      </x:c>
      <x:c r="M749" t="n">
        <x:v>360</x:v>
      </x:c>
      <x:c r="N749" t="n">
        <x:v>21.6</x:v>
      </x:c>
      <x:c r="O749" t="n">
        <x:v>58.6</x:v>
      </x:c>
      <x:c r="P749" t="str">
        <x:v>Sunny</x:v>
      </x:c>
      <x:c r="Q749" t="n">
        <x:v>98</x:v>
      </x:c>
      <x:c r="R749" t="n">
        <x:v>81.3</x:v>
      </x:c>
      <x:c r="S749" t="n">
        <x:v>0.1059</x:v>
      </x:c>
      <x:c r="T749" t="n">
        <x:v>19.8</x:v>
      </x:c>
      <x:c r="U749" t="n">
        <x:v>1410</x:v>
      </x:c>
      <x:c r="V749" t="n">
        <x:v>2802</x:v>
      </x:c>
      <x:c r="W749" t="n">
        <x:v>49.4</x:v>
      </x:c>
    </x:row>
    <x:row r="750">
      <x:c r="A750" t="str">
        <x:v>PJT_749</x:v>
      </x:c>
      <x:c r="B750" t="str">
        <x:v>Marine</x:v>
      </x:c>
      <x:c r="C750" t="n">
        <x:v>20690</x:v>
      </x:c>
      <x:c r="D750" t="n">
        <x:v>10</x:v>
      </x:c>
      <x:c r="E750" t="str">
        <x:v>Medium</x:v>
      </x:c>
      <x:c r="F750" t="str">
        <x:v>Hospital</x:v>
      </x:c>
      <x:c r="G750" t="str">
        <x:v>Shear Wall</x:v>
      </x:c>
      <x:c r="H750" t="str">
        <x:v>Piles</x:v>
      </x:c>
      <x:c r="I750" t="str">
        <x:v>Soft Clay</x:v>
      </x:c>
      <x:c r="J750" t="str">
        <x:v>Medium</x:v>
      </x:c>
      <x:c r="K750" t="n">
        <x:v>66435590</x:v>
      </x:c>
      <x:c r="L750" t="n">
        <x:v>1165</x:v>
      </x:c>
      <x:c r="M750" t="n">
        <x:v>186.9</x:v>
      </x:c>
      <x:c r="N750" t="n">
        <x:v>7.9</x:v>
      </x:c>
      <x:c r="O750" t="n">
        <x:v>93.6</x:v>
      </x:c>
      <x:c r="P750" t="str">
        <x:v>Stormy</x:v>
      </x:c>
      <x:c r="Q750" t="n">
        <x:v>92</x:v>
      </x:c>
      <x:c r="R750" t="n">
        <x:v>81.2</x:v>
      </x:c>
      <x:c r="S750" t="n">
        <x:v>0.1059</x:v>
      </x:c>
      <x:c r="T750" t="n">
        <x:v>21.8</x:v>
      </x:c>
      <x:c r="U750" t="n">
        <x:v>2069</x:v>
      </x:c>
      <x:c r="V750" t="n">
        <x:v>3211</x:v>
      </x:c>
      <x:c r="W750" t="n">
        <x:v>56.3</x:v>
      </x:c>
    </x:row>
    <x:row r="751">
      <x:c r="A751" t="str">
        <x:v>PJT_750</x:v>
      </x:c>
      <x:c r="B751" t="str">
        <x:v>Humid Subtropical</x:v>
      </x:c>
      <x:c r="C751" t="n">
        <x:v>18120</x:v>
      </x:c>
      <x:c r="D751" t="n">
        <x:v>14</x:v>
      </x:c>
      <x:c r="E751" t="str">
        <x:v>Medium</x:v>
      </x:c>
      <x:c r="F751" t="str">
        <x:v>Commercial</x:v>
      </x:c>
      <x:c r="G751" t="str">
        <x:v>Steel</x:v>
      </x:c>
      <x:c r="H751" t="str">
        <x:v>Raft</x:v>
      </x:c>
      <x:c r="I751" t="str">
        <x:v>Rock</x:v>
      </x:c>
      <x:c r="J751" t="str">
        <x:v>Low</x:v>
      </x:c>
      <x:c r="K751" t="n">
        <x:v>41639760</x:v>
      </x:c>
      <x:c r="L751" t="n">
        <x:v>834</x:v>
      </x:c>
      <x:c r="M751" t="n">
        <x:v>591.2</x:v>
      </x:c>
      <x:c r="N751" t="n">
        <x:v>20.8</x:v>
      </x:c>
      <x:c r="O751" t="n">
        <x:v>81.2</x:v>
      </x:c>
      <x:c r="P751" t="str">
        <x:v>Rainy</x:v>
      </x:c>
      <x:c r="Q751" t="n">
        <x:v>110</x:v>
      </x:c>
      <x:c r="R751" t="n">
        <x:v>79.9</x:v>
      </x:c>
      <x:c r="S751" t="n">
        <x:v>0.0993</x:v>
      </x:c>
      <x:c r="T751" t="n">
        <x:v>16.3</x:v>
      </x:c>
      <x:c r="U751" t="n">
        <x:v>1294.3</x:v>
      </x:c>
      <x:c r="V751" t="n">
        <x:v>2298</x:v>
      </x:c>
      <x:c r="W751" t="n">
        <x:v>46</x:v>
      </x:c>
    </x:row>
    <x:row r="752">
      <x:c r="A752" t="str">
        <x:v>PJT_751</x:v>
      </x:c>
      <x:c r="B752" t="str">
        <x:v>Humid Subtropical</x:v>
      </x:c>
      <x:c r="C752" t="n">
        <x:v>16370</x:v>
      </x:c>
      <x:c r="D752" t="n">
        <x:v>14</x:v>
      </x:c>
      <x:c r="E752" t="str">
        <x:v>Medium</x:v>
      </x:c>
      <x:c r="F752" t="str">
        <x:v>Mixed-use</x:v>
      </x:c>
      <x:c r="G752" t="str">
        <x:v>Steel</x:v>
      </x:c>
      <x:c r="H752" t="str">
        <x:v>Piles</x:v>
      </x:c>
      <x:c r="I752" t="str">
        <x:v>Soft Clay</x:v>
      </x:c>
      <x:c r="J752" t="str">
        <x:v>High</x:v>
      </x:c>
      <x:c r="K752" t="n">
        <x:v>44379070</x:v>
      </x:c>
      <x:c r="L752" t="n">
        <x:v>910</x:v>
      </x:c>
      <x:c r="M752" t="n">
        <x:v>213.1</x:v>
      </x:c>
      <x:c r="N752" t="n">
        <x:v>25.5</x:v>
      </x:c>
      <x:c r="O752" t="n">
        <x:v>83.1</x:v>
      </x:c>
      <x:c r="P752" t="str">
        <x:v>Stormy</x:v>
      </x:c>
      <x:c r="Q752" t="n">
        <x:v>89</x:v>
      </x:c>
      <x:c r="R752" t="n">
        <x:v>85.3</x:v>
      </x:c>
      <x:c r="S752" t="n">
        <x:v>0.1005</x:v>
      </x:c>
      <x:c r="T752" t="n">
        <x:v>19</x:v>
      </x:c>
      <x:c r="U752" t="n">
        <x:v>1169.3</x:v>
      </x:c>
      <x:c r="V752" t="n">
        <x:v>2711</x:v>
      </x:c>
      <x:c r="W752" t="n">
        <x:v>55.6</x:v>
      </x:c>
    </x:row>
    <x:row r="753">
      <x:c r="A753" t="str">
        <x:v>PJT_752</x:v>
      </x:c>
      <x:c r="B753" t="str">
        <x:v>Humid Subtropical</x:v>
      </x:c>
      <x:c r="C753" t="n">
        <x:v>16900</x:v>
      </x:c>
      <x:c r="D753" t="n">
        <x:v>15</x:v>
      </x:c>
      <x:c r="E753" t="str">
        <x:v>Medium</x:v>
      </x:c>
      <x:c r="F753" t="str">
        <x:v>Mixed-use</x:v>
      </x:c>
      <x:c r="G753" t="str">
        <x:v>Shear Wall</x:v>
      </x:c>
      <x:c r="H753" t="str">
        <x:v>Piles</x:v>
      </x:c>
      <x:c r="I753" t="str">
        <x:v>Mixed</x:v>
      </x:c>
      <x:c r="J753" t="str">
        <x:v>Medium</x:v>
      </x:c>
      <x:c r="K753" t="n">
        <x:v>42892200</x:v>
      </x:c>
      <x:c r="L753" t="n">
        <x:v>813</x:v>
      </x:c>
      <x:c r="M753" t="n">
        <x:v>317.5</x:v>
      </x:c>
      <x:c r="N753" t="n">
        <x:v>33.7</x:v>
      </x:c>
      <x:c r="O753" t="n">
        <x:v>53.9</x:v>
      </x:c>
      <x:c r="P753" t="str">
        <x:v>Sunny</x:v>
      </x:c>
      <x:c r="Q753" t="n">
        <x:v>76</x:v>
      </x:c>
      <x:c r="R753" t="n">
        <x:v>80.5</x:v>
      </x:c>
      <x:c r="S753" t="n">
        <x:v>0.0986</x:v>
      </x:c>
      <x:c r="T753" t="n">
        <x:v>18</x:v>
      </x:c>
      <x:c r="U753" t="n">
        <x:v>1126.7</x:v>
      </x:c>
      <x:c r="V753" t="n">
        <x:v>2538</x:v>
      </x:c>
      <x:c r="W753" t="n">
        <x:v>48.1</x:v>
      </x:c>
    </x:row>
    <x:row r="754">
      <x:c r="A754" t="str">
        <x:v>PJT_753</x:v>
      </x:c>
      <x:c r="B754" t="str">
        <x:v>Continental</x:v>
      </x:c>
      <x:c r="C754" t="n">
        <x:v>19280</x:v>
      </x:c>
      <x:c r="D754" t="n">
        <x:v>14</x:v>
      </x:c>
      <x:c r="E754" t="str">
        <x:v>Medium</x:v>
      </x:c>
      <x:c r="F754" t="str">
        <x:v>Commercial</x:v>
      </x:c>
      <x:c r="G754" t="str">
        <x:v>Steel</x:v>
      </x:c>
      <x:c r="H754" t="str">
        <x:v>Raft</x:v>
      </x:c>
      <x:c r="I754" t="str">
        <x:v>Rock</x:v>
      </x:c>
      <x:c r="J754" t="str">
        <x:v>Medium</x:v>
      </x:c>
      <x:c r="K754" t="n">
        <x:v>44536800</x:v>
      </x:c>
      <x:c r="L754" t="n">
        <x:v>817</x:v>
      </x:c>
      <x:c r="M754" t="n">
        <x:v>609.2</x:v>
      </x:c>
      <x:c r="N754" t="n">
        <x:v>4.6</x:v>
      </x:c>
      <x:c r="O754" t="n">
        <x:v>64.8</x:v>
      </x:c>
      <x:c r="P754" t="str">
        <x:v>Cloudy</x:v>
      </x:c>
      <x:c r="Q754" t="n">
        <x:v>73</x:v>
      </x:c>
      <x:c r="R754" t="n">
        <x:v>79.3</x:v>
      </x:c>
      <x:c r="S754" t="n">
        <x:v>0.0969</x:v>
      </x:c>
      <x:c r="T754" t="n">
        <x:v>17.3</x:v>
      </x:c>
      <x:c r="U754" t="n">
        <x:v>1377.1</x:v>
      </x:c>
      <x:c r="V754" t="n">
        <x:v>2310</x:v>
      </x:c>
      <x:c r="W754" t="n">
        <x:v>42.4</x:v>
      </x:c>
    </x:row>
    <x:row r="755">
      <x:c r="A755" t="str">
        <x:v>PJT_754</x:v>
      </x:c>
      <x:c r="B755" t="str">
        <x:v>Continental</x:v>
      </x:c>
      <x:c r="C755" t="n">
        <x:v>7060</x:v>
      </x:c>
      <x:c r="D755" t="n">
        <x:v>3</x:v>
      </x:c>
      <x:c r="E755" t="str">
        <x:v>Low</x:v>
      </x:c>
      <x:c r="F755" t="str">
        <x:v>School</x:v>
      </x:c>
      <x:c r="G755" t="str">
        <x:v>RC Frame</x:v>
      </x:c>
      <x:c r="H755" t="str">
        <x:v>Raft</x:v>
      </x:c>
      <x:c r="I755" t="str">
        <x:v>Mixed</x:v>
      </x:c>
      <x:c r="J755" t="str">
        <x:v>Medium</x:v>
      </x:c>
      <x:c r="K755" t="n">
        <x:v>11536040</x:v>
      </x:c>
      <x:c r="L755" t="n">
        <x:v>215</x:v>
      </x:c>
      <x:c r="M755" t="n">
        <x:v>268.5</x:v>
      </x:c>
      <x:c r="N755" t="n">
        <x:v>-7.3</x:v>
      </x:c>
      <x:c r="O755" t="n">
        <x:v>78.7</x:v>
      </x:c>
      <x:c r="P755" t="str">
        <x:v>Snowy</x:v>
      </x:c>
      <x:c r="Q755" t="n">
        <x:v>60</x:v>
      </x:c>
      <x:c r="R755" t="n">
        <x:v>64.6</x:v>
      </x:c>
      <x:c r="S755" t="n">
        <x:v>0.0741</x:v>
      </x:c>
      <x:c r="T755" t="n">
        <x:v>12.9</x:v>
      </x:c>
      <x:c r="U755" t="n">
        <x:v>2353.3</x:v>
      </x:c>
      <x:c r="V755" t="n">
        <x:v>1634</x:v>
      </x:c>
      <x:c r="W755" t="n">
        <x:v>30.5</x:v>
      </x:c>
    </x:row>
    <x:row r="756">
      <x:c r="A756" t="str">
        <x:v>PJT_755</x:v>
      </x:c>
      <x:c r="B756" t="str">
        <x:v>Continental</x:v>
      </x:c>
      <x:c r="C756" t="n">
        <x:v>17630</x:v>
      </x:c>
      <x:c r="D756" t="n">
        <x:v>19</x:v>
      </x:c>
      <x:c r="E756" t="str">
        <x:v>Medium</x:v>
      </x:c>
      <x:c r="F756" t="str">
        <x:v>Residential</x:v>
      </x:c>
      <x:c r="G756" t="str">
        <x:v>Shear Wall</x:v>
      </x:c>
      <x:c r="H756" t="str">
        <x:v>Piles</x:v>
      </x:c>
      <x:c r="I756" t="str">
        <x:v>Mixed</x:v>
      </x:c>
      <x:c r="J756" t="str">
        <x:v>Medium</x:v>
      </x:c>
      <x:c r="K756" t="n">
        <x:v>29036610</x:v>
      </x:c>
      <x:c r="L756" t="n">
        <x:v>776</x:v>
      </x:c>
      <x:c r="M756" t="n">
        <x:v>426.5</x:v>
      </x:c>
      <x:c r="N756" t="n">
        <x:v>-9.6</x:v>
      </x:c>
      <x:c r="O756" t="n">
        <x:v>63.5</x:v>
      </x:c>
      <x:c r="P756" t="str">
        <x:v>Snowy</x:v>
      </x:c>
      <x:c r="Q756" t="n">
        <x:v>65</x:v>
      </x:c>
      <x:c r="R756" t="n">
        <x:v>79.5</x:v>
      </x:c>
      <x:c r="S756" t="n">
        <x:v>0.0802</x:v>
      </x:c>
      <x:c r="T756" t="n">
        <x:v>13.5</x:v>
      </x:c>
      <x:c r="U756" t="n">
        <x:v>927.9</x:v>
      </x:c>
      <x:c r="V756" t="n">
        <x:v>1647</x:v>
      </x:c>
      <x:c r="W756" t="n">
        <x:v>44</x:v>
      </x:c>
    </x:row>
    <x:row r="757">
      <x:c r="A757" t="str">
        <x:v>PJT_756</x:v>
      </x:c>
      <x:c r="B757" t="str">
        <x:v>Continental</x:v>
      </x:c>
      <x:c r="C757" t="n">
        <x:v>24520</x:v>
      </x:c>
      <x:c r="D757" t="n">
        <x:v>10</x:v>
      </x:c>
      <x:c r="E757" t="str">
        <x:v>Medium</x:v>
      </x:c>
      <x:c r="F757" t="str">
        <x:v>Hospital</x:v>
      </x:c>
      <x:c r="G757" t="str">
        <x:v>Steel</x:v>
      </x:c>
      <x:c r="H757" t="str">
        <x:v>Piles</x:v>
      </x:c>
      <x:c r="I757" t="str">
        <x:v>Mixed</x:v>
      </x:c>
      <x:c r="J757" t="str">
        <x:v>Low</x:v>
      </x:c>
      <x:c r="K757" t="n">
        <x:v>78954400</x:v>
      </x:c>
      <x:c r="L757" t="n">
        <x:v>1383</x:v>
      </x:c>
      <x:c r="M757" t="n">
        <x:v>420.4</x:v>
      </x:c>
      <x:c r="N757" t="n">
        <x:v>18.1</x:v>
      </x:c>
      <x:c r="O757" t="n">
        <x:v>89.5</x:v>
      </x:c>
      <x:c r="P757" t="str">
        <x:v>Stormy</x:v>
      </x:c>
      <x:c r="Q757" t="n">
        <x:v>86</x:v>
      </x:c>
      <x:c r="R757" t="n">
        <x:v>86.2</x:v>
      </x:c>
      <x:c r="S757" t="n">
        <x:v>0.1093</x:v>
      </x:c>
      <x:c r="T757" t="n">
        <x:v>20.5</x:v>
      </x:c>
      <x:c r="U757" t="n">
        <x:v>2452</x:v>
      </x:c>
      <x:c r="V757" t="n">
        <x:v>3220</x:v>
      </x:c>
      <x:c r="W757" t="n">
        <x:v>56.4</x:v>
      </x:c>
    </x:row>
    <x:row r="758">
      <x:c r="A758" t="str">
        <x:v>PJT_757</x:v>
      </x:c>
      <x:c r="B758" t="str">
        <x:v>Continental</x:v>
      </x:c>
      <x:c r="C758" t="n">
        <x:v>10350</x:v>
      </x:c>
      <x:c r="D758" t="n">
        <x:v>16</x:v>
      </x:c>
      <x:c r="E758" t="str">
        <x:v>Medium</x:v>
      </x:c>
      <x:c r="F758" t="str">
        <x:v>Residential</x:v>
      </x:c>
      <x:c r="G758" t="str">
        <x:v>Shear Wall</x:v>
      </x:c>
      <x:c r="H758" t="str">
        <x:v>Raft</x:v>
      </x:c>
      <x:c r="I758" t="str">
        <x:v>Rock</x:v>
      </x:c>
      <x:c r="J758" t="str">
        <x:v>Medium</x:v>
      </x:c>
      <x:c r="K758" t="n">
        <x:v>16653150</x:v>
      </x:c>
      <x:c r="L758" t="n">
        <x:v>425</x:v>
      </x:c>
      <x:c r="M758" t="n">
        <x:v>723.8</x:v>
      </x:c>
      <x:c r="N758" t="n">
        <x:v>11.1</x:v>
      </x:c>
      <x:c r="O758" t="n">
        <x:v>72.7</x:v>
      </x:c>
      <x:c r="P758" t="str">
        <x:v>Stormy</x:v>
      </x:c>
      <x:c r="Q758" t="n">
        <x:v>87</x:v>
      </x:c>
      <x:c r="R758" t="n">
        <x:v>71.3</x:v>
      </x:c>
      <x:c r="S758" t="n">
        <x:v>0.0794</x:v>
      </x:c>
      <x:c r="T758" t="n">
        <x:v>14.4</x:v>
      </x:c>
      <x:c r="U758" t="n">
        <x:v>646.9</x:v>
      </x:c>
      <x:c r="V758" t="n">
        <x:v>1609</x:v>
      </x:c>
      <x:c r="W758" t="n">
        <x:v>41.1</x:v>
      </x:c>
    </x:row>
    <x:row r="759">
      <x:c r="A759" t="str">
        <x:v>PJT_758</x:v>
      </x:c>
      <x:c r="B759" t="str">
        <x:v>Humid Subtropical</x:v>
      </x:c>
      <x:c r="C759" t="n">
        <x:v>19690</x:v>
      </x:c>
      <x:c r="D759" t="n">
        <x:v>10</x:v>
      </x:c>
      <x:c r="E759" t="str">
        <x:v>Medium</x:v>
      </x:c>
      <x:c r="F759" t="str">
        <x:v>Hospital</x:v>
      </x:c>
      <x:c r="G759" t="str">
        <x:v>Shear Wall</x:v>
      </x:c>
      <x:c r="H759" t="str">
        <x:v>Piles</x:v>
      </x:c>
      <x:c r="I759" t="str">
        <x:v>Soft Clay</x:v>
      </x:c>
      <x:c r="J759" t="str">
        <x:v>High</x:v>
      </x:c>
      <x:c r="K759" t="n">
        <x:v>65823670</x:v>
      </x:c>
      <x:c r="L759" t="n">
        <x:v>996</x:v>
      </x:c>
      <x:c r="M759" t="n">
        <x:v>174.8</x:v>
      </x:c>
      <x:c r="N759" t="n">
        <x:v>26.6</x:v>
      </x:c>
      <x:c r="O759" t="n">
        <x:v>65.6</x:v>
      </x:c>
      <x:c r="P759" t="str">
        <x:v>Cloudy</x:v>
      </x:c>
      <x:c r="Q759" t="n">
        <x:v>72</x:v>
      </x:c>
      <x:c r="R759" t="n">
        <x:v>80.3</x:v>
      </x:c>
      <x:c r="S759" t="n">
        <x:v>0.1057</x:v>
      </x:c>
      <x:c r="T759" t="n">
        <x:v>20.7</x:v>
      </x:c>
      <x:c r="U759" t="n">
        <x:v>1969</x:v>
      </x:c>
      <x:c r="V759" t="n">
        <x:v>3343</x:v>
      </x:c>
      <x:c r="W759" t="n">
        <x:v>50.6</x:v>
      </x:c>
    </x:row>
    <x:row r="760">
      <x:c r="A760" t="str">
        <x:v>PJT_759</x:v>
      </x:c>
      <x:c r="B760" t="str">
        <x:v>Continental</x:v>
      </x:c>
      <x:c r="C760" t="n">
        <x:v>20850</x:v>
      </x:c>
      <x:c r="D760" t="n">
        <x:v>11</x:v>
      </x:c>
      <x:c r="E760" t="str">
        <x:v>Medium</x:v>
      </x:c>
      <x:c r="F760" t="str">
        <x:v>Hospital</x:v>
      </x:c>
      <x:c r="G760" t="str">
        <x:v>Shear Wall</x:v>
      </x:c>
      <x:c r="H760" t="str">
        <x:v>Raft</x:v>
      </x:c>
      <x:c r="I760" t="str">
        <x:v>Rock</x:v>
      </x:c>
      <x:c r="J760" t="str">
        <x:v>Medium</x:v>
      </x:c>
      <x:c r="K760" t="n">
        <x:v>62904450</x:v>
      </x:c>
      <x:c r="L760" t="n">
        <x:v>1076</x:v>
      </x:c>
      <x:c r="M760" t="n">
        <x:v>707.1</x:v>
      </x:c>
      <x:c r="N760" t="n">
        <x:v>9.4</x:v>
      </x:c>
      <x:c r="O760" t="n">
        <x:v>87.9</x:v>
      </x:c>
      <x:c r="P760" t="str">
        <x:v>Rainy</x:v>
      </x:c>
      <x:c r="Q760" t="n">
        <x:v>83</x:v>
      </x:c>
      <x:c r="R760" t="n">
        <x:v>86.5</x:v>
      </x:c>
      <x:c r="S760" t="n">
        <x:v>0.1069</x:v>
      </x:c>
      <x:c r="T760" t="n">
        <x:v>21.7</x:v>
      </x:c>
      <x:c r="U760" t="n">
        <x:v>1895.5</x:v>
      </x:c>
      <x:c r="V760" t="n">
        <x:v>3017</x:v>
      </x:c>
      <x:c r="W760" t="n">
        <x:v>51.6</x:v>
      </x:c>
    </x:row>
    <x:row r="761">
      <x:c r="A761" t="str">
        <x:v>PJT_760</x:v>
      </x:c>
      <x:c r="B761" t="str">
        <x:v>Continental</x:v>
      </x:c>
      <x:c r="C761" t="n">
        <x:v>3840</x:v>
      </x:c>
      <x:c r="D761" t="n">
        <x:v>1</x:v>
      </x:c>
      <x:c r="E761" t="str">
        <x:v>Low</x:v>
      </x:c>
      <x:c r="F761" t="str">
        <x:v>School</x:v>
      </x:c>
      <x:c r="G761" t="str">
        <x:v>RC Frame</x:v>
      </x:c>
      <x:c r="H761" t="str">
        <x:v>Strip</x:v>
      </x:c>
      <x:c r="I761" t="str">
        <x:v>Sand</x:v>
      </x:c>
      <x:c r="J761" t="str">
        <x:v>Low</x:v>
      </x:c>
      <x:c r="K761" t="n">
        <x:v>5706240</x:v>
      </x:c>
      <x:c r="L761" t="n">
        <x:v>180</x:v>
      </x:c>
      <x:c r="M761" t="n">
        <x:v>259.5</x:v>
      </x:c>
      <x:c r="N761" t="n">
        <x:v>4.2</x:v>
      </x:c>
      <x:c r="O761" t="n">
        <x:v>66.3</x:v>
      </x:c>
      <x:c r="P761" t="str">
        <x:v>Rainy</x:v>
      </x:c>
      <x:c r="Q761" t="n">
        <x:v>81</x:v>
      </x:c>
      <x:c r="R761" t="n">
        <x:v>60.1</x:v>
      </x:c>
      <x:c r="S761" t="n">
        <x:v>0.0814</x:v>
      </x:c>
      <x:c r="T761" t="n">
        <x:v>14.4</x:v>
      </x:c>
      <x:c r="U761" t="n">
        <x:v>3840</x:v>
      </x:c>
      <x:c r="V761" t="n">
        <x:v>1486</x:v>
      </x:c>
      <x:c r="W761" t="n">
        <x:v>29.3</x:v>
      </x:c>
    </x:row>
    <x:row r="762">
      <x:c r="A762" t="str">
        <x:v>PJT_761</x:v>
      </x:c>
      <x:c r="B762" t="str">
        <x:v>Mediterranean</x:v>
      </x:c>
      <x:c r="C762" t="n">
        <x:v>16420</x:v>
      </x:c>
      <x:c r="D762" t="n">
        <x:v>25</x:v>
      </x:c>
      <x:c r="E762" t="str">
        <x:v>Medium</x:v>
      </x:c>
      <x:c r="F762" t="str">
        <x:v>Residential</x:v>
      </x:c>
      <x:c r="G762" t="str">
        <x:v>RC Frame</x:v>
      </x:c>
      <x:c r="H762" t="str">
        <x:v>Piles</x:v>
      </x:c>
      <x:c r="I762" t="str">
        <x:v>Mixed</x:v>
      </x:c>
      <x:c r="J762" t="str">
        <x:v>Low</x:v>
      </x:c>
      <x:c r="K762" t="n">
        <x:v>24432960</x:v>
      </x:c>
      <x:c r="L762" t="n">
        <x:v>686</x:v>
      </x:c>
      <x:c r="M762" t="n">
        <x:v>354.4</x:v>
      </x:c>
      <x:c r="N762" t="n">
        <x:v>15.6</x:v>
      </x:c>
      <x:c r="O762" t="n">
        <x:v>80.2</x:v>
      </x:c>
      <x:c r="P762" t="str">
        <x:v>Rainy</x:v>
      </x:c>
      <x:c r="Q762" t="n">
        <x:v>71</x:v>
      </x:c>
      <x:c r="R762" t="n">
        <x:v>76.2</x:v>
      </x:c>
      <x:c r="S762" t="n">
        <x:v>0.0789</x:v>
      </x:c>
      <x:c r="T762" t="n">
        <x:v>12.3</x:v>
      </x:c>
      <x:c r="U762" t="n">
        <x:v>656.8</x:v>
      </x:c>
      <x:c r="V762" t="n">
        <x:v>1488</x:v>
      </x:c>
      <x:c r="W762" t="n">
        <x:v>41.8</x:v>
      </x:c>
    </x:row>
    <x:row r="763">
      <x:c r="A763" t="str">
        <x:v>PJT_762</x:v>
      </x:c>
      <x:c r="B763" t="str">
        <x:v>Marine</x:v>
      </x:c>
      <x:c r="C763" t="n">
        <x:v>13780</x:v>
      </x:c>
      <x:c r="D763" t="n">
        <x:v>7</x:v>
      </x:c>
      <x:c r="E763" t="str">
        <x:v>Medium</x:v>
      </x:c>
      <x:c r="F763" t="str">
        <x:v>Hospital</x:v>
      </x:c>
      <x:c r="G763" t="str">
        <x:v>RC Frame</x:v>
      </x:c>
      <x:c r="H763" t="str">
        <x:v>Raft</x:v>
      </x:c>
      <x:c r="I763" t="str">
        <x:v>Sand</x:v>
      </x:c>
      <x:c r="J763" t="str">
        <x:v>Medium</x:v>
      </x:c>
      <x:c r="K763" t="n">
        <x:v>40389180</x:v>
      </x:c>
      <x:c r="L763" t="n">
        <x:v>650</x:v>
      </x:c>
      <x:c r="M763" t="n">
        <x:v>237.3</x:v>
      </x:c>
      <x:c r="N763" t="n">
        <x:v>13</x:v>
      </x:c>
      <x:c r="O763" t="n">
        <x:v>73.3</x:v>
      </x:c>
      <x:c r="P763" t="str">
        <x:v>Cloudy</x:v>
      </x:c>
      <x:c r="Q763" t="n">
        <x:v>97</x:v>
      </x:c>
      <x:c r="R763" t="n">
        <x:v>84</x:v>
      </x:c>
      <x:c r="S763" t="n">
        <x:v>0.1035</x:v>
      </x:c>
      <x:c r="T763" t="n">
        <x:v>21.6</x:v>
      </x:c>
      <x:c r="U763" t="n">
        <x:v>1968.6</x:v>
      </x:c>
      <x:c r="V763" t="n">
        <x:v>2931</x:v>
      </x:c>
      <x:c r="W763" t="n">
        <x:v>47.2</x:v>
      </x:c>
    </x:row>
    <x:row r="764">
      <x:c r="A764" t="str">
        <x:v>PJT_763</x:v>
      </x:c>
      <x:c r="B764" t="str">
        <x:v>Humid Subtropical</x:v>
      </x:c>
      <x:c r="C764" t="n">
        <x:v>16110</x:v>
      </x:c>
      <x:c r="D764" t="n">
        <x:v>9</x:v>
      </x:c>
      <x:c r="E764" t="str">
        <x:v>Medium</x:v>
      </x:c>
      <x:c r="F764" t="str">
        <x:v>Commercial</x:v>
      </x:c>
      <x:c r="G764" t="str">
        <x:v>RC Frame</x:v>
      </x:c>
      <x:c r="H764" t="str">
        <x:v>Raft</x:v>
      </x:c>
      <x:c r="I764" t="str">
        <x:v>Rock</x:v>
      </x:c>
      <x:c r="J764" t="str">
        <x:v>Low</x:v>
      </x:c>
      <x:c r="K764" t="n">
        <x:v>33299370</x:v>
      </x:c>
      <x:c r="L764" t="n">
        <x:v>715</x:v>
      </x:c>
      <x:c r="M764" t="n">
        <x:v>636.9</x:v>
      </x:c>
      <x:c r="N764" t="n">
        <x:v>27.5</x:v>
      </x:c>
      <x:c r="O764" t="n">
        <x:v>84.2</x:v>
      </x:c>
      <x:c r="P764" t="str">
        <x:v>Stormy</x:v>
      </x:c>
      <x:c r="Q764" t="n">
        <x:v>94</x:v>
      </x:c>
      <x:c r="R764" t="n">
        <x:v>75.8</x:v>
      </x:c>
      <x:c r="S764" t="n">
        <x:v>0.0935</x:v>
      </x:c>
      <x:c r="T764" t="n">
        <x:v>15.6</x:v>
      </x:c>
      <x:c r="U764" t="n">
        <x:v>1790</x:v>
      </x:c>
      <x:c r="V764" t="n">
        <x:v>2067</x:v>
      </x:c>
      <x:c r="W764" t="n">
        <x:v>44.4</x:v>
      </x:c>
    </x:row>
    <x:row r="765">
      <x:c r="A765" t="str">
        <x:v>PJT_764</x:v>
      </x:c>
      <x:c r="B765" t="str">
        <x:v>Continental</x:v>
      </x:c>
      <x:c r="C765" t="n">
        <x:v>25370</x:v>
      </x:c>
      <x:c r="D765" t="n">
        <x:v>14</x:v>
      </x:c>
      <x:c r="E765" t="str">
        <x:v>Medium</x:v>
      </x:c>
      <x:c r="F765" t="str">
        <x:v>Mixed-use</x:v>
      </x:c>
      <x:c r="G765" t="str">
        <x:v>Steel</x:v>
      </x:c>
      <x:c r="H765" t="str">
        <x:v>Piles</x:v>
      </x:c>
      <x:c r="I765" t="str">
        <x:v>Mixed</x:v>
      </x:c>
      <x:c r="J765" t="str">
        <x:v>Medium</x:v>
      </x:c>
      <x:c r="K765" t="n">
        <x:v>63957770</x:v>
      </x:c>
      <x:c r="L765" t="n">
        <x:v>1225</x:v>
      </x:c>
      <x:c r="M765" t="n">
        <x:v>312</x:v>
      </x:c>
      <x:c r="N765" t="n">
        <x:v>18</x:v>
      </x:c>
      <x:c r="O765" t="n">
        <x:v>60.8</x:v>
      </x:c>
      <x:c r="P765" t="str">
        <x:v>Cloudy</x:v>
      </x:c>
      <x:c r="Q765" t="n">
        <x:v>93</x:v>
      </x:c>
      <x:c r="R765" t="n">
        <x:v>76.7</x:v>
      </x:c>
      <x:c r="S765" t="n">
        <x:v>0.1039</x:v>
      </x:c>
      <x:c r="T765" t="n">
        <x:v>19.1</x:v>
      </x:c>
      <x:c r="U765" t="n">
        <x:v>1812.1</x:v>
      </x:c>
      <x:c r="V765" t="n">
        <x:v>2521</x:v>
      </x:c>
      <x:c r="W765" t="n">
        <x:v>48.3</x:v>
      </x:c>
    </x:row>
    <x:row r="766">
      <x:c r="A766" t="str">
        <x:v>PJT_765</x:v>
      </x:c>
      <x:c r="B766" t="str">
        <x:v>Humid Subtropical</x:v>
      </x:c>
      <x:c r="C766" t="n">
        <x:v>25290</x:v>
      </x:c>
      <x:c r="D766" t="n">
        <x:v>17</x:v>
      </x:c>
      <x:c r="E766" t="str">
        <x:v>Medium</x:v>
      </x:c>
      <x:c r="F766" t="str">
        <x:v>Mixed-use</x:v>
      </x:c>
      <x:c r="G766" t="str">
        <x:v>Shear Wall</x:v>
      </x:c>
      <x:c r="H766" t="str">
        <x:v>Raft</x:v>
      </x:c>
      <x:c r="I766" t="str">
        <x:v>Rock</x:v>
      </x:c>
      <x:c r="J766" t="str">
        <x:v>Low</x:v>
      </x:c>
      <x:c r="K766" t="n">
        <x:v>64919430</x:v>
      </x:c>
      <x:c r="L766" t="n">
        <x:v>1146</x:v>
      </x:c>
      <x:c r="M766" t="n">
        <x:v>677.7</x:v>
      </x:c>
      <x:c r="N766" t="n">
        <x:v>29.5</x:v>
      </x:c>
      <x:c r="O766" t="n">
        <x:v>56</x:v>
      </x:c>
      <x:c r="P766" t="str">
        <x:v>Sunny</x:v>
      </x:c>
      <x:c r="Q766" t="n">
        <x:v>79</x:v>
      </x:c>
      <x:c r="R766" t="n">
        <x:v>86.3</x:v>
      </x:c>
      <x:c r="S766" t="n">
        <x:v>0.0985</x:v>
      </x:c>
      <x:c r="T766" t="n">
        <x:v>17.3</x:v>
      </x:c>
      <x:c r="U766" t="n">
        <x:v>1487.6</x:v>
      </x:c>
      <x:c r="V766" t="n">
        <x:v>2567</x:v>
      </x:c>
      <x:c r="W766" t="n">
        <x:v>45.3</x:v>
      </x:c>
    </x:row>
    <x:row r="767">
      <x:c r="A767" t="str">
        <x:v>PJT_766</x:v>
      </x:c>
      <x:c r="B767" t="str">
        <x:v>Marine</x:v>
      </x:c>
      <x:c r="C767" t="n">
        <x:v>9520</x:v>
      </x:c>
      <x:c r="D767" t="n">
        <x:v>8</x:v>
      </x:c>
      <x:c r="E767" t="str">
        <x:v>Low</x:v>
      </x:c>
      <x:c r="F767" t="str">
        <x:v>Residential</x:v>
      </x:c>
      <x:c r="G767" t="str">
        <x:v>RC Frame</x:v>
      </x:c>
      <x:c r="H767" t="str">
        <x:v>Raft</x:v>
      </x:c>
      <x:c r="I767" t="str">
        <x:v>Mixed</x:v>
      </x:c>
      <x:c r="J767" t="str">
        <x:v>High</x:v>
      </x:c>
      <x:c r="K767" t="n">
        <x:v>14917840</x:v>
      </x:c>
      <x:c r="L767" t="n">
        <x:v>306</x:v>
      </x:c>
      <x:c r="M767" t="n">
        <x:v>289.3</x:v>
      </x:c>
      <x:c r="N767" t="n">
        <x:v>9.4</x:v>
      </x:c>
      <x:c r="O767" t="n">
        <x:v>87.3</x:v>
      </x:c>
      <x:c r="P767" t="str">
        <x:v>Rainy</x:v>
      </x:c>
      <x:c r="Q767" t="n">
        <x:v>82</x:v>
      </x:c>
      <x:c r="R767" t="n">
        <x:v>61.4</x:v>
      </x:c>
      <x:c r="S767" t="n">
        <x:v>0.0703</x:v>
      </x:c>
      <x:c r="T767" t="n">
        <x:v>11</x:v>
      </x:c>
      <x:c r="U767" t="n">
        <x:v>1190</x:v>
      </x:c>
      <x:c r="V767" t="n">
        <x:v>1567</x:v>
      </x:c>
      <x:c r="W767" t="n">
        <x:v>32.1</x:v>
      </x:c>
    </x:row>
    <x:row r="768">
      <x:c r="A768" t="str">
        <x:v>PJT_767</x:v>
      </x:c>
      <x:c r="B768" t="str">
        <x:v>Mediterranean</x:v>
      </x:c>
      <x:c r="C768" t="n">
        <x:v>22100</x:v>
      </x:c>
      <x:c r="D768" t="n">
        <x:v>10</x:v>
      </x:c>
      <x:c r="E768" t="str">
        <x:v>Medium</x:v>
      </x:c>
      <x:c r="F768" t="str">
        <x:v>Hospital</x:v>
      </x:c>
      <x:c r="G768" t="str">
        <x:v>Shear Wall</x:v>
      </x:c>
      <x:c r="H768" t="str">
        <x:v>Piles</x:v>
      </x:c>
      <x:c r="I768" t="str">
        <x:v>Soft Clay</x:v>
      </x:c>
      <x:c r="J768" t="str">
        <x:v>High</x:v>
      </x:c>
      <x:c r="K768" t="n">
        <x:v>70123300</x:v>
      </x:c>
      <x:c r="L768" t="n">
        <x:v>1191</x:v>
      </x:c>
      <x:c r="M768" t="n">
        <x:v>191.4</x:v>
      </x:c>
      <x:c r="N768" t="n">
        <x:v>9.9</x:v>
      </x:c>
      <x:c r="O768" t="n">
        <x:v>71.5</x:v>
      </x:c>
      <x:c r="P768" t="str">
        <x:v>Rainy</x:v>
      </x:c>
      <x:c r="Q768" t="n">
        <x:v>77</x:v>
      </x:c>
      <x:c r="R768" t="n">
        <x:v>79.9</x:v>
      </x:c>
      <x:c r="S768" t="n">
        <x:v>0.1094</x:v>
      </x:c>
      <x:c r="T768" t="n">
        <x:v>20.8</x:v>
      </x:c>
      <x:c r="U768" t="n">
        <x:v>2210</x:v>
      </x:c>
      <x:c r="V768" t="n">
        <x:v>3173</x:v>
      </x:c>
      <x:c r="W768" t="n">
        <x:v>53.9</x:v>
      </x:c>
    </x:row>
    <x:row r="769">
      <x:c r="A769" t="str">
        <x:v>PJT_768</x:v>
      </x:c>
      <x:c r="B769" t="str">
        <x:v>Marine</x:v>
      </x:c>
      <x:c r="C769" t="n">
        <x:v>16760</x:v>
      </x:c>
      <x:c r="D769" t="n">
        <x:v>10</x:v>
      </x:c>
      <x:c r="E769" t="str">
        <x:v>Medium</x:v>
      </x:c>
      <x:c r="F769" t="str">
        <x:v>Commercial</x:v>
      </x:c>
      <x:c r="G769" t="str">
        <x:v>Steel</x:v>
      </x:c>
      <x:c r="H769" t="str">
        <x:v>Raft</x:v>
      </x:c>
      <x:c r="I769" t="str">
        <x:v>Rock</x:v>
      </x:c>
      <x:c r="J769" t="str">
        <x:v>Medium</x:v>
      </x:c>
      <x:c r="K769" t="n">
        <x:v>39570360</x:v>
      </x:c>
      <x:c r="L769" t="n">
        <x:v>786</x:v>
      </x:c>
      <x:c r="M769" t="n">
        <x:v>679.8</x:v>
      </x:c>
      <x:c r="N769" t="n">
        <x:v>13</x:v>
      </x:c>
      <x:c r="O769" t="n">
        <x:v>87.9</x:v>
      </x:c>
      <x:c r="P769" t="str">
        <x:v>Stormy</x:v>
      </x:c>
      <x:c r="Q769" t="n">
        <x:v>102</x:v>
      </x:c>
      <x:c r="R769" t="n">
        <x:v>76.1</x:v>
      </x:c>
      <x:c r="S769" t="n">
        <x:v>0.0941</x:v>
      </x:c>
      <x:c r="T769" t="n">
        <x:v>16.9</x:v>
      </x:c>
      <x:c r="U769" t="n">
        <x:v>1676</x:v>
      </x:c>
      <x:c r="V769" t="n">
        <x:v>2361</x:v>
      </x:c>
      <x:c r="W769" t="n">
        <x:v>46.9</x:v>
      </x:c>
    </x:row>
    <x:row r="770">
      <x:c r="A770" t="str">
        <x:v>PJT_769</x:v>
      </x:c>
      <x:c r="B770" t="str">
        <x:v>Marine</x:v>
      </x:c>
      <x:c r="C770" t="n">
        <x:v>9110</x:v>
      </x:c>
      <x:c r="D770" t="n">
        <x:v>3</x:v>
      </x:c>
      <x:c r="E770" t="str">
        <x:v>Medium</x:v>
      </x:c>
      <x:c r="F770" t="str">
        <x:v>School</x:v>
      </x:c>
      <x:c r="G770" t="str">
        <x:v>Steel</x:v>
      </x:c>
      <x:c r="H770" t="str">
        <x:v>Raft</x:v>
      </x:c>
      <x:c r="I770" t="str">
        <x:v>Mixed</x:v>
      </x:c>
      <x:c r="J770" t="str">
        <x:v>High</x:v>
      </x:c>
      <x:c r="K770" t="n">
        <x:v>18301990</x:v>
      </x:c>
      <x:c r="L770" t="n">
        <x:v>312</x:v>
      </x:c>
      <x:c r="M770" t="n">
        <x:v>325</x:v>
      </x:c>
      <x:c r="N770" t="n">
        <x:v>10.2</x:v>
      </x:c>
      <x:c r="O770" t="n">
        <x:v>66.7</x:v>
      </x:c>
      <x:c r="P770" t="str">
        <x:v>Sunny</x:v>
      </x:c>
      <x:c r="Q770" t="n">
        <x:v>69</x:v>
      </x:c>
      <x:c r="R770" t="n">
        <x:v>70.1</x:v>
      </x:c>
      <x:c r="S770" t="n">
        <x:v>0.088</x:v>
      </x:c>
      <x:c r="T770" t="n">
        <x:v>16.3</x:v>
      </x:c>
      <x:c r="U770" t="n">
        <x:v>3036.7</x:v>
      </x:c>
      <x:c r="V770" t="n">
        <x:v>2009</x:v>
      </x:c>
      <x:c r="W770" t="n">
        <x:v>34.2</x:v>
      </x:c>
    </x:row>
    <x:row r="771">
      <x:c r="A771" t="str">
        <x:v>PJT_770</x:v>
      </x:c>
      <x:c r="B771" t="str">
        <x:v>Continental</x:v>
      </x:c>
      <x:c r="C771" t="n">
        <x:v>12180</x:v>
      </x:c>
      <x:c r="D771" t="n">
        <x:v>6</x:v>
      </x:c>
      <x:c r="E771" t="str">
        <x:v>Low</x:v>
      </x:c>
      <x:c r="F771" t="str">
        <x:v>School</x:v>
      </x:c>
      <x:c r="G771" t="str">
        <x:v>Steel</x:v>
      </x:c>
      <x:c r="H771" t="str">
        <x:v>Piles</x:v>
      </x:c>
      <x:c r="I771" t="str">
        <x:v>Soft Clay</x:v>
      </x:c>
      <x:c r="J771" t="str">
        <x:v>Low</x:v>
      </x:c>
      <x:c r="K771" t="n">
        <x:v>21448980</x:v>
      </x:c>
      <x:c r="L771" t="n">
        <x:v>396</x:v>
      </x:c>
      <x:c r="M771" t="n">
        <x:v>221</x:v>
      </x:c>
      <x:c r="N771" t="n">
        <x:v>3</x:v>
      </x:c>
      <x:c r="O771" t="n">
        <x:v>52.4</x:v>
      </x:c>
      <x:c r="P771" t="str">
        <x:v>Cloudy</x:v>
      </x:c>
      <x:c r="Q771" t="n">
        <x:v>89</x:v>
      </x:c>
      <x:c r="R771" t="n">
        <x:v>66.6</x:v>
      </x:c>
      <x:c r="S771" t="n">
        <x:v>0.0878</x:v>
      </x:c>
      <x:c r="T771" t="n">
        <x:v>14.3</x:v>
      </x:c>
      <x:c r="U771" t="n">
        <x:v>2030</x:v>
      </x:c>
      <x:c r="V771" t="n">
        <x:v>1761</x:v>
      </x:c>
      <x:c r="W771" t="n">
        <x:v>32.5</x:v>
      </x:c>
    </x:row>
    <x:row r="772">
      <x:c r="A772" t="str">
        <x:v>PJT_771</x:v>
      </x:c>
      <x:c r="B772" t="str">
        <x:v>Continental</x:v>
      </x:c>
      <x:c r="C772" t="n">
        <x:v>18640</x:v>
      </x:c>
      <x:c r="D772" t="n">
        <x:v>12</x:v>
      </x:c>
      <x:c r="E772" t="str">
        <x:v>Medium</x:v>
      </x:c>
      <x:c r="F772" t="str">
        <x:v>Mixed-use</x:v>
      </x:c>
      <x:c r="G772" t="str">
        <x:v>Steel</x:v>
      </x:c>
      <x:c r="H772" t="str">
        <x:v>Piles</x:v>
      </x:c>
      <x:c r="I772" t="str">
        <x:v>Sand</x:v>
      </x:c>
      <x:c r="J772" t="str">
        <x:v>Low</x:v>
      </x:c>
      <x:c r="K772" t="n">
        <x:v>47532000</x:v>
      </x:c>
      <x:c r="L772" t="n">
        <x:v>1001</x:v>
      </x:c>
      <x:c r="M772" t="n">
        <x:v>241.3</x:v>
      </x:c>
      <x:c r="N772" t="n">
        <x:v>5.1</x:v>
      </x:c>
      <x:c r="O772" t="n">
        <x:v>84.3</x:v>
      </x:c>
      <x:c r="P772" t="str">
        <x:v>Stormy</x:v>
      </x:c>
      <x:c r="Q772" t="n">
        <x:v>83</x:v>
      </x:c>
      <x:c r="R772" t="n">
        <x:v>84.6</x:v>
      </x:c>
      <x:c r="S772" t="n">
        <x:v>0.1039</x:v>
      </x:c>
      <x:c r="T772" t="n">
        <x:v>18.5</x:v>
      </x:c>
      <x:c r="U772" t="n">
        <x:v>1553.3</x:v>
      </x:c>
      <x:c r="V772" t="n">
        <x:v>2550</x:v>
      </x:c>
      <x:c r="W772" t="n">
        <x:v>53.7</x:v>
      </x:c>
    </x:row>
    <x:row r="773">
      <x:c r="A773" t="str">
        <x:v>PJT_772</x:v>
      </x:c>
      <x:c r="B773" t="str">
        <x:v>Mediterranean</x:v>
      </x:c>
      <x:c r="C773" t="n">
        <x:v>29720</x:v>
      </x:c>
      <x:c r="D773" t="n">
        <x:v>19</x:v>
      </x:c>
      <x:c r="E773" t="str">
        <x:v>Medium</x:v>
      </x:c>
      <x:c r="F773" t="str">
        <x:v>Commercial</x:v>
      </x:c>
      <x:c r="G773" t="str">
        <x:v>Steel</x:v>
      </x:c>
      <x:c r="H773" t="str">
        <x:v>Piles</x:v>
      </x:c>
      <x:c r="I773" t="str">
        <x:v>Mixed</x:v>
      </x:c>
      <x:c r="J773" t="str">
        <x:v>Medium</x:v>
      </x:c>
      <x:c r="K773" t="n">
        <x:v>76142640</x:v>
      </x:c>
      <x:c r="L773" t="n">
        <x:v>1382</x:v>
      </x:c>
      <x:c r="M773" t="n">
        <x:v>332.5</x:v>
      </x:c>
      <x:c r="N773" t="n">
        <x:v>19.4</x:v>
      </x:c>
      <x:c r="O773" t="n">
        <x:v>58.9</x:v>
      </x:c>
      <x:c r="P773" t="str">
        <x:v>Cloudy</x:v>
      </x:c>
      <x:c r="Q773" t="n">
        <x:v>65</x:v>
      </x:c>
      <x:c r="R773" t="n">
        <x:v>78.3</x:v>
      </x:c>
      <x:c r="S773" t="n">
        <x:v>0.1005</x:v>
      </x:c>
      <x:c r="T773" t="n">
        <x:v>16.9</x:v>
      </x:c>
      <x:c r="U773" t="n">
        <x:v>1564.2</x:v>
      </x:c>
      <x:c r="V773" t="n">
        <x:v>2562</x:v>
      </x:c>
      <x:c r="W773" t="n">
        <x:v>46.5</x:v>
      </x:c>
    </x:row>
    <x:row r="774">
      <x:c r="A774" t="str">
        <x:v>PJT_773</x:v>
      </x:c>
      <x:c r="B774" t="str">
        <x:v>Continental</x:v>
      </x:c>
      <x:c r="C774" t="n">
        <x:v>24420</x:v>
      </x:c>
      <x:c r="D774" t="n">
        <x:v>19</x:v>
      </x:c>
      <x:c r="E774" t="str">
        <x:v>Medium</x:v>
      </x:c>
      <x:c r="F774" t="str">
        <x:v>Mixed-use</x:v>
      </x:c>
      <x:c r="G774" t="str">
        <x:v>Steel</x:v>
      </x:c>
      <x:c r="H774" t="str">
        <x:v>Piles</x:v>
      </x:c>
      <x:c r="I774" t="str">
        <x:v>Rock</x:v>
      </x:c>
      <x:c r="J774" t="str">
        <x:v>Low</x:v>
      </x:c>
      <x:c r="K774" t="n">
        <x:v>65103720</x:v>
      </x:c>
      <x:c r="L774" t="n">
        <x:v>1253</x:v>
      </x:c>
      <x:c r="M774" t="n">
        <x:v>649.7</x:v>
      </x:c>
      <x:c r="N774" t="n">
        <x:v>15</x:v>
      </x:c>
      <x:c r="O774" t="n">
        <x:v>68.7</x:v>
      </x:c>
      <x:c r="P774" t="str">
        <x:v>Rainy</x:v>
      </x:c>
      <x:c r="Q774" t="n">
        <x:v>89</x:v>
      </x:c>
      <x:c r="R774" t="n">
        <x:v>81.1</x:v>
      </x:c>
      <x:c r="S774" t="n">
        <x:v>0.1026</x:v>
      </x:c>
      <x:c r="T774" t="n">
        <x:v>18</x:v>
      </x:c>
      <x:c r="U774" t="n">
        <x:v>1285.3</x:v>
      </x:c>
      <x:c r="V774" t="n">
        <x:v>2666</x:v>
      </x:c>
      <x:c r="W774" t="n">
        <x:v>51.3</x:v>
      </x:c>
    </x:row>
    <x:row r="775">
      <x:c r="A775" t="str">
        <x:v>PJT_774</x:v>
      </x:c>
      <x:c r="B775" t="str">
        <x:v>Marine</x:v>
      </x:c>
      <x:c r="C775" t="n">
        <x:v>18210</x:v>
      </x:c>
      <x:c r="D775" t="n">
        <x:v>12</x:v>
      </x:c>
      <x:c r="E775" t="str">
        <x:v>Medium</x:v>
      </x:c>
      <x:c r="F775" t="str">
        <x:v>Mixed-use</x:v>
      </x:c>
      <x:c r="G775" t="str">
        <x:v>Steel</x:v>
      </x:c>
      <x:c r="H775" t="str">
        <x:v>Piles</x:v>
      </x:c>
      <x:c r="I775" t="str">
        <x:v>Sand</x:v>
      </x:c>
      <x:c r="J775" t="str">
        <x:v>Medium</x:v>
      </x:c>
      <x:c r="K775" t="n">
        <x:v>48729960</x:v>
      </x:c>
      <x:c r="L775" t="n">
        <x:v>971</x:v>
      </x:c>
      <x:c r="M775" t="n">
        <x:v>349.3</x:v>
      </x:c>
      <x:c r="N775" t="n">
        <x:v>8.3</x:v>
      </x:c>
      <x:c r="O775" t="n">
        <x:v>86</x:v>
      </x:c>
      <x:c r="P775" t="str">
        <x:v>Rainy</x:v>
      </x:c>
      <x:c r="Q775" t="n">
        <x:v>79</x:v>
      </x:c>
      <x:c r="R775" t="n">
        <x:v>83.4</x:v>
      </x:c>
      <x:c r="S775" t="n">
        <x:v>0.0994</x:v>
      </x:c>
      <x:c r="T775" t="n">
        <x:v>19.2</x:v>
      </x:c>
      <x:c r="U775" t="n">
        <x:v>1517.5</x:v>
      </x:c>
      <x:c r="V775" t="n">
        <x:v>2676</x:v>
      </x:c>
      <x:c r="W775" t="n">
        <x:v>53.3</x:v>
      </x:c>
    </x:row>
    <x:row r="776">
      <x:c r="A776" t="str">
        <x:v>PJT_775</x:v>
      </x:c>
      <x:c r="B776" t="str">
        <x:v>Humid Subtropical</x:v>
      </x:c>
      <x:c r="C776" t="n">
        <x:v>23030</x:v>
      </x:c>
      <x:c r="D776" t="n">
        <x:v>18</x:v>
      </x:c>
      <x:c r="E776" t="str">
        <x:v>High</x:v>
      </x:c>
      <x:c r="F776" t="str">
        <x:v>Mixed-use</x:v>
      </x:c>
      <x:c r="G776" t="str">
        <x:v>Steel</x:v>
      </x:c>
      <x:c r="H776" t="str">
        <x:v>Piles</x:v>
      </x:c>
      <x:c r="I776" t="str">
        <x:v>Mixed</x:v>
      </x:c>
      <x:c r="J776" t="str">
        <x:v>High</x:v>
      </x:c>
      <x:c r="K776" t="n">
        <x:v>67754260</x:v>
      </x:c>
      <x:c r="L776" t="n">
        <x:v>1336</x:v>
      </x:c>
      <x:c r="M776" t="n">
        <x:v>359.9</x:v>
      </x:c>
      <x:c r="N776" t="n">
        <x:v>27.1</x:v>
      </x:c>
      <x:c r="O776" t="n">
        <x:v>81.2</x:v>
      </x:c>
      <x:c r="P776" t="str">
        <x:v>Rainy</x:v>
      </x:c>
      <x:c r="Q776" t="n">
        <x:v>105</x:v>
      </x:c>
      <x:c r="R776" t="n">
        <x:v>88</x:v>
      </x:c>
      <x:c r="S776" t="n">
        <x:v>0.1044</x:v>
      </x:c>
      <x:c r="T776" t="n">
        <x:v>20.2</x:v>
      </x:c>
      <x:c r="U776" t="n">
        <x:v>1279.4</x:v>
      </x:c>
      <x:c r="V776" t="n">
        <x:v>2942</x:v>
      </x:c>
      <x:c r="W776" t="n">
        <x:v>58</x:v>
      </x:c>
    </x:row>
    <x:row r="777">
      <x:c r="A777" t="str">
        <x:v>PJT_776</x:v>
      </x:c>
      <x:c r="B777" t="str">
        <x:v>Marine</x:v>
      </x:c>
      <x:c r="C777" t="n">
        <x:v>9170</x:v>
      </x:c>
      <x:c r="D777" t="n">
        <x:v>6</x:v>
      </x:c>
      <x:c r="E777" t="str">
        <x:v>Low</x:v>
      </x:c>
      <x:c r="F777" t="str">
        <x:v>Commercial</x:v>
      </x:c>
      <x:c r="G777" t="str">
        <x:v>RC Frame</x:v>
      </x:c>
      <x:c r="H777" t="str">
        <x:v>Raft</x:v>
      </x:c>
      <x:c r="I777" t="str">
        <x:v>Rock</x:v>
      </x:c>
      <x:c r="J777" t="str">
        <x:v>High</x:v>
      </x:c>
      <x:c r="K777" t="n">
        <x:v>20366570</x:v>
      </x:c>
      <x:c r="L777" t="n">
        <x:v>348</x:v>
      </x:c>
      <x:c r="M777" t="n">
        <x:v>711.3</x:v>
      </x:c>
      <x:c r="N777" t="n">
        <x:v>13.7</x:v>
      </x:c>
      <x:c r="O777" t="n">
        <x:v>71.5</x:v>
      </x:c>
      <x:c r="P777" t="str">
        <x:v>Cloudy</x:v>
      </x:c>
      <x:c r="Q777" t="n">
        <x:v>90</x:v>
      </x:c>
      <x:c r="R777" t="n">
        <x:v>71.2</x:v>
      </x:c>
      <x:c r="S777" t="n">
        <x:v>0.087</x:v>
      </x:c>
      <x:c r="T777" t="n">
        <x:v>16.1</x:v>
      </x:c>
      <x:c r="U777" t="n">
        <x:v>1528.3</x:v>
      </x:c>
      <x:c r="V777" t="n">
        <x:v>2221</x:v>
      </x:c>
      <x:c r="W777" t="n">
        <x:v>38</x:v>
      </x:c>
    </x:row>
    <x:row r="778">
      <x:c r="A778" t="str">
        <x:v>PJT_777</x:v>
      </x:c>
      <x:c r="B778" t="str">
        <x:v>Mediterranean</x:v>
      </x:c>
      <x:c r="C778" t="n">
        <x:v>17270</x:v>
      </x:c>
      <x:c r="D778" t="n">
        <x:v>14</x:v>
      </x:c>
      <x:c r="E778" t="str">
        <x:v>Medium</x:v>
      </x:c>
      <x:c r="F778" t="str">
        <x:v>Commercial</x:v>
      </x:c>
      <x:c r="G778" t="str">
        <x:v>Steel</x:v>
      </x:c>
      <x:c r="H778" t="str">
        <x:v>Raft</x:v>
      </x:c>
      <x:c r="I778" t="str">
        <x:v>Mixed</x:v>
      </x:c>
      <x:c r="J778" t="str">
        <x:v>Low</x:v>
      </x:c>
      <x:c r="K778" t="n">
        <x:v>38615720</x:v>
      </x:c>
      <x:c r="L778" t="n">
        <x:v>705</x:v>
      </x:c>
      <x:c r="M778" t="n">
        <x:v>264.4</x:v>
      </x:c>
      <x:c r="N778" t="n">
        <x:v>23.3</x:v>
      </x:c>
      <x:c r="O778" t="n">
        <x:v>55.6</x:v>
      </x:c>
      <x:c r="P778" t="str">
        <x:v>Sunny</x:v>
      </x:c>
      <x:c r="Q778" t="n">
        <x:v>90</x:v>
      </x:c>
      <x:c r="R778" t="n">
        <x:v>81.9</x:v>
      </x:c>
      <x:c r="S778" t="n">
        <x:v>0.0934</x:v>
      </x:c>
      <x:c r="T778" t="n">
        <x:v>18.1</x:v>
      </x:c>
      <x:c r="U778" t="n">
        <x:v>1233.6</x:v>
      </x:c>
      <x:c r="V778" t="n">
        <x:v>2236</x:v>
      </x:c>
      <x:c r="W778" t="n">
        <x:v>40.8</x:v>
      </x:c>
    </x:row>
    <x:row r="779">
      <x:c r="A779" t="str">
        <x:v>PJT_778</x:v>
      </x:c>
      <x:c r="B779" t="str">
        <x:v>Mediterranean</x:v>
      </x:c>
      <x:c r="C779" t="n">
        <x:v>5860</x:v>
      </x:c>
      <x:c r="D779" t="n">
        <x:v>7</x:v>
      </x:c>
      <x:c r="E779" t="str">
        <x:v>Low</x:v>
      </x:c>
      <x:c r="F779" t="str">
        <x:v>Residential</x:v>
      </x:c>
      <x:c r="G779" t="str">
        <x:v>RC Frame</x:v>
      </x:c>
      <x:c r="H779" t="str">
        <x:v>Raft</x:v>
      </x:c>
      <x:c r="I779" t="str">
        <x:v>Rock</x:v>
      </x:c>
      <x:c r="J779" t="str">
        <x:v>High</x:v>
      </x:c>
      <x:c r="K779" t="n">
        <x:v>8268460</x:v>
      </x:c>
      <x:c r="L779" t="n">
        <x:v>192</x:v>
      </x:c>
      <x:c r="M779" t="n">
        <x:v>689.2</x:v>
      </x:c>
      <x:c r="N779" t="n">
        <x:v>16.3</x:v>
      </x:c>
      <x:c r="O779" t="n">
        <x:v>53.1</x:v>
      </x:c>
      <x:c r="P779" t="str">
        <x:v>Cloudy</x:v>
      </x:c>
      <x:c r="Q779" t="n">
        <x:v>82</x:v>
      </x:c>
      <x:c r="R779" t="n">
        <x:v>60.1</x:v>
      </x:c>
      <x:c r="S779" t="n">
        <x:v>0.0748</x:v>
      </x:c>
      <x:c r="T779" t="n">
        <x:v>12.2</x:v>
      </x:c>
      <x:c r="U779" t="n">
        <x:v>837.1</x:v>
      </x:c>
      <x:c r="V779" t="n">
        <x:v>1411</x:v>
      </x:c>
      <x:c r="W779" t="n">
        <x:v>32.8</x:v>
      </x:c>
    </x:row>
    <x:row r="780">
      <x:c r="A780" t="str">
        <x:v>PJT_779</x:v>
      </x:c>
      <x:c r="B780" t="str">
        <x:v>Mediterranean</x:v>
      </x:c>
      <x:c r="C780" t="n">
        <x:v>9410</x:v>
      </x:c>
      <x:c r="D780" t="n">
        <x:v>9</x:v>
      </x:c>
      <x:c r="E780" t="str">
        <x:v>Low</x:v>
      </x:c>
      <x:c r="F780" t="str">
        <x:v>Residential</x:v>
      </x:c>
      <x:c r="G780" t="str">
        <x:v>RC Frame</x:v>
      </x:c>
      <x:c r="H780" t="str">
        <x:v>Raft</x:v>
      </x:c>
      <x:c r="I780" t="str">
        <x:v>Sand</x:v>
      </x:c>
      <x:c r="J780" t="str">
        <x:v>Low</x:v>
      </x:c>
      <x:c r="K780" t="n">
        <x:v>12891700</x:v>
      </x:c>
      <x:c r="L780" t="n">
        <x:v>290</x:v>
      </x:c>
      <x:c r="M780" t="n">
        <x:v>307.6</x:v>
      </x:c>
      <x:c r="N780" t="n">
        <x:v>31.3</x:v>
      </x:c>
      <x:c r="O780" t="n">
        <x:v>40.7</x:v>
      </x:c>
      <x:c r="P780" t="str">
        <x:v>Sunny</x:v>
      </x:c>
      <x:c r="Q780" t="n">
        <x:v>77</x:v>
      </x:c>
      <x:c r="R780" t="n">
        <x:v>67.5</x:v>
      </x:c>
      <x:c r="S780" t="n">
        <x:v>0.071</x:v>
      </x:c>
      <x:c r="T780" t="n">
        <x:v>13</x:v>
      </x:c>
      <x:c r="U780" t="n">
        <x:v>1045.6</x:v>
      </x:c>
      <x:c r="V780" t="n">
        <x:v>1370</x:v>
      </x:c>
      <x:c r="W780" t="n">
        <x:v>30.8</x:v>
      </x:c>
    </x:row>
    <x:row r="781">
      <x:c r="A781" t="str">
        <x:v>PJT_780</x:v>
      </x:c>
      <x:c r="B781" t="str">
        <x:v>Humid Subtropical</x:v>
      </x:c>
      <x:c r="C781" t="n">
        <x:v>17950</x:v>
      </x:c>
      <x:c r="D781" t="n">
        <x:v>15</x:v>
      </x:c>
      <x:c r="E781" t="str">
        <x:v>Medium</x:v>
      </x:c>
      <x:c r="F781" t="str">
        <x:v>Mixed-use</x:v>
      </x:c>
      <x:c r="G781" t="str">
        <x:v>Shear Wall</x:v>
      </x:c>
      <x:c r="H781" t="str">
        <x:v>Piles</x:v>
      </x:c>
      <x:c r="I781" t="str">
        <x:v>Mixed</x:v>
      </x:c>
      <x:c r="J781" t="str">
        <x:v>Medium</x:v>
      </x:c>
      <x:c r="K781" t="n">
        <x:v>47459800</x:v>
      </x:c>
      <x:c r="L781" t="n">
        <x:v>924</x:v>
      </x:c>
      <x:c r="M781" t="n">
        <x:v>302.4</x:v>
      </x:c>
      <x:c r="N781" t="n">
        <x:v>28.5</x:v>
      </x:c>
      <x:c r="O781" t="n">
        <x:v>91.6</x:v>
      </x:c>
      <x:c r="P781" t="str">
        <x:v>Stormy</x:v>
      </x:c>
      <x:c r="Q781" t="n">
        <x:v>81</x:v>
      </x:c>
      <x:c r="R781" t="n">
        <x:v>82</x:v>
      </x:c>
      <x:c r="S781" t="n">
        <x:v>0.1037</x:v>
      </x:c>
      <x:c r="T781" t="n">
        <x:v>17.5</x:v>
      </x:c>
      <x:c r="U781" t="n">
        <x:v>1196.7</x:v>
      </x:c>
      <x:c r="V781" t="n">
        <x:v>2644</x:v>
      </x:c>
      <x:c r="W781" t="n">
        <x:v>51.5</x:v>
      </x:c>
    </x:row>
    <x:row r="782">
      <x:c r="A782" t="str">
        <x:v>PJT_781</x:v>
      </x:c>
      <x:c r="B782" t="str">
        <x:v>Continental</x:v>
      </x:c>
      <x:c r="C782" t="n">
        <x:v>9360</x:v>
      </x:c>
      <x:c r="D782" t="n">
        <x:v>3</x:v>
      </x:c>
      <x:c r="E782" t="str">
        <x:v>Low</x:v>
      </x:c>
      <x:c r="F782" t="str">
        <x:v>School</x:v>
      </x:c>
      <x:c r="G782" t="str">
        <x:v>RC Frame</x:v>
      </x:c>
      <x:c r="H782" t="str">
        <x:v>Raft</x:v>
      </x:c>
      <x:c r="I782" t="str">
        <x:v>Sand</x:v>
      </x:c>
      <x:c r="J782" t="str">
        <x:v>Low</x:v>
      </x:c>
      <x:c r="K782" t="n">
        <x:v>14405040</x:v>
      </x:c>
      <x:c r="L782" t="n">
        <x:v>279</x:v>
      </x:c>
      <x:c r="M782" t="n">
        <x:v>309.9</x:v>
      </x:c>
      <x:c r="N782" t="n">
        <x:v>2.6</x:v>
      </x:c>
      <x:c r="O782" t="n">
        <x:v>74.7</x:v>
      </x:c>
      <x:c r="P782" t="str">
        <x:v>Rainy</x:v>
      </x:c>
      <x:c r="Q782" t="n">
        <x:v>74</x:v>
      </x:c>
      <x:c r="R782" t="n">
        <x:v>61.9</x:v>
      </x:c>
      <x:c r="S782" t="n">
        <x:v>0.0751</x:v>
      </x:c>
      <x:c r="T782" t="n">
        <x:v>14</x:v>
      </x:c>
      <x:c r="U782" t="n">
        <x:v>3120</x:v>
      </x:c>
      <x:c r="V782" t="n">
        <x:v>1539</x:v>
      </x:c>
      <x:c r="W782" t="n">
        <x:v>29.8</x:v>
      </x:c>
    </x:row>
    <x:row r="783">
      <x:c r="A783" t="str">
        <x:v>PJT_782</x:v>
      </x:c>
      <x:c r="B783" t="str">
        <x:v>Humid Subtropical</x:v>
      </x:c>
      <x:c r="C783" t="n">
        <x:v>32520</x:v>
      </x:c>
      <x:c r="D783" t="n">
        <x:v>18</x:v>
      </x:c>
      <x:c r="E783" t="str">
        <x:v>High</x:v>
      </x:c>
      <x:c r="F783" t="str">
        <x:v>Commercial</x:v>
      </x:c>
      <x:c r="G783" t="str">
        <x:v>Steel</x:v>
      </x:c>
      <x:c r="H783" t="str">
        <x:v>Piles</x:v>
      </x:c>
      <x:c r="I783" t="str">
        <x:v>Sand</x:v>
      </x:c>
      <x:c r="J783" t="str">
        <x:v>Medium</x:v>
      </x:c>
      <x:c r="K783" t="n">
        <x:v>88486920</x:v>
      </x:c>
      <x:c r="L783" t="n">
        <x:v>1659</x:v>
      </x:c>
      <x:c r="M783" t="n">
        <x:v>259.3</x:v>
      </x:c>
      <x:c r="N783" t="n">
        <x:v>26.8</x:v>
      </x:c>
      <x:c r="O783" t="n">
        <x:v>64.7</x:v>
      </x:c>
      <x:c r="P783" t="str">
        <x:v>Cloudy</x:v>
      </x:c>
      <x:c r="Q783" t="n">
        <x:v>79</x:v>
      </x:c>
      <x:c r="R783" t="n">
        <x:v>84</x:v>
      </x:c>
      <x:c r="S783" t="n">
        <x:v>0.0991</x:v>
      </x:c>
      <x:c r="T783" t="n">
        <x:v>18.1</x:v>
      </x:c>
      <x:c r="U783" t="n">
        <x:v>1806.7</x:v>
      </x:c>
      <x:c r="V783" t="n">
        <x:v>2721</x:v>
      </x:c>
      <x:c r="W783" t="n">
        <x:v>51</x:v>
      </x:c>
    </x:row>
    <x:row r="784">
      <x:c r="A784" t="str">
        <x:v>PJT_783</x:v>
      </x:c>
      <x:c r="B784" t="str">
        <x:v>Humid Subtropical</x:v>
      </x:c>
      <x:c r="C784" t="n">
        <x:v>17520</x:v>
      </x:c>
      <x:c r="D784" t="n">
        <x:v>17</x:v>
      </x:c>
      <x:c r="E784" t="str">
        <x:v>Medium</x:v>
      </x:c>
      <x:c r="F784" t="str">
        <x:v>Mixed-use</x:v>
      </x:c>
      <x:c r="G784" t="str">
        <x:v>Shear Wall</x:v>
      </x:c>
      <x:c r="H784" t="str">
        <x:v>Piles</x:v>
      </x:c>
      <x:c r="I784" t="str">
        <x:v>Mixed</x:v>
      </x:c>
      <x:c r="J784" t="str">
        <x:v>Low</x:v>
      </x:c>
      <x:c r="K784" t="n">
        <x:v>46708320</x:v>
      </x:c>
      <x:c r="L784" t="n">
        <x:v>858</x:v>
      </x:c>
      <x:c r="M784" t="n">
        <x:v>428.8</x:v>
      </x:c>
      <x:c r="N784" t="n">
        <x:v>34.7</x:v>
      </x:c>
      <x:c r="O784" t="n">
        <x:v>68.3</x:v>
      </x:c>
      <x:c r="P784" t="str">
        <x:v>Sunny</x:v>
      </x:c>
      <x:c r="Q784" t="n">
        <x:v>107</x:v>
      </x:c>
      <x:c r="R784" t="n">
        <x:v>85.7</x:v>
      </x:c>
      <x:c r="S784" t="n">
        <x:v>0.1031</x:v>
      </x:c>
      <x:c r="T784" t="n">
        <x:v>18.1</x:v>
      </x:c>
      <x:c r="U784" t="n">
        <x:v>1030.6</x:v>
      </x:c>
      <x:c r="V784" t="n">
        <x:v>2666</x:v>
      </x:c>
      <x:c r="W784" t="n">
        <x:v>49</x:v>
      </x:c>
    </x:row>
    <x:row r="785">
      <x:c r="A785" t="str">
        <x:v>PJT_784</x:v>
      </x:c>
      <x:c r="B785" t="str">
        <x:v>Continental</x:v>
      </x:c>
      <x:c r="C785" t="n">
        <x:v>24860</x:v>
      </x:c>
      <x:c r="D785" t="n">
        <x:v>14</x:v>
      </x:c>
      <x:c r="E785" t="str">
        <x:v>Medium</x:v>
      </x:c>
      <x:c r="F785" t="str">
        <x:v>Commercial</x:v>
      </x:c>
      <x:c r="G785" t="str">
        <x:v>Steel</x:v>
      </x:c>
      <x:c r="H785" t="str">
        <x:v>Raft</x:v>
      </x:c>
      <x:c r="I785" t="str">
        <x:v>Rock</x:v>
      </x:c>
      <x:c r="J785" t="str">
        <x:v>Low</x:v>
      </x:c>
      <x:c r="K785" t="n">
        <x:v>55910140</x:v>
      </x:c>
      <x:c r="L785" t="n">
        <x:v>1081</x:v>
      </x:c>
      <x:c r="M785" t="n">
        <x:v>601</x:v>
      </x:c>
      <x:c r="N785" t="n">
        <x:v>12.9</x:v>
      </x:c>
      <x:c r="O785" t="n">
        <x:v>46.5</x:v>
      </x:c>
      <x:c r="P785" t="str">
        <x:v>Sunny</x:v>
      </x:c>
      <x:c r="Q785" t="n">
        <x:v>71</x:v>
      </x:c>
      <x:c r="R785" t="n">
        <x:v>73.9</x:v>
      </x:c>
      <x:c r="S785" t="n">
        <x:v>0.0982</x:v>
      </x:c>
      <x:c r="T785" t="n">
        <x:v>17.4</x:v>
      </x:c>
      <x:c r="U785" t="n">
        <x:v>1775.7</x:v>
      </x:c>
      <x:c r="V785" t="n">
        <x:v>2249</x:v>
      </x:c>
      <x:c r="W785" t="n">
        <x:v>43.5</x:v>
      </x:c>
    </x:row>
    <x:row r="786">
      <x:c r="A786" t="str">
        <x:v>PJT_785</x:v>
      </x:c>
      <x:c r="B786" t="str">
        <x:v>Continental</x:v>
      </x:c>
      <x:c r="C786" t="n">
        <x:v>15140</x:v>
      </x:c>
      <x:c r="D786" t="n">
        <x:v>13</x:v>
      </x:c>
      <x:c r="E786" t="str">
        <x:v>Medium</x:v>
      </x:c>
      <x:c r="F786" t="str">
        <x:v>Commercial</x:v>
      </x:c>
      <x:c r="G786" t="str">
        <x:v>Steel</x:v>
      </x:c>
      <x:c r="H786" t="str">
        <x:v>Piles</x:v>
      </x:c>
      <x:c r="I786" t="str">
        <x:v>Soft Clay</x:v>
      </x:c>
      <x:c r="J786" t="str">
        <x:v>Low</x:v>
      </x:c>
      <x:c r="K786" t="n">
        <x:v>34458640</x:v>
      </x:c>
      <x:c r="L786" t="n">
        <x:v>718</x:v>
      </x:c>
      <x:c r="M786" t="n">
        <x:v>199.9</x:v>
      </x:c>
      <x:c r="N786" t="n">
        <x:v>6.2</x:v>
      </x:c>
      <x:c r="O786" t="n">
        <x:v>75.4</x:v>
      </x:c>
      <x:c r="P786" t="str">
        <x:v>Rainy</x:v>
      </x:c>
      <x:c r="Q786" t="n">
        <x:v>105</x:v>
      </x:c>
      <x:c r="R786" t="n">
        <x:v>73.8</x:v>
      </x:c>
      <x:c r="S786" t="n">
        <x:v>0.0977</x:v>
      </x:c>
      <x:c r="T786" t="n">
        <x:v>16.2</x:v>
      </x:c>
      <x:c r="U786" t="n">
        <x:v>1164.6</x:v>
      </x:c>
      <x:c r="V786" t="n">
        <x:v>2276</x:v>
      </x:c>
      <x:c r="W786" t="n">
        <x:v>47.4</x:v>
      </x:c>
    </x:row>
    <x:row r="787">
      <x:c r="A787" t="str">
        <x:v>PJT_786</x:v>
      </x:c>
      <x:c r="B787" t="str">
        <x:v>Humid Subtropical</x:v>
      </x:c>
      <x:c r="C787" t="n">
        <x:v>18950</x:v>
      </x:c>
      <x:c r="D787" t="n">
        <x:v>12</x:v>
      </x:c>
      <x:c r="E787" t="str">
        <x:v>Medium</x:v>
      </x:c>
      <x:c r="F787" t="str">
        <x:v>Hospital</x:v>
      </x:c>
      <x:c r="G787" t="str">
        <x:v>Shear Wall</x:v>
      </x:c>
      <x:c r="H787" t="str">
        <x:v>Piles</x:v>
      </x:c>
      <x:c r="I787" t="str">
        <x:v>Sand</x:v>
      </x:c>
      <x:c r="J787" t="str">
        <x:v>High</x:v>
      </x:c>
      <x:c r="K787" t="n">
        <x:v>61360100</x:v>
      </x:c>
      <x:c r="L787" t="n">
        <x:v>1031</x:v>
      </x:c>
      <x:c r="M787" t="n">
        <x:v>283.6</x:v>
      </x:c>
      <x:c r="N787" t="n">
        <x:v>21.8</x:v>
      </x:c>
      <x:c r="O787" t="n">
        <x:v>91.4</x:v>
      </x:c>
      <x:c r="P787" t="str">
        <x:v>Rainy</x:v>
      </x:c>
      <x:c r="Q787" t="n">
        <x:v>84</x:v>
      </x:c>
      <x:c r="R787" t="n">
        <x:v>84.3</x:v>
      </x:c>
      <x:c r="S787" t="n">
        <x:v>0.1068</x:v>
      </x:c>
      <x:c r="T787" t="n">
        <x:v>20.9</x:v>
      </x:c>
      <x:c r="U787" t="n">
        <x:v>1579.2</x:v>
      </x:c>
      <x:c r="V787" t="n">
        <x:v>3238</x:v>
      </x:c>
      <x:c r="W787" t="n">
        <x:v>54.4</x:v>
      </x:c>
    </x:row>
    <x:row r="788">
      <x:c r="A788" t="str">
        <x:v>PJT_787</x:v>
      </x:c>
      <x:c r="B788" t="str">
        <x:v>Continental</x:v>
      </x:c>
      <x:c r="C788" t="n">
        <x:v>20370</x:v>
      </x:c>
      <x:c r="D788" t="n">
        <x:v>12</x:v>
      </x:c>
      <x:c r="E788" t="str">
        <x:v>Medium</x:v>
      </x:c>
      <x:c r="F788" t="str">
        <x:v>Mixed-use</x:v>
      </x:c>
      <x:c r="G788" t="str">
        <x:v>Steel</x:v>
      </x:c>
      <x:c r="H788" t="str">
        <x:v>Piles</x:v>
      </x:c>
      <x:c r="I788" t="str">
        <x:v>Mixed</x:v>
      </x:c>
      <x:c r="J788" t="str">
        <x:v>Low</x:v>
      </x:c>
      <x:c r="K788" t="n">
        <x:v>50700930</x:v>
      </x:c>
      <x:c r="L788" t="n">
        <x:v>1012</x:v>
      </x:c>
      <x:c r="M788" t="n">
        <x:v>425.9</x:v>
      </x:c>
      <x:c r="N788" t="n">
        <x:v>7.2</x:v>
      </x:c>
      <x:c r="O788" t="n">
        <x:v>59.6</x:v>
      </x:c>
      <x:c r="P788" t="str">
        <x:v>Cloudy</x:v>
      </x:c>
      <x:c r="Q788" t="n">
        <x:v>76</x:v>
      </x:c>
      <x:c r="R788" t="n">
        <x:v>75.8</x:v>
      </x:c>
      <x:c r="S788" t="n">
        <x:v>0.1059</x:v>
      </x:c>
      <x:c r="T788" t="n">
        <x:v>18.9</x:v>
      </x:c>
      <x:c r="U788" t="n">
        <x:v>1697.5</x:v>
      </x:c>
      <x:c r="V788" t="n">
        <x:v>2489</x:v>
      </x:c>
      <x:c r="W788" t="n">
        <x:v>49.7</x:v>
      </x:c>
    </x:row>
    <x:row r="789">
      <x:c r="A789" t="str">
        <x:v>PJT_788</x:v>
      </x:c>
      <x:c r="B789" t="str">
        <x:v>Continental</x:v>
      </x:c>
      <x:c r="C789" t="n">
        <x:v>20370</x:v>
      </x:c>
      <x:c r="D789" t="n">
        <x:v>17</x:v>
      </x:c>
      <x:c r="E789" t="str">
        <x:v>Medium</x:v>
      </x:c>
      <x:c r="F789" t="str">
        <x:v>Commercial</x:v>
      </x:c>
      <x:c r="G789" t="str">
        <x:v>Steel</x:v>
      </x:c>
      <x:c r="H789" t="str">
        <x:v>Piles</x:v>
      </x:c>
      <x:c r="I789" t="str">
        <x:v>Soft Clay</x:v>
      </x:c>
      <x:c r="J789" t="str">
        <x:v>Low</x:v>
      </x:c>
      <x:c r="K789" t="n">
        <x:v>50334270</x:v>
      </x:c>
      <x:c r="L789" t="n">
        <x:v>949</x:v>
      </x:c>
      <x:c r="M789" t="n">
        <x:v>187.1</x:v>
      </x:c>
      <x:c r="N789" t="n">
        <x:v>6.8</x:v>
      </x:c>
      <x:c r="O789" t="n">
        <x:v>65</x:v>
      </x:c>
      <x:c r="P789" t="str">
        <x:v>Cloudy</x:v>
      </x:c>
      <x:c r="Q789" t="n">
        <x:v>86</x:v>
      </x:c>
      <x:c r="R789" t="n">
        <x:v>77.3</x:v>
      </x:c>
      <x:c r="S789" t="n">
        <x:v>0.1005</x:v>
      </x:c>
      <x:c r="T789" t="n">
        <x:v>17.2</x:v>
      </x:c>
      <x:c r="U789" t="n">
        <x:v>1198.2</x:v>
      </x:c>
      <x:c r="V789" t="n">
        <x:v>2471</x:v>
      </x:c>
      <x:c r="W789" t="n">
        <x:v>46.6</x:v>
      </x:c>
    </x:row>
    <x:row r="790">
      <x:c r="A790" t="str">
        <x:v>PJT_789</x:v>
      </x:c>
      <x:c r="B790" t="str">
        <x:v>Humid Subtropical</x:v>
      </x:c>
      <x:c r="C790" t="n">
        <x:v>8860</x:v>
      </x:c>
      <x:c r="D790" t="n">
        <x:v>3</x:v>
      </x:c>
      <x:c r="E790" t="str">
        <x:v>Low</x:v>
      </x:c>
      <x:c r="F790" t="str">
        <x:v>School</x:v>
      </x:c>
      <x:c r="G790" t="str">
        <x:v>RC Frame</x:v>
      </x:c>
      <x:c r="H790" t="str">
        <x:v>Raft</x:v>
      </x:c>
      <x:c r="I790" t="str">
        <x:v>Soft Clay</x:v>
      </x:c>
      <x:c r="J790" t="str">
        <x:v>Medium</x:v>
      </x:c>
      <x:c r="K790" t="n">
        <x:v>15637900</x:v>
      </x:c>
      <x:c r="L790" t="n">
        <x:v>279</x:v>
      </x:c>
      <x:c r="M790" t="n">
        <x:v>174.1</x:v>
      </x:c>
      <x:c r="N790" t="n">
        <x:v>23.3</x:v>
      </x:c>
      <x:c r="O790" t="n">
        <x:v>82.5</x:v>
      </x:c>
      <x:c r="P790" t="str">
        <x:v>Stormy</x:v>
      </x:c>
      <x:c r="Q790" t="n">
        <x:v>71</x:v>
      </x:c>
      <x:c r="R790" t="n">
        <x:v>61.1</x:v>
      </x:c>
      <x:c r="S790" t="n">
        <x:v>0.0743</x:v>
      </x:c>
      <x:c r="T790" t="n">
        <x:v>13</x:v>
      </x:c>
      <x:c r="U790" t="n">
        <x:v>2953.3</x:v>
      </x:c>
      <x:c r="V790" t="n">
        <x:v>1765</x:v>
      </x:c>
      <x:c r="W790" t="n">
        <x:v>31.5</x:v>
      </x:c>
    </x:row>
    <x:row r="791">
      <x:c r="A791" t="str">
        <x:v>PJT_790</x:v>
      </x:c>
      <x:c r="B791" t="str">
        <x:v>Marine</x:v>
      </x:c>
      <x:c r="C791" t="n">
        <x:v>8370</x:v>
      </x:c>
      <x:c r="D791" t="n">
        <x:v>3</x:v>
      </x:c>
      <x:c r="E791" t="str">
        <x:v>Low</x:v>
      </x:c>
      <x:c r="F791" t="str">
        <x:v>School</x:v>
      </x:c>
      <x:c r="G791" t="str">
        <x:v>RC Frame</x:v>
      </x:c>
      <x:c r="H791" t="str">
        <x:v>Raft</x:v>
      </x:c>
      <x:c r="I791" t="str">
        <x:v>Sand</x:v>
      </x:c>
      <x:c r="J791" t="str">
        <x:v>Medium</x:v>
      </x:c>
      <x:c r="K791" t="n">
        <x:v>13986270</x:v>
      </x:c>
      <x:c r="L791" t="n">
        <x:v>240</x:v>
      </x:c>
      <x:c r="M791" t="n">
        <x:v>304.4</x:v>
      </x:c>
      <x:c r="N791" t="n">
        <x:v>12.4</x:v>
      </x:c>
      <x:c r="O791" t="n">
        <x:v>80.4</x:v>
      </x:c>
      <x:c r="P791" t="str">
        <x:v>Rainy</x:v>
      </x:c>
      <x:c r="Q791" t="n">
        <x:v>75</x:v>
      </x:c>
      <x:c r="R791" t="n">
        <x:v>64.1</x:v>
      </x:c>
      <x:c r="S791" t="n">
        <x:v>0.0771</x:v>
      </x:c>
      <x:c r="T791" t="n">
        <x:v>13.9</x:v>
      </x:c>
      <x:c r="U791" t="n">
        <x:v>2790</x:v>
      </x:c>
      <x:c r="V791" t="n">
        <x:v>1671</x:v>
      </x:c>
      <x:c r="W791" t="n">
        <x:v>28.7</x:v>
      </x:c>
    </x:row>
    <x:row r="792">
      <x:c r="A792" t="str">
        <x:v>PJT_791</x:v>
      </x:c>
      <x:c r="B792" t="str">
        <x:v>Marine</x:v>
      </x:c>
      <x:c r="C792" t="n">
        <x:v>17190</x:v>
      </x:c>
      <x:c r="D792" t="n">
        <x:v>10</x:v>
      </x:c>
      <x:c r="E792" t="str">
        <x:v>Medium</x:v>
      </x:c>
      <x:c r="F792" t="str">
        <x:v>Commercial</x:v>
      </x:c>
      <x:c r="G792" t="str">
        <x:v>Steel</x:v>
      </x:c>
      <x:c r="H792" t="str">
        <x:v>Piles</x:v>
      </x:c>
      <x:c r="I792" t="str">
        <x:v>Soft Clay</x:v>
      </x:c>
      <x:c r="J792" t="str">
        <x:v>High</x:v>
      </x:c>
      <x:c r="K792" t="n">
        <x:v>43954830</x:v>
      </x:c>
      <x:c r="L792" t="n">
        <x:v>839</x:v>
      </x:c>
      <x:c r="M792" t="n">
        <x:v>178.1</x:v>
      </x:c>
      <x:c r="N792" t="n">
        <x:v>15.3</x:v>
      </x:c>
      <x:c r="O792" t="n">
        <x:v>81.9</x:v>
      </x:c>
      <x:c r="P792" t="str">
        <x:v>Stormy</x:v>
      </x:c>
      <x:c r="Q792" t="n">
        <x:v>96</x:v>
      </x:c>
      <x:c r="R792" t="n">
        <x:v>77.4</x:v>
      </x:c>
      <x:c r="S792" t="n">
        <x:v>0.0985</x:v>
      </x:c>
      <x:c r="T792" t="n">
        <x:v>16.3</x:v>
      </x:c>
      <x:c r="U792" t="n">
        <x:v>1719</x:v>
      </x:c>
      <x:c r="V792" t="n">
        <x:v>2557</x:v>
      </x:c>
      <x:c r="W792" t="n">
        <x:v>48.8</x:v>
      </x:c>
    </x:row>
    <x:row r="793">
      <x:c r="A793" t="str">
        <x:v>PJT_792</x:v>
      </x:c>
      <x:c r="B793" t="str">
        <x:v>Marine</x:v>
      </x:c>
      <x:c r="C793" t="n">
        <x:v>7910</x:v>
      </x:c>
      <x:c r="D793" t="n">
        <x:v>3</x:v>
      </x:c>
      <x:c r="E793" t="str">
        <x:v>Low</x:v>
      </x:c>
      <x:c r="F793" t="str">
        <x:v>School</x:v>
      </x:c>
      <x:c r="G793" t="str">
        <x:v>Steel</x:v>
      </x:c>
      <x:c r="H793" t="str">
        <x:v>Raft</x:v>
      </x:c>
      <x:c r="I793" t="str">
        <x:v>Rock</x:v>
      </x:c>
      <x:c r="J793" t="str">
        <x:v>High</x:v>
      </x:c>
      <x:c r="K793" t="n">
        <x:v>15899100</x:v>
      </x:c>
      <x:c r="L793" t="n">
        <x:v>285</x:v>
      </x:c>
      <x:c r="M793" t="n">
        <x:v>665.7</x:v>
      </x:c>
      <x:c r="N793" t="n">
        <x:v>12.2</x:v>
      </x:c>
      <x:c r="O793" t="n">
        <x:v>86.2</x:v>
      </x:c>
      <x:c r="P793" t="str">
        <x:v>Stormy</x:v>
      </x:c>
      <x:c r="Q793" t="n">
        <x:v>74</x:v>
      </x:c>
      <x:c r="R793" t="n">
        <x:v>69</x:v>
      </x:c>
      <x:c r="S793" t="n">
        <x:v>0.0854</x:v>
      </x:c>
      <x:c r="T793" t="n">
        <x:v>13.6</x:v>
      </x:c>
      <x:c r="U793" t="n">
        <x:v>2636.7</x:v>
      </x:c>
      <x:c r="V793" t="n">
        <x:v>2010</x:v>
      </x:c>
      <x:c r="W793" t="n">
        <x:v>36</x:v>
      </x:c>
    </x:row>
    <x:row r="794">
      <x:c r="A794" t="str">
        <x:v>PJT_793</x:v>
      </x:c>
      <x:c r="B794" t="str">
        <x:v>Marine</x:v>
      </x:c>
      <x:c r="C794" t="n">
        <x:v>14080</x:v>
      </x:c>
      <x:c r="D794" t="n">
        <x:v>10</x:v>
      </x:c>
      <x:c r="E794" t="str">
        <x:v>Medium</x:v>
      </x:c>
      <x:c r="F794" t="str">
        <x:v>Commercial</x:v>
      </x:c>
      <x:c r="G794" t="str">
        <x:v>RC Frame</x:v>
      </x:c>
      <x:c r="H794" t="str">
        <x:v>Piles</x:v>
      </x:c>
      <x:c r="I794" t="str">
        <x:v>Soft Clay</x:v>
      </x:c>
      <x:c r="J794" t="str">
        <x:v>Medium</x:v>
      </x:c>
      <x:c r="K794" t="n">
        <x:v>32806400</x:v>
      </x:c>
      <x:c r="L794" t="n">
        <x:v>636</x:v>
      </x:c>
      <x:c r="M794" t="n">
        <x:v>233.1</x:v>
      </x:c>
      <x:c r="N794" t="n">
        <x:v>7.6</x:v>
      </x:c>
      <x:c r="O794" t="n">
        <x:v>84.8</x:v>
      </x:c>
      <x:c r="P794" t="str">
        <x:v>Rainy</x:v>
      </x:c>
      <x:c r="Q794" t="n">
        <x:v>104</x:v>
      </x:c>
      <x:c r="R794" t="n">
        <x:v>74.1</x:v>
      </x:c>
      <x:c r="S794" t="n">
        <x:v>0.0906</x:v>
      </x:c>
      <x:c r="T794" t="n">
        <x:v>16.5</x:v>
      </x:c>
      <x:c r="U794" t="n">
        <x:v>1408</x:v>
      </x:c>
      <x:c r="V794" t="n">
        <x:v>2330</x:v>
      </x:c>
      <x:c r="W794" t="n">
        <x:v>45.2</x:v>
      </x:c>
    </x:row>
    <x:row r="795">
      <x:c r="A795" t="str">
        <x:v>PJT_794</x:v>
      </x:c>
      <x:c r="B795" t="str">
        <x:v>Continental</x:v>
      </x:c>
      <x:c r="C795" t="n">
        <x:v>31200</x:v>
      </x:c>
      <x:c r="D795" t="n">
        <x:v>21</x:v>
      </x:c>
      <x:c r="E795" t="str">
        <x:v>High</x:v>
      </x:c>
      <x:c r="F795" t="str">
        <x:v>Mixed-use</x:v>
      </x:c>
      <x:c r="G795" t="str">
        <x:v>Steel</x:v>
      </x:c>
      <x:c r="H795" t="str">
        <x:v>Piles</x:v>
      </x:c>
      <x:c r="I795" t="str">
        <x:v>Mixed</x:v>
      </x:c>
      <x:c r="J795" t="str">
        <x:v>Low</x:v>
      </x:c>
      <x:c r="K795" t="n">
        <x:v>86580000</x:v>
      </x:c>
      <x:c r="L795" t="n">
        <x:v>1760</x:v>
      </x:c>
      <x:c r="M795" t="n">
        <x:v>341.3</x:v>
      </x:c>
      <x:c r="N795" t="n">
        <x:v>8.3</x:v>
      </x:c>
      <x:c r="O795" t="n">
        <x:v>84.2</x:v>
      </x:c>
      <x:c r="P795" t="str">
        <x:v>Rainy</x:v>
      </x:c>
      <x:c r="Q795" t="n">
        <x:v>110</x:v>
      </x:c>
      <x:c r="R795" t="n">
        <x:v>90.9</x:v>
      </x:c>
      <x:c r="S795" t="n">
        <x:v>0.1076</x:v>
      </x:c>
      <x:c r="T795" t="n">
        <x:v>19.7</x:v>
      </x:c>
      <x:c r="U795" t="n">
        <x:v>1485.7</x:v>
      </x:c>
      <x:c r="V795" t="n">
        <x:v>2775</x:v>
      </x:c>
      <x:c r="W795" t="n">
        <x:v>56.4</x:v>
      </x:c>
    </x:row>
    <x:row r="796">
      <x:c r="A796" t="str">
        <x:v>PJT_795</x:v>
      </x:c>
      <x:c r="B796" t="str">
        <x:v>Continental</x:v>
      </x:c>
      <x:c r="C796" t="n">
        <x:v>28770</x:v>
      </x:c>
      <x:c r="D796" t="n">
        <x:v>18</x:v>
      </x:c>
      <x:c r="E796" t="str">
        <x:v>Medium</x:v>
      </x:c>
      <x:c r="F796" t="str">
        <x:v>Mixed-use</x:v>
      </x:c>
      <x:c r="G796" t="str">
        <x:v>Steel</x:v>
      </x:c>
      <x:c r="H796" t="str">
        <x:v>Piles</x:v>
      </x:c>
      <x:c r="I796" t="str">
        <x:v>Mixed</x:v>
      </x:c>
      <x:c r="J796" t="str">
        <x:v>Low</x:v>
      </x:c>
      <x:c r="K796" t="n">
        <x:v>75233550</x:v>
      </x:c>
      <x:c r="L796" t="n">
        <x:v>1410</x:v>
      </x:c>
      <x:c r="M796" t="n">
        <x:v>323.5</x:v>
      </x:c>
      <x:c r="N796" t="n">
        <x:v>18.1</x:v>
      </x:c>
      <x:c r="O796" t="n">
        <x:v>59.4</x:v>
      </x:c>
      <x:c r="P796" t="str">
        <x:v>Cloudy</x:v>
      </x:c>
      <x:c r="Q796" t="n">
        <x:v>77</x:v>
      </x:c>
      <x:c r="R796" t="n">
        <x:v>80.6</x:v>
      </x:c>
      <x:c r="S796" t="n">
        <x:v>0.106</x:v>
      </x:c>
      <x:c r="T796" t="n">
        <x:v>18.7</x:v>
      </x:c>
      <x:c r="U796" t="n">
        <x:v>1598.3</x:v>
      </x:c>
      <x:c r="V796" t="n">
        <x:v>2615</x:v>
      </x:c>
      <x:c r="W796" t="n">
        <x:v>49</x:v>
      </x:c>
    </x:row>
    <x:row r="797">
      <x:c r="A797" t="str">
        <x:v>PJT_796</x:v>
      </x:c>
      <x:c r="B797" t="str">
        <x:v>Mediterranean</x:v>
      </x:c>
      <x:c r="C797" t="n">
        <x:v>20630</x:v>
      </x:c>
      <x:c r="D797" t="n">
        <x:v>12</x:v>
      </x:c>
      <x:c r="E797" t="str">
        <x:v>Medium</x:v>
      </x:c>
      <x:c r="F797" t="str">
        <x:v>Mixed-use</x:v>
      </x:c>
      <x:c r="G797" t="str">
        <x:v>Steel</x:v>
      </x:c>
      <x:c r="H797" t="str">
        <x:v>Raft</x:v>
      </x:c>
      <x:c r="I797" t="str">
        <x:v>Rock</x:v>
      </x:c>
      <x:c r="J797" t="str">
        <x:v>High</x:v>
      </x:c>
      <x:c r="K797" t="n">
        <x:v>53163510</x:v>
      </x:c>
      <x:c r="L797" t="n">
        <x:v>978</x:v>
      </x:c>
      <x:c r="M797" t="n">
        <x:v>649.6</x:v>
      </x:c>
      <x:c r="N797" t="n">
        <x:v>22.8</x:v>
      </x:c>
      <x:c r="O797" t="n">
        <x:v>57</x:v>
      </x:c>
      <x:c r="P797" t="str">
        <x:v>Sunny</x:v>
      </x:c>
      <x:c r="Q797" t="n">
        <x:v>86</x:v>
      </x:c>
      <x:c r="R797" t="n">
        <x:v>84.8</x:v>
      </x:c>
      <x:c r="S797" t="n">
        <x:v>0.1016</x:v>
      </x:c>
      <x:c r="T797" t="n">
        <x:v>18</x:v>
      </x:c>
      <x:c r="U797" t="n">
        <x:v>1719.2</x:v>
      </x:c>
      <x:c r="V797" t="n">
        <x:v>2577</x:v>
      </x:c>
      <x:c r="W797" t="n">
        <x:v>47.4</x:v>
      </x:c>
    </x:row>
    <x:row r="798">
      <x:c r="A798" t="str">
        <x:v>PJT_797</x:v>
      </x:c>
      <x:c r="B798" t="str">
        <x:v>Marine</x:v>
      </x:c>
      <x:c r="C798" t="n">
        <x:v>6250</x:v>
      </x:c>
      <x:c r="D798" t="n">
        <x:v>6</x:v>
      </x:c>
      <x:c r="E798" t="str">
        <x:v>Low</x:v>
      </x:c>
      <x:c r="F798" t="str">
        <x:v>Residential</x:v>
      </x:c>
      <x:c r="G798" t="str">
        <x:v>RC Frame</x:v>
      </x:c>
      <x:c r="H798" t="str">
        <x:v>Raft</x:v>
      </x:c>
      <x:c r="I798" t="str">
        <x:v>Rock</x:v>
      </x:c>
      <x:c r="J798" t="str">
        <x:v>High</x:v>
      </x:c>
      <x:c r="K798" t="n">
        <x:v>9093750</x:v>
      </x:c>
      <x:c r="L798" t="n">
        <x:v>220</x:v>
      </x:c>
      <x:c r="M798" t="n">
        <x:v>649.6</x:v>
      </x:c>
      <x:c r="N798" t="n">
        <x:v>9.4</x:v>
      </x:c>
      <x:c r="O798" t="n">
        <x:v>84.8</x:v>
      </x:c>
      <x:c r="P798" t="str">
        <x:v>Stormy</x:v>
      </x:c>
      <x:c r="Q798" t="n">
        <x:v>62</x:v>
      </x:c>
      <x:c r="R798" t="n">
        <x:v>59.9</x:v>
      </x:c>
      <x:c r="S798" t="n">
        <x:v>0.076</x:v>
      </x:c>
      <x:c r="T798" t="n">
        <x:v>11.2</x:v>
      </x:c>
      <x:c r="U798" t="n">
        <x:v>1041.7</x:v>
      </x:c>
      <x:c r="V798" t="n">
        <x:v>1455</x:v>
      </x:c>
      <x:c r="W798" t="n">
        <x:v>35.2</x:v>
      </x:c>
    </x:row>
    <x:row r="799">
      <x:c r="A799" t="str">
        <x:v>PJT_798</x:v>
      </x:c>
      <x:c r="B799" t="str">
        <x:v>Humid Subtropical</x:v>
      </x:c>
      <x:c r="C799" t="n">
        <x:v>23340</x:v>
      </x:c>
      <x:c r="D799" t="n">
        <x:v>17</x:v>
      </x:c>
      <x:c r="E799" t="str">
        <x:v>Medium</x:v>
      </x:c>
      <x:c r="F799" t="str">
        <x:v>Mixed-use</x:v>
      </x:c>
      <x:c r="G799" t="str">
        <x:v>Steel</x:v>
      </x:c>
      <x:c r="H799" t="str">
        <x:v>Piles</x:v>
      </x:c>
      <x:c r="I799" t="str">
        <x:v>Mixed</x:v>
      </x:c>
      <x:c r="J799" t="str">
        <x:v>Medium</x:v>
      </x:c>
      <x:c r="K799" t="n">
        <x:v>66402300</x:v>
      </x:c>
      <x:c r="L799" t="n">
        <x:v>1132</x:v>
      </x:c>
      <x:c r="M799" t="n">
        <x:v>406.1</x:v>
      </x:c>
      <x:c r="N799" t="n">
        <x:v>29.3</x:v>
      </x:c>
      <x:c r="O799" t="n">
        <x:v>63.7</x:v>
      </x:c>
      <x:c r="P799" t="str">
        <x:v>Sunny</x:v>
      </x:c>
      <x:c r="Q799" t="n">
        <x:v>107</x:v>
      </x:c>
      <x:c r="R799" t="n">
        <x:v>80.5</x:v>
      </x:c>
      <x:c r="S799" t="n">
        <x:v>0.1042</x:v>
      </x:c>
      <x:c r="T799" t="n">
        <x:v>18.4</x:v>
      </x:c>
      <x:c r="U799" t="n">
        <x:v>1372.9</x:v>
      </x:c>
      <x:c r="V799" t="n">
        <x:v>2845</x:v>
      </x:c>
      <x:c r="W799" t="n">
        <x:v>48.5</x:v>
      </x:c>
    </x:row>
    <x:row r="800">
      <x:c r="A800" t="str">
        <x:v>PJT_799</x:v>
      </x:c>
      <x:c r="B800" t="str">
        <x:v>Continental</x:v>
      </x:c>
      <x:c r="C800" t="n">
        <x:v>8950</x:v>
      </x:c>
      <x:c r="D800" t="n">
        <x:v>6</x:v>
      </x:c>
      <x:c r="E800" t="str">
        <x:v>Medium</x:v>
      </x:c>
      <x:c r="F800" t="str">
        <x:v>Commercial</x:v>
      </x:c>
      <x:c r="G800" t="str">
        <x:v>RC Frame</x:v>
      </x:c>
      <x:c r="H800" t="str">
        <x:v>Raft</x:v>
      </x:c>
      <x:c r="I800" t="str">
        <x:v>Soft Clay</x:v>
      </x:c>
      <x:c r="J800" t="str">
        <x:v>Medium</x:v>
      </x:c>
      <x:c r="K800" t="n">
        <x:v>18750250</x:v>
      </x:c>
      <x:c r="L800" t="n">
        <x:v>328</x:v>
      </x:c>
      <x:c r="M800" t="n">
        <x:v>173.1</x:v>
      </x:c>
      <x:c r="N800" t="n">
        <x:v>9.6</x:v>
      </x:c>
      <x:c r="O800" t="n">
        <x:v>59.1</x:v>
      </x:c>
      <x:c r="P800" t="str">
        <x:v>Sunny</x:v>
      </x:c>
      <x:c r="Q800" t="n">
        <x:v>83</x:v>
      </x:c>
      <x:c r="R800" t="n">
        <x:v>77.4</x:v>
      </x:c>
      <x:c r="S800" t="n">
        <x:v>0.0925</x:v>
      </x:c>
      <x:c r="T800" t="n">
        <x:v>16.2</x:v>
      </x:c>
      <x:c r="U800" t="n">
        <x:v>1491.7</x:v>
      </x:c>
      <x:c r="V800" t="n">
        <x:v>2095</x:v>
      </x:c>
      <x:c r="W800" t="n">
        <x:v>36.7</x:v>
      </x:c>
    </x:row>
    <x:row r="801">
      <x:c r="A801" t="str">
        <x:v>PJT_800</x:v>
      </x:c>
      <x:c r="B801" t="str">
        <x:v>Mediterranean</x:v>
      </x:c>
      <x:c r="C801" t="n">
        <x:v>30680</x:v>
      </x:c>
      <x:c r="D801" t="n">
        <x:v>24</x:v>
      </x:c>
      <x:c r="E801" t="str">
        <x:v>High</x:v>
      </x:c>
      <x:c r="F801" t="str">
        <x:v>Mixed-use</x:v>
      </x:c>
      <x:c r="G801" t="str">
        <x:v>Steel</x:v>
      </x:c>
      <x:c r="H801" t="str">
        <x:v>Piles</x:v>
      </x:c>
      <x:c r="I801" t="str">
        <x:v>Mixed</x:v>
      </x:c>
      <x:c r="J801" t="str">
        <x:v>High</x:v>
      </x:c>
      <x:c r="K801" t="n">
        <x:v>90107160</x:v>
      </x:c>
      <x:c r="L801" t="n">
        <x:v>1675</x:v>
      </x:c>
      <x:c r="M801" t="n">
        <x:v>312.4</x:v>
      </x:c>
      <x:c r="N801" t="n">
        <x:v>30.1</x:v>
      </x:c>
      <x:c r="O801" t="n">
        <x:v>49.5</x:v>
      </x:c>
      <x:c r="P801" t="str">
        <x:v>Sunny</x:v>
      </x:c>
      <x:c r="Q801" t="n">
        <x:v>78</x:v>
      </x:c>
      <x:c r="R801" t="n">
        <x:v>85</x:v>
      </x:c>
      <x:c r="S801" t="n">
        <x:v>0.1031</x:v>
      </x:c>
      <x:c r="T801" t="n">
        <x:v>19.7</x:v>
      </x:c>
      <x:c r="U801" t="n">
        <x:v>1278.3</x:v>
      </x:c>
      <x:c r="V801" t="n">
        <x:v>2937</x:v>
      </x:c>
      <x:c r="W801" t="n">
        <x:v>54.6</x:v>
      </x:c>
    </x:row>
    <x:row r="802">
      <x:c r="A802" t="str">
        <x:v>PJT_801</x:v>
      </x:c>
      <x:c r="B802" t="str">
        <x:v>Continental</x:v>
      </x:c>
      <x:c r="C802" t="n">
        <x:v>15880</x:v>
      </x:c>
      <x:c r="D802" t="n">
        <x:v>9</x:v>
      </x:c>
      <x:c r="E802" t="str">
        <x:v>Medium</x:v>
      </x:c>
      <x:c r="F802" t="str">
        <x:v>Hospital</x:v>
      </x:c>
      <x:c r="G802" t="str">
        <x:v>Steel</x:v>
      </x:c>
      <x:c r="H802" t="str">
        <x:v>Raft</x:v>
      </x:c>
      <x:c r="I802" t="str">
        <x:v>Mixed</x:v>
      </x:c>
      <x:c r="J802" t="str">
        <x:v>Low</x:v>
      </x:c>
      <x:c r="K802" t="n">
        <x:v>48592800</x:v>
      </x:c>
      <x:c r="L802" t="n">
        <x:v>769</x:v>
      </x:c>
      <x:c r="M802" t="n">
        <x:v>323.3</x:v>
      </x:c>
      <x:c r="N802" t="n">
        <x:v>21.2</x:v>
      </x:c>
      <x:c r="O802" t="n">
        <x:v>61.3</x:v>
      </x:c>
      <x:c r="P802" t="str">
        <x:v>Sunny</x:v>
      </x:c>
      <x:c r="Q802" t="n">
        <x:v>80</x:v>
      </x:c>
      <x:c r="R802" t="n">
        <x:v>78.1</x:v>
      </x:c>
      <x:c r="S802" t="n">
        <x:v>0.1092</x:v>
      </x:c>
      <x:c r="T802" t="n">
        <x:v>21.2</x:v>
      </x:c>
      <x:c r="U802" t="n">
        <x:v>1764.4</x:v>
      </x:c>
      <x:c r="V802" t="n">
        <x:v>3060</x:v>
      </x:c>
      <x:c r="W802" t="n">
        <x:v>48.4</x:v>
      </x:c>
    </x:row>
    <x:row r="803">
      <x:c r="A803" t="str">
        <x:v>PJT_802</x:v>
      </x:c>
      <x:c r="B803" t="str">
        <x:v>Mediterranean</x:v>
      </x:c>
      <x:c r="C803" t="n">
        <x:v>32800</x:v>
      </x:c>
      <x:c r="D803" t="n">
        <x:v>17</x:v>
      </x:c>
      <x:c r="E803" t="str">
        <x:v>Medium</x:v>
      </x:c>
      <x:c r="F803" t="str">
        <x:v>Commercial</x:v>
      </x:c>
      <x:c r="G803" t="str">
        <x:v>Steel</x:v>
      </x:c>
      <x:c r="H803" t="str">
        <x:v>Raft</x:v>
      </x:c>
      <x:c r="I803" t="str">
        <x:v>Rock</x:v>
      </x:c>
      <x:c r="J803" t="str">
        <x:v>Medium</x:v>
      </x:c>
      <x:c r="K803" t="n">
        <x:v>80720800</x:v>
      </x:c>
      <x:c r="L803" t="n">
        <x:v>1433</x:v>
      </x:c>
      <x:c r="M803" t="n">
        <x:v>655.4</x:v>
      </x:c>
      <x:c r="N803" t="n">
        <x:v>21.3</x:v>
      </x:c>
      <x:c r="O803" t="n">
        <x:v>58.6</x:v>
      </x:c>
      <x:c r="P803" t="str">
        <x:v>Sunny</x:v>
      </x:c>
      <x:c r="Q803" t="n">
        <x:v>74</x:v>
      </x:c>
      <x:c r="R803" t="n">
        <x:v>75</x:v>
      </x:c>
      <x:c r="S803" t="n">
        <x:v>0.095</x:v>
      </x:c>
      <x:c r="T803" t="n">
        <x:v>17.8</x:v>
      </x:c>
      <x:c r="U803" t="n">
        <x:v>1929.4</x:v>
      </x:c>
      <x:c r="V803" t="n">
        <x:v>2461</x:v>
      </x:c>
      <x:c r="W803" t="n">
        <x:v>43.7</x:v>
      </x:c>
    </x:row>
    <x:row r="804">
      <x:c r="A804" t="str">
        <x:v>PJT_803</x:v>
      </x:c>
      <x:c r="B804" t="str">
        <x:v>Mediterranean</x:v>
      </x:c>
      <x:c r="C804" t="n">
        <x:v>19130</x:v>
      </x:c>
      <x:c r="D804" t="n">
        <x:v>20</x:v>
      </x:c>
      <x:c r="E804" t="str">
        <x:v>Medium</x:v>
      </x:c>
      <x:c r="F804" t="str">
        <x:v>Mixed-use</x:v>
      </x:c>
      <x:c r="G804" t="str">
        <x:v>Steel</x:v>
      </x:c>
      <x:c r="H804" t="str">
        <x:v>Piles</x:v>
      </x:c>
      <x:c r="I804" t="str">
        <x:v>Mixed</x:v>
      </x:c>
      <x:c r="J804" t="str">
        <x:v>Low</x:v>
      </x:c>
      <x:c r="K804" t="n">
        <x:v>52244030</x:v>
      </x:c>
      <x:c r="L804" t="n">
        <x:v>947</x:v>
      </x:c>
      <x:c r="M804" t="n">
        <x:v>424.6</x:v>
      </x:c>
      <x:c r="N804" t="n">
        <x:v>20.1</x:v>
      </x:c>
      <x:c r="O804" t="n">
        <x:v>47.3</x:v>
      </x:c>
      <x:c r="P804" t="str">
        <x:v>Sunny</x:v>
      </x:c>
      <x:c r="Q804" t="n">
        <x:v>80</x:v>
      </x:c>
      <x:c r="R804" t="n">
        <x:v>88.5</x:v>
      </x:c>
      <x:c r="S804" t="n">
        <x:v>0.0991</x:v>
      </x:c>
      <x:c r="T804" t="n">
        <x:v>18.2</x:v>
      </x:c>
      <x:c r="U804" t="n">
        <x:v>956.5</x:v>
      </x:c>
      <x:c r="V804" t="n">
        <x:v>2731</x:v>
      </x:c>
      <x:c r="W804" t="n">
        <x:v>49.5</x:v>
      </x:c>
    </x:row>
    <x:row r="805">
      <x:c r="A805" t="str">
        <x:v>PJT_804</x:v>
      </x:c>
      <x:c r="B805" t="str">
        <x:v>Marine</x:v>
      </x:c>
      <x:c r="C805" t="n">
        <x:v>13380</x:v>
      </x:c>
      <x:c r="D805" t="n">
        <x:v>17</x:v>
      </x:c>
      <x:c r="E805" t="str">
        <x:v>Medium</x:v>
      </x:c>
      <x:c r="F805" t="str">
        <x:v>Residential</x:v>
      </x:c>
      <x:c r="G805" t="str">
        <x:v>Shear Wall</x:v>
      </x:c>
      <x:c r="H805" t="str">
        <x:v>Raft</x:v>
      </x:c>
      <x:c r="I805" t="str">
        <x:v>Rock</x:v>
      </x:c>
      <x:c r="J805" t="str">
        <x:v>High</x:v>
      </x:c>
      <x:c r="K805" t="n">
        <x:v>23294580</x:v>
      </x:c>
      <x:c r="L805" t="n">
        <x:v>520</x:v>
      </x:c>
      <x:c r="M805" t="n">
        <x:v>611.1</x:v>
      </x:c>
      <x:c r="N805" t="n">
        <x:v>14.8</x:v>
      </x:c>
      <x:c r="O805" t="n">
        <x:v>69.4</x:v>
      </x:c>
      <x:c r="P805" t="str">
        <x:v>Cloudy</x:v>
      </x:c>
      <x:c r="Q805" t="n">
        <x:v>75</x:v>
      </x:c>
      <x:c r="R805" t="n">
        <x:v>69.3</x:v>
      </x:c>
      <x:c r="S805" t="n">
        <x:v>0.0827</x:v>
      </x:c>
      <x:c r="T805" t="n">
        <x:v>14.6</x:v>
      </x:c>
      <x:c r="U805" t="n">
        <x:v>787.1</x:v>
      </x:c>
      <x:c r="V805" t="n">
        <x:v>1741</x:v>
      </x:c>
      <x:c r="W805" t="n">
        <x:v>38.9</x:v>
      </x:c>
    </x:row>
    <x:row r="806">
      <x:c r="A806" t="str">
        <x:v>PJT_805</x:v>
      </x:c>
      <x:c r="B806" t="str">
        <x:v>Humid Subtropical</x:v>
      </x:c>
      <x:c r="C806" t="n">
        <x:v>32360</x:v>
      </x:c>
      <x:c r="D806" t="n">
        <x:v>16</x:v>
      </x:c>
      <x:c r="E806" t="str">
        <x:v>Medium</x:v>
      </x:c>
      <x:c r="F806" t="str">
        <x:v>Commercial</x:v>
      </x:c>
      <x:c r="G806" t="str">
        <x:v>Steel</x:v>
      </x:c>
      <x:c r="H806" t="str">
        <x:v>Piles</x:v>
      </x:c>
      <x:c r="I806" t="str">
        <x:v>Mixed</x:v>
      </x:c>
      <x:c r="J806" t="str">
        <x:v>Medium</x:v>
      </x:c>
      <x:c r="K806" t="n">
        <x:v>85495120</x:v>
      </x:c>
      <x:c r="L806" t="n">
        <x:v>1540</x:v>
      </x:c>
      <x:c r="M806" t="n">
        <x:v>302.9</x:v>
      </x:c>
      <x:c r="N806" t="n">
        <x:v>23.1</x:v>
      </x:c>
      <x:c r="O806" t="n">
        <x:v>75</x:v>
      </x:c>
      <x:c r="P806" t="str">
        <x:v>Cloudy</x:v>
      </x:c>
      <x:c r="Q806" t="n">
        <x:v>75</x:v>
      </x:c>
      <x:c r="R806" t="n">
        <x:v>77.5</x:v>
      </x:c>
      <x:c r="S806" t="n">
        <x:v>0.0947</x:v>
      </x:c>
      <x:c r="T806" t="n">
        <x:v>17.3</x:v>
      </x:c>
      <x:c r="U806" t="n">
        <x:v>2022.5</x:v>
      </x:c>
      <x:c r="V806" t="n">
        <x:v>2642</x:v>
      </x:c>
      <x:c r="W806" t="n">
        <x:v>47.6</x:v>
      </x:c>
    </x:row>
    <x:row r="807">
      <x:c r="A807" t="str">
        <x:v>PJT_806</x:v>
      </x:c>
      <x:c r="B807" t="str">
        <x:v>Continental</x:v>
      </x:c>
      <x:c r="C807" t="n">
        <x:v>18530</x:v>
      </x:c>
      <x:c r="D807" t="n">
        <x:v>13</x:v>
      </x:c>
      <x:c r="E807" t="str">
        <x:v>Medium</x:v>
      </x:c>
      <x:c r="F807" t="str">
        <x:v>Mixed-use</x:v>
      </x:c>
      <x:c r="G807" t="str">
        <x:v>Steel</x:v>
      </x:c>
      <x:c r="H807" t="str">
        <x:v>Raft</x:v>
      </x:c>
      <x:c r="I807" t="str">
        <x:v>Mixed</x:v>
      </x:c>
      <x:c r="J807" t="str">
        <x:v>Low</x:v>
      </x:c>
      <x:c r="K807" t="n">
        <x:v>45231730</x:v>
      </x:c>
      <x:c r="L807" t="n">
        <x:v>819</x:v>
      </x:c>
      <x:c r="M807" t="n">
        <x:v>363.1</x:v>
      </x:c>
      <x:c r="N807" t="n">
        <x:v>17.1</x:v>
      </x:c>
      <x:c r="O807" t="n">
        <x:v>42.6</x:v>
      </x:c>
      <x:c r="P807" t="str">
        <x:v>Sunny</x:v>
      </x:c>
      <x:c r="Q807" t="n">
        <x:v>85</x:v>
      </x:c>
      <x:c r="R807" t="n">
        <x:v>77.8</x:v>
      </x:c>
      <x:c r="S807" t="n">
        <x:v>0.1013</x:v>
      </x:c>
      <x:c r="T807" t="n">
        <x:v>18</x:v>
      </x:c>
      <x:c r="U807" t="n">
        <x:v>1425.4</x:v>
      </x:c>
      <x:c r="V807" t="n">
        <x:v>2441</x:v>
      </x:c>
      <x:c r="W807" t="n">
        <x:v>44.2</x:v>
      </x:c>
    </x:row>
    <x:row r="808">
      <x:c r="A808" t="str">
        <x:v>PJT_807</x:v>
      </x:c>
      <x:c r="B808" t="str">
        <x:v>Marine</x:v>
      </x:c>
      <x:c r="C808" t="n">
        <x:v>24080</x:v>
      </x:c>
      <x:c r="D808" t="n">
        <x:v>11</x:v>
      </x:c>
      <x:c r="E808" t="str">
        <x:v>Medium</x:v>
      </x:c>
      <x:c r="F808" t="str">
        <x:v>Commercial</x:v>
      </x:c>
      <x:c r="G808" t="str">
        <x:v>RC Frame</x:v>
      </x:c>
      <x:c r="H808" t="str">
        <x:v>Raft</x:v>
      </x:c>
      <x:c r="I808" t="str">
        <x:v>Sand</x:v>
      </x:c>
      <x:c r="J808" t="str">
        <x:v>Medium</x:v>
      </x:c>
      <x:c r="K808" t="n">
        <x:v>54324480</x:v>
      </x:c>
      <x:c r="L808" t="n">
        <x:v>978</x:v>
      </x:c>
      <x:c r="M808" t="n">
        <x:v>303.9</x:v>
      </x:c>
      <x:c r="N808" t="n">
        <x:v>9.2</x:v>
      </x:c>
      <x:c r="O808" t="n">
        <x:v>62.2</x:v>
      </x:c>
      <x:c r="P808" t="str">
        <x:v>Cloudy</x:v>
      </x:c>
      <x:c r="Q808" t="n">
        <x:v>68</x:v>
      </x:c>
      <x:c r="R808" t="n">
        <x:v>81.1</x:v>
      </x:c>
      <x:c r="S808" t="n">
        <x:v>0.0875</x:v>
      </x:c>
      <x:c r="T808" t="n">
        <x:v>15.6</x:v>
      </x:c>
      <x:c r="U808" t="n">
        <x:v>2189.1</x:v>
      </x:c>
      <x:c r="V808" t="n">
        <x:v>2256</x:v>
      </x:c>
      <x:c r="W808" t="n">
        <x:v>40.6</x:v>
      </x:c>
    </x:row>
    <x:row r="809">
      <x:c r="A809" t="str">
        <x:v>PJT_808</x:v>
      </x:c>
      <x:c r="B809" t="str">
        <x:v>Humid Subtropical</x:v>
      </x:c>
      <x:c r="C809" t="n">
        <x:v>14700</x:v>
      </x:c>
      <x:c r="D809" t="n">
        <x:v>9</x:v>
      </x:c>
      <x:c r="E809" t="str">
        <x:v>Medium</x:v>
      </x:c>
      <x:c r="F809" t="str">
        <x:v>Commercial</x:v>
      </x:c>
      <x:c r="G809" t="str">
        <x:v>RC Frame</x:v>
      </x:c>
      <x:c r="H809" t="str">
        <x:v>Raft</x:v>
      </x:c>
      <x:c r="I809" t="str">
        <x:v>Mixed</x:v>
      </x:c>
      <x:c r="J809" t="str">
        <x:v>Low</x:v>
      </x:c>
      <x:c r="K809" t="n">
        <x:v>30340800</x:v>
      </x:c>
      <x:c r="L809" t="n">
        <x:v>562</x:v>
      </x:c>
      <x:c r="M809" t="n">
        <x:v>270.5</x:v>
      </x:c>
      <x:c r="N809" t="n">
        <x:v>25.8</x:v>
      </x:c>
      <x:c r="O809" t="n">
        <x:v>70.6</x:v>
      </x:c>
      <x:c r="P809" t="str">
        <x:v>Sunny</x:v>
      </x:c>
      <x:c r="Q809" t="n">
        <x:v>102</x:v>
      </x:c>
      <x:c r="R809" t="n">
        <x:v>79.3</x:v>
      </x:c>
      <x:c r="S809" t="n">
        <x:v>0.0879</x:v>
      </x:c>
      <x:c r="T809" t="n">
        <x:v>16.9</x:v>
      </x:c>
      <x:c r="U809" t="n">
        <x:v>1633.3</x:v>
      </x:c>
      <x:c r="V809" t="n">
        <x:v>2064</x:v>
      </x:c>
      <x:c r="W809" t="n">
        <x:v>38.2</x:v>
      </x:c>
    </x:row>
    <x:row r="810">
      <x:c r="A810" t="str">
        <x:v>PJT_809</x:v>
      </x:c>
      <x:c r="B810" t="str">
        <x:v>Humid Subtropical</x:v>
      </x:c>
      <x:c r="C810" t="n">
        <x:v>9710</x:v>
      </x:c>
      <x:c r="D810" t="n">
        <x:v>11</x:v>
      </x:c>
      <x:c r="E810" t="str">
        <x:v>Medium</x:v>
      </x:c>
      <x:c r="F810" t="str">
        <x:v>Residential</x:v>
      </x:c>
      <x:c r="G810" t="str">
        <x:v>Shear Wall</x:v>
      </x:c>
      <x:c r="H810" t="str">
        <x:v>Raft</x:v>
      </x:c>
      <x:c r="I810" t="str">
        <x:v>Sand</x:v>
      </x:c>
      <x:c r="J810" t="str">
        <x:v>High</x:v>
      </x:c>
      <x:c r="K810" t="n">
        <x:v>16701200</x:v>
      </x:c>
      <x:c r="L810" t="n">
        <x:v>382</x:v>
      </x:c>
      <x:c r="M810" t="n">
        <x:v>252.6</x:v>
      </x:c>
      <x:c r="N810" t="n">
        <x:v>27.5</x:v>
      </x:c>
      <x:c r="O810" t="n">
        <x:v>89.4</x:v>
      </x:c>
      <x:c r="P810" t="str">
        <x:v>Rainy</x:v>
      </x:c>
      <x:c r="Q810" t="n">
        <x:v>86</x:v>
      </x:c>
      <x:c r="R810" t="n">
        <x:v>73.6</x:v>
      </x:c>
      <x:c r="S810" t="n">
        <x:v>0.083</x:v>
      </x:c>
      <x:c r="T810" t="n">
        <x:v>13.5</x:v>
      </x:c>
      <x:c r="U810" t="n">
        <x:v>882.7</x:v>
      </x:c>
      <x:c r="V810" t="n">
        <x:v>1720</x:v>
      </x:c>
      <x:c r="W810" t="n">
        <x:v>39.3</x:v>
      </x:c>
    </x:row>
    <x:row r="811">
      <x:c r="A811" t="str">
        <x:v>PJT_810</x:v>
      </x:c>
      <x:c r="B811" t="str">
        <x:v>Humid Subtropical</x:v>
      </x:c>
      <x:c r="C811" t="n">
        <x:v>18830</x:v>
      </x:c>
      <x:c r="D811" t="n">
        <x:v>27</x:v>
      </x:c>
      <x:c r="E811" t="str">
        <x:v>Medium</x:v>
      </x:c>
      <x:c r="F811" t="str">
        <x:v>Residential</x:v>
      </x:c>
      <x:c r="G811" t="str">
        <x:v>RC Frame</x:v>
      </x:c>
      <x:c r="H811" t="str">
        <x:v>Piles</x:v>
      </x:c>
      <x:c r="I811" t="str">
        <x:v>Mixed</x:v>
      </x:c>
      <x:c r="J811" t="str">
        <x:v>Low</x:v>
      </x:c>
      <x:c r="K811" t="n">
        <x:v>29487780</x:v>
      </x:c>
      <x:c r="L811" t="n">
        <x:v>776</x:v>
      </x:c>
      <x:c r="M811" t="n">
        <x:v>388.3</x:v>
      </x:c>
      <x:c r="N811" t="n">
        <x:v>22.1</x:v>
      </x:c>
      <x:c r="O811" t="n">
        <x:v>78.9</x:v>
      </x:c>
      <x:c r="P811" t="str">
        <x:v>Cloudy</x:v>
      </x:c>
      <x:c r="Q811" t="n">
        <x:v>93</x:v>
      </x:c>
      <x:c r="R811" t="n">
        <x:v>74.5</x:v>
      </x:c>
      <x:c r="S811" t="n">
        <x:v>0.0778</x:v>
      </x:c>
      <x:c r="T811" t="n">
        <x:v>12.5</x:v>
      </x:c>
      <x:c r="U811" t="n">
        <x:v>697.4</x:v>
      </x:c>
      <x:c r="V811" t="n">
        <x:v>1566</x:v>
      </x:c>
      <x:c r="W811" t="n">
        <x:v>41.2</x:v>
      </x:c>
    </x:row>
    <x:row r="812">
      <x:c r="A812" t="str">
        <x:v>PJT_811</x:v>
      </x:c>
      <x:c r="B812" t="str">
        <x:v>Marine</x:v>
      </x:c>
      <x:c r="C812" t="n">
        <x:v>6860</x:v>
      </x:c>
      <x:c r="D812" t="n">
        <x:v>6</x:v>
      </x:c>
      <x:c r="E812" t="str">
        <x:v>Low</x:v>
      </x:c>
      <x:c r="F812" t="str">
        <x:v>Residential</x:v>
      </x:c>
      <x:c r="G812" t="str">
        <x:v>RC Frame</x:v>
      </x:c>
      <x:c r="H812" t="str">
        <x:v>Raft</x:v>
      </x:c>
      <x:c r="I812" t="str">
        <x:v>Rock</x:v>
      </x:c>
      <x:c r="J812" t="str">
        <x:v>High</x:v>
      </x:c>
      <x:c r="K812" t="n">
        <x:v>9700040</x:v>
      </x:c>
      <x:c r="L812" t="n">
        <x:v>233</x:v>
      </x:c>
      <x:c r="M812" t="n">
        <x:v>751.7</x:v>
      </x:c>
      <x:c r="N812" t="n">
        <x:v>9</x:v>
      </x:c>
      <x:c r="O812" t="n">
        <x:v>83.5</x:v>
      </x:c>
      <x:c r="P812" t="str">
        <x:v>Rainy</x:v>
      </x:c>
      <x:c r="Q812" t="n">
        <x:v>72</x:v>
      </x:c>
      <x:c r="R812" t="n">
        <x:v>60.6</x:v>
      </x:c>
      <x:c r="S812" t="n">
        <x:v>0.0717</x:v>
      </x:c>
      <x:c r="T812" t="n">
        <x:v>11.9</x:v>
      </x:c>
      <x:c r="U812" t="n">
        <x:v>1143.3</x:v>
      </x:c>
      <x:c r="V812" t="n">
        <x:v>1414</x:v>
      </x:c>
      <x:c r="W812" t="n">
        <x:v>33.9</x:v>
      </x:c>
    </x:row>
    <x:row r="813">
      <x:c r="A813" t="str">
        <x:v>PJT_812</x:v>
      </x:c>
      <x:c r="B813" t="str">
        <x:v>Mediterranean</x:v>
      </x:c>
      <x:c r="C813" t="n">
        <x:v>17190</x:v>
      </x:c>
      <x:c r="D813" t="n">
        <x:v>10</x:v>
      </x:c>
      <x:c r="E813" t="str">
        <x:v>Medium</x:v>
      </x:c>
      <x:c r="F813" t="str">
        <x:v>Commercial</x:v>
      </x:c>
      <x:c r="G813" t="str">
        <x:v>RC Frame</x:v>
      </x:c>
      <x:c r="H813" t="str">
        <x:v>Raft</x:v>
      </x:c>
      <x:c r="I813" t="str">
        <x:v>Sand</x:v>
      </x:c>
      <x:c r="J813" t="str">
        <x:v>Low</x:v>
      </x:c>
      <x:c r="K813" t="n">
        <x:v>36030240</x:v>
      </x:c>
      <x:c r="L813" t="n">
        <x:v>677</x:v>
      </x:c>
      <x:c r="M813" t="n">
        <x:v>261.9</x:v>
      </x:c>
      <x:c r="N813" t="n">
        <x:v>19.1</x:v>
      </x:c>
      <x:c r="O813" t="n">
        <x:v>60.1</x:v>
      </x:c>
      <x:c r="P813" t="str">
        <x:v>Sunny</x:v>
      </x:c>
      <x:c r="Q813" t="n">
        <x:v>83</x:v>
      </x:c>
      <x:c r="R813" t="n">
        <x:v>79.7</x:v>
      </x:c>
      <x:c r="S813" t="n">
        <x:v>0.0915</x:v>
      </x:c>
      <x:c r="T813" t="n">
        <x:v>17.3</x:v>
      </x:c>
      <x:c r="U813" t="n">
        <x:v>1719</x:v>
      </x:c>
      <x:c r="V813" t="n">
        <x:v>2096</x:v>
      </x:c>
      <x:c r="W813" t="n">
        <x:v>39.4</x:v>
      </x:c>
    </x:row>
    <x:row r="814">
      <x:c r="A814" t="str">
        <x:v>PJT_813</x:v>
      </x:c>
      <x:c r="B814" t="str">
        <x:v>Continental</x:v>
      </x:c>
      <x:c r="C814" t="n">
        <x:v>12400</x:v>
      </x:c>
      <x:c r="D814" t="n">
        <x:v>14</x:v>
      </x:c>
      <x:c r="E814" t="str">
        <x:v>Medium</x:v>
      </x:c>
      <x:c r="F814" t="str">
        <x:v>Residential</x:v>
      </x:c>
      <x:c r="G814" t="str">
        <x:v>Shear Wall</x:v>
      </x:c>
      <x:c r="H814" t="str">
        <x:v>Piles</x:v>
      </x:c>
      <x:c r="I814" t="str">
        <x:v>Soft Clay</x:v>
      </x:c>
      <x:c r="J814" t="str">
        <x:v>High</x:v>
      </x:c>
      <x:c r="K814" t="n">
        <x:v>21030400</x:v>
      </x:c>
      <x:c r="L814" t="n">
        <x:v>463</x:v>
      </x:c>
      <x:c r="M814" t="n">
        <x:v>195.1</x:v>
      </x:c>
      <x:c r="N814" t="n">
        <x:v>14.1</x:v>
      </x:c>
      <x:c r="O814" t="n">
        <x:v>59.9</x:v>
      </x:c>
      <x:c r="P814" t="str">
        <x:v>Sunny</x:v>
      </x:c>
      <x:c r="Q814" t="n">
        <x:v>75</x:v>
      </x:c>
      <x:c r="R814" t="n">
        <x:v>74.9</x:v>
      </x:c>
      <x:c r="S814" t="n">
        <x:v>0.0792</x:v>
      </x:c>
      <x:c r="T814" t="n">
        <x:v>12.6</x:v>
      </x:c>
      <x:c r="U814" t="n">
        <x:v>885.7</x:v>
      </x:c>
      <x:c r="V814" t="n">
        <x:v>1696</x:v>
      </x:c>
      <x:c r="W814" t="n">
        <x:v>37.3</x:v>
      </x:c>
    </x:row>
    <x:row r="815">
      <x:c r="A815" t="str">
        <x:v>PJT_814</x:v>
      </x:c>
      <x:c r="B815" t="str">
        <x:v>Continental</x:v>
      </x:c>
      <x:c r="C815" t="n">
        <x:v>21660</x:v>
      </x:c>
      <x:c r="D815" t="n">
        <x:v>11</x:v>
      </x:c>
      <x:c r="E815" t="str">
        <x:v>Medium</x:v>
      </x:c>
      <x:c r="F815" t="str">
        <x:v>Hospital</x:v>
      </x:c>
      <x:c r="G815" t="str">
        <x:v>Shear Wall</x:v>
      </x:c>
      <x:c r="H815" t="str">
        <x:v>Piles</x:v>
      </x:c>
      <x:c r="I815" t="str">
        <x:v>Mixed</x:v>
      </x:c>
      <x:c r="J815" t="str">
        <x:v>Medium</x:v>
      </x:c>
      <x:c r="K815" t="n">
        <x:v>65976360</x:v>
      </x:c>
      <x:c r="L815" t="n">
        <x:v>1083</x:v>
      </x:c>
      <x:c r="M815" t="n">
        <x:v>323.1</x:v>
      </x:c>
      <x:c r="N815" t="n">
        <x:v>14.2</x:v>
      </x:c>
      <x:c r="O815" t="n">
        <x:v>59.2</x:v>
      </x:c>
      <x:c r="P815" t="str">
        <x:v>Sunny</x:v>
      </x:c>
      <x:c r="Q815" t="n">
        <x:v>98</x:v>
      </x:c>
      <x:c r="R815" t="n">
        <x:v>86.1</x:v>
      </x:c>
      <x:c r="S815" t="n">
        <x:v>0.1086</x:v>
      </x:c>
      <x:c r="T815" t="n">
        <x:v>20.1</x:v>
      </x:c>
      <x:c r="U815" t="n">
        <x:v>1969.1</x:v>
      </x:c>
      <x:c r="V815" t="n">
        <x:v>3046</x:v>
      </x:c>
      <x:c r="W815" t="n">
        <x:v>50</x:v>
      </x:c>
    </x:row>
    <x:row r="816">
      <x:c r="A816" t="str">
        <x:v>PJT_815</x:v>
      </x:c>
      <x:c r="B816" t="str">
        <x:v>Mediterranean</x:v>
      </x:c>
      <x:c r="C816" t="n">
        <x:v>5360</x:v>
      </x:c>
      <x:c r="D816" t="n">
        <x:v>3</x:v>
      </x:c>
      <x:c r="E816" t="str">
        <x:v>Low</x:v>
      </x:c>
      <x:c r="F816" t="str">
        <x:v>School</x:v>
      </x:c>
      <x:c r="G816" t="str">
        <x:v>Steel</x:v>
      </x:c>
      <x:c r="H816" t="str">
        <x:v>Strip</x:v>
      </x:c>
      <x:c r="I816" t="str">
        <x:v>Rock</x:v>
      </x:c>
      <x:c r="J816" t="str">
        <x:v>High</x:v>
      </x:c>
      <x:c r="K816" t="n">
        <x:v>9739120</x:v>
      </x:c>
      <x:c r="L816" t="n">
        <x:v>180</x:v>
      </x:c>
      <x:c r="M816" t="n">
        <x:v>546.6</x:v>
      </x:c>
      <x:c r="N816" t="n">
        <x:v>10.6</x:v>
      </x:c>
      <x:c r="O816" t="n">
        <x:v>81.4</x:v>
      </x:c>
      <x:c r="P816" t="str">
        <x:v>Rainy</x:v>
      </x:c>
      <x:c r="Q816" t="n">
        <x:v>76</x:v>
      </x:c>
      <x:c r="R816" t="n">
        <x:v>65.3</x:v>
      </x:c>
      <x:c r="S816" t="n">
        <x:v>0.087</x:v>
      </x:c>
      <x:c r="T816" t="n">
        <x:v>13.4</x:v>
      </x:c>
      <x:c r="U816" t="n">
        <x:v>1786.7</x:v>
      </x:c>
      <x:c r="V816" t="n">
        <x:v>1817</x:v>
      </x:c>
      <x:c r="W816" t="n">
        <x:v>28.9</x:v>
      </x:c>
    </x:row>
    <x:row r="817">
      <x:c r="A817" t="str">
        <x:v>PJT_816</x:v>
      </x:c>
      <x:c r="B817" t="str">
        <x:v>Humid Subtropical</x:v>
      </x:c>
      <x:c r="C817" t="n">
        <x:v>16830</x:v>
      </x:c>
      <x:c r="D817" t="n">
        <x:v>15</x:v>
      </x:c>
      <x:c r="E817" t="str">
        <x:v>Medium</x:v>
      </x:c>
      <x:c r="F817" t="str">
        <x:v>Mixed-use</x:v>
      </x:c>
      <x:c r="G817" t="str">
        <x:v>Shear Wall</x:v>
      </x:c>
      <x:c r="H817" t="str">
        <x:v>Raft</x:v>
      </x:c>
      <x:c r="I817" t="str">
        <x:v>Rock</x:v>
      </x:c>
      <x:c r="J817" t="str">
        <x:v>High</x:v>
      </x:c>
      <x:c r="K817" t="n">
        <x:v>44262900</x:v>
      </x:c>
      <x:c r="L817" t="n">
        <x:v>756</x:v>
      </x:c>
      <x:c r="M817" t="n">
        <x:v>648.2</x:v>
      </x:c>
      <x:c r="N817" t="n">
        <x:v>26.1</x:v>
      </x:c>
      <x:c r="O817" t="n">
        <x:v>52.1</x:v>
      </x:c>
      <x:c r="P817" t="str">
        <x:v>Sunny</x:v>
      </x:c>
      <x:c r="Q817" t="n">
        <x:v>88</x:v>
      </x:c>
      <x:c r="R817" t="n">
        <x:v>83.3</x:v>
      </x:c>
      <x:c r="S817" t="n">
        <x:v>0.0992</x:v>
      </x:c>
      <x:c r="T817" t="n">
        <x:v>17.5</x:v>
      </x:c>
      <x:c r="U817" t="n">
        <x:v>1122</x:v>
      </x:c>
      <x:c r="V817" t="n">
        <x:v>2630</x:v>
      </x:c>
      <x:c r="W817" t="n">
        <x:v>44.9</x:v>
      </x:c>
    </x:row>
    <x:row r="818">
      <x:c r="A818" t="str">
        <x:v>PJT_817</x:v>
      </x:c>
      <x:c r="B818" t="str">
        <x:v>Continental</x:v>
      </x:c>
      <x:c r="C818" t="n">
        <x:v>21810</x:v>
      </x:c>
      <x:c r="D818" t="n">
        <x:v>16</x:v>
      </x:c>
      <x:c r="E818" t="str">
        <x:v>Medium</x:v>
      </x:c>
      <x:c r="F818" t="str">
        <x:v>Mixed-use</x:v>
      </x:c>
      <x:c r="G818" t="str">
        <x:v>Steel</x:v>
      </x:c>
      <x:c r="H818" t="str">
        <x:v>Piles</x:v>
      </x:c>
      <x:c r="I818" t="str">
        <x:v>Sand</x:v>
      </x:c>
      <x:c r="J818" t="str">
        <x:v>Low</x:v>
      </x:c>
      <x:c r="K818" t="n">
        <x:v>55746360</x:v>
      </x:c>
      <x:c r="L818" t="n">
        <x:v>1184</x:v>
      </x:c>
      <x:c r="M818" t="n">
        <x:v>250.5</x:v>
      </x:c>
      <x:c r="N818" t="n">
        <x:v>17.1</x:v>
      </x:c>
      <x:c r="O818" t="n">
        <x:v>76.4</x:v>
      </x:c>
      <x:c r="P818" t="str">
        <x:v>Stormy</x:v>
      </x:c>
      <x:c r="Q818" t="n">
        <x:v>106</x:v>
      </x:c>
      <x:c r="R818" t="n">
        <x:v>80</x:v>
      </x:c>
      <x:c r="S818" t="n">
        <x:v>0.1057</x:v>
      </x:c>
      <x:c r="T818" t="n">
        <x:v>19.2</x:v>
      </x:c>
      <x:c r="U818" t="n">
        <x:v>1363.1</x:v>
      </x:c>
      <x:c r="V818" t="n">
        <x:v>2556</x:v>
      </x:c>
      <x:c r="W818" t="n">
        <x:v>54.3</x:v>
      </x:c>
    </x:row>
    <x:row r="819">
      <x:c r="A819" t="str">
        <x:v>PJT_818</x:v>
      </x:c>
      <x:c r="B819" t="str">
        <x:v>Continental</x:v>
      </x:c>
      <x:c r="C819" t="n">
        <x:v>26620</x:v>
      </x:c>
      <x:c r="D819" t="n">
        <x:v>12</x:v>
      </x:c>
      <x:c r="E819" t="str">
        <x:v>Medium</x:v>
      </x:c>
      <x:c r="F819" t="str">
        <x:v>Commercial</x:v>
      </x:c>
      <x:c r="G819" t="str">
        <x:v>RC Frame</x:v>
      </x:c>
      <x:c r="H819" t="str">
        <x:v>Raft</x:v>
      </x:c>
      <x:c r="I819" t="str">
        <x:v>Rock</x:v>
      </x:c>
      <x:c r="J819" t="str">
        <x:v>Low</x:v>
      </x:c>
      <x:c r="K819" t="n">
        <x:v>56221440</x:v>
      </x:c>
      <x:c r="L819" t="n">
        <x:v>1174</x:v>
      </x:c>
      <x:c r="M819" t="n">
        <x:v>757.2</x:v>
      </x:c>
      <x:c r="N819" t="n">
        <x:v>2.3</x:v>
      </x:c>
      <x:c r="O819" t="n">
        <x:v>67.4</x:v>
      </x:c>
      <x:c r="P819" t="str">
        <x:v>Rainy</x:v>
      </x:c>
      <x:c r="Q819" t="n">
        <x:v>98</x:v>
      </x:c>
      <x:c r="R819" t="n">
        <x:v>73.2</x:v>
      </x:c>
      <x:c r="S819" t="n">
        <x:v>0.0921</x:v>
      </x:c>
      <x:c r="T819" t="n">
        <x:v>15.8</x:v>
      </x:c>
      <x:c r="U819" t="n">
        <x:v>2218.3</x:v>
      </x:c>
      <x:c r="V819" t="n">
        <x:v>2112</x:v>
      </x:c>
      <x:c r="W819" t="n">
        <x:v>44.1</x:v>
      </x:c>
    </x:row>
    <x:row r="820">
      <x:c r="A820" t="str">
        <x:v>PJT_819</x:v>
      </x:c>
      <x:c r="B820" t="str">
        <x:v>Continental</x:v>
      </x:c>
      <x:c r="C820" t="n">
        <x:v>16820</x:v>
      </x:c>
      <x:c r="D820" t="n">
        <x:v>15</x:v>
      </x:c>
      <x:c r="E820" t="str">
        <x:v>Medium</x:v>
      </x:c>
      <x:c r="F820" t="str">
        <x:v>Residential</x:v>
      </x:c>
      <x:c r="G820" t="str">
        <x:v>RC Frame</x:v>
      </x:c>
      <x:c r="H820" t="str">
        <x:v>Piles</x:v>
      </x:c>
      <x:c r="I820" t="str">
        <x:v>Mixed</x:v>
      </x:c>
      <x:c r="J820" t="str">
        <x:v>Low</x:v>
      </x:c>
      <x:c r="K820" t="n">
        <x:v>23749840</x:v>
      </x:c>
      <x:c r="L820" t="n">
        <x:v>688</x:v>
      </x:c>
      <x:c r="M820" t="n">
        <x:v>368.3</x:v>
      </x:c>
      <x:c r="N820" t="n">
        <x:v>9.4</x:v>
      </x:c>
      <x:c r="O820" t="n">
        <x:v>85.7</x:v>
      </x:c>
      <x:c r="P820" t="str">
        <x:v>Rainy</x:v>
      </x:c>
      <x:c r="Q820" t="n">
        <x:v>80</x:v>
      </x:c>
      <x:c r="R820" t="n">
        <x:v>68.8</x:v>
      </x:c>
      <x:c r="S820" t="n">
        <x:v>0.0815</x:v>
      </x:c>
      <x:c r="T820" t="n">
        <x:v>12.9</x:v>
      </x:c>
      <x:c r="U820" t="n">
        <x:v>1121.3</x:v>
      </x:c>
      <x:c r="V820" t="n">
        <x:v>1412</x:v>
      </x:c>
      <x:c r="W820" t="n">
        <x:v>40.9</x:v>
      </x:c>
    </x:row>
    <x:row r="821">
      <x:c r="A821" t="str">
        <x:v>PJT_820</x:v>
      </x:c>
      <x:c r="B821" t="str">
        <x:v>Marine</x:v>
      </x:c>
      <x:c r="C821" t="n">
        <x:v>10450</x:v>
      </x:c>
      <x:c r="D821" t="n">
        <x:v>6</x:v>
      </x:c>
      <x:c r="E821" t="str">
        <x:v>Medium</x:v>
      </x:c>
      <x:c r="F821" t="str">
        <x:v>Commercial</x:v>
      </x:c>
      <x:c r="G821" t="str">
        <x:v>RC Frame</x:v>
      </x:c>
      <x:c r="H821" t="str">
        <x:v>Raft</x:v>
      </x:c>
      <x:c r="I821" t="str">
        <x:v>Soft Clay</x:v>
      </x:c>
      <x:c r="J821" t="str">
        <x:v>High</x:v>
      </x:c>
      <x:c r="K821" t="n">
        <x:v>23167650</x:v>
      </x:c>
      <x:c r="L821" t="n">
        <x:v>403</x:v>
      </x:c>
      <x:c r="M821" t="n">
        <x:v>196.2</x:v>
      </x:c>
      <x:c r="N821" t="n">
        <x:v>12.2</x:v>
      </x:c>
      <x:c r="O821" t="n">
        <x:v>70.4</x:v>
      </x:c>
      <x:c r="P821" t="str">
        <x:v>Cloudy</x:v>
      </x:c>
      <x:c r="Q821" t="n">
        <x:v>94</x:v>
      </x:c>
      <x:c r="R821" t="n">
        <x:v>78.9</x:v>
      </x:c>
      <x:c r="S821" t="n">
        <x:v>0.0931</x:v>
      </x:c>
      <x:c r="T821" t="n">
        <x:v>17.4</x:v>
      </x:c>
      <x:c r="U821" t="n">
        <x:v>1741.7</x:v>
      </x:c>
      <x:c r="V821" t="n">
        <x:v>2217</x:v>
      </x:c>
      <x:c r="W821" t="n">
        <x:v>38.6</x:v>
      </x:c>
    </x:row>
    <x:row r="822">
      <x:c r="A822" t="str">
        <x:v>PJT_821</x:v>
      </x:c>
      <x:c r="B822" t="str">
        <x:v>Continental</x:v>
      </x:c>
      <x:c r="C822" t="n">
        <x:v>21130</x:v>
      </x:c>
      <x:c r="D822" t="n">
        <x:v>19</x:v>
      </x:c>
      <x:c r="E822" t="str">
        <x:v>Medium</x:v>
      </x:c>
      <x:c r="F822" t="str">
        <x:v>Mixed-use</x:v>
      </x:c>
      <x:c r="G822" t="str">
        <x:v>Steel</x:v>
      </x:c>
      <x:c r="H822" t="str">
        <x:v>Piles</x:v>
      </x:c>
      <x:c r="I822" t="str">
        <x:v>Mixed</x:v>
      </x:c>
      <x:c r="J822" t="str">
        <x:v>Medium</x:v>
      </x:c>
      <x:c r="K822" t="n">
        <x:v>58170890</x:v>
      </x:c>
      <x:c r="L822" t="n">
        <x:v>1025</x:v>
      </x:c>
      <x:c r="M822" t="n">
        <x:v>329.5</x:v>
      </x:c>
      <x:c r="N822" t="n">
        <x:v>19.5</x:v>
      </x:c>
      <x:c r="O822" t="n">
        <x:v>49.1</x:v>
      </x:c>
      <x:c r="P822" t="str">
        <x:v>Sunny</x:v>
      </x:c>
      <x:c r="Q822" t="n">
        <x:v>90</x:v>
      </x:c>
      <x:c r="R822" t="n">
        <x:v>83.8</x:v>
      </x:c>
      <x:c r="S822" t="n">
        <x:v>0.0991</x:v>
      </x:c>
      <x:c r="T822" t="n">
        <x:v>19.1</x:v>
      </x:c>
      <x:c r="U822" t="n">
        <x:v>1112.1</x:v>
      </x:c>
      <x:c r="V822" t="n">
        <x:v>2753</x:v>
      </x:c>
      <x:c r="W822" t="n">
        <x:v>48.5</x:v>
      </x:c>
    </x:row>
    <x:row r="823">
      <x:c r="A823" t="str">
        <x:v>PJT_822</x:v>
      </x:c>
      <x:c r="B823" t="str">
        <x:v>Humid Subtropical</x:v>
      </x:c>
      <x:c r="C823" t="n">
        <x:v>7490</x:v>
      </x:c>
      <x:c r="D823" t="n">
        <x:v>3</x:v>
      </x:c>
      <x:c r="E823" t="str">
        <x:v>Low</x:v>
      </x:c>
      <x:c r="F823" t="str">
        <x:v>School</x:v>
      </x:c>
      <x:c r="G823" t="str">
        <x:v>Steel</x:v>
      </x:c>
      <x:c r="H823" t="str">
        <x:v>Piles</x:v>
      </x:c>
      <x:c r="I823" t="str">
        <x:v>Soft Clay</x:v>
      </x:c>
      <x:c r="J823" t="str">
        <x:v>High</x:v>
      </x:c>
      <x:c r="K823" t="n">
        <x:v>15729000</x:v>
      </x:c>
      <x:c r="L823" t="n">
        <x:v>250</x:v>
      </x:c>
      <x:c r="M823" t="n">
        <x:v>178.4</x:v>
      </x:c>
      <x:c r="N823" t="n">
        <x:v>31</x:v>
      </x:c>
      <x:c r="O823" t="n">
        <x:v>59.3</x:v>
      </x:c>
      <x:c r="P823" t="str">
        <x:v>Sunny</x:v>
      </x:c>
      <x:c r="Q823" t="n">
        <x:v>78</x:v>
      </x:c>
      <x:c r="R823" t="n">
        <x:v>65.8</x:v>
      </x:c>
      <x:c r="S823" t="n">
        <x:v>0.0859</x:v>
      </x:c>
      <x:c r="T823" t="n">
        <x:v>14.4</x:v>
      </x:c>
      <x:c r="U823" t="n">
        <x:v>2496.7</x:v>
      </x:c>
      <x:c r="V823" t="n">
        <x:v>2100</x:v>
      </x:c>
      <x:c r="W823" t="n">
        <x:v>33.4</x:v>
      </x:c>
    </x:row>
    <x:row r="824">
      <x:c r="A824" t="str">
        <x:v>PJT_823</x:v>
      </x:c>
      <x:c r="B824" t="str">
        <x:v>Continental</x:v>
      </x:c>
      <x:c r="C824" t="n">
        <x:v>14910</x:v>
      </x:c>
      <x:c r="D824" t="n">
        <x:v>11</x:v>
      </x:c>
      <x:c r="E824" t="str">
        <x:v>Medium</x:v>
      </x:c>
      <x:c r="F824" t="str">
        <x:v>Mixed-use</x:v>
      </x:c>
      <x:c r="G824" t="str">
        <x:v>Steel</x:v>
      </x:c>
      <x:c r="H824" t="str">
        <x:v>Raft</x:v>
      </x:c>
      <x:c r="I824" t="str">
        <x:v>Mixed</x:v>
      </x:c>
      <x:c r="J824" t="str">
        <x:v>Medium</x:v>
      </x:c>
      <x:c r="K824" t="n">
        <x:v>36589140</x:v>
      </x:c>
      <x:c r="L824" t="n">
        <x:v>751</x:v>
      </x:c>
      <x:c r="M824" t="n">
        <x:v>340.4</x:v>
      </x:c>
      <x:c r="N824" t="n">
        <x:v>5.5</x:v>
      </x:c>
      <x:c r="O824" t="n">
        <x:v>85.4</x:v>
      </x:c>
      <x:c r="P824" t="str">
        <x:v>Rainy</x:v>
      </x:c>
      <x:c r="Q824" t="n">
        <x:v>95</x:v>
      </x:c>
      <x:c r="R824" t="n">
        <x:v>74.9</x:v>
      </x:c>
      <x:c r="S824" t="n">
        <x:v>0.1013</x:v>
      </x:c>
      <x:c r="T824" t="n">
        <x:v>17.9</x:v>
      </x:c>
      <x:c r="U824" t="n">
        <x:v>1355.5</x:v>
      </x:c>
      <x:c r="V824" t="n">
        <x:v>2454</x:v>
      </x:c>
      <x:c r="W824" t="n">
        <x:v>50.4</x:v>
      </x:c>
    </x:row>
    <x:row r="825">
      <x:c r="A825" t="str">
        <x:v>PJT_824</x:v>
      </x:c>
      <x:c r="B825" t="str">
        <x:v>Continental</x:v>
      </x:c>
      <x:c r="C825" t="n">
        <x:v>12140</x:v>
      </x:c>
      <x:c r="D825" t="n">
        <x:v>20</x:v>
      </x:c>
      <x:c r="E825" t="str">
        <x:v>Medium</x:v>
      </x:c>
      <x:c r="F825" t="str">
        <x:v>Residential</x:v>
      </x:c>
      <x:c r="G825" t="str">
        <x:v>RC Frame</x:v>
      </x:c>
      <x:c r="H825" t="str">
        <x:v>Piles</x:v>
      </x:c>
      <x:c r="I825" t="str">
        <x:v>Mixed</x:v>
      </x:c>
      <x:c r="J825" t="str">
        <x:v>Low</x:v>
      </x:c>
      <x:c r="K825" t="n">
        <x:v>17372340</x:v>
      </x:c>
      <x:c r="L825" t="n">
        <x:v>461</x:v>
      </x:c>
      <x:c r="M825" t="n">
        <x:v>342.4</x:v>
      </x:c>
      <x:c r="N825" t="n">
        <x:v>9.9</x:v>
      </x:c>
      <x:c r="O825" t="n">
        <x:v>53.7</x:v>
      </x:c>
      <x:c r="P825" t="str">
        <x:v>Cloudy</x:v>
      </x:c>
      <x:c r="Q825" t="n">
        <x:v>71</x:v>
      </x:c>
      <x:c r="R825" t="n">
        <x:v>78</x:v>
      </x:c>
      <x:c r="S825" t="n">
        <x:v>0.0746</x:v>
      </x:c>
      <x:c r="T825" t="n">
        <x:v>12.9</x:v>
      </x:c>
      <x:c r="U825" t="n">
        <x:v>607</x:v>
      </x:c>
      <x:c r="V825" t="n">
        <x:v>1431</x:v>
      </x:c>
      <x:c r="W825" t="n">
        <x:v>38</x:v>
      </x:c>
    </x:row>
    <x:row r="826">
      <x:c r="A826" t="str">
        <x:v>PJT_825</x:v>
      </x:c>
      <x:c r="B826" t="str">
        <x:v>Continental</x:v>
      </x:c>
      <x:c r="C826" t="n">
        <x:v>23510</x:v>
      </x:c>
      <x:c r="D826" t="n">
        <x:v>18</x:v>
      </x:c>
      <x:c r="E826" t="str">
        <x:v>Medium</x:v>
      </x:c>
      <x:c r="F826" t="str">
        <x:v>Commercial</x:v>
      </x:c>
      <x:c r="G826" t="str">
        <x:v>Steel</x:v>
      </x:c>
      <x:c r="H826" t="str">
        <x:v>Piles</x:v>
      </x:c>
      <x:c r="I826" t="str">
        <x:v>Sand</x:v>
      </x:c>
      <x:c r="J826" t="str">
        <x:v>Low</x:v>
      </x:c>
      <x:c r="K826" t="n">
        <x:v>57340890</x:v>
      </x:c>
      <x:c r="L826" t="n">
        <x:v>1098</x:v>
      </x:c>
      <x:c r="M826" t="n">
        <x:v>281.8</x:v>
      </x:c>
      <x:c r="N826" t="n">
        <x:v>6.5</x:v>
      </x:c>
      <x:c r="O826" t="n">
        <x:v>54.4</x:v>
      </x:c>
      <x:c r="P826" t="str">
        <x:v>Cloudy</x:v>
      </x:c>
      <x:c r="Q826" t="n">
        <x:v>100</x:v>
      </x:c>
      <x:c r="R826" t="n">
        <x:v>83.5</x:v>
      </x:c>
      <x:c r="S826" t="n">
        <x:v>0.0971</x:v>
      </x:c>
      <x:c r="T826" t="n">
        <x:v>16.4</x:v>
      </x:c>
      <x:c r="U826" t="n">
        <x:v>1306.1</x:v>
      </x:c>
      <x:c r="V826" t="n">
        <x:v>2439</x:v>
      </x:c>
      <x:c r="W826" t="n">
        <x:v>46.7</x:v>
      </x:c>
    </x:row>
    <x:row r="827">
      <x:c r="A827" t="str">
        <x:v>PJT_826</x:v>
      </x:c>
      <x:c r="B827" t="str">
        <x:v>Continental</x:v>
      </x:c>
      <x:c r="C827" t="n">
        <x:v>10200</x:v>
      </x:c>
      <x:c r="D827" t="n">
        <x:v>7</x:v>
      </x:c>
      <x:c r="E827" t="str">
        <x:v>Medium</x:v>
      </x:c>
      <x:c r="F827" t="str">
        <x:v>Hospital</x:v>
      </x:c>
      <x:c r="G827" t="str">
        <x:v>Shear Wall</x:v>
      </x:c>
      <x:c r="H827" t="str">
        <x:v>Raft</x:v>
      </x:c>
      <x:c r="I827" t="str">
        <x:v>Sand</x:v>
      </x:c>
      <x:c r="J827" t="str">
        <x:v>High</x:v>
      </x:c>
      <x:c r="K827" t="n">
        <x:v>31487400</x:v>
      </x:c>
      <x:c r="L827" t="n">
        <x:v>515</x:v>
      </x:c>
      <x:c r="M827" t="n">
        <x:v>246.2</x:v>
      </x:c>
      <x:c r="N827" t="n">
        <x:v>19.3</x:v>
      </x:c>
      <x:c r="O827" t="n">
        <x:v>72.9</x:v>
      </x:c>
      <x:c r="P827" t="str">
        <x:v>Stormy</x:v>
      </x:c>
      <x:c r="Q827" t="n">
        <x:v>99</x:v>
      </x:c>
      <x:c r="R827" t="n">
        <x:v>79.4</x:v>
      </x:c>
      <x:c r="S827" t="n">
        <x:v>0.1071</x:v>
      </x:c>
      <x:c r="T827" t="n">
        <x:v>21.9</x:v>
      </x:c>
      <x:c r="U827" t="n">
        <x:v>1457.1</x:v>
      </x:c>
      <x:c r="V827" t="n">
        <x:v>3087</x:v>
      </x:c>
      <x:c r="W827" t="n">
        <x:v>50.5</x:v>
      </x:c>
    </x:row>
    <x:row r="828">
      <x:c r="A828" t="str">
        <x:v>PJT_827</x:v>
      </x:c>
      <x:c r="B828" t="str">
        <x:v>Mediterranean</x:v>
      </x:c>
      <x:c r="C828" t="n">
        <x:v>6840</x:v>
      </x:c>
      <x:c r="D828" t="n">
        <x:v>7</x:v>
      </x:c>
      <x:c r="E828" t="str">
        <x:v>Low</x:v>
      </x:c>
      <x:c r="F828" t="str">
        <x:v>Residential</x:v>
      </x:c>
      <x:c r="G828" t="str">
        <x:v>RC Frame</x:v>
      </x:c>
      <x:c r="H828" t="str">
        <x:v>Raft</x:v>
      </x:c>
      <x:c r="I828" t="str">
        <x:v>Soft Clay</x:v>
      </x:c>
      <x:c r="J828" t="str">
        <x:v>Medium</x:v>
      </x:c>
      <x:c r="K828" t="n">
        <x:v>9931680</x:v>
      </x:c>
      <x:c r="L828" t="n">
        <x:v>233</x:v>
      </x:c>
      <x:c r="M828" t="n">
        <x:v>173.7</x:v>
      </x:c>
      <x:c r="N828" t="n">
        <x:v>0.7</x:v>
      </x:c>
      <x:c r="O828" t="n">
        <x:v>65.4</x:v>
      </x:c>
      <x:c r="P828" t="str">
        <x:v>Snowy</x:v>
      </x:c>
      <x:c r="Q828" t="n">
        <x:v>61</x:v>
      </x:c>
      <x:c r="R828" t="n">
        <x:v>59.8</x:v>
      </x:c>
      <x:c r="S828" t="n">
        <x:v>0.0738</x:v>
      </x:c>
      <x:c r="T828" t="n">
        <x:v>11.4</x:v>
      </x:c>
      <x:c r="U828" t="n">
        <x:v>977.1</x:v>
      </x:c>
      <x:c r="V828" t="n">
        <x:v>1452</x:v>
      </x:c>
      <x:c r="W828" t="n">
        <x:v>34.1</x:v>
      </x:c>
    </x:row>
    <x:row r="829">
      <x:c r="A829" t="str">
        <x:v>PJT_828</x:v>
      </x:c>
      <x:c r="B829" t="str">
        <x:v>Mediterranean</x:v>
      </x:c>
      <x:c r="C829" t="n">
        <x:v>6920</x:v>
      </x:c>
      <x:c r="D829" t="n">
        <x:v>3</x:v>
      </x:c>
      <x:c r="E829" t="str">
        <x:v>Low</x:v>
      </x:c>
      <x:c r="F829" t="str">
        <x:v>School</x:v>
      </x:c>
      <x:c r="G829" t="str">
        <x:v>RC Frame</x:v>
      </x:c>
      <x:c r="H829" t="str">
        <x:v>Raft</x:v>
      </x:c>
      <x:c r="I829" t="str">
        <x:v>Sand</x:v>
      </x:c>
      <x:c r="J829" t="str">
        <x:v>Low</x:v>
      </x:c>
      <x:c r="K829" t="n">
        <x:v>11362640</x:v>
      </x:c>
      <x:c r="L829" t="n">
        <x:v>196</x:v>
      </x:c>
      <x:c r="M829" t="n">
        <x:v>252.5</x:v>
      </x:c>
      <x:c r="N829" t="n">
        <x:v>15.8</x:v>
      </x:c>
      <x:c r="O829" t="n">
        <x:v>63.2</x:v>
      </x:c>
      <x:c r="P829" t="str">
        <x:v>Cloudy</x:v>
      </x:c>
      <x:c r="Q829" t="n">
        <x:v>66</x:v>
      </x:c>
      <x:c r="R829" t="n">
        <x:v>67.9</x:v>
      </x:c>
      <x:c r="S829" t="n">
        <x:v>0.0746</x:v>
      </x:c>
      <x:c r="T829" t="n">
        <x:v>14.3</x:v>
      </x:c>
      <x:c r="U829" t="n">
        <x:v>2306.7</x:v>
      </x:c>
      <x:c r="V829" t="n">
        <x:v>1642</x:v>
      </x:c>
      <x:c r="W829" t="n">
        <x:v>28.3</x:v>
      </x:c>
    </x:row>
    <x:row r="830">
      <x:c r="A830" t="str">
        <x:v>PJT_829</x:v>
      </x:c>
      <x:c r="B830" t="str">
        <x:v>Mediterranean</x:v>
      </x:c>
      <x:c r="C830" t="n">
        <x:v>24710</x:v>
      </x:c>
      <x:c r="D830" t="n">
        <x:v>13</x:v>
      </x:c>
      <x:c r="E830" t="str">
        <x:v>Medium</x:v>
      </x:c>
      <x:c r="F830" t="str">
        <x:v>Mixed-use</x:v>
      </x:c>
      <x:c r="G830" t="str">
        <x:v>Shear Wall</x:v>
      </x:c>
      <x:c r="H830" t="str">
        <x:v>Piles</x:v>
      </x:c>
      <x:c r="I830" t="str">
        <x:v>Mixed</x:v>
      </x:c>
      <x:c r="J830" t="str">
        <x:v>Medium</x:v>
      </x:c>
      <x:c r="K830" t="n">
        <x:v>64344840</x:v>
      </x:c>
      <x:c r="L830" t="n">
        <x:v>1295</x:v>
      </x:c>
      <x:c r="M830" t="n">
        <x:v>320.7</x:v>
      </x:c>
      <x:c r="N830" t="n">
        <x:v>12.3</x:v>
      </x:c>
      <x:c r="O830" t="n">
        <x:v>76.6</x:v>
      </x:c>
      <x:c r="P830" t="str">
        <x:v>Rainy</x:v>
      </x:c>
      <x:c r="Q830" t="n">
        <x:v>90</x:v>
      </x:c>
      <x:c r="R830" t="n">
        <x:v>85.2</x:v>
      </x:c>
      <x:c r="S830" t="n">
        <x:v>0.1019</x:v>
      </x:c>
      <x:c r="T830" t="n">
        <x:v>18.7</x:v>
      </x:c>
      <x:c r="U830" t="n">
        <x:v>1900.8</x:v>
      </x:c>
      <x:c r="V830" t="n">
        <x:v>2604</x:v>
      </x:c>
      <x:c r="W830" t="n">
        <x:v>52.4</x:v>
      </x:c>
    </x:row>
    <x:row r="831">
      <x:c r="A831" t="str">
        <x:v>PJT_830</x:v>
      </x:c>
      <x:c r="B831" t="str">
        <x:v>Humid Subtropical</x:v>
      </x:c>
      <x:c r="C831" t="n">
        <x:v>19700</x:v>
      </x:c>
      <x:c r="D831" t="n">
        <x:v>25</x:v>
      </x:c>
      <x:c r="E831" t="str">
        <x:v>Medium</x:v>
      </x:c>
      <x:c r="F831" t="str">
        <x:v>Residential</x:v>
      </x:c>
      <x:c r="G831" t="str">
        <x:v>Shear Wall</x:v>
      </x:c>
      <x:c r="H831" t="str">
        <x:v>Piles</x:v>
      </x:c>
      <x:c r="I831" t="str">
        <x:v>Mixed</x:v>
      </x:c>
      <x:c r="J831" t="str">
        <x:v>Medium</x:v>
      </x:c>
      <x:c r="K831" t="n">
        <x:v>34159800</x:v>
      </x:c>
      <x:c r="L831" t="n">
        <x:v>772</x:v>
      </x:c>
      <x:c r="M831" t="n">
        <x:v>302.1</x:v>
      </x:c>
      <x:c r="N831" t="n">
        <x:v>30.2</x:v>
      </x:c>
      <x:c r="O831" t="n">
        <x:v>65.8</x:v>
      </x:c>
      <x:c r="P831" t="str">
        <x:v>Sunny</x:v>
      </x:c>
      <x:c r="Q831" t="n">
        <x:v>83</x:v>
      </x:c>
      <x:c r="R831" t="n">
        <x:v>78.2</x:v>
      </x:c>
      <x:c r="S831" t="n">
        <x:v>0.0843</x:v>
      </x:c>
      <x:c r="T831" t="n">
        <x:v>13.6</x:v>
      </x:c>
      <x:c r="U831" t="n">
        <x:v>788</x:v>
      </x:c>
      <x:c r="V831" t="n">
        <x:v>1734</x:v>
      </x:c>
      <x:c r="W831" t="n">
        <x:v>39.2</x:v>
      </x:c>
    </x:row>
    <x:row r="832">
      <x:c r="A832" t="str">
        <x:v>PJT_831</x:v>
      </x:c>
      <x:c r="B832" t="str">
        <x:v>Mediterranean</x:v>
      </x:c>
      <x:c r="C832" t="n">
        <x:v>27810</x:v>
      </x:c>
      <x:c r="D832" t="n">
        <x:v>17</x:v>
      </x:c>
      <x:c r="E832" t="str">
        <x:v>High</x:v>
      </x:c>
      <x:c r="F832" t="str">
        <x:v>Hospital</x:v>
      </x:c>
      <x:c r="G832" t="str">
        <x:v>Steel</x:v>
      </x:c>
      <x:c r="H832" t="str">
        <x:v>Piles</x:v>
      </x:c>
      <x:c r="I832" t="str">
        <x:v>Mixed</x:v>
      </x:c>
      <x:c r="J832" t="str">
        <x:v>Low</x:v>
      </x:c>
      <x:c r="K832" t="n">
        <x:v>92162340</x:v>
      </x:c>
      <x:c r="L832" t="n">
        <x:v>1613</x:v>
      </x:c>
      <x:c r="M832" t="n">
        <x:v>411.8</x:v>
      </x:c>
      <x:c r="N832" t="n">
        <x:v>17</x:v>
      </x:c>
      <x:c r="O832" t="n">
        <x:v>61</x:v>
      </x:c>
      <x:c r="P832" t="str">
        <x:v>Cloudy</x:v>
      </x:c>
      <x:c r="Q832" t="n">
        <x:v>88</x:v>
      </x:c>
      <x:c r="R832" t="n">
        <x:v>90.9</x:v>
      </x:c>
      <x:c r="S832" t="n">
        <x:v>0.1171</x:v>
      </x:c>
      <x:c r="T832" t="n">
        <x:v>22.9</x:v>
      </x:c>
      <x:c r="U832" t="n">
        <x:v>1635.9</x:v>
      </x:c>
      <x:c r="V832" t="n">
        <x:v>3314</x:v>
      </x:c>
      <x:c r="W832" t="n">
        <x:v>58</x:v>
      </x:c>
    </x:row>
    <x:row r="833">
      <x:c r="A833" t="str">
        <x:v>PJT_832</x:v>
      </x:c>
      <x:c r="B833" t="str">
        <x:v>Marine</x:v>
      </x:c>
      <x:c r="C833" t="n">
        <x:v>19180</x:v>
      </x:c>
      <x:c r="D833" t="n">
        <x:v>14</x:v>
      </x:c>
      <x:c r="E833" t="str">
        <x:v>Medium</x:v>
      </x:c>
      <x:c r="F833" t="str">
        <x:v>Mixed-use</x:v>
      </x:c>
      <x:c r="G833" t="str">
        <x:v>Steel</x:v>
      </x:c>
      <x:c r="H833" t="str">
        <x:v>Raft</x:v>
      </x:c>
      <x:c r="I833" t="str">
        <x:v>Rock</x:v>
      </x:c>
      <x:c r="J833" t="str">
        <x:v>Low</x:v>
      </x:c>
      <x:c r="K833" t="n">
        <x:v>49081620</x:v>
      </x:c>
      <x:c r="L833" t="n">
        <x:v>884</x:v>
      </x:c>
      <x:c r="M833" t="n">
        <x:v>641.5</x:v>
      </x:c>
      <x:c r="N833" t="n">
        <x:v>19.1</x:v>
      </x:c>
      <x:c r="O833" t="n">
        <x:v>67.4</x:v>
      </x:c>
      <x:c r="P833" t="str">
        <x:v>Sunny</x:v>
      </x:c>
      <x:c r="Q833" t="n">
        <x:v>87</x:v>
      </x:c>
      <x:c r="R833" t="n">
        <x:v>80.9</x:v>
      </x:c>
      <x:c r="S833" t="n">
        <x:v>0.1014</x:v>
      </x:c>
      <x:c r="T833" t="n">
        <x:v>18.5</x:v>
      </x:c>
      <x:c r="U833" t="n">
        <x:v>1370</x:v>
      </x:c>
      <x:c r="V833" t="n">
        <x:v>2559</x:v>
      </x:c>
      <x:c r="W833" t="n">
        <x:v>46.1</x:v>
      </x:c>
    </x:row>
    <x:row r="834">
      <x:c r="A834" t="str">
        <x:v>PJT_833</x:v>
      </x:c>
      <x:c r="B834" t="str">
        <x:v>Marine</x:v>
      </x:c>
      <x:c r="C834" t="n">
        <x:v>20520</x:v>
      </x:c>
      <x:c r="D834" t="n">
        <x:v>15</x:v>
      </x:c>
      <x:c r="E834" t="str">
        <x:v>Medium</x:v>
      </x:c>
      <x:c r="F834" t="str">
        <x:v>Mixed-use</x:v>
      </x:c>
      <x:c r="G834" t="str">
        <x:v>Shear Wall</x:v>
      </x:c>
      <x:c r="H834" t="str">
        <x:v>Piles</x:v>
      </x:c>
      <x:c r="I834" t="str">
        <x:v>Sand</x:v>
      </x:c>
      <x:c r="J834" t="str">
        <x:v>High</x:v>
      </x:c>
      <x:c r="K834" t="n">
        <x:v>56183760</x:v>
      </x:c>
      <x:c r="L834" t="n">
        <x:v>1067</x:v>
      </x:c>
      <x:c r="M834" t="n">
        <x:v>244.4</x:v>
      </x:c>
      <x:c r="N834" t="n">
        <x:v>9.2</x:v>
      </x:c>
      <x:c r="O834" t="n">
        <x:v>79.9</x:v>
      </x:c>
      <x:c r="P834" t="str">
        <x:v>Rainy</x:v>
      </x:c>
      <x:c r="Q834" t="n">
        <x:v>77</x:v>
      </x:c>
      <x:c r="R834" t="n">
        <x:v>80.9</x:v>
      </x:c>
      <x:c r="S834" t="n">
        <x:v>0.0986</x:v>
      </x:c>
      <x:c r="T834" t="n">
        <x:v>18.7</x:v>
      </x:c>
      <x:c r="U834" t="n">
        <x:v>1368</x:v>
      </x:c>
      <x:c r="V834" t="n">
        <x:v>2738</x:v>
      </x:c>
      <x:c r="W834" t="n">
        <x:v>52</x:v>
      </x:c>
    </x:row>
    <x:row r="835">
      <x:c r="A835" t="str">
        <x:v>PJT_834</x:v>
      </x:c>
      <x:c r="B835" t="str">
        <x:v>Marine</x:v>
      </x:c>
      <x:c r="C835" t="n">
        <x:v>13320</x:v>
      </x:c>
      <x:c r="D835" t="n">
        <x:v>18</x:v>
      </x:c>
      <x:c r="E835" t="str">
        <x:v>Medium</x:v>
      </x:c>
      <x:c r="F835" t="str">
        <x:v>Residential</x:v>
      </x:c>
      <x:c r="G835" t="str">
        <x:v>Shear Wall</x:v>
      </x:c>
      <x:c r="H835" t="str">
        <x:v>Piles</x:v>
      </x:c>
      <x:c r="I835" t="str">
        <x:v>Mixed</x:v>
      </x:c>
      <x:c r="J835" t="str">
        <x:v>High</x:v>
      </x:c>
      <x:c r="K835" t="n">
        <x:v>24388920</x:v>
      </x:c>
      <x:c r="L835" t="n">
        <x:v>554</x:v>
      </x:c>
      <x:c r="M835" t="n">
        <x:v>361.5</x:v>
      </x:c>
      <x:c r="N835" t="n">
        <x:v>15.3</x:v>
      </x:c>
      <x:c r="O835" t="n">
        <x:v>62.2</x:v>
      </x:c>
      <x:c r="P835" t="str">
        <x:v>Cloudy</x:v>
      </x:c>
      <x:c r="Q835" t="n">
        <x:v>67</x:v>
      </x:c>
      <x:c r="R835" t="n">
        <x:v>70.2</x:v>
      </x:c>
      <x:c r="S835" t="n">
        <x:v>0.0821</x:v>
      </x:c>
      <x:c r="T835" t="n">
        <x:v>13.4</x:v>
      </x:c>
      <x:c r="U835" t="n">
        <x:v>740</x:v>
      </x:c>
      <x:c r="V835" t="n">
        <x:v>1831</x:v>
      </x:c>
      <x:c r="W835" t="n">
        <x:v>41.6</x:v>
      </x:c>
    </x:row>
    <x:row r="836">
      <x:c r="A836" t="str">
        <x:v>PJT_835</x:v>
      </x:c>
      <x:c r="B836" t="str">
        <x:v>Humid Subtropical</x:v>
      </x:c>
      <x:c r="C836" t="n">
        <x:v>29260</x:v>
      </x:c>
      <x:c r="D836" t="n">
        <x:v>23</x:v>
      </x:c>
      <x:c r="E836" t="str">
        <x:v>Medium</x:v>
      </x:c>
      <x:c r="F836" t="str">
        <x:v>Mixed-use</x:v>
      </x:c>
      <x:c r="G836" t="str">
        <x:v>Steel</x:v>
      </x:c>
      <x:c r="H836" t="str">
        <x:v>Piles</x:v>
      </x:c>
      <x:c r="I836" t="str">
        <x:v>Mixed</x:v>
      </x:c>
      <x:c r="J836" t="str">
        <x:v>Low</x:v>
      </x:c>
      <x:c r="K836" t="n">
        <x:v>78329020</x:v>
      </x:c>
      <x:c r="L836" t="n">
        <x:v>1624</x:v>
      </x:c>
      <x:c r="M836" t="n">
        <x:v>349.1</x:v>
      </x:c>
      <x:c r="N836" t="n">
        <x:v>21.1</x:v>
      </x:c>
      <x:c r="O836" t="n">
        <x:v>94.8</x:v>
      </x:c>
      <x:c r="P836" t="str">
        <x:v>Stormy</x:v>
      </x:c>
      <x:c r="Q836" t="n">
        <x:v>116</x:v>
      </x:c>
      <x:c r="R836" t="n">
        <x:v>87.9</x:v>
      </x:c>
      <x:c r="S836" t="n">
        <x:v>0.0993</x:v>
      </x:c>
      <x:c r="T836" t="n">
        <x:v>17.7</x:v>
      </x:c>
      <x:c r="U836" t="n">
        <x:v>1272.2</x:v>
      </x:c>
      <x:c r="V836" t="n">
        <x:v>2677</x:v>
      </x:c>
      <x:c r="W836" t="n">
        <x:v>55.5</x:v>
      </x:c>
    </x:row>
    <x:row r="837">
      <x:c r="A837" t="str">
        <x:v>PJT_836</x:v>
      </x:c>
      <x:c r="B837" t="str">
        <x:v>Continental</x:v>
      </x:c>
      <x:c r="C837" t="n">
        <x:v>21350</x:v>
      </x:c>
      <x:c r="D837" t="n">
        <x:v>17</x:v>
      </x:c>
      <x:c r="E837" t="str">
        <x:v>Medium</x:v>
      </x:c>
      <x:c r="F837" t="str">
        <x:v>Mixed-use</x:v>
      </x:c>
      <x:c r="G837" t="str">
        <x:v>Steel</x:v>
      </x:c>
      <x:c r="H837" t="str">
        <x:v>Piles</x:v>
      </x:c>
      <x:c r="I837" t="str">
        <x:v>Sand</x:v>
      </x:c>
      <x:c r="J837" t="str">
        <x:v>High</x:v>
      </x:c>
      <x:c r="K837" t="n">
        <x:v>58648450</x:v>
      </x:c>
      <x:c r="L837" t="n">
        <x:v>1074</x:v>
      </x:c>
      <x:c r="M837" t="n">
        <x:v>290.6</x:v>
      </x:c>
      <x:c r="N837" t="n">
        <x:v>1.2</x:v>
      </x:c>
      <x:c r="O837" t="n">
        <x:v>64.9</x:v>
      </x:c>
      <x:c r="P837" t="str">
        <x:v>Cloudy</x:v>
      </x:c>
      <x:c r="Q837" t="n">
        <x:v>100</x:v>
      </x:c>
      <x:c r="R837" t="n">
        <x:v>84.6</x:v>
      </x:c>
      <x:c r="S837" t="n">
        <x:v>0.1025</x:v>
      </x:c>
      <x:c r="T837" t="n">
        <x:v>19.3</x:v>
      </x:c>
      <x:c r="U837" t="n">
        <x:v>1255.9</x:v>
      </x:c>
      <x:c r="V837" t="n">
        <x:v>2747</x:v>
      </x:c>
      <x:c r="W837" t="n">
        <x:v>50.3</x:v>
      </x:c>
    </x:row>
    <x:row r="838">
      <x:c r="A838" t="str">
        <x:v>PJT_837</x:v>
      </x:c>
      <x:c r="B838" t="str">
        <x:v>Mediterranean</x:v>
      </x:c>
      <x:c r="C838" t="n">
        <x:v>9750</x:v>
      </x:c>
      <x:c r="D838" t="n">
        <x:v>4</x:v>
      </x:c>
      <x:c r="E838" t="str">
        <x:v>Low</x:v>
      </x:c>
      <x:c r="F838" t="str">
        <x:v>School</x:v>
      </x:c>
      <x:c r="G838" t="str">
        <x:v>RC Frame</x:v>
      </x:c>
      <x:c r="H838" t="str">
        <x:v>Raft</x:v>
      </x:c>
      <x:c r="I838" t="str">
        <x:v>Rock</x:v>
      </x:c>
      <x:c r="J838" t="str">
        <x:v>High</x:v>
      </x:c>
      <x:c r="K838" t="n">
        <x:v>17559750</x:v>
      </x:c>
      <x:c r="L838" t="n">
        <x:v>254</x:v>
      </x:c>
      <x:c r="M838" t="n">
        <x:v>673.7</x:v>
      </x:c>
      <x:c r="N838" t="n">
        <x:v>26.7</x:v>
      </x:c>
      <x:c r="O838" t="n">
        <x:v>40.2</x:v>
      </x:c>
      <x:c r="P838" t="str">
        <x:v>Sunny</x:v>
      </x:c>
      <x:c r="Q838" t="n">
        <x:v>71</x:v>
      </x:c>
      <x:c r="R838" t="n">
        <x:v>67.8</x:v>
      </x:c>
      <x:c r="S838" t="n">
        <x:v>0.0776</x:v>
      </x:c>
      <x:c r="T838" t="n">
        <x:v>14</x:v>
      </x:c>
      <x:c r="U838" t="n">
        <x:v>2437.5</x:v>
      </x:c>
      <x:c r="V838" t="n">
        <x:v>1801</x:v>
      </x:c>
      <x:c r="W838" t="n">
        <x:v>26</x:v>
      </x:c>
    </x:row>
    <x:row r="839">
      <x:c r="A839" t="str">
        <x:v>PJT_838</x:v>
      </x:c>
      <x:c r="B839" t="str">
        <x:v>Marine</x:v>
      </x:c>
      <x:c r="C839" t="n">
        <x:v>21370</x:v>
      </x:c>
      <x:c r="D839" t="n">
        <x:v>15</x:v>
      </x:c>
      <x:c r="E839" t="str">
        <x:v>Medium</x:v>
      </x:c>
      <x:c r="F839" t="str">
        <x:v>Commercial</x:v>
      </x:c>
      <x:c r="G839" t="str">
        <x:v>Steel</x:v>
      </x:c>
      <x:c r="H839" t="str">
        <x:v>Piles</x:v>
      </x:c>
      <x:c r="I839" t="str">
        <x:v>Sand</x:v>
      </x:c>
      <x:c r="J839" t="str">
        <x:v>Low</x:v>
      </x:c>
      <x:c r="K839" t="n">
        <x:v>51929100</x:v>
      </x:c>
      <x:c r="L839" t="n">
        <x:v>955</x:v>
      </x:c>
      <x:c r="M839" t="n">
        <x:v>260.2</x:v>
      </x:c>
      <x:c r="N839" t="n">
        <x:v>23.9</x:v>
      </x:c>
      <x:c r="O839" t="n">
        <x:v>66.5</x:v>
      </x:c>
      <x:c r="P839" t="str">
        <x:v>Sunny</x:v>
      </x:c>
      <x:c r="Q839" t="n">
        <x:v>95</x:v>
      </x:c>
      <x:c r="R839" t="n">
        <x:v>77.4</x:v>
      </x:c>
      <x:c r="S839" t="n">
        <x:v>0.0955</x:v>
      </x:c>
      <x:c r="T839" t="n">
        <x:v>17.8</x:v>
      </x:c>
      <x:c r="U839" t="n">
        <x:v>1424.7</x:v>
      </x:c>
      <x:c r="V839" t="n">
        <x:v>2430</x:v>
      </x:c>
      <x:c r="W839" t="n">
        <x:v>44.7</x:v>
      </x:c>
    </x:row>
    <x:row r="840">
      <x:c r="A840" t="str">
        <x:v>PJT_839</x:v>
      </x:c>
      <x:c r="B840" t="str">
        <x:v>Mediterranean</x:v>
      </x:c>
      <x:c r="C840" t="n">
        <x:v>9220</x:v>
      </x:c>
      <x:c r="D840" t="n">
        <x:v>6</x:v>
      </x:c>
      <x:c r="E840" t="str">
        <x:v>Medium</x:v>
      </x:c>
      <x:c r="F840" t="str">
        <x:v>Commercial</x:v>
      </x:c>
      <x:c r="G840" t="str">
        <x:v>RC Frame</x:v>
      </x:c>
      <x:c r="H840" t="str">
        <x:v>Raft</x:v>
      </x:c>
      <x:c r="I840" t="str">
        <x:v>Mixed</x:v>
      </x:c>
      <x:c r="J840" t="str">
        <x:v>Low</x:v>
      </x:c>
      <x:c r="K840" t="n">
        <x:v>20025840</x:v>
      </x:c>
      <x:c r="L840" t="n">
        <x:v>393</x:v>
      </x:c>
      <x:c r="M840" t="n">
        <x:v>278.9</x:v>
      </x:c>
      <x:c r="N840" t="n">
        <x:v>12</x:v>
      </x:c>
      <x:c r="O840" t="n">
        <x:v>84.9</x:v>
      </x:c>
      <x:c r="P840" t="str">
        <x:v>Stormy</x:v>
      </x:c>
      <x:c r="Q840" t="n">
        <x:v>105</x:v>
      </x:c>
      <x:c r="R840" t="n">
        <x:v>71.5</x:v>
      </x:c>
      <x:c r="S840" t="n">
        <x:v>0.0878</x:v>
      </x:c>
      <x:c r="T840" t="n">
        <x:v>16.2</x:v>
      </x:c>
      <x:c r="U840" t="n">
        <x:v>1536.7</x:v>
      </x:c>
      <x:c r="V840" t="n">
        <x:v>2172</x:v>
      </x:c>
      <x:c r="W840" t="n">
        <x:v>42.6</x:v>
      </x:c>
    </x:row>
    <x:row r="841">
      <x:c r="A841" t="str">
        <x:v>PJT_840</x:v>
      </x:c>
      <x:c r="B841" t="str">
        <x:v>Continental</x:v>
      </x:c>
      <x:c r="C841" t="n">
        <x:v>20250</x:v>
      </x:c>
      <x:c r="D841" t="n">
        <x:v>14</x:v>
      </x:c>
      <x:c r="E841" t="str">
        <x:v>Medium</x:v>
      </x:c>
      <x:c r="F841" t="str">
        <x:v>Commercial</x:v>
      </x:c>
      <x:c r="G841" t="str">
        <x:v>Steel</x:v>
      </x:c>
      <x:c r="H841" t="str">
        <x:v>Piles</x:v>
      </x:c>
      <x:c r="I841" t="str">
        <x:v>Mixed</x:v>
      </x:c>
      <x:c r="J841" t="str">
        <x:v>High</x:v>
      </x:c>
      <x:c r="K841" t="n">
        <x:v>51131250</x:v>
      </x:c>
      <x:c r="L841" t="n">
        <x:v>990</x:v>
      </x:c>
      <x:c r="M841" t="n">
        <x:v>286.4</x:v>
      </x:c>
      <x:c r="N841" t="n">
        <x:v>5.8</x:v>
      </x:c>
      <x:c r="O841" t="n">
        <x:v>71.2</x:v>
      </x:c>
      <x:c r="P841" t="str">
        <x:v>Stormy</x:v>
      </x:c>
      <x:c r="Q841" t="n">
        <x:v>105</x:v>
      </x:c>
      <x:c r="R841" t="n">
        <x:v>78.5</x:v>
      </x:c>
      <x:c r="S841" t="n">
        <x:v>0.0996</x:v>
      </x:c>
      <x:c r="T841" t="n">
        <x:v>16.6</x:v>
      </x:c>
      <x:c r="U841" t="n">
        <x:v>1446.4</x:v>
      </x:c>
      <x:c r="V841" t="n">
        <x:v>2525</x:v>
      </x:c>
      <x:c r="W841" t="n">
        <x:v>48.9</x:v>
      </x:c>
    </x:row>
    <x:row r="842">
      <x:c r="A842" t="str">
        <x:v>PJT_841</x:v>
      </x:c>
      <x:c r="B842" t="str">
        <x:v>Humid Subtropical</x:v>
      </x:c>
      <x:c r="C842" t="n">
        <x:v>27520</x:v>
      </x:c>
      <x:c r="D842" t="n">
        <x:v>23</x:v>
      </x:c>
      <x:c r="E842" t="str">
        <x:v>High</x:v>
      </x:c>
      <x:c r="F842" t="str">
        <x:v>Mixed-use</x:v>
      </x:c>
      <x:c r="G842" t="str">
        <x:v>Steel</x:v>
      </x:c>
      <x:c r="H842" t="str">
        <x:v>Piles</x:v>
      </x:c>
      <x:c r="I842" t="str">
        <x:v>Mixed</x:v>
      </x:c>
      <x:c r="J842" t="str">
        <x:v>High</x:v>
      </x:c>
      <x:c r="K842" t="n">
        <x:v>81376640</x:v>
      </x:c>
      <x:c r="L842" t="n">
        <x:v>1596</x:v>
      </x:c>
      <x:c r="M842" t="n">
        <x:v>297.3</x:v>
      </x:c>
      <x:c r="N842" t="n">
        <x:v>23</x:v>
      </x:c>
      <x:c r="O842" t="n">
        <x:v>90.6</x:v>
      </x:c>
      <x:c r="P842" t="str">
        <x:v>Stormy</x:v>
      </x:c>
      <x:c r="Q842" t="n">
        <x:v>87</x:v>
      </x:c>
      <x:c r="R842" t="n">
        <x:v>92</x:v>
      </x:c>
      <x:c r="S842" t="n">
        <x:v>0.1035</x:v>
      </x:c>
      <x:c r="T842" t="n">
        <x:v>20.4</x:v>
      </x:c>
      <x:c r="U842" t="n">
        <x:v>1196.5</x:v>
      </x:c>
      <x:c r="V842" t="n">
        <x:v>2957</x:v>
      </x:c>
      <x:c r="W842" t="n">
        <x:v>58</x:v>
      </x:c>
    </x:row>
    <x:row r="843">
      <x:c r="A843" t="str">
        <x:v>PJT_842</x:v>
      </x:c>
      <x:c r="B843" t="str">
        <x:v>Humid Subtropical</x:v>
      </x:c>
      <x:c r="C843" t="n">
        <x:v>17070</x:v>
      </x:c>
      <x:c r="D843" t="n">
        <x:v>18</x:v>
      </x:c>
      <x:c r="E843" t="str">
        <x:v>High</x:v>
      </x:c>
      <x:c r="F843" t="str">
        <x:v>Mixed-use</x:v>
      </x:c>
      <x:c r="G843" t="str">
        <x:v>Steel</x:v>
      </x:c>
      <x:c r="H843" t="str">
        <x:v>Piles</x:v>
      </x:c>
      <x:c r="I843" t="str">
        <x:v>Mixed</x:v>
      </x:c>
      <x:c r="J843" t="str">
        <x:v>Medium</x:v>
      </x:c>
      <x:c r="K843" t="n">
        <x:v>51773310</x:v>
      </x:c>
      <x:c r="L843" t="n">
        <x:v>922</x:v>
      </x:c>
      <x:c r="M843" t="n">
        <x:v>413.3</x:v>
      </x:c>
      <x:c r="N843" t="n">
        <x:v>26.4</x:v>
      </x:c>
      <x:c r="O843" t="n">
        <x:v>69.5</x:v>
      </x:c>
      <x:c r="P843" t="str">
        <x:v>Sunny</x:v>
      </x:c>
      <x:c r="Q843" t="n">
        <x:v>78</x:v>
      </x:c>
      <x:c r="R843" t="n">
        <x:v>87.2</x:v>
      </x:c>
      <x:c r="S843" t="n">
        <x:v>0.1098</x:v>
      </x:c>
      <x:c r="T843" t="n">
        <x:v>21.2</x:v>
      </x:c>
      <x:c r="U843" t="n">
        <x:v>948.3</x:v>
      </x:c>
      <x:c r="V843" t="n">
        <x:v>3033</x:v>
      </x:c>
      <x:c r="W843" t="n">
        <x:v>54</x:v>
      </x:c>
    </x:row>
    <x:row r="844">
      <x:c r="A844" t="str">
        <x:v>PJT_843</x:v>
      </x:c>
      <x:c r="B844" t="str">
        <x:v>Continental</x:v>
      </x:c>
      <x:c r="C844" t="n">
        <x:v>11630</x:v>
      </x:c>
      <x:c r="D844" t="n">
        <x:v>15</x:v>
      </x:c>
      <x:c r="E844" t="str">
        <x:v>Medium</x:v>
      </x:c>
      <x:c r="F844" t="str">
        <x:v>Residential</x:v>
      </x:c>
      <x:c r="G844" t="str">
        <x:v>Shear Wall</x:v>
      </x:c>
      <x:c r="H844" t="str">
        <x:v>Piles</x:v>
      </x:c>
      <x:c r="I844" t="str">
        <x:v>Mixed</x:v>
      </x:c>
      <x:c r="J844" t="str">
        <x:v>Medium</x:v>
      </x:c>
      <x:c r="K844" t="n">
        <x:v>18631260</x:v>
      </x:c>
      <x:c r="L844" t="n">
        <x:v>513</x:v>
      </x:c>
      <x:c r="M844" t="n">
        <x:v>407.7</x:v>
      </x:c>
      <x:c r="N844" t="n">
        <x:v>16.2</x:v>
      </x:c>
      <x:c r="O844" t="n">
        <x:v>82.7</x:v>
      </x:c>
      <x:c r="P844" t="str">
        <x:v>Stormy</x:v>
      </x:c>
      <x:c r="Q844" t="n">
        <x:v>90</x:v>
      </x:c>
      <x:c r="R844" t="n">
        <x:v>68.4</x:v>
      </x:c>
      <x:c r="S844" t="n">
        <x:v>0.0854</x:v>
      </x:c>
      <x:c r="T844" t="n">
        <x:v>14</x:v>
      </x:c>
      <x:c r="U844" t="n">
        <x:v>775.3</x:v>
      </x:c>
      <x:c r="V844" t="n">
        <x:v>1602</x:v>
      </x:c>
      <x:c r="W844" t="n">
        <x:v>44.1</x:v>
      </x:c>
    </x:row>
    <x:row r="845">
      <x:c r="A845" t="str">
        <x:v>PJT_844</x:v>
      </x:c>
      <x:c r="B845" t="str">
        <x:v>Humid Subtropical</x:v>
      </x:c>
      <x:c r="C845" t="n">
        <x:v>18630</x:v>
      </x:c>
      <x:c r="D845" t="n">
        <x:v>12</x:v>
      </x:c>
      <x:c r="E845" t="str">
        <x:v>Medium</x:v>
      </x:c>
      <x:c r="F845" t="str">
        <x:v>Commercial</x:v>
      </x:c>
      <x:c r="G845" t="str">
        <x:v>RC Frame</x:v>
      </x:c>
      <x:c r="H845" t="str">
        <x:v>Piles</x:v>
      </x:c>
      <x:c r="I845" t="str">
        <x:v>Soft Clay</x:v>
      </x:c>
      <x:c r="J845" t="str">
        <x:v>High</x:v>
      </x:c>
      <x:c r="K845" t="n">
        <x:v>44991450</x:v>
      </x:c>
      <x:c r="L845" t="n">
        <x:v>829</x:v>
      </x:c>
      <x:c r="M845" t="n">
        <x:v>200.3</x:v>
      </x:c>
      <x:c r="N845" t="n">
        <x:v>26.4</x:v>
      </x:c>
      <x:c r="O845" t="n">
        <x:v>80.1</x:v>
      </x:c>
      <x:c r="P845" t="str">
        <x:v>Cloudy</x:v>
      </x:c>
      <x:c r="Q845" t="n">
        <x:v>85</x:v>
      </x:c>
      <x:c r="R845" t="n">
        <x:v>76.9</x:v>
      </x:c>
      <x:c r="S845" t="n">
        <x:v>0.0939</x:v>
      </x:c>
      <x:c r="T845" t="n">
        <x:v>16.1</x:v>
      </x:c>
      <x:c r="U845" t="n">
        <x:v>1552.5</x:v>
      </x:c>
      <x:c r="V845" t="n">
        <x:v>2415</x:v>
      </x:c>
      <x:c r="W845" t="n">
        <x:v>44.5</x:v>
      </x:c>
    </x:row>
    <x:row r="846">
      <x:c r="A846" t="str">
        <x:v>PJT_845</x:v>
      </x:c>
      <x:c r="B846" t="str">
        <x:v>Marine</x:v>
      </x:c>
      <x:c r="C846" t="n">
        <x:v>12380</x:v>
      </x:c>
      <x:c r="D846" t="n">
        <x:v>9</x:v>
      </x:c>
      <x:c r="E846" t="str">
        <x:v>Medium</x:v>
      </x:c>
      <x:c r="F846" t="str">
        <x:v>Mixed-use</x:v>
      </x:c>
      <x:c r="G846" t="str">
        <x:v>Steel</x:v>
      </x:c>
      <x:c r="H846" t="str">
        <x:v>Raft</x:v>
      </x:c>
      <x:c r="I846" t="str">
        <x:v>Mixed</x:v>
      </x:c>
      <x:c r="J846" t="str">
        <x:v>High</x:v>
      </x:c>
      <x:c r="K846" t="n">
        <x:v>33314580</x:v>
      </x:c>
      <x:c r="L846" t="n">
        <x:v>562</x:v>
      </x:c>
      <x:c r="M846" t="n">
        <x:v>343.1</x:v>
      </x:c>
      <x:c r="N846" t="n">
        <x:v>17.5</x:v>
      </x:c>
      <x:c r="O846" t="n">
        <x:v>63.5</x:v>
      </x:c>
      <x:c r="P846" t="str">
        <x:v>Cloudy</x:v>
      </x:c>
      <x:c r="Q846" t="n">
        <x:v>73</x:v>
      </x:c>
      <x:c r="R846" t="n">
        <x:v>77.2</x:v>
      </x:c>
      <x:c r="S846" t="n">
        <x:v>0.0996</x:v>
      </x:c>
      <x:c r="T846" t="n">
        <x:v>19.4</x:v>
      </x:c>
      <x:c r="U846" t="n">
        <x:v>1375.6</x:v>
      </x:c>
      <x:c r="V846" t="n">
        <x:v>2691</x:v>
      </x:c>
      <x:c r="W846" t="n">
        <x:v>45.4</x:v>
      </x:c>
    </x:row>
    <x:row r="847">
      <x:c r="A847" t="str">
        <x:v>PJT_846</x:v>
      </x:c>
      <x:c r="B847" t="str">
        <x:v>Humid Subtropical</x:v>
      </x:c>
      <x:c r="C847" t="n">
        <x:v>15530</x:v>
      </x:c>
      <x:c r="D847" t="n">
        <x:v>12</x:v>
      </x:c>
      <x:c r="E847" t="str">
        <x:v>Medium</x:v>
      </x:c>
      <x:c r="F847" t="str">
        <x:v>Commercial</x:v>
      </x:c>
      <x:c r="G847" t="str">
        <x:v>Steel</x:v>
      </x:c>
      <x:c r="H847" t="str">
        <x:v>Raft</x:v>
      </x:c>
      <x:c r="I847" t="str">
        <x:v>Mixed</x:v>
      </x:c>
      <x:c r="J847" t="str">
        <x:v>Medium</x:v>
      </x:c>
      <x:c r="K847" t="n">
        <x:v>36790570</x:v>
      </x:c>
      <x:c r="L847" t="n">
        <x:v>724</x:v>
      </x:c>
      <x:c r="M847" t="n">
        <x:v>309.5</x:v>
      </x:c>
      <x:c r="N847" t="n">
        <x:v>21.1</x:v>
      </x:c>
      <x:c r="O847" t="n">
        <x:v>87.5</x:v>
      </x:c>
      <x:c r="P847" t="str">
        <x:v>Rainy</x:v>
      </x:c>
      <x:c r="Q847" t="n">
        <x:v>106</x:v>
      </x:c>
      <x:c r="R847" t="n">
        <x:v>73.8</x:v>
      </x:c>
      <x:c r="S847" t="n">
        <x:v>0.0969</x:v>
      </x:c>
      <x:c r="T847" t="n">
        <x:v>16.4</x:v>
      </x:c>
      <x:c r="U847" t="n">
        <x:v>1294.2</x:v>
      </x:c>
      <x:c r="V847" t="n">
        <x:v>2369</x:v>
      </x:c>
      <x:c r="W847" t="n">
        <x:v>46.6</x:v>
      </x:c>
    </x:row>
    <x:row r="848">
      <x:c r="A848" t="str">
        <x:v>PJT_847</x:v>
      </x:c>
      <x:c r="B848" t="str">
        <x:v>Continental</x:v>
      </x:c>
      <x:c r="C848" t="n">
        <x:v>12810</x:v>
      </x:c>
      <x:c r="D848" t="n">
        <x:v>9</x:v>
      </x:c>
      <x:c r="E848" t="str">
        <x:v>Medium</x:v>
      </x:c>
      <x:c r="F848" t="str">
        <x:v>Mixed-use</x:v>
      </x:c>
      <x:c r="G848" t="str">
        <x:v>RC Frame</x:v>
      </x:c>
      <x:c r="H848" t="str">
        <x:v>Piles</x:v>
      </x:c>
      <x:c r="I848" t="str">
        <x:v>Soft Clay</x:v>
      </x:c>
      <x:c r="J848" t="str">
        <x:v>Low</x:v>
      </x:c>
      <x:c r="K848" t="n">
        <x:v>30808050</x:v>
      </x:c>
      <x:c r="L848" t="n">
        <x:v>635</x:v>
      </x:c>
      <x:c r="M848" t="n">
        <x:v>197.7</x:v>
      </x:c>
      <x:c r="N848" t="n">
        <x:v>11.4</x:v>
      </x:c>
      <x:c r="O848" t="n">
        <x:v>78.6</x:v>
      </x:c>
      <x:c r="P848" t="str">
        <x:v>Rainy</x:v>
      </x:c>
      <x:c r="Q848" t="n">
        <x:v>107</x:v>
      </x:c>
      <x:c r="R848" t="n">
        <x:v>81.8</x:v>
      </x:c>
      <x:c r="S848" t="n">
        <x:v>0.0946</x:v>
      </x:c>
      <x:c r="T848" t="n">
        <x:v>17.5</x:v>
      </x:c>
      <x:c r="U848" t="n">
        <x:v>1423.3</x:v>
      </x:c>
      <x:c r="V848" t="n">
        <x:v>2405</x:v>
      </x:c>
      <x:c r="W848" t="n">
        <x:v>49.6</x:v>
      </x:c>
    </x:row>
    <x:row r="849">
      <x:c r="A849" t="str">
        <x:v>PJT_848</x:v>
      </x:c>
      <x:c r="B849" t="str">
        <x:v>Continental</x:v>
      </x:c>
      <x:c r="C849" t="n">
        <x:v>16280</x:v>
      </x:c>
      <x:c r="D849" t="n">
        <x:v>17</x:v>
      </x:c>
      <x:c r="E849" t="str">
        <x:v>Medium</x:v>
      </x:c>
      <x:c r="F849" t="str">
        <x:v>Residential</x:v>
      </x:c>
      <x:c r="G849" t="str">
        <x:v>Shear Wall</x:v>
      </x:c>
      <x:c r="H849" t="str">
        <x:v>Piles</x:v>
      </x:c>
      <x:c r="I849" t="str">
        <x:v>Mixed</x:v>
      </x:c>
      <x:c r="J849" t="str">
        <x:v>Medium</x:v>
      </x:c>
      <x:c r="K849" t="n">
        <x:v>27659720</x:v>
      </x:c>
      <x:c r="L849" t="n">
        <x:v>619</x:v>
      </x:c>
      <x:c r="M849" t="n">
        <x:v>414.2</x:v>
      </x:c>
      <x:c r="N849" t="n">
        <x:v>16.5</x:v>
      </x:c>
      <x:c r="O849" t="n">
        <x:v>64.8</x:v>
      </x:c>
      <x:c r="P849" t="str">
        <x:v>Cloudy</x:v>
      </x:c>
      <x:c r="Q849" t="n">
        <x:v>90</x:v>
      </x:c>
      <x:c r="R849" t="n">
        <x:v>73.1</x:v>
      </x:c>
      <x:c r="S849" t="n">
        <x:v>0.0839</x:v>
      </x:c>
      <x:c r="T849" t="n">
        <x:v>14.2</x:v>
      </x:c>
      <x:c r="U849" t="n">
        <x:v>957.6</x:v>
      </x:c>
      <x:c r="V849" t="n">
        <x:v>1699</x:v>
      </x:c>
      <x:c r="W849" t="n">
        <x:v>38</x:v>
      </x:c>
    </x:row>
    <x:row r="850">
      <x:c r="A850" t="str">
        <x:v>PJT_849</x:v>
      </x:c>
      <x:c r="B850" t="str">
        <x:v>Mediterranean</x:v>
      </x:c>
      <x:c r="C850" t="n">
        <x:v>14670</x:v>
      </x:c>
      <x:c r="D850" t="n">
        <x:v>18</x:v>
      </x:c>
      <x:c r="E850" t="str">
        <x:v>Medium</x:v>
      </x:c>
      <x:c r="F850" t="str">
        <x:v>Residential</x:v>
      </x:c>
      <x:c r="G850" t="str">
        <x:v>Shear Wall</x:v>
      </x:c>
      <x:c r="H850" t="str">
        <x:v>Piles</x:v>
      </x:c>
      <x:c r="I850" t="str">
        <x:v>Sand</x:v>
      </x:c>
      <x:c r="J850" t="str">
        <x:v>Medium</x:v>
      </x:c>
      <x:c r="K850" t="n">
        <x:v>23809410</x:v>
      </x:c>
      <x:c r="L850" t="n">
        <x:v>660</x:v>
      </x:c>
      <x:c r="M850" t="n">
        <x:v>257.8</x:v>
      </x:c>
      <x:c r="N850" t="n">
        <x:v>11.1</x:v>
      </x:c>
      <x:c r="O850" t="n">
        <x:v>74</x:v>
      </x:c>
      <x:c r="P850" t="str">
        <x:v>Stormy</x:v>
      </x:c>
      <x:c r="Q850" t="n">
        <x:v>82</x:v>
      </x:c>
      <x:c r="R850" t="n">
        <x:v>72.3</x:v>
      </x:c>
      <x:c r="S850" t="n">
        <x:v>0.0788</x:v>
      </x:c>
      <x:c r="T850" t="n">
        <x:v>13.2</x:v>
      </x:c>
      <x:c r="U850" t="n">
        <x:v>815</x:v>
      </x:c>
      <x:c r="V850" t="n">
        <x:v>1623</x:v>
      </x:c>
      <x:c r="W850" t="n">
        <x:v>45</x:v>
      </x:c>
    </x:row>
    <x:row r="851">
      <x:c r="A851" t="str">
        <x:v>PJT_850</x:v>
      </x:c>
      <x:c r="B851" t="str">
        <x:v>Continental</x:v>
      </x:c>
      <x:c r="C851" t="n">
        <x:v>23680</x:v>
      </x:c>
      <x:c r="D851" t="n">
        <x:v>12</x:v>
      </x:c>
      <x:c r="E851" t="str">
        <x:v>Medium</x:v>
      </x:c>
      <x:c r="F851" t="str">
        <x:v>Hospital</x:v>
      </x:c>
      <x:c r="G851" t="str">
        <x:v>Steel</x:v>
      </x:c>
      <x:c r="H851" t="str">
        <x:v>Piles</x:v>
      </x:c>
      <x:c r="I851" t="str">
        <x:v>Mixed</x:v>
      </x:c>
      <x:c r="J851" t="str">
        <x:v>Low</x:v>
      </x:c>
      <x:c r="K851" t="n">
        <x:v>75065600</x:v>
      </x:c>
      <x:c r="L851" t="n">
        <x:v>1293</x:v>
      </x:c>
      <x:c r="M851" t="n">
        <x:v>321.6</x:v>
      </x:c>
      <x:c r="N851" t="n">
        <x:v>-3.5</x:v>
      </x:c>
      <x:c r="O851" t="n">
        <x:v>59.5</x:v>
      </x:c>
      <x:c r="P851" t="str">
        <x:v>Snowy</x:v>
      </x:c>
      <x:c r="Q851" t="n">
        <x:v>80</x:v>
      </x:c>
      <x:c r="R851" t="n">
        <x:v>83.9</x:v>
      </x:c>
      <x:c r="S851" t="n">
        <x:v>0.109</x:v>
      </x:c>
      <x:c r="T851" t="n">
        <x:v>20.8</x:v>
      </x:c>
      <x:c r="U851" t="n">
        <x:v>1973.3</x:v>
      </x:c>
      <x:c r="V851" t="n">
        <x:v>3170</x:v>
      </x:c>
      <x:c r="W851" t="n">
        <x:v>54.6</x:v>
      </x:c>
    </x:row>
    <x:row r="852">
      <x:c r="A852" t="str">
        <x:v>PJT_851</x:v>
      </x:c>
      <x:c r="B852" t="str">
        <x:v>Continental</x:v>
      </x:c>
      <x:c r="C852" t="n">
        <x:v>20620</x:v>
      </x:c>
      <x:c r="D852" t="n">
        <x:v>9</x:v>
      </x:c>
      <x:c r="E852" t="str">
        <x:v>Medium</x:v>
      </x:c>
      <x:c r="F852" t="str">
        <x:v>Commercial</x:v>
      </x:c>
      <x:c r="G852" t="str">
        <x:v>RC Frame</x:v>
      </x:c>
      <x:c r="H852" t="str">
        <x:v>Raft</x:v>
      </x:c>
      <x:c r="I852" t="str">
        <x:v>Sand</x:v>
      </x:c>
      <x:c r="J852" t="str">
        <x:v>Low</x:v>
      </x:c>
      <x:c r="K852" t="n">
        <x:v>42992700</x:v>
      </x:c>
      <x:c r="L852" t="n">
        <x:v>821</x:v>
      </x:c>
      <x:c r="M852" t="n">
        <x:v>236.4</x:v>
      </x:c>
      <x:c r="N852" t="n">
        <x:v>4.5</x:v>
      </x:c>
      <x:c r="O852" t="n">
        <x:v>49.4</x:v>
      </x:c>
      <x:c r="P852" t="str">
        <x:v>Cloudy</x:v>
      </x:c>
      <x:c r="Q852" t="n">
        <x:v>80</x:v>
      </x:c>
      <x:c r="R852" t="n">
        <x:v>78.5</x:v>
      </x:c>
      <x:c r="S852" t="n">
        <x:v>0.0896</x:v>
      </x:c>
      <x:c r="T852" t="n">
        <x:v>15.8</x:v>
      </x:c>
      <x:c r="U852" t="n">
        <x:v>2291.1</x:v>
      </x:c>
      <x:c r="V852" t="n">
        <x:v>2085</x:v>
      </x:c>
      <x:c r="W852" t="n">
        <x:v>39.8</x:v>
      </x:c>
    </x:row>
    <x:row r="853">
      <x:c r="A853" t="str">
        <x:v>PJT_852</x:v>
      </x:c>
      <x:c r="B853" t="str">
        <x:v>Continental</x:v>
      </x:c>
      <x:c r="C853" t="n">
        <x:v>15780</x:v>
      </x:c>
      <x:c r="D853" t="n">
        <x:v>7</x:v>
      </x:c>
      <x:c r="E853" t="str">
        <x:v>Medium</x:v>
      </x:c>
      <x:c r="F853" t="str">
        <x:v>Hospital</x:v>
      </x:c>
      <x:c r="G853" t="str">
        <x:v>Steel</x:v>
      </x:c>
      <x:c r="H853" t="str">
        <x:v>Piles</x:v>
      </x:c>
      <x:c r="I853" t="str">
        <x:v>Soft Clay</x:v>
      </x:c>
      <x:c r="J853" t="str">
        <x:v>Medium</x:v>
      </x:c>
      <x:c r="K853" t="n">
        <x:v>49643880</x:v>
      </x:c>
      <x:c r="L853" t="n">
        <x:v>863</x:v>
      </x:c>
      <x:c r="M853" t="n">
        <x:v>226.6</x:v>
      </x:c>
      <x:c r="N853" t="n">
        <x:v>-5.4</x:v>
      </x:c>
      <x:c r="O853" t="n">
        <x:v>77.4</x:v>
      </x:c>
      <x:c r="P853" t="str">
        <x:v>Snowy</x:v>
      </x:c>
      <x:c r="Q853" t="n">
        <x:v>72</x:v>
      </x:c>
      <x:c r="R853" t="n">
        <x:v>76.5</x:v>
      </x:c>
      <x:c r="S853" t="n">
        <x:v>0.1139</x:v>
      </x:c>
      <x:c r="T853" t="n">
        <x:v>21.2</x:v>
      </x:c>
      <x:c r="U853" t="n">
        <x:v>2254.3</x:v>
      </x:c>
      <x:c r="V853" t="n">
        <x:v>3146</x:v>
      </x:c>
      <x:c r="W853" t="n">
        <x:v>54.7</x:v>
      </x:c>
    </x:row>
    <x:row r="854">
      <x:c r="A854" t="str">
        <x:v>PJT_853</x:v>
      </x:c>
      <x:c r="B854" t="str">
        <x:v>Marine</x:v>
      </x:c>
      <x:c r="C854" t="n">
        <x:v>13620</x:v>
      </x:c>
      <x:c r="D854" t="n">
        <x:v>16</x:v>
      </x:c>
      <x:c r="E854" t="str">
        <x:v>Medium</x:v>
      </x:c>
      <x:c r="F854" t="str">
        <x:v>Residential</x:v>
      </x:c>
      <x:c r="G854" t="str">
        <x:v>Shear Wall</x:v>
      </x:c>
      <x:c r="H854" t="str">
        <x:v>Piles</x:v>
      </x:c>
      <x:c r="I854" t="str">
        <x:v>Soft Clay</x:v>
      </x:c>
      <x:c r="J854" t="str">
        <x:v>Medium</x:v>
      </x:c>
      <x:c r="K854" t="n">
        <x:v>24121020</x:v>
      </x:c>
      <x:c r="L854" t="n">
        <x:v>497</x:v>
      </x:c>
      <x:c r="M854" t="n">
        <x:v>211.3</x:v>
      </x:c>
      <x:c r="N854" t="n">
        <x:v>16.5</x:v>
      </x:c>
      <x:c r="O854" t="n">
        <x:v>56.9</x:v>
      </x:c>
      <x:c r="P854" t="str">
        <x:v>Sunny</x:v>
      </x:c>
      <x:c r="Q854" t="n">
        <x:v>87</x:v>
      </x:c>
      <x:c r="R854" t="n">
        <x:v>69</x:v>
      </x:c>
      <x:c r="S854" t="n">
        <x:v>0.0842</x:v>
      </x:c>
      <x:c r="T854" t="n">
        <x:v>13.9</x:v>
      </x:c>
      <x:c r="U854" t="n">
        <x:v>851.2</x:v>
      </x:c>
      <x:c r="V854" t="n">
        <x:v>1771</x:v>
      </x:c>
      <x:c r="W854" t="n">
        <x:v>36.5</x:v>
      </x:c>
    </x:row>
    <x:row r="855">
      <x:c r="A855" t="str">
        <x:v>PJT_854</x:v>
      </x:c>
      <x:c r="B855" t="str">
        <x:v>Humid Subtropical</x:v>
      </x:c>
      <x:c r="C855" t="n">
        <x:v>9480</x:v>
      </x:c>
      <x:c r="D855" t="n">
        <x:v>4</x:v>
      </x:c>
      <x:c r="E855" t="str">
        <x:v>Low</x:v>
      </x:c>
      <x:c r="F855" t="str">
        <x:v>School</x:v>
      </x:c>
      <x:c r="G855" t="str">
        <x:v>RC Frame</x:v>
      </x:c>
      <x:c r="H855" t="str">
        <x:v>Raft</x:v>
      </x:c>
      <x:c r="I855" t="str">
        <x:v>Rock</x:v>
      </x:c>
      <x:c r="J855" t="str">
        <x:v>Medium</x:v>
      </x:c>
      <x:c r="K855" t="n">
        <x:v>16438320</x:v>
      </x:c>
      <x:c r="L855" t="n">
        <x:v>248</x:v>
      </x:c>
      <x:c r="M855" t="n">
        <x:v>757.3</x:v>
      </x:c>
      <x:c r="N855" t="n">
        <x:v>28</x:v>
      </x:c>
      <x:c r="O855" t="n">
        <x:v>60.7</x:v>
      </x:c>
      <x:c r="P855" t="str">
        <x:v>Sunny</x:v>
      </x:c>
      <x:c r="Q855" t="n">
        <x:v>72</x:v>
      </x:c>
      <x:c r="R855" t="n">
        <x:v>66.9</x:v>
      </x:c>
      <x:c r="S855" t="n">
        <x:v>0.0766</x:v>
      </x:c>
      <x:c r="T855" t="n">
        <x:v>12.5</x:v>
      </x:c>
      <x:c r="U855" t="n">
        <x:v>2370</x:v>
      </x:c>
      <x:c r="V855" t="n">
        <x:v>1734</x:v>
      </x:c>
      <x:c r="W855" t="n">
        <x:v>26.2</x:v>
      </x:c>
    </x:row>
    <x:row r="856">
      <x:c r="A856" t="str">
        <x:v>PJT_855</x:v>
      </x:c>
      <x:c r="B856" t="str">
        <x:v>Marine</x:v>
      </x:c>
      <x:c r="C856" t="n">
        <x:v>19850</x:v>
      </x:c>
      <x:c r="D856" t="n">
        <x:v>15</x:v>
      </x:c>
      <x:c r="E856" t="str">
        <x:v>Medium</x:v>
      </x:c>
      <x:c r="F856" t="str">
        <x:v>Commercial</x:v>
      </x:c>
      <x:c r="G856" t="str">
        <x:v>Steel</x:v>
      </x:c>
      <x:c r="H856" t="str">
        <x:v>Raft</x:v>
      </x:c>
      <x:c r="I856" t="str">
        <x:v>Rock</x:v>
      </x:c>
      <x:c r="J856" t="str">
        <x:v>Low</x:v>
      </x:c>
      <x:c r="K856" t="n">
        <x:v>45893200</x:v>
      </x:c>
      <x:c r="L856" t="n">
        <x:v>889</x:v>
      </x:c>
      <x:c r="M856" t="n">
        <x:v>751.2</x:v>
      </x:c>
      <x:c r="N856" t="n">
        <x:v>6.1</x:v>
      </x:c>
      <x:c r="O856" t="n">
        <x:v>79</x:v>
      </x:c>
      <x:c r="P856" t="str">
        <x:v>Rainy</x:v>
      </x:c>
      <x:c r="Q856" t="n">
        <x:v>78</x:v>
      </x:c>
      <x:c r="R856" t="n">
        <x:v>83.3</x:v>
      </x:c>
      <x:c r="S856" t="n">
        <x:v>0.0971</x:v>
      </x:c>
      <x:c r="T856" t="n">
        <x:v>16.3</x:v>
      </x:c>
      <x:c r="U856" t="n">
        <x:v>1323.3</x:v>
      </x:c>
      <x:c r="V856" t="n">
        <x:v>2312</x:v>
      </x:c>
      <x:c r="W856" t="n">
        <x:v>44.8</x:v>
      </x:c>
    </x:row>
    <x:row r="857">
      <x:c r="A857" t="str">
        <x:v>PJT_856</x:v>
      </x:c>
      <x:c r="B857" t="str">
        <x:v>Continental</x:v>
      </x:c>
      <x:c r="C857" t="n">
        <x:v>24870</x:v>
      </x:c>
      <x:c r="D857" t="n">
        <x:v>25</x:v>
      </x:c>
      <x:c r="E857" t="str">
        <x:v>High</x:v>
      </x:c>
      <x:c r="F857" t="str">
        <x:v>Mixed-use</x:v>
      </x:c>
      <x:c r="G857" t="str">
        <x:v>Steel</x:v>
      </x:c>
      <x:c r="H857" t="str">
        <x:v>Piles</x:v>
      </x:c>
      <x:c r="I857" t="str">
        <x:v>Soft Clay</x:v>
      </x:c>
      <x:c r="J857" t="str">
        <x:v>High</x:v>
      </x:c>
      <x:c r="K857" t="n">
        <x:v>74062860</x:v>
      </x:c>
      <x:c r="L857" t="n">
        <x:v>1373</x:v>
      </x:c>
      <x:c r="M857" t="n">
        <x:v>227.1</x:v>
      </x:c>
      <x:c r="N857" t="n">
        <x:v>7.8</x:v>
      </x:c>
      <x:c r="O857" t="n">
        <x:v>60.8</x:v>
      </x:c>
      <x:c r="P857" t="str">
        <x:v>Cloudy</x:v>
      </x:c>
      <x:c r="Q857" t="n">
        <x:v>91</x:v>
      </x:c>
      <x:c r="R857" t="n">
        <x:v>87.4</x:v>
      </x:c>
      <x:c r="S857" t="n">
        <x:v>0.1097</x:v>
      </x:c>
      <x:c r="T857" t="n">
        <x:v>19.8</x:v>
      </x:c>
      <x:c r="U857" t="n">
        <x:v>994.8</x:v>
      </x:c>
      <x:c r="V857" t="n">
        <x:v>2978</x:v>
      </x:c>
      <x:c r="W857" t="n">
        <x:v>55.2</x:v>
      </x:c>
    </x:row>
    <x:row r="858">
      <x:c r="A858" t="str">
        <x:v>PJT_857</x:v>
      </x:c>
      <x:c r="B858" t="str">
        <x:v>Mediterranean</x:v>
      </x:c>
      <x:c r="C858" t="n">
        <x:v>11860</x:v>
      </x:c>
      <x:c r="D858" t="n">
        <x:v>11</x:v>
      </x:c>
      <x:c r="E858" t="str">
        <x:v>Low</x:v>
      </x:c>
      <x:c r="F858" t="str">
        <x:v>Residential</x:v>
      </x:c>
      <x:c r="G858" t="str">
        <x:v>RC Frame</x:v>
      </x:c>
      <x:c r="H858" t="str">
        <x:v>Raft</x:v>
      </x:c>
      <x:c r="I858" t="str">
        <x:v>Rock</x:v>
      </x:c>
      <x:c r="J858" t="str">
        <x:v>Low</x:v>
      </x:c>
      <x:c r="K858" t="n">
        <x:v>15738220</x:v>
      </x:c>
      <x:c r="L858" t="n">
        <x:v>352</x:v>
      </x:c>
      <x:c r="M858" t="n">
        <x:v>670.1</x:v>
      </x:c>
      <x:c r="N858" t="n">
        <x:v>22</x:v>
      </x:c>
      <x:c r="O858" t="n">
        <x:v>58.9</x:v>
      </x:c>
      <x:c r="P858" t="str">
        <x:v>Sunny</x:v>
      </x:c>
      <x:c r="Q858" t="n">
        <x:v>71</x:v>
      </x:c>
      <x:c r="R858" t="n">
        <x:v>69.1</x:v>
      </x:c>
      <x:c r="S858" t="n">
        <x:v>0.0746</x:v>
      </x:c>
      <x:c r="T858" t="n">
        <x:v>13</x:v>
      </x:c>
      <x:c r="U858" t="n">
        <x:v>1078.2</x:v>
      </x:c>
      <x:c r="V858" t="n">
        <x:v>1327</x:v>
      </x:c>
      <x:c r="W858" t="n">
        <x:v>29.7</x:v>
      </x:c>
    </x:row>
    <x:row r="859">
      <x:c r="A859" t="str">
        <x:v>PJT_858</x:v>
      </x:c>
      <x:c r="B859" t="str">
        <x:v>Marine</x:v>
      </x:c>
      <x:c r="C859" t="n">
        <x:v>19760</x:v>
      </x:c>
      <x:c r="D859" t="n">
        <x:v>23</x:v>
      </x:c>
      <x:c r="E859" t="str">
        <x:v>High</x:v>
      </x:c>
      <x:c r="F859" t="str">
        <x:v>Commercial</x:v>
      </x:c>
      <x:c r="G859" t="str">
        <x:v>Steel</x:v>
      </x:c>
      <x:c r="H859" t="str">
        <x:v>Piles</x:v>
      </x:c>
      <x:c r="I859" t="str">
        <x:v>Mixed</x:v>
      </x:c>
      <x:c r="J859" t="str">
        <x:v>Medium</x:v>
      </x:c>
      <x:c r="K859" t="n">
        <x:v>54340000</x:v>
      </x:c>
      <x:c r="L859" t="n">
        <x:v>1020</x:v>
      </x:c>
      <x:c r="M859" t="n">
        <x:v>383.1</x:v>
      </x:c>
      <x:c r="N859" t="n">
        <x:v>14.4</x:v>
      </x:c>
      <x:c r="O859" t="n">
        <x:v>73.2</x:v>
      </x:c>
      <x:c r="P859" t="str">
        <x:v>Cloudy</x:v>
      </x:c>
      <x:c r="Q859" t="n">
        <x:v>83</x:v>
      </x:c>
      <x:c r="R859" t="n">
        <x:v>86.5</x:v>
      </x:c>
      <x:c r="S859" t="n">
        <x:v>0.0983</x:v>
      </x:c>
      <x:c r="T859" t="n">
        <x:v>18.5</x:v>
      </x:c>
      <x:c r="U859" t="n">
        <x:v>859.1</x:v>
      </x:c>
      <x:c r="V859" t="n">
        <x:v>2750</x:v>
      </x:c>
      <x:c r="W859" t="n">
        <x:v>51.6</x:v>
      </x:c>
    </x:row>
    <x:row r="860">
      <x:c r="A860" t="str">
        <x:v>PJT_859</x:v>
      </x:c>
      <x:c r="B860" t="str">
        <x:v>Mediterranean</x:v>
      </x:c>
      <x:c r="C860" t="n">
        <x:v>10500</x:v>
      </x:c>
      <x:c r="D860" t="n">
        <x:v>5</x:v>
      </x:c>
      <x:c r="E860" t="str">
        <x:v>Low</x:v>
      </x:c>
      <x:c r="F860" t="str">
        <x:v>School</x:v>
      </x:c>
      <x:c r="G860" t="str">
        <x:v>RC Frame</x:v>
      </x:c>
      <x:c r="H860" t="str">
        <x:v>Raft</x:v>
      </x:c>
      <x:c r="I860" t="str">
        <x:v>Soft Clay</x:v>
      </x:c>
      <x:c r="J860" t="str">
        <x:v>Medium</x:v>
      </x:c>
      <x:c r="K860" t="n">
        <x:v>17514000</x:v>
      </x:c>
      <x:c r="L860" t="n">
        <x:v>336</x:v>
      </x:c>
      <x:c r="M860" t="n">
        <x:v>186.3</x:v>
      </x:c>
      <x:c r="N860" t="n">
        <x:v>9.7</x:v>
      </x:c>
      <x:c r="O860" t="n">
        <x:v>80.3</x:v>
      </x:c>
      <x:c r="P860" t="str">
        <x:v>Rainy</x:v>
      </x:c>
      <x:c r="Q860" t="n">
        <x:v>76</x:v>
      </x:c>
      <x:c r="R860" t="n">
        <x:v>64.2</x:v>
      </x:c>
      <x:c r="S860" t="n">
        <x:v>0.075</x:v>
      </x:c>
      <x:c r="T860" t="n">
        <x:v>13.9</x:v>
      </x:c>
      <x:c r="U860" t="n">
        <x:v>2100</x:v>
      </x:c>
      <x:c r="V860" t="n">
        <x:v>1668</x:v>
      </x:c>
      <x:c r="W860" t="n">
        <x:v>32</x:v>
      </x:c>
    </x:row>
    <x:row r="861">
      <x:c r="A861" t="str">
        <x:v>PJT_860</x:v>
      </x:c>
      <x:c r="B861" t="str">
        <x:v>Marine</x:v>
      </x:c>
      <x:c r="C861" t="n">
        <x:v>17820</x:v>
      </x:c>
      <x:c r="D861" t="n">
        <x:v>13</x:v>
      </x:c>
      <x:c r="E861" t="str">
        <x:v>Medium</x:v>
      </x:c>
      <x:c r="F861" t="str">
        <x:v>Commercial</x:v>
      </x:c>
      <x:c r="G861" t="str">
        <x:v>Steel</x:v>
      </x:c>
      <x:c r="H861" t="str">
        <x:v>Raft</x:v>
      </x:c>
      <x:c r="I861" t="str">
        <x:v>Mixed</x:v>
      </x:c>
      <x:c r="J861" t="str">
        <x:v>High</x:v>
      </x:c>
      <x:c r="K861" t="n">
        <x:v>42375960</x:v>
      </x:c>
      <x:c r="L861" t="n">
        <x:v>757</x:v>
      </x:c>
      <x:c r="M861" t="n">
        <x:v>364.4</x:v>
      </x:c>
      <x:c r="N861" t="n">
        <x:v>12.1</x:v>
      </x:c>
      <x:c r="O861" t="n">
        <x:v>65.9</x:v>
      </x:c>
      <x:c r="P861" t="str">
        <x:v>Sunny</x:v>
      </x:c>
      <x:c r="Q861" t="n">
        <x:v>94</x:v>
      </x:c>
      <x:c r="R861" t="n">
        <x:v>80.2</x:v>
      </x:c>
      <x:c r="S861" t="n">
        <x:v>0.0973</x:v>
      </x:c>
      <x:c r="T861" t="n">
        <x:v>16.9</x:v>
      </x:c>
      <x:c r="U861" t="n">
        <x:v>1370.8</x:v>
      </x:c>
      <x:c r="V861" t="n">
        <x:v>2378</x:v>
      </x:c>
      <x:c r="W861" t="n">
        <x:v>42.5</x:v>
      </x:c>
    </x:row>
    <x:row r="862">
      <x:c r="A862" t="str">
        <x:v>PJT_861</x:v>
      </x:c>
      <x:c r="B862" t="str">
        <x:v>Continental</x:v>
      </x:c>
      <x:c r="C862" t="n">
        <x:v>20370</x:v>
      </x:c>
      <x:c r="D862" t="n">
        <x:v>14</x:v>
      </x:c>
      <x:c r="E862" t="str">
        <x:v>High</x:v>
      </x:c>
      <x:c r="F862" t="str">
        <x:v>Mixed-use</x:v>
      </x:c>
      <x:c r="G862" t="str">
        <x:v>Shear Wall</x:v>
      </x:c>
      <x:c r="H862" t="str">
        <x:v>Raft</x:v>
      </x:c>
      <x:c r="I862" t="str">
        <x:v>Rock</x:v>
      </x:c>
      <x:c r="J862" t="str">
        <x:v>Medium</x:v>
      </x:c>
      <x:c r="K862" t="n">
        <x:v>51984240</x:v>
      </x:c>
      <x:c r="L862" t="n">
        <x:v>1092</x:v>
      </x:c>
      <x:c r="M862" t="n">
        <x:v>629.4</x:v>
      </x:c>
      <x:c r="N862" t="n">
        <x:v>0.3</x:v>
      </x:c>
      <x:c r="O862" t="n">
        <x:v>76.5</x:v>
      </x:c>
      <x:c r="P862" t="str">
        <x:v>Snowy</x:v>
      </x:c>
      <x:c r="Q862" t="n">
        <x:v>76</x:v>
      </x:c>
      <x:c r="R862" t="n">
        <x:v>89.4</x:v>
      </x:c>
      <x:c r="S862" t="n">
        <x:v>0.1074</x:v>
      </x:c>
      <x:c r="T862" t="n">
        <x:v>19.7</x:v>
      </x:c>
      <x:c r="U862" t="n">
        <x:v>1455</x:v>
      </x:c>
      <x:c r="V862" t="n">
        <x:v>2552</x:v>
      </x:c>
      <x:c r="W862" t="n">
        <x:v>53.6</x:v>
      </x:c>
    </x:row>
    <x:row r="863">
      <x:c r="A863" t="str">
        <x:v>PJT_862</x:v>
      </x:c>
      <x:c r="B863" t="str">
        <x:v>Continental</x:v>
      </x:c>
      <x:c r="C863" t="n">
        <x:v>7970</x:v>
      </x:c>
      <x:c r="D863" t="n">
        <x:v>11</x:v>
      </x:c>
      <x:c r="E863" t="str">
        <x:v>Low</x:v>
      </x:c>
      <x:c r="F863" t="str">
        <x:v>Residential</x:v>
      </x:c>
      <x:c r="G863" t="str">
        <x:v>Shear Wall</x:v>
      </x:c>
      <x:c r="H863" t="str">
        <x:v>Raft</x:v>
      </x:c>
      <x:c r="I863" t="str">
        <x:v>Mixed</x:v>
      </x:c>
      <x:c r="J863" t="str">
        <x:v>High</x:v>
      </x:c>
      <x:c r="K863" t="n">
        <x:v>12090490</x:v>
      </x:c>
      <x:c r="L863" t="n">
        <x:v>255</x:v>
      </x:c>
      <x:c r="M863" t="n">
        <x:v>334</x:v>
      </x:c>
      <x:c r="N863" t="n">
        <x:v>16</x:v>
      </x:c>
      <x:c r="O863" t="n">
        <x:v>61.4</x:v>
      </x:c>
      <x:c r="P863" t="str">
        <x:v>Cloudy</x:v>
      </x:c>
      <x:c r="Q863" t="n">
        <x:v>82</x:v>
      </x:c>
      <x:c r="R863" t="n">
        <x:v>69.1</x:v>
      </x:c>
      <x:c r="S863" t="n">
        <x:v>0.0766</x:v>
      </x:c>
      <x:c r="T863" t="n">
        <x:v>12</x:v>
      </x:c>
      <x:c r="U863" t="n">
        <x:v>724.5</x:v>
      </x:c>
      <x:c r="V863" t="n">
        <x:v>1517</x:v>
      </x:c>
      <x:c r="W863" t="n">
        <x:v>32</x:v>
      </x:c>
    </x:row>
    <x:row r="864">
      <x:c r="A864" t="str">
        <x:v>PJT_863</x:v>
      </x:c>
      <x:c r="B864" t="str">
        <x:v>Continental</x:v>
      </x:c>
      <x:c r="C864" t="n">
        <x:v>10530</x:v>
      </x:c>
      <x:c r="D864" t="n">
        <x:v>12</x:v>
      </x:c>
      <x:c r="E864" t="str">
        <x:v>Medium</x:v>
      </x:c>
      <x:c r="F864" t="str">
        <x:v>Residential</x:v>
      </x:c>
      <x:c r="G864" t="str">
        <x:v>Shear Wall</x:v>
      </x:c>
      <x:c r="H864" t="str">
        <x:v>Raft</x:v>
      </x:c>
      <x:c r="I864" t="str">
        <x:v>Rock</x:v>
      </x:c>
      <x:c r="J864" t="str">
        <x:v>High</x:v>
      </x:c>
      <x:c r="K864" t="n">
        <x:v>16753230</x:v>
      </x:c>
      <x:c r="L864" t="n">
        <x:v>384</x:v>
      </x:c>
      <x:c r="M864" t="n">
        <x:v>668.9</x:v>
      </x:c>
      <x:c r="N864" t="n">
        <x:v>8.3</x:v>
      </x:c>
      <x:c r="O864" t="n">
        <x:v>68.9</x:v>
      </x:c>
      <x:c r="P864" t="str">
        <x:v>Cloudy</x:v>
      </x:c>
      <x:c r="Q864" t="n">
        <x:v>72</x:v>
      </x:c>
      <x:c r="R864" t="n">
        <x:v>72.3</x:v>
      </x:c>
      <x:c r="S864" t="n">
        <x:v>0.0849</x:v>
      </x:c>
      <x:c r="T864" t="n">
        <x:v>12.8</x:v>
      </x:c>
      <x:c r="U864" t="n">
        <x:v>877.5</x:v>
      </x:c>
      <x:c r="V864" t="n">
        <x:v>1591</x:v>
      </x:c>
      <x:c r="W864" t="n">
        <x:v>36.5</x:v>
      </x:c>
    </x:row>
    <x:row r="865">
      <x:c r="A865" t="str">
        <x:v>PJT_864</x:v>
      </x:c>
      <x:c r="B865" t="str">
        <x:v>Mediterranean</x:v>
      </x:c>
      <x:c r="C865" t="n">
        <x:v>25670</x:v>
      </x:c>
      <x:c r="D865" t="n">
        <x:v>20</x:v>
      </x:c>
      <x:c r="E865" t="str">
        <x:v>High</x:v>
      </x:c>
      <x:c r="F865" t="str">
        <x:v>Mixed-use</x:v>
      </x:c>
      <x:c r="G865" t="str">
        <x:v>Steel</x:v>
      </x:c>
      <x:c r="H865" t="str">
        <x:v>Piles</x:v>
      </x:c>
      <x:c r="I865" t="str">
        <x:v>Sand</x:v>
      </x:c>
      <x:c r="J865" t="str">
        <x:v>High</x:v>
      </x:c>
      <x:c r="K865" t="n">
        <x:v>78627210</x:v>
      </x:c>
      <x:c r="L865" t="n">
        <x:v>1486</x:v>
      </x:c>
      <x:c r="M865" t="n">
        <x:v>336.3</x:v>
      </x:c>
      <x:c r="N865" t="n">
        <x:v>13.9</x:v>
      </x:c>
      <x:c r="O865" t="n">
        <x:v>75.8</x:v>
      </x:c>
      <x:c r="P865" t="str">
        <x:v>Rainy</x:v>
      </x:c>
      <x:c r="Q865" t="n">
        <x:v>90</x:v>
      </x:c>
      <x:c r="R865" t="n">
        <x:v>85.5</x:v>
      </x:c>
      <x:c r="S865" t="n">
        <x:v>0.1058</x:v>
      </x:c>
      <x:c r="T865" t="n">
        <x:v>19.9</x:v>
      </x:c>
      <x:c r="U865" t="n">
        <x:v>1283.5</x:v>
      </x:c>
      <x:c r="V865" t="n">
        <x:v>3063</x:v>
      </x:c>
      <x:c r="W865" t="n">
        <x:v>57.9</x:v>
      </x:c>
    </x:row>
    <x:row r="866">
      <x:c r="A866" t="str">
        <x:v>PJT_865</x:v>
      </x:c>
      <x:c r="B866" t="str">
        <x:v>Mediterranean</x:v>
      </x:c>
      <x:c r="C866" t="n">
        <x:v>17780</x:v>
      </x:c>
      <x:c r="D866" t="n">
        <x:v>16</x:v>
      </x:c>
      <x:c r="E866" t="str">
        <x:v>Medium</x:v>
      </x:c>
      <x:c r="F866" t="str">
        <x:v>Mixed-use</x:v>
      </x:c>
      <x:c r="G866" t="str">
        <x:v>Steel</x:v>
      </x:c>
      <x:c r="H866" t="str">
        <x:v>Piles</x:v>
      </x:c>
      <x:c r="I866" t="str">
        <x:v>Mixed</x:v>
      </x:c>
      <x:c r="J866" t="str">
        <x:v>Medium</x:v>
      </x:c>
      <x:c r="K866" t="n">
        <x:v>49837340</x:v>
      </x:c>
      <x:c r="L866" t="n">
        <x:v>930</x:v>
      </x:c>
      <x:c r="M866" t="n">
        <x:v>360.7</x:v>
      </x:c>
      <x:c r="N866" t="n">
        <x:v>11.4</x:v>
      </x:c>
      <x:c r="O866" t="n">
        <x:v>78.4</x:v>
      </x:c>
      <x:c r="P866" t="str">
        <x:v>Rainy</x:v>
      </x:c>
      <x:c r="Q866" t="n">
        <x:v>99</x:v>
      </x:c>
      <x:c r="R866" t="n">
        <x:v>85.8</x:v>
      </x:c>
      <x:c r="S866" t="n">
        <x:v>0.1018</x:v>
      </x:c>
      <x:c r="T866" t="n">
        <x:v>18.9</x:v>
      </x:c>
      <x:c r="U866" t="n">
        <x:v>1111.2</x:v>
      </x:c>
      <x:c r="V866" t="n">
        <x:v>2803</x:v>
      </x:c>
      <x:c r="W866" t="n">
        <x:v>52.3</x:v>
      </x:c>
    </x:row>
    <x:row r="867">
      <x:c r="A867" t="str">
        <x:v>PJT_866</x:v>
      </x:c>
      <x:c r="B867" t="str">
        <x:v>Marine</x:v>
      </x:c>
      <x:c r="C867" t="n">
        <x:v>21820</x:v>
      </x:c>
      <x:c r="D867" t="n">
        <x:v>12</x:v>
      </x:c>
      <x:c r="E867" t="str">
        <x:v>Medium</x:v>
      </x:c>
      <x:c r="F867" t="str">
        <x:v>Mixed-use</x:v>
      </x:c>
      <x:c r="G867" t="str">
        <x:v>Steel</x:v>
      </x:c>
      <x:c r="H867" t="str">
        <x:v>Piles</x:v>
      </x:c>
      <x:c r="I867" t="str">
        <x:v>Mixed</x:v>
      </x:c>
      <x:c r="J867" t="str">
        <x:v>High</x:v>
      </x:c>
      <x:c r="K867" t="n">
        <x:v>60375940</x:v>
      </x:c>
      <x:c r="L867" t="n">
        <x:v>1180</x:v>
      </x:c>
      <x:c r="M867" t="n">
        <x:v>422.9</x:v>
      </x:c>
      <x:c r="N867" t="n">
        <x:v>-1.3</x:v>
      </x:c>
      <x:c r="O867" t="n">
        <x:v>84.8</x:v>
      </x:c>
      <x:c r="P867" t="str">
        <x:v>Snowy</x:v>
      </x:c>
      <x:c r="Q867" t="n">
        <x:v>97</x:v>
      </x:c>
      <x:c r="R867" t="n">
        <x:v>82.3</x:v>
      </x:c>
      <x:c r="S867" t="n">
        <x:v>0.1027</x:v>
      </x:c>
      <x:c r="T867" t="n">
        <x:v>19.3</x:v>
      </x:c>
      <x:c r="U867" t="n">
        <x:v>1818.3</x:v>
      </x:c>
      <x:c r="V867" t="n">
        <x:v>2767</x:v>
      </x:c>
      <x:c r="W867" t="n">
        <x:v>54.1</x:v>
      </x:c>
    </x:row>
    <x:row r="868">
      <x:c r="A868" t="str">
        <x:v>PJT_867</x:v>
      </x:c>
      <x:c r="B868" t="str">
        <x:v>Humid Subtropical</x:v>
      </x:c>
      <x:c r="C868" t="n">
        <x:v>14350</x:v>
      </x:c>
      <x:c r="D868" t="n">
        <x:v>5</x:v>
      </x:c>
      <x:c r="E868" t="str">
        <x:v>Low</x:v>
      </x:c>
      <x:c r="F868" t="str">
        <x:v>School</x:v>
      </x:c>
      <x:c r="G868" t="str">
        <x:v>RC Frame</x:v>
      </x:c>
      <x:c r="H868" t="str">
        <x:v>Raft</x:v>
      </x:c>
      <x:c r="I868" t="str">
        <x:v>Sand</x:v>
      </x:c>
      <x:c r="J868" t="str">
        <x:v>High</x:v>
      </x:c>
      <x:c r="K868" t="n">
        <x:v>26920600</x:v>
      </x:c>
      <x:c r="L868" t="n">
        <x:v>452</x:v>
      </x:c>
      <x:c r="M868" t="n">
        <x:v>228.2</x:v>
      </x:c>
      <x:c r="N868" t="n">
        <x:v>26.2</x:v>
      </x:c>
      <x:c r="O868" t="n">
        <x:v>94.2</x:v>
      </x:c>
      <x:c r="P868" t="str">
        <x:v>Stormy</x:v>
      </x:c>
      <x:c r="Q868" t="n">
        <x:v>76</x:v>
      </x:c>
      <x:c r="R868" t="n">
        <x:v>65.3</x:v>
      </x:c>
      <x:c r="S868" t="n">
        <x:v>0.0782</x:v>
      </x:c>
      <x:c r="T868" t="n">
        <x:v>13.2</x:v>
      </x:c>
      <x:c r="U868" t="n">
        <x:v>2870</x:v>
      </x:c>
      <x:c r="V868" t="n">
        <x:v>1876</x:v>
      </x:c>
      <x:c r="W868" t="n">
        <x:v>31.5</x:v>
      </x:c>
    </x:row>
    <x:row r="869">
      <x:c r="A869" t="str">
        <x:v>PJT_868</x:v>
      </x:c>
      <x:c r="B869" t="str">
        <x:v>Marine</x:v>
      </x:c>
      <x:c r="C869" t="n">
        <x:v>7060</x:v>
      </x:c>
      <x:c r="D869" t="n">
        <x:v>8</x:v>
      </x:c>
      <x:c r="E869" t="str">
        <x:v>Low</x:v>
      </x:c>
      <x:c r="F869" t="str">
        <x:v>Residential</x:v>
      </x:c>
      <x:c r="G869" t="str">
        <x:v>RC Frame</x:v>
      </x:c>
      <x:c r="H869" t="str">
        <x:v>Raft</x:v>
      </x:c>
      <x:c r="I869" t="str">
        <x:v>Rock</x:v>
      </x:c>
      <x:c r="J869" t="str">
        <x:v>Medium</x:v>
      </x:c>
      <x:c r="K869" t="n">
        <x:v>10215820</x:v>
      </x:c>
      <x:c r="L869" t="n">
        <x:v>224</x:v>
      </x:c>
      <x:c r="M869" t="n">
        <x:v>731.7</x:v>
      </x:c>
      <x:c r="N869" t="n">
        <x:v>14.5</x:v>
      </x:c>
      <x:c r="O869" t="n">
        <x:v>77.5</x:v>
      </x:c>
      <x:c r="P869" t="str">
        <x:v>Cloudy</x:v>
      </x:c>
      <x:c r="Q869" t="n">
        <x:v>73</x:v>
      </x:c>
      <x:c r="R869" t="n">
        <x:v>66.1</x:v>
      </x:c>
      <x:c r="S869" t="n">
        <x:v>0.0772</x:v>
      </x:c>
      <x:c r="T869" t="n">
        <x:v>11.9</x:v>
      </x:c>
      <x:c r="U869" t="n">
        <x:v>882.5</x:v>
      </x:c>
      <x:c r="V869" t="n">
        <x:v>1447</x:v>
      </x:c>
      <x:c r="W869" t="n">
        <x:v>31.7</x:v>
      </x:c>
    </x:row>
    <x:row r="870">
      <x:c r="A870" t="str">
        <x:v>PJT_869</x:v>
      </x:c>
      <x:c r="B870" t="str">
        <x:v>Marine</x:v>
      </x:c>
      <x:c r="C870" t="n">
        <x:v>16720</x:v>
      </x:c>
      <x:c r="D870" t="n">
        <x:v>10</x:v>
      </x:c>
      <x:c r="E870" t="str">
        <x:v>Medium</x:v>
      </x:c>
      <x:c r="F870" t="str">
        <x:v>Commercial</x:v>
      </x:c>
      <x:c r="G870" t="str">
        <x:v>Steel</x:v>
      </x:c>
      <x:c r="H870" t="str">
        <x:v>Raft</x:v>
      </x:c>
      <x:c r="I870" t="str">
        <x:v>Mixed</x:v>
      </x:c>
      <x:c r="J870" t="str">
        <x:v>High</x:v>
      </x:c>
      <x:c r="K870" t="n">
        <x:v>40261760</x:v>
      </x:c>
      <x:c r="L870" t="n">
        <x:v>739</x:v>
      </x:c>
      <x:c r="M870" t="n">
        <x:v>321.3</x:v>
      </x:c>
      <x:c r="N870" t="n">
        <x:v>12.6</x:v>
      </x:c>
      <x:c r="O870" t="n">
        <x:v>78.9</x:v>
      </x:c>
      <x:c r="P870" t="str">
        <x:v>Cloudy</x:v>
      </x:c>
      <x:c r="Q870" t="n">
        <x:v>72</x:v>
      </x:c>
      <x:c r="R870" t="n">
        <x:v>73.3</x:v>
      </x:c>
      <x:c r="S870" t="n">
        <x:v>0.0944</x:v>
      </x:c>
      <x:c r="T870" t="n">
        <x:v>16.1</x:v>
      </x:c>
      <x:c r="U870" t="n">
        <x:v>1672</x:v>
      </x:c>
      <x:c r="V870" t="n">
        <x:v>2408</x:v>
      </x:c>
      <x:c r="W870" t="n">
        <x:v>44.2</x:v>
      </x:c>
    </x:row>
    <x:row r="871">
      <x:c r="A871" t="str">
        <x:v>PJT_870</x:v>
      </x:c>
      <x:c r="B871" t="str">
        <x:v>Mediterranean</x:v>
      </x:c>
      <x:c r="C871" t="n">
        <x:v>20760</x:v>
      </x:c>
      <x:c r="D871" t="n">
        <x:v>22</x:v>
      </x:c>
      <x:c r="E871" t="str">
        <x:v>High</x:v>
      </x:c>
      <x:c r="F871" t="str">
        <x:v>Mixed-use</x:v>
      </x:c>
      <x:c r="G871" t="str">
        <x:v>Steel</x:v>
      </x:c>
      <x:c r="H871" t="str">
        <x:v>Piles</x:v>
      </x:c>
      <x:c r="I871" t="str">
        <x:v>Rock</x:v>
      </x:c>
      <x:c r="J871" t="str">
        <x:v>Medium</x:v>
      </x:c>
      <x:c r="K871" t="n">
        <x:v>60183240</x:v>
      </x:c>
      <x:c r="L871" t="n">
        <x:v>1084</x:v>
      </x:c>
      <x:c r="M871" t="n">
        <x:v>639.5</x:v>
      </x:c>
      <x:c r="N871" t="n">
        <x:v>26.2</x:v>
      </x:c>
      <x:c r="O871" t="n">
        <x:v>60.3</x:v>
      </x:c>
      <x:c r="P871" t="str">
        <x:v>Sunny</x:v>
      </x:c>
      <x:c r="Q871" t="n">
        <x:v>96</x:v>
      </x:c>
      <x:c r="R871" t="n">
        <x:v>92</x:v>
      </x:c>
      <x:c r="S871" t="n">
        <x:v>0.1055</x:v>
      </x:c>
      <x:c r="T871" t="n">
        <x:v>20.7</x:v>
      </x:c>
      <x:c r="U871" t="n">
        <x:v>943.6</x:v>
      </x:c>
      <x:c r="V871" t="n">
        <x:v>2899</x:v>
      </x:c>
      <x:c r="W871" t="n">
        <x:v>52.2</x:v>
      </x:c>
    </x:row>
    <x:row r="872">
      <x:c r="A872" t="str">
        <x:v>PJT_871</x:v>
      </x:c>
      <x:c r="B872" t="str">
        <x:v>Humid Subtropical</x:v>
      </x:c>
      <x:c r="C872" t="n">
        <x:v>40240</x:v>
      </x:c>
      <x:c r="D872" t="n">
        <x:v>23</x:v>
      </x:c>
      <x:c r="E872" t="str">
        <x:v>High</x:v>
      </x:c>
      <x:c r="F872" t="str">
        <x:v>Commercial</x:v>
      </x:c>
      <x:c r="G872" t="str">
        <x:v>Steel</x:v>
      </x:c>
      <x:c r="H872" t="str">
        <x:v>Piles</x:v>
      </x:c>
      <x:c r="I872" t="str">
        <x:v>Soft Clay</x:v>
      </x:c>
      <x:c r="J872" t="str">
        <x:v>Medium</x:v>
      </x:c>
      <x:c r="K872" t="n">
        <x:v>109291840</x:v>
      </x:c>
      <x:c r="L872" t="n">
        <x:v>2193</x:v>
      </x:c>
      <x:c r="M872" t="n">
        <x:v>199.5</x:v>
      </x:c>
      <x:c r="N872" t="n">
        <x:v>25.9</x:v>
      </x:c>
      <x:c r="O872" t="n">
        <x:v>88.4</x:v>
      </x:c>
      <x:c r="P872" t="str">
        <x:v>Rainy</x:v>
      </x:c>
      <x:c r="Q872" t="n">
        <x:v>93</x:v>
      </x:c>
      <x:c r="R872" t="n">
        <x:v>86.4</x:v>
      </x:c>
      <x:c r="S872" t="n">
        <x:v>0.1006</x:v>
      </x:c>
      <x:c r="T872" t="n">
        <x:v>18.5</x:v>
      </x:c>
      <x:c r="U872" t="n">
        <x:v>1749.6</x:v>
      </x:c>
      <x:c r="V872" t="n">
        <x:v>2716</x:v>
      </x:c>
      <x:c r="W872" t="n">
        <x:v>54.5</x:v>
      </x:c>
    </x:row>
    <x:row r="873">
      <x:c r="A873" t="str">
        <x:v>PJT_872</x:v>
      </x:c>
      <x:c r="B873" t="str">
        <x:v>Marine</x:v>
      </x:c>
      <x:c r="C873" t="n">
        <x:v>18910</x:v>
      </x:c>
      <x:c r="D873" t="n">
        <x:v>17</x:v>
      </x:c>
      <x:c r="E873" t="str">
        <x:v>Medium</x:v>
      </x:c>
      <x:c r="F873" t="str">
        <x:v>Mixed-use</x:v>
      </x:c>
      <x:c r="G873" t="str">
        <x:v>Shear Wall</x:v>
      </x:c>
      <x:c r="H873" t="str">
        <x:v>Piles</x:v>
      </x:c>
      <x:c r="I873" t="str">
        <x:v>Sand</x:v>
      </x:c>
      <x:c r="J873" t="str">
        <x:v>Medium</x:v>
      </x:c>
      <x:c r="K873" t="n">
        <x:v>51454110</x:v>
      </x:c>
      <x:c r="L873" t="n">
        <x:v>876</x:v>
      </x:c>
      <x:c r="M873" t="n">
        <x:v>255.5</x:v>
      </x:c>
      <x:c r="N873" t="n">
        <x:v>23.4</x:v>
      </x:c>
      <x:c r="O873" t="n">
        <x:v>55.9</x:v>
      </x:c>
      <x:c r="P873" t="str">
        <x:v>Sunny</x:v>
      </x:c>
      <x:c r="Q873" t="n">
        <x:v>72</x:v>
      </x:c>
      <x:c r="R873" t="n">
        <x:v>80.7</x:v>
      </x:c>
      <x:c r="S873" t="n">
        <x:v>0.1007</x:v>
      </x:c>
      <x:c r="T873" t="n">
        <x:v>18.3</x:v>
      </x:c>
      <x:c r="U873" t="n">
        <x:v>1112.4</x:v>
      </x:c>
      <x:c r="V873" t="n">
        <x:v>2721</x:v>
      </x:c>
      <x:c r="W873" t="n">
        <x:v>46.3</x:v>
      </x:c>
    </x:row>
    <x:row r="874">
      <x:c r="A874" t="str">
        <x:v>PJT_873</x:v>
      </x:c>
      <x:c r="B874" t="str">
        <x:v>Humid Subtropical</x:v>
      </x:c>
      <x:c r="C874" t="n">
        <x:v>13520</x:v>
      </x:c>
      <x:c r="D874" t="n">
        <x:v>12</x:v>
      </x:c>
      <x:c r="E874" t="str">
        <x:v>Medium</x:v>
      </x:c>
      <x:c r="F874" t="str">
        <x:v>Commercial</x:v>
      </x:c>
      <x:c r="G874" t="str">
        <x:v>Steel</x:v>
      </x:c>
      <x:c r="H874" t="str">
        <x:v>Piles</x:v>
      </x:c>
      <x:c r="I874" t="str">
        <x:v>Sand</x:v>
      </x:c>
      <x:c r="J874" t="str">
        <x:v>Medium</x:v>
      </x:c>
      <x:c r="K874" t="n">
        <x:v>32218160</x:v>
      </x:c>
      <x:c r="L874" t="n">
        <x:v>658</x:v>
      </x:c>
      <x:c r="M874" t="n">
        <x:v>359.3</x:v>
      </x:c>
      <x:c r="N874" t="n">
        <x:v>24.8</x:v>
      </x:c>
      <x:c r="O874" t="n">
        <x:v>88.7</x:v>
      </x:c>
      <x:c r="P874" t="str">
        <x:v>Rainy</x:v>
      </x:c>
      <x:c r="Q874" t="n">
        <x:v>90</x:v>
      </x:c>
      <x:c r="R874" t="n">
        <x:v>74.8</x:v>
      </x:c>
      <x:c r="S874" t="n">
        <x:v>0.093</x:v>
      </x:c>
      <x:c r="T874" t="n">
        <x:v>18.1</x:v>
      </x:c>
      <x:c r="U874" t="n">
        <x:v>1126.7</x:v>
      </x:c>
      <x:c r="V874" t="n">
        <x:v>2383</x:v>
      </x:c>
      <x:c r="W874" t="n">
        <x:v>48.7</x:v>
      </x:c>
    </x:row>
    <x:row r="875">
      <x:c r="A875" t="str">
        <x:v>PJT_874</x:v>
      </x:c>
      <x:c r="B875" t="str">
        <x:v>Mediterranean</x:v>
      </x:c>
      <x:c r="C875" t="n">
        <x:v>5900</x:v>
      </x:c>
      <x:c r="D875" t="n">
        <x:v>5</x:v>
      </x:c>
      <x:c r="E875" t="str">
        <x:v>Low</x:v>
      </x:c>
      <x:c r="F875" t="str">
        <x:v>Residential</x:v>
      </x:c>
      <x:c r="G875" t="str">
        <x:v>RC Frame</x:v>
      </x:c>
      <x:c r="H875" t="str">
        <x:v>Raft</x:v>
      </x:c>
      <x:c r="I875" t="str">
        <x:v>Mixed</x:v>
      </x:c>
      <x:c r="J875" t="str">
        <x:v>High</x:v>
      </x:c>
      <x:c r="K875" t="n">
        <x:v>8254100</x:v>
      </x:c>
      <x:c r="L875" t="n">
        <x:v>180</x:v>
      </x:c>
      <x:c r="M875" t="n">
        <x:v>333.4</x:v>
      </x:c>
      <x:c r="N875" t="n">
        <x:v>25.8</x:v>
      </x:c>
      <x:c r="O875" t="n">
        <x:v>51.5</x:v>
      </x:c>
      <x:c r="P875" t="str">
        <x:v>Sunny</x:v>
      </x:c>
      <x:c r="Q875" t="n">
        <x:v>59</x:v>
      </x:c>
      <x:c r="R875" t="n">
        <x:v>65.3</x:v>
      </x:c>
      <x:c r="S875" t="n">
        <x:v>0.0744</x:v>
      </x:c>
      <x:c r="T875" t="n">
        <x:v>12.2</x:v>
      </x:c>
      <x:c r="U875" t="n">
        <x:v>1180</x:v>
      </x:c>
      <x:c r="V875" t="n">
        <x:v>1399</x:v>
      </x:c>
      <x:c r="W875" t="n">
        <x:v>29.9</x:v>
      </x:c>
    </x:row>
    <x:row r="876">
      <x:c r="A876" t="str">
        <x:v>PJT_875</x:v>
      </x:c>
      <x:c r="B876" t="str">
        <x:v>Marine</x:v>
      </x:c>
      <x:c r="C876" t="n">
        <x:v>18550</x:v>
      </x:c>
      <x:c r="D876" t="n">
        <x:v>10</x:v>
      </x:c>
      <x:c r="E876" t="str">
        <x:v>Medium</x:v>
      </x:c>
      <x:c r="F876" t="str">
        <x:v>Commercial</x:v>
      </x:c>
      <x:c r="G876" t="str">
        <x:v>Steel</x:v>
      </x:c>
      <x:c r="H876" t="str">
        <x:v>Raft</x:v>
      </x:c>
      <x:c r="I876" t="str">
        <x:v>Sand</x:v>
      </x:c>
      <x:c r="J876" t="str">
        <x:v>Low</x:v>
      </x:c>
      <x:c r="K876" t="n">
        <x:v>42164150</x:v>
      </x:c>
      <x:c r="L876" t="n">
        <x:v>770</x:v>
      </x:c>
      <x:c r="M876" t="n">
        <x:v>314.5</x:v>
      </x:c>
      <x:c r="N876" t="n">
        <x:v>11.5</x:v>
      </x:c>
      <x:c r="O876" t="n">
        <x:v>59.7</x:v>
      </x:c>
      <x:c r="P876" t="str">
        <x:v>Sunny</x:v>
      </x:c>
      <x:c r="Q876" t="n">
        <x:v>98</x:v>
      </x:c>
      <x:c r="R876" t="n">
        <x:v>78.7</x:v>
      </x:c>
      <x:c r="S876" t="n">
        <x:v>0.1</x:v>
      </x:c>
      <x:c r="T876" t="n">
        <x:v>17.4</x:v>
      </x:c>
      <x:c r="U876" t="n">
        <x:v>1855</x:v>
      </x:c>
      <x:c r="V876" t="n">
        <x:v>2273</x:v>
      </x:c>
      <x:c r="W876" t="n">
        <x:v>41.5</x:v>
      </x:c>
    </x:row>
    <x:row r="877">
      <x:c r="A877" t="str">
        <x:v>PJT_876</x:v>
      </x:c>
      <x:c r="B877" t="str">
        <x:v>Mediterranean</x:v>
      </x:c>
      <x:c r="C877" t="n">
        <x:v>16950</x:v>
      </x:c>
      <x:c r="D877" t="n">
        <x:v>8</x:v>
      </x:c>
      <x:c r="E877" t="str">
        <x:v>Medium</x:v>
      </x:c>
      <x:c r="F877" t="str">
        <x:v>Hospital</x:v>
      </x:c>
      <x:c r="G877" t="str">
        <x:v>RC Frame</x:v>
      </x:c>
      <x:c r="H877" t="str">
        <x:v>Raft</x:v>
      </x:c>
      <x:c r="I877" t="str">
        <x:v>Mixed</x:v>
      </x:c>
      <x:c r="J877" t="str">
        <x:v>Medium</x:v>
      </x:c>
      <x:c r="K877" t="n">
        <x:v>51409350</x:v>
      </x:c>
      <x:c r="L877" t="n">
        <x:v>814</x:v>
      </x:c>
      <x:c r="M877" t="n">
        <x:v>285.8</x:v>
      </x:c>
      <x:c r="N877" t="n">
        <x:v>17.3</x:v>
      </x:c>
      <x:c r="O877" t="n">
        <x:v>64.1</x:v>
      </x:c>
      <x:c r="P877" t="str">
        <x:v>Cloudy</x:v>
      </x:c>
      <x:c r="Q877" t="n">
        <x:v>92</x:v>
      </x:c>
      <x:c r="R877" t="n">
        <x:v>84.1</x:v>
      </x:c>
      <x:c r="S877" t="n">
        <x:v>0.1047</x:v>
      </x:c>
      <x:c r="T877" t="n">
        <x:v>19.9</x:v>
      </x:c>
      <x:c r="U877" t="n">
        <x:v>2118.8</x:v>
      </x:c>
      <x:c r="V877" t="n">
        <x:v>3033</x:v>
      </x:c>
      <x:c r="W877" t="n">
        <x:v>48</x:v>
      </x:c>
    </x:row>
    <x:row r="878">
      <x:c r="A878" t="str">
        <x:v>PJT_877</x:v>
      </x:c>
      <x:c r="B878" t="str">
        <x:v>Humid Subtropical</x:v>
      </x:c>
      <x:c r="C878" t="n">
        <x:v>9460</x:v>
      </x:c>
      <x:c r="D878" t="n">
        <x:v>9</x:v>
      </x:c>
      <x:c r="E878" t="str">
        <x:v>Low</x:v>
      </x:c>
      <x:c r="F878" t="str">
        <x:v>Residential</x:v>
      </x:c>
      <x:c r="G878" t="str">
        <x:v>RC Frame</x:v>
      </x:c>
      <x:c r="H878" t="str">
        <x:v>Raft</x:v>
      </x:c>
      <x:c r="I878" t="str">
        <x:v>Sand</x:v>
      </x:c>
      <x:c r="J878" t="str">
        <x:v>Medium</x:v>
      </x:c>
      <x:c r="K878" t="n">
        <x:v>13527800</x:v>
      </x:c>
      <x:c r="L878" t="n">
        <x:v>273</x:v>
      </x:c>
      <x:c r="M878" t="n">
        <x:v>248.2</x:v>
      </x:c>
      <x:c r="N878" t="n">
        <x:v>26</x:v>
      </x:c>
      <x:c r="O878" t="n">
        <x:v>54.3</x:v>
      </x:c>
      <x:c r="P878" t="str">
        <x:v>Sunny</x:v>
      </x:c>
      <x:c r="Q878" t="n">
        <x:v>92</x:v>
      </x:c>
      <x:c r="R878" t="n">
        <x:v>62.5</x:v>
      </x:c>
      <x:c r="S878" t="n">
        <x:v>0.077</x:v>
      </x:c>
      <x:c r="T878" t="n">
        <x:v>11.1</x:v>
      </x:c>
      <x:c r="U878" t="n">
        <x:v>1051.1</x:v>
      </x:c>
      <x:c r="V878" t="n">
        <x:v>1430</x:v>
      </x:c>
      <x:c r="W878" t="n">
        <x:v>28.9</x:v>
      </x:c>
    </x:row>
    <x:row r="879">
      <x:c r="A879" t="str">
        <x:v>PJT_878</x:v>
      </x:c>
      <x:c r="B879" t="str">
        <x:v>Humid Subtropical</x:v>
      </x:c>
      <x:c r="C879" t="n">
        <x:v>11580</x:v>
      </x:c>
      <x:c r="D879" t="n">
        <x:v>10</x:v>
      </x:c>
      <x:c r="E879" t="str">
        <x:v>Low</x:v>
      </x:c>
      <x:c r="F879" t="str">
        <x:v>Residential</x:v>
      </x:c>
      <x:c r="G879" t="str">
        <x:v>RC Frame</x:v>
      </x:c>
      <x:c r="H879" t="str">
        <x:v>Raft</x:v>
      </x:c>
      <x:c r="I879" t="str">
        <x:v>Mixed</x:v>
      </x:c>
      <x:c r="J879" t="str">
        <x:v>Low</x:v>
      </x:c>
      <x:c r="K879" t="n">
        <x:v>16466760</x:v>
      </x:c>
      <x:c r="L879" t="n">
        <x:v>353</x:v>
      </x:c>
      <x:c r="M879" t="n">
        <x:v>281.9</x:v>
      </x:c>
      <x:c r="N879" t="n">
        <x:v>29.5</x:v>
      </x:c>
      <x:c r="O879" t="n">
        <x:v>58.7</x:v>
      </x:c>
      <x:c r="P879" t="str">
        <x:v>Sunny</x:v>
      </x:c>
      <x:c r="Q879" t="n">
        <x:v>73</x:v>
      </x:c>
      <x:c r="R879" t="n">
        <x:v>64.2</x:v>
      </x:c>
      <x:c r="S879" t="n">
        <x:v>0.074</x:v>
      </x:c>
      <x:c r="T879" t="n">
        <x:v>12.2</x:v>
      </x:c>
      <x:c r="U879" t="n">
        <x:v>1158</x:v>
      </x:c>
      <x:c r="V879" t="n">
        <x:v>1422</x:v>
      </x:c>
      <x:c r="W879" t="n">
        <x:v>30.5</x:v>
      </x:c>
    </x:row>
    <x:row r="880">
      <x:c r="A880" t="str">
        <x:v>PJT_879</x:v>
      </x:c>
      <x:c r="B880" t="str">
        <x:v>Continental</x:v>
      </x:c>
      <x:c r="C880" t="n">
        <x:v>12360</x:v>
      </x:c>
      <x:c r="D880" t="n">
        <x:v>8</x:v>
      </x:c>
      <x:c r="E880" t="str">
        <x:v>Medium</x:v>
      </x:c>
      <x:c r="F880" t="str">
        <x:v>Commercial</x:v>
      </x:c>
      <x:c r="G880" t="str">
        <x:v>Steel</x:v>
      </x:c>
      <x:c r="H880" t="str">
        <x:v>Raft</x:v>
      </x:c>
      <x:c r="I880" t="str">
        <x:v>Mixed</x:v>
      </x:c>
      <x:c r="J880" t="str">
        <x:v>Medium</x:v>
      </x:c>
      <x:c r="K880" t="n">
        <x:v>28279680</x:v>
      </x:c>
      <x:c r="L880" t="n">
        <x:v>517</x:v>
      </x:c>
      <x:c r="M880" t="n">
        <x:v>279.2</x:v>
      </x:c>
      <x:c r="N880" t="n">
        <x:v>12.8</x:v>
      </x:c>
      <x:c r="O880" t="n">
        <x:v>51</x:v>
      </x:c>
      <x:c r="P880" t="str">
        <x:v>Sunny</x:v>
      </x:c>
      <x:c r="Q880" t="n">
        <x:v>80</x:v>
      </x:c>
      <x:c r="R880" t="n">
        <x:v>74.9</x:v>
      </x:c>
      <x:c r="S880" t="n">
        <x:v>0.0959</x:v>
      </x:c>
      <x:c r="T880" t="n">
        <x:v>16.7</x:v>
      </x:c>
      <x:c r="U880" t="n">
        <x:v>1545</x:v>
      </x:c>
      <x:c r="V880" t="n">
        <x:v>2288</x:v>
      </x:c>
      <x:c r="W880" t="n">
        <x:v>41.8</x:v>
      </x:c>
    </x:row>
    <x:row r="881">
      <x:c r="A881" t="str">
        <x:v>PJT_880</x:v>
      </x:c>
      <x:c r="B881" t="str">
        <x:v>Humid Subtropical</x:v>
      </x:c>
      <x:c r="C881" t="n">
        <x:v>14470</x:v>
      </x:c>
      <x:c r="D881" t="n">
        <x:v>9</x:v>
      </x:c>
      <x:c r="E881" t="str">
        <x:v>Medium</x:v>
      </x:c>
      <x:c r="F881" t="str">
        <x:v>Hospital</x:v>
      </x:c>
      <x:c r="G881" t="str">
        <x:v>Steel</x:v>
      </x:c>
      <x:c r="H881" t="str">
        <x:v>Raft</x:v>
      </x:c>
      <x:c r="I881" t="str">
        <x:v>Mixed</x:v>
      </x:c>
      <x:c r="J881" t="str">
        <x:v>Medium</x:v>
      </x:c>
      <x:c r="K881" t="n">
        <x:v>46347410</x:v>
      </x:c>
      <x:c r="L881" t="n">
        <x:v>761</x:v>
      </x:c>
      <x:c r="M881" t="n">
        <x:v>279.2</x:v>
      </x:c>
      <x:c r="N881" t="n">
        <x:v>24.7</x:v>
      </x:c>
      <x:c r="O881" t="n">
        <x:v>83</x:v>
      </x:c>
      <x:c r="P881" t="str">
        <x:v>Rainy</x:v>
      </x:c>
      <x:c r="Q881" t="n">
        <x:v>90</x:v>
      </x:c>
      <x:c r="R881" t="n">
        <x:v>83.2</x:v>
      </x:c>
      <x:c r="S881" t="n">
        <x:v>0.1148</x:v>
      </x:c>
      <x:c r="T881" t="n">
        <x:v>21.3</x:v>
      </x:c>
      <x:c r="U881" t="n">
        <x:v>1607.8</x:v>
      </x:c>
      <x:c r="V881" t="n">
        <x:v>3203</x:v>
      </x:c>
      <x:c r="W881" t="n">
        <x:v>52.6</x:v>
      </x:c>
    </x:row>
    <x:row r="882">
      <x:c r="A882" t="str">
        <x:v>PJT_881</x:v>
      </x:c>
      <x:c r="B882" t="str">
        <x:v>Humid Subtropical</x:v>
      </x:c>
      <x:c r="C882" t="n">
        <x:v>8450</x:v>
      </x:c>
      <x:c r="D882" t="n">
        <x:v>5</x:v>
      </x:c>
      <x:c r="E882" t="str">
        <x:v>Medium</x:v>
      </x:c>
      <x:c r="F882" t="str">
        <x:v>Commercial</x:v>
      </x:c>
      <x:c r="G882" t="str">
        <x:v>RC Frame</x:v>
      </x:c>
      <x:c r="H882" t="str">
        <x:v>Raft</x:v>
      </x:c>
      <x:c r="I882" t="str">
        <x:v>Soft Clay</x:v>
      </x:c>
      <x:c r="J882" t="str">
        <x:v>Medium</x:v>
      </x:c>
      <x:c r="K882" t="n">
        <x:v>19004050</x:v>
      </x:c>
      <x:c r="L882" t="n">
        <x:v>357</x:v>
      </x:c>
      <x:c r="M882" t="n">
        <x:v>180.4</x:v>
      </x:c>
      <x:c r="N882" t="n">
        <x:v>28</x:v>
      </x:c>
      <x:c r="O882" t="n">
        <x:v>91.4</x:v>
      </x:c>
      <x:c r="P882" t="str">
        <x:v>Stormy</x:v>
      </x:c>
      <x:c r="Q882" t="n">
        <x:v>90</x:v>
      </x:c>
      <x:c r="R882" t="n">
        <x:v>70.6</x:v>
      </x:c>
      <x:c r="S882" t="n">
        <x:v>0.0929</x:v>
      </x:c>
      <x:c r="T882" t="n">
        <x:v>16.2</x:v>
      </x:c>
      <x:c r="U882" t="n">
        <x:v>1690</x:v>
      </x:c>
      <x:c r="V882" t="n">
        <x:v>2249</x:v>
      </x:c>
      <x:c r="W882" t="n">
        <x:v>42.2</x:v>
      </x:c>
    </x:row>
    <x:row r="883">
      <x:c r="A883" t="str">
        <x:v>PJT_882</x:v>
      </x:c>
      <x:c r="B883" t="str">
        <x:v>Marine</x:v>
      </x:c>
      <x:c r="C883" t="n">
        <x:v>25630</x:v>
      </x:c>
      <x:c r="D883" t="n">
        <x:v>19</x:v>
      </x:c>
      <x:c r="E883" t="str">
        <x:v>High</x:v>
      </x:c>
      <x:c r="F883" t="str">
        <x:v>Mixed-use</x:v>
      </x:c>
      <x:c r="G883" t="str">
        <x:v>Steel</x:v>
      </x:c>
      <x:c r="H883" t="str">
        <x:v>Piles</x:v>
      </x:c>
      <x:c r="I883" t="str">
        <x:v>Rock</x:v>
      </x:c>
      <x:c r="J883" t="str">
        <x:v>Medium</x:v>
      </x:c>
      <x:c r="K883" t="n">
        <x:v>75172790</x:v>
      </x:c>
      <x:c r="L883" t="n">
        <x:v>1484</x:v>
      </x:c>
      <x:c r="M883" t="n">
        <x:v>707.2</x:v>
      </x:c>
      <x:c r="N883" t="n">
        <x:v>11.4</x:v>
      </x:c>
      <x:c r="O883" t="n">
        <x:v>90.7</x:v>
      </x:c>
      <x:c r="P883" t="str">
        <x:v>Rainy</x:v>
      </x:c>
      <x:c r="Q883" t="n">
        <x:v>96</x:v>
      </x:c>
      <x:c r="R883" t="n">
        <x:v>88</x:v>
      </x:c>
      <x:c r="S883" t="n">
        <x:v>0.1068</x:v>
      </x:c>
      <x:c r="T883" t="n">
        <x:v>20.4</x:v>
      </x:c>
      <x:c r="U883" t="n">
        <x:v>1348.9</x:v>
      </x:c>
      <x:c r="V883" t="n">
        <x:v>2933</x:v>
      </x:c>
      <x:c r="W883" t="n">
        <x:v>57.9</x:v>
      </x:c>
    </x:row>
    <x:row r="884">
      <x:c r="A884" t="str">
        <x:v>PJT_883</x:v>
      </x:c>
      <x:c r="B884" t="str">
        <x:v>Humid Subtropical</x:v>
      </x:c>
      <x:c r="C884" t="n">
        <x:v>9830</x:v>
      </x:c>
      <x:c r="D884" t="n">
        <x:v>3</x:v>
      </x:c>
      <x:c r="E884" t="str">
        <x:v>Low</x:v>
      </x:c>
      <x:c r="F884" t="str">
        <x:v>School</x:v>
      </x:c>
      <x:c r="G884" t="str">
        <x:v>RC Frame</x:v>
      </x:c>
      <x:c r="H884" t="str">
        <x:v>Raft</x:v>
      </x:c>
      <x:c r="I884" t="str">
        <x:v>Soft Clay</x:v>
      </x:c>
      <x:c r="J884" t="str">
        <x:v>Low</x:v>
      </x:c>
      <x:c r="K884" t="n">
        <x:v>16858450</x:v>
      </x:c>
      <x:c r="L884" t="n">
        <x:v>303</x:v>
      </x:c>
      <x:c r="M884" t="n">
        <x:v>199.8</x:v>
      </x:c>
      <x:c r="N884" t="n">
        <x:v>21.4</x:v>
      </x:c>
      <x:c r="O884" t="n">
        <x:v>84.3</x:v>
      </x:c>
      <x:c r="P884" t="str">
        <x:v>Rainy</x:v>
      </x:c>
      <x:c r="Q884" t="n">
        <x:v>93</x:v>
      </x:c>
      <x:c r="R884" t="n">
        <x:v>69</x:v>
      </x:c>
      <x:c r="S884" t="n">
        <x:v>0.08</x:v>
      </x:c>
      <x:c r="T884" t="n">
        <x:v>13</x:v>
      </x:c>
      <x:c r="U884" t="n">
        <x:v>3276.7</x:v>
      </x:c>
      <x:c r="V884" t="n">
        <x:v>1715</x:v>
      </x:c>
      <x:c r="W884" t="n">
        <x:v>30.8</x:v>
      </x:c>
    </x:row>
    <x:row r="885">
      <x:c r="A885" t="str">
        <x:v>PJT_884</x:v>
      </x:c>
      <x:c r="B885" t="str">
        <x:v>Continental</x:v>
      </x:c>
      <x:c r="C885" t="n">
        <x:v>12450</x:v>
      </x:c>
      <x:c r="D885" t="n">
        <x:v>4</x:v>
      </x:c>
      <x:c r="E885" t="str">
        <x:v>Low</x:v>
      </x:c>
      <x:c r="F885" t="str">
        <x:v>School</x:v>
      </x:c>
      <x:c r="G885" t="str">
        <x:v>RC Frame</x:v>
      </x:c>
      <x:c r="H885" t="str">
        <x:v>Raft</x:v>
      </x:c>
      <x:c r="I885" t="str">
        <x:v>Sand</x:v>
      </x:c>
      <x:c r="J885" t="str">
        <x:v>Low</x:v>
      </x:c>
      <x:c r="K885" t="n">
        <x:v>19222800</x:v>
      </x:c>
      <x:c r="L885" t="n">
        <x:v>370</x:v>
      </x:c>
      <x:c r="M885" t="n">
        <x:v>262</x:v>
      </x:c>
      <x:c r="N885" t="n">
        <x:v>1.6</x:v>
      </x:c>
      <x:c r="O885" t="n">
        <x:v>67.8</x:v>
      </x:c>
      <x:c r="P885" t="str">
        <x:v>Cloudy</x:v>
      </x:c>
      <x:c r="Q885" t="n">
        <x:v>68</x:v>
      </x:c>
      <x:c r="R885" t="n">
        <x:v>69.5</x:v>
      </x:c>
      <x:c r="S885" t="n">
        <x:v>0.0774</x:v>
      </x:c>
      <x:c r="T885" t="n">
        <x:v>12.9</x:v>
      </x:c>
      <x:c r="U885" t="n">
        <x:v>3112.5</x:v>
      </x:c>
      <x:c r="V885" t="n">
        <x:v>1544</x:v>
      </x:c>
      <x:c r="W885" t="n">
        <x:v>29.7</x:v>
      </x:c>
    </x:row>
    <x:row r="886">
      <x:c r="A886" t="str">
        <x:v>PJT_885</x:v>
      </x:c>
      <x:c r="B886" t="str">
        <x:v>Continental</x:v>
      </x:c>
      <x:c r="C886" t="n">
        <x:v>21870</x:v>
      </x:c>
      <x:c r="D886" t="n">
        <x:v>18</x:v>
      </x:c>
      <x:c r="E886" t="str">
        <x:v>High</x:v>
      </x:c>
      <x:c r="F886" t="str">
        <x:v>Mixed-use</x:v>
      </x:c>
      <x:c r="G886" t="str">
        <x:v>Steel</x:v>
      </x:c>
      <x:c r="H886" t="str">
        <x:v>Piles</x:v>
      </x:c>
      <x:c r="I886" t="str">
        <x:v>Sand</x:v>
      </x:c>
      <x:c r="J886" t="str">
        <x:v>Low</x:v>
      </x:c>
      <x:c r="K886" t="n">
        <x:v>61957710</x:v>
      </x:c>
      <x:c r="L886" t="n">
        <x:v>1174</x:v>
      </x:c>
      <x:c r="M886" t="n">
        <x:v>250.8</x:v>
      </x:c>
      <x:c r="N886" t="n">
        <x:v>17.6</x:v>
      </x:c>
      <x:c r="O886" t="n">
        <x:v>48.8</x:v>
      </x:c>
      <x:c r="P886" t="str">
        <x:v>Sunny</x:v>
      </x:c>
      <x:c r="Q886" t="n">
        <x:v>90</x:v>
      </x:c>
      <x:c r="R886" t="n">
        <x:v>84.2</x:v>
      </x:c>
      <x:c r="S886" t="n">
        <x:v>0.1052</x:v>
      </x:c>
      <x:c r="T886" t="n">
        <x:v>20.5</x:v>
      </x:c>
      <x:c r="U886" t="n">
        <x:v>1215</x:v>
      </x:c>
      <x:c r="V886" t="n">
        <x:v>2833</x:v>
      </x:c>
      <x:c r="W886" t="n">
        <x:v>53.7</x:v>
      </x:c>
    </x:row>
    <x:row r="887">
      <x:c r="A887" t="str">
        <x:v>PJT_886</x:v>
      </x:c>
      <x:c r="B887" t="str">
        <x:v>Mediterranean</x:v>
      </x:c>
      <x:c r="C887" t="n">
        <x:v>18030</x:v>
      </x:c>
      <x:c r="D887" t="n">
        <x:v>13</x:v>
      </x:c>
      <x:c r="E887" t="str">
        <x:v>Medium</x:v>
      </x:c>
      <x:c r="F887" t="str">
        <x:v>Mixed-use</x:v>
      </x:c>
      <x:c r="G887" t="str">
        <x:v>Steel</x:v>
      </x:c>
      <x:c r="H887" t="str">
        <x:v>Piles</x:v>
      </x:c>
      <x:c r="I887" t="str">
        <x:v>Soft Clay</x:v>
      </x:c>
      <x:c r="J887" t="str">
        <x:v>Medium</x:v>
      </x:c>
      <x:c r="K887" t="n">
        <x:v>48572820</x:v>
      </x:c>
      <x:c r="L887" t="n">
        <x:v>873</x:v>
      </x:c>
      <x:c r="M887" t="n">
        <x:v>186.5</x:v>
      </x:c>
      <x:c r="N887" t="n">
        <x:v>14.9</x:v>
      </x:c>
      <x:c r="O887" t="n">
        <x:v>54.7</x:v>
      </x:c>
      <x:c r="P887" t="str">
        <x:v>Cloudy</x:v>
      </x:c>
      <x:c r="Q887" t="n">
        <x:v>75</x:v>
      </x:c>
      <x:c r="R887" t="n">
        <x:v>80.6</x:v>
      </x:c>
      <x:c r="S887" t="n">
        <x:v>0.1056</x:v>
      </x:c>
      <x:c r="T887" t="n">
        <x:v>18.3</x:v>
      </x:c>
      <x:c r="U887" t="n">
        <x:v>1386.9</x:v>
      </x:c>
      <x:c r="V887" t="n">
        <x:v>2694</x:v>
      </x:c>
      <x:c r="W887" t="n">
        <x:v>48.4</x:v>
      </x:c>
    </x:row>
    <x:row r="888">
      <x:c r="A888" t="str">
        <x:v>PJT_887</x:v>
      </x:c>
      <x:c r="B888" t="str">
        <x:v>Continental</x:v>
      </x:c>
      <x:c r="C888" t="n">
        <x:v>14350</x:v>
      </x:c>
      <x:c r="D888" t="n">
        <x:v>11</x:v>
      </x:c>
      <x:c r="E888" t="str">
        <x:v>Medium</x:v>
      </x:c>
      <x:c r="F888" t="str">
        <x:v>Commercial</x:v>
      </x:c>
      <x:c r="G888" t="str">
        <x:v>Steel</x:v>
      </x:c>
      <x:c r="H888" t="str">
        <x:v>Raft</x:v>
      </x:c>
      <x:c r="I888" t="str">
        <x:v>Mixed</x:v>
      </x:c>
      <x:c r="J888" t="str">
        <x:v>Medium</x:v>
      </x:c>
      <x:c r="K888" t="n">
        <x:v>33048050</x:v>
      </x:c>
      <x:c r="L888" t="n">
        <x:v>667</x:v>
      </x:c>
      <x:c r="M888" t="n">
        <x:v>376.5</x:v>
      </x:c>
      <x:c r="N888" t="n">
        <x:v>11.3</x:v>
      </x:c>
      <x:c r="O888" t="n">
        <x:v>84.9</x:v>
      </x:c>
      <x:c r="P888" t="str">
        <x:v>Rainy</x:v>
      </x:c>
      <x:c r="Q888" t="n">
        <x:v>89</x:v>
      </x:c>
      <x:c r="R888" t="n">
        <x:v>73.4</x:v>
      </x:c>
      <x:c r="S888" t="n">
        <x:v>0.0985</x:v>
      </x:c>
      <x:c r="T888" t="n">
        <x:v>17.6</x:v>
      </x:c>
      <x:c r="U888" t="n">
        <x:v>1304.5</x:v>
      </x:c>
      <x:c r="V888" t="n">
        <x:v>2303</x:v>
      </x:c>
      <x:c r="W888" t="n">
        <x:v>46.5</x:v>
      </x:c>
    </x:row>
    <x:row r="889">
      <x:c r="A889" t="str">
        <x:v>PJT_888</x:v>
      </x:c>
      <x:c r="B889" t="str">
        <x:v>Continental</x:v>
      </x:c>
      <x:c r="C889" t="n">
        <x:v>13760</x:v>
      </x:c>
      <x:c r="D889" t="n">
        <x:v>12</x:v>
      </x:c>
      <x:c r="E889" t="str">
        <x:v>Medium</x:v>
      </x:c>
      <x:c r="F889" t="str">
        <x:v>Commercial</x:v>
      </x:c>
      <x:c r="G889" t="str">
        <x:v>Steel</x:v>
      </x:c>
      <x:c r="H889" t="str">
        <x:v>Piles</x:v>
      </x:c>
      <x:c r="I889" t="str">
        <x:v>Sand</x:v>
      </x:c>
      <x:c r="J889" t="str">
        <x:v>Low</x:v>
      </x:c>
      <x:c r="K889" t="n">
        <x:v>30891200</x:v>
      </x:c>
      <x:c r="L889" t="n">
        <x:v>643</x:v>
      </x:c>
      <x:c r="M889" t="n">
        <x:v>321.7</x:v>
      </x:c>
      <x:c r="N889" t="n">
        <x:v>12</x:v>
      </x:c>
      <x:c r="O889" t="n">
        <x:v>85.9</x:v>
      </x:c>
      <x:c r="P889" t="str">
        <x:v>Rainy</x:v>
      </x:c>
      <x:c r="Q889" t="n">
        <x:v>91</x:v>
      </x:c>
      <x:c r="R889" t="n">
        <x:v>79.3</x:v>
      </x:c>
      <x:c r="S889" t="n">
        <x:v>0.0977</x:v>
      </x:c>
      <x:c r="T889" t="n">
        <x:v>17.9</x:v>
      </x:c>
      <x:c r="U889" t="n">
        <x:v>1146.7</x:v>
      </x:c>
      <x:c r="V889" t="n">
        <x:v>2245</x:v>
      </x:c>
      <x:c r="W889" t="n">
        <x:v>46.7</x:v>
      </x:c>
    </x:row>
    <x:row r="890">
      <x:c r="A890" t="str">
        <x:v>PJT_889</x:v>
      </x:c>
      <x:c r="B890" t="str">
        <x:v>Humid Subtropical</x:v>
      </x:c>
      <x:c r="C890" t="n">
        <x:v>5640</x:v>
      </x:c>
      <x:c r="D890" t="n">
        <x:v>6</x:v>
      </x:c>
      <x:c r="E890" t="str">
        <x:v>Low</x:v>
      </x:c>
      <x:c r="F890" t="str">
        <x:v>Residential</x:v>
      </x:c>
      <x:c r="G890" t="str">
        <x:v>RC Frame</x:v>
      </x:c>
      <x:c r="H890" t="str">
        <x:v>Raft</x:v>
      </x:c>
      <x:c r="I890" t="str">
        <x:v>Rock</x:v>
      </x:c>
      <x:c r="J890" t="str">
        <x:v>Medium</x:v>
      </x:c>
      <x:c r="K890" t="n">
        <x:v>7958040</x:v>
      </x:c>
      <x:c r="L890" t="n">
        <x:v>180</x:v>
      </x:c>
      <x:c r="M890" t="n">
        <x:v>744.5</x:v>
      </x:c>
      <x:c r="N890" t="n">
        <x:v>22.1</x:v>
      </x:c>
      <x:c r="O890" t="n">
        <x:v>81.7</x:v>
      </x:c>
      <x:c r="P890" t="str">
        <x:v>Rainy</x:v>
      </x:c>
      <x:c r="Q890" t="n">
        <x:v>103</x:v>
      </x:c>
      <x:c r="R890" t="n">
        <x:v>67</x:v>
      </x:c>
      <x:c r="S890" t="n">
        <x:v>0.0772</x:v>
      </x:c>
      <x:c r="T890" t="n">
        <x:v>11.7</x:v>
      </x:c>
      <x:c r="U890" t="n">
        <x:v>940</x:v>
      </x:c>
      <x:c r="V890" t="n">
        <x:v>1411</x:v>
      </x:c>
      <x:c r="W890" t="n">
        <x:v>31.4</x:v>
      </x:c>
    </x:row>
    <x:row r="891">
      <x:c r="A891" t="str">
        <x:v>PJT_890</x:v>
      </x:c>
      <x:c r="B891" t="str">
        <x:v>Continental</x:v>
      </x:c>
      <x:c r="C891" t="n">
        <x:v>16940</x:v>
      </x:c>
      <x:c r="D891" t="n">
        <x:v>15</x:v>
      </x:c>
      <x:c r="E891" t="str">
        <x:v>Medium</x:v>
      </x:c>
      <x:c r="F891" t="str">
        <x:v>Residential</x:v>
      </x:c>
      <x:c r="G891" t="str">
        <x:v>Shear Wall</x:v>
      </x:c>
      <x:c r="H891" t="str">
        <x:v>Piles</x:v>
      </x:c>
      <x:c r="I891" t="str">
        <x:v>Sand</x:v>
      </x:c>
      <x:c r="J891" t="str">
        <x:v>High</x:v>
      </x:c>
      <x:c r="K891" t="n">
        <x:v>28510020</x:v>
      </x:c>
      <x:c r="L891" t="n">
        <x:v>625</x:v>
      </x:c>
      <x:c r="M891" t="n">
        <x:v>285.4</x:v>
      </x:c>
      <x:c r="N891" t="n">
        <x:v>17.2</x:v>
      </x:c>
      <x:c r="O891" t="n">
        <x:v>38.9</x:v>
      </x:c>
      <x:c r="P891" t="str">
        <x:v>Sunny</x:v>
      </x:c>
      <x:c r="Q891" t="n">
        <x:v>78</x:v>
      </x:c>
      <x:c r="R891" t="n">
        <x:v>76.8</x:v>
      </x:c>
      <x:c r="S891" t="n">
        <x:v>0.0857</x:v>
      </x:c>
      <x:c r="T891" t="n">
        <x:v>12.8</x:v>
      </x:c>
      <x:c r="U891" t="n">
        <x:v>1129.3</x:v>
      </x:c>
      <x:c r="V891" t="n">
        <x:v>1683</x:v>
      </x:c>
      <x:c r="W891" t="n">
        <x:v>36.9</x:v>
      </x:c>
    </x:row>
    <x:row r="892">
      <x:c r="A892" t="str">
        <x:v>PJT_891</x:v>
      </x:c>
      <x:c r="B892" t="str">
        <x:v>Mediterranean</x:v>
      </x:c>
      <x:c r="C892" t="n">
        <x:v>27440</x:v>
      </x:c>
      <x:c r="D892" t="n">
        <x:v>22</x:v>
      </x:c>
      <x:c r="E892" t="str">
        <x:v>High</x:v>
      </x:c>
      <x:c r="F892" t="str">
        <x:v>Mixed-use</x:v>
      </x:c>
      <x:c r="G892" t="str">
        <x:v>Steel</x:v>
      </x:c>
      <x:c r="H892" t="str">
        <x:v>Piles</x:v>
      </x:c>
      <x:c r="I892" t="str">
        <x:v>Soft Clay</x:v>
      </x:c>
      <x:c r="J892" t="str">
        <x:v>High</x:v>
      </x:c>
      <x:c r="K892" t="n">
        <x:v>82566960</x:v>
      </x:c>
      <x:c r="L892" t="n">
        <x:v>1537</x:v>
      </x:c>
      <x:c r="M892" t="n">
        <x:v>217.6</x:v>
      </x:c>
      <x:c r="N892" t="n">
        <x:v>12.4</x:v>
      </x:c>
      <x:c r="O892" t="n">
        <x:v>70.5</x:v>
      </x:c>
      <x:c r="P892" t="str">
        <x:v>Rainy</x:v>
      </x:c>
      <x:c r="Q892" t="n">
        <x:v>100</x:v>
      </x:c>
      <x:c r="R892" t="n">
        <x:v>85.5</x:v>
      </x:c>
      <x:c r="S892" t="n">
        <x:v>0.1087</x:v>
      </x:c>
      <x:c r="T892" t="n">
        <x:v>21.1</x:v>
      </x:c>
      <x:c r="U892" t="n">
        <x:v>1247.3</x:v>
      </x:c>
      <x:c r="V892" t="n">
        <x:v>3009</x:v>
      </x:c>
      <x:c r="W892" t="n">
        <x:v>56</x:v>
      </x:c>
    </x:row>
    <x:row r="893">
      <x:c r="A893" t="str">
        <x:v>PJT_892</x:v>
      </x:c>
      <x:c r="B893" t="str">
        <x:v>Continental</x:v>
      </x:c>
      <x:c r="C893" t="n">
        <x:v>15630</x:v>
      </x:c>
      <x:c r="D893" t="n">
        <x:v>10</x:v>
      </x:c>
      <x:c r="E893" t="str">
        <x:v>Medium</x:v>
      </x:c>
      <x:c r="F893" t="str">
        <x:v>Commercial</x:v>
      </x:c>
      <x:c r="G893" t="str">
        <x:v>RC Frame</x:v>
      </x:c>
      <x:c r="H893" t="str">
        <x:v>Raft</x:v>
      </x:c>
      <x:c r="I893" t="str">
        <x:v>Sand</x:v>
      </x:c>
      <x:c r="J893" t="str">
        <x:v>High</x:v>
      </x:c>
      <x:c r="K893" t="n">
        <x:v>35011200</x:v>
      </x:c>
      <x:c r="L893" t="n">
        <x:v>642</x:v>
      </x:c>
      <x:c r="M893" t="n">
        <x:v>251</x:v>
      </x:c>
      <x:c r="N893" t="n">
        <x:v>14.2</x:v>
      </x:c>
      <x:c r="O893" t="n">
        <x:v>66.8</x:v>
      </x:c>
      <x:c r="P893" t="str">
        <x:v>Rainy</x:v>
      </x:c>
      <x:c r="Q893" t="n">
        <x:v>78</x:v>
      </x:c>
      <x:c r="R893" t="n">
        <x:v>72.9</x:v>
      </x:c>
      <x:c r="S893" t="n">
        <x:v>0.0946</x:v>
      </x:c>
      <x:c r="T893" t="n">
        <x:v>16.6</x:v>
      </x:c>
      <x:c r="U893" t="n">
        <x:v>1563</x:v>
      </x:c>
      <x:c r="V893" t="n">
        <x:v>2240</x:v>
      </x:c>
      <x:c r="W893" t="n">
        <x:v>41.1</x:v>
      </x:c>
    </x:row>
    <x:row r="894">
      <x:c r="A894" t="str">
        <x:v>PJT_893</x:v>
      </x:c>
      <x:c r="B894" t="str">
        <x:v>Marine</x:v>
      </x:c>
      <x:c r="C894" t="n">
        <x:v>3010</x:v>
      </x:c>
      <x:c r="D894" t="n">
        <x:v>1</x:v>
      </x:c>
      <x:c r="E894" t="str">
        <x:v>Low</x:v>
      </x:c>
      <x:c r="F894" t="str">
        <x:v>School</x:v>
      </x:c>
      <x:c r="G894" t="str">
        <x:v>RC Frame</x:v>
      </x:c>
      <x:c r="H894" t="str">
        <x:v>Strip</x:v>
      </x:c>
      <x:c r="I894" t="str">
        <x:v>Mixed</x:v>
      </x:c>
      <x:c r="J894" t="str">
        <x:v>Medium</x:v>
      </x:c>
      <x:c r="K894" t="n">
        <x:v>5059810</x:v>
      </x:c>
      <x:c r="L894" t="n">
        <x:v>180</x:v>
      </x:c>
      <x:c r="M894" t="n">
        <x:v>225.4</x:v>
      </x:c>
      <x:c r="N894" t="n">
        <x:v>8</x:v>
      </x:c>
      <x:c r="O894" t="n">
        <x:v>82.1</x:v>
      </x:c>
      <x:c r="P894" t="str">
        <x:v>Stormy</x:v>
      </x:c>
      <x:c r="Q894" t="n">
        <x:v>90</x:v>
      </x:c>
      <x:c r="R894" t="n">
        <x:v>59.1</x:v>
      </x:c>
      <x:c r="S894" t="n">
        <x:v>0.0748</x:v>
      </x:c>
      <x:c r="T894" t="n">
        <x:v>12.5</x:v>
      </x:c>
      <x:c r="U894" t="n">
        <x:v>3010</x:v>
      </x:c>
      <x:c r="V894" t="n">
        <x:v>1681</x:v>
      </x:c>
      <x:c r="W894" t="n">
        <x:v>31.2</x:v>
      </x:c>
    </x:row>
    <x:row r="895">
      <x:c r="A895" t="str">
        <x:v>PJT_894</x:v>
      </x:c>
      <x:c r="B895" t="str">
        <x:v>Marine</x:v>
      </x:c>
      <x:c r="C895" t="n">
        <x:v>15410</x:v>
      </x:c>
      <x:c r="D895" t="n">
        <x:v>18</x:v>
      </x:c>
      <x:c r="E895" t="str">
        <x:v>Low</x:v>
      </x:c>
      <x:c r="F895" t="str">
        <x:v>Residential</x:v>
      </x:c>
      <x:c r="G895" t="str">
        <x:v>RC Frame</x:v>
      </x:c>
      <x:c r="H895" t="str">
        <x:v>Piles</x:v>
      </x:c>
      <x:c r="I895" t="str">
        <x:v>Mixed</x:v>
      </x:c>
      <x:c r="J895" t="str">
        <x:v>Low</x:v>
      </x:c>
      <x:c r="K895" t="n">
        <x:v>22190400</x:v>
      </x:c>
      <x:c r="L895" t="n">
        <x:v>485</x:v>
      </x:c>
      <x:c r="M895" t="n">
        <x:v>420.3</x:v>
      </x:c>
      <x:c r="N895" t="n">
        <x:v>11.9</x:v>
      </x:c>
      <x:c r="O895" t="n">
        <x:v>70.4</x:v>
      </x:c>
      <x:c r="P895" t="str">
        <x:v>Sunny</x:v>
      </x:c>
      <x:c r="Q895" t="n">
        <x:v>70</x:v>
      </x:c>
      <x:c r="R895" t="n">
        <x:v>69.4</x:v>
      </x:c>
      <x:c r="S895" t="n">
        <x:v>0.0727</x:v>
      </x:c>
      <x:c r="T895" t="n">
        <x:v>11.7</x:v>
      </x:c>
      <x:c r="U895" t="n">
        <x:v>856.1</x:v>
      </x:c>
      <x:c r="V895" t="n">
        <x:v>1440</x:v>
      </x:c>
      <x:c r="W895" t="n">
        <x:v>31.5</x:v>
      </x:c>
    </x:row>
    <x:row r="896">
      <x:c r="A896" t="str">
        <x:v>PJT_895</x:v>
      </x:c>
      <x:c r="B896" t="str">
        <x:v>Marine</x:v>
      </x:c>
      <x:c r="C896" t="n">
        <x:v>19500</x:v>
      </x:c>
      <x:c r="D896" t="n">
        <x:v>12</x:v>
      </x:c>
      <x:c r="E896" t="str">
        <x:v>Medium</x:v>
      </x:c>
      <x:c r="F896" t="str">
        <x:v>Hospital</x:v>
      </x:c>
      <x:c r="G896" t="str">
        <x:v>Shear Wall</x:v>
      </x:c>
      <x:c r="H896" t="str">
        <x:v>Piles</x:v>
      </x:c>
      <x:c r="I896" t="str">
        <x:v>Soft Clay</x:v>
      </x:c>
      <x:c r="J896" t="str">
        <x:v>Medium</x:v>
      </x:c>
      <x:c r="K896" t="n">
        <x:v>61971000</x:v>
      </x:c>
      <x:c r="L896" t="n">
        <x:v>1010</x:v>
      </x:c>
      <x:c r="M896" t="n">
        <x:v>237.5</x:v>
      </x:c>
      <x:c r="N896" t="n">
        <x:v>8.1</x:v>
      </x:c>
      <x:c r="O896" t="n">
        <x:v>81.9</x:v>
      </x:c>
      <x:c r="P896" t="str">
        <x:v>Rainy</x:v>
      </x:c>
      <x:c r="Q896" t="n">
        <x:v>101</x:v>
      </x:c>
      <x:c r="R896" t="n">
        <x:v>79.8</x:v>
      </x:c>
      <x:c r="S896" t="n">
        <x:v>0.1061</x:v>
      </x:c>
      <x:c r="T896" t="n">
        <x:v>21.4</x:v>
      </x:c>
      <x:c r="U896" t="n">
        <x:v>1625</x:v>
      </x:c>
      <x:c r="V896" t="n">
        <x:v>3178</x:v>
      </x:c>
      <x:c r="W896" t="n">
        <x:v>51.8</x:v>
      </x:c>
    </x:row>
    <x:row r="897">
      <x:c r="A897" t="str">
        <x:v>PJT_896</x:v>
      </x:c>
      <x:c r="B897" t="str">
        <x:v>Mediterranean</x:v>
      </x:c>
      <x:c r="C897" t="n">
        <x:v>11600</x:v>
      </x:c>
      <x:c r="D897" t="n">
        <x:v>13</x:v>
      </x:c>
      <x:c r="E897" t="str">
        <x:v>Low</x:v>
      </x:c>
      <x:c r="F897" t="str">
        <x:v>Residential</x:v>
      </x:c>
      <x:c r="G897" t="str">
        <x:v>RC Frame</x:v>
      </x:c>
      <x:c r="H897" t="str">
        <x:v>Raft</x:v>
      </x:c>
      <x:c r="I897" t="str">
        <x:v>Mixed</x:v>
      </x:c>
      <x:c r="J897" t="str">
        <x:v>Low</x:v>
      </x:c>
      <x:c r="K897" t="n">
        <x:v>14349200</x:v>
      </x:c>
      <x:c r="L897" t="n">
        <x:v>382</x:v>
      </x:c>
      <x:c r="M897" t="n">
        <x:v>335.9</x:v>
      </x:c>
      <x:c r="N897" t="n">
        <x:v>15.5</x:v>
      </x:c>
      <x:c r="O897" t="n">
        <x:v>55.9</x:v>
      </x:c>
      <x:c r="P897" t="str">
        <x:v>Cloudy</x:v>
      </x:c>
      <x:c r="Q897" t="n">
        <x:v>76</x:v>
      </x:c>
      <x:c r="R897" t="n">
        <x:v>65.8</x:v>
      </x:c>
      <x:c r="S897" t="n">
        <x:v>0.071</x:v>
      </x:c>
      <x:c r="T897" t="n">
        <x:v>11.8</x:v>
      </x:c>
      <x:c r="U897" t="n">
        <x:v>892.3</x:v>
      </x:c>
      <x:c r="V897" t="n">
        <x:v>1237</x:v>
      </x:c>
      <x:c r="W897" t="n">
        <x:v>32.9</x:v>
      </x:c>
    </x:row>
    <x:row r="898">
      <x:c r="A898" t="str">
        <x:v>PJT_897</x:v>
      </x:c>
      <x:c r="B898" t="str">
        <x:v>Mediterranean</x:v>
      </x:c>
      <x:c r="C898" t="n">
        <x:v>13210</x:v>
      </x:c>
      <x:c r="D898" t="n">
        <x:v>10</x:v>
      </x:c>
      <x:c r="E898" t="str">
        <x:v>Low</x:v>
      </x:c>
      <x:c r="F898" t="str">
        <x:v>Residential</x:v>
      </x:c>
      <x:c r="G898" t="str">
        <x:v>Shear Wall</x:v>
      </x:c>
      <x:c r="H898" t="str">
        <x:v>Piles</x:v>
      </x:c>
      <x:c r="I898" t="str">
        <x:v>Soft Clay</x:v>
      </x:c>
      <x:c r="J898" t="str">
        <x:v>High</x:v>
      </x:c>
      <x:c r="K898" t="n">
        <x:v>22139960</x:v>
      </x:c>
      <x:c r="L898" t="n">
        <x:v>476</x:v>
      </x:c>
      <x:c r="M898" t="n">
        <x:v>192.7</x:v>
      </x:c>
      <x:c r="N898" t="n">
        <x:v>15.3</x:v>
      </x:c>
      <x:c r="O898" t="n">
        <x:v>54.2</x:v>
      </x:c>
      <x:c r="P898" t="str">
        <x:v>Cloudy</x:v>
      </x:c>
      <x:c r="Q898" t="n">
        <x:v>58</x:v>
      </x:c>
      <x:c r="R898" t="n">
        <x:v>67.9</x:v>
      </x:c>
      <x:c r="S898" t="n">
        <x:v>0.0759</x:v>
      </x:c>
      <x:c r="T898" t="n">
        <x:v>12.3</x:v>
      </x:c>
      <x:c r="U898" t="n">
        <x:v>1321</x:v>
      </x:c>
      <x:c r="V898" t="n">
        <x:v>1676</x:v>
      </x:c>
      <x:c r="W898" t="n">
        <x:v>36</x:v>
      </x:c>
    </x:row>
    <x:row r="899">
      <x:c r="A899" t="str">
        <x:v>PJT_898</x:v>
      </x:c>
      <x:c r="B899" t="str">
        <x:v>Humid Subtropical</x:v>
      </x:c>
      <x:c r="C899" t="n">
        <x:v>18890</x:v>
      </x:c>
      <x:c r="D899" t="n">
        <x:v>10</x:v>
      </x:c>
      <x:c r="E899" t="str">
        <x:v>Medium</x:v>
      </x:c>
      <x:c r="F899" t="str">
        <x:v>Commercial</x:v>
      </x:c>
      <x:c r="G899" t="str">
        <x:v>RC Frame</x:v>
      </x:c>
      <x:c r="H899" t="str">
        <x:v>Raft</x:v>
      </x:c>
      <x:c r="I899" t="str">
        <x:v>Mixed</x:v>
      </x:c>
      <x:c r="J899" t="str">
        <x:v>Low</x:v>
      </x:c>
      <x:c r="K899" t="n">
        <x:v>40367930</x:v>
      </x:c>
      <x:c r="L899" t="n">
        <x:v>773</x:v>
      </x:c>
      <x:c r="M899" t="n">
        <x:v>273.1</x:v>
      </x:c>
      <x:c r="N899" t="n">
        <x:v>24.2</x:v>
      </x:c>
      <x:c r="O899" t="n">
        <x:v>85.5</x:v>
      </x:c>
      <x:c r="P899" t="str">
        <x:v>Rainy</x:v>
      </x:c>
      <x:c r="Q899" t="n">
        <x:v>84</x:v>
      </x:c>
      <x:c r="R899" t="n">
        <x:v>78.3</x:v>
      </x:c>
      <x:c r="S899" t="n">
        <x:v>0.094</x:v>
      </x:c>
      <x:c r="T899" t="n">
        <x:v>15.6</x:v>
      </x:c>
      <x:c r="U899" t="n">
        <x:v>1889</x:v>
      </x:c>
      <x:c r="V899" t="n">
        <x:v>2137</x:v>
      </x:c>
      <x:c r="W899" t="n">
        <x:v>40.9</x:v>
      </x:c>
    </x:row>
    <x:row r="900">
      <x:c r="A900" t="str">
        <x:v>PJT_899</x:v>
      </x:c>
      <x:c r="B900" t="str">
        <x:v>Continental</x:v>
      </x:c>
      <x:c r="C900" t="n">
        <x:v>10440</x:v>
      </x:c>
      <x:c r="D900" t="n">
        <x:v>9</x:v>
      </x:c>
      <x:c r="E900" t="str">
        <x:v>Low</x:v>
      </x:c>
      <x:c r="F900" t="str">
        <x:v>Residential</x:v>
      </x:c>
      <x:c r="G900" t="str">
        <x:v>RC Frame</x:v>
      </x:c>
      <x:c r="H900" t="str">
        <x:v>Raft</x:v>
      </x:c>
      <x:c r="I900" t="str">
        <x:v>Sand</x:v>
      </x:c>
      <x:c r="J900" t="str">
        <x:v>Low</x:v>
      </x:c>
      <x:c r="K900" t="n">
        <x:v>12402720</x:v>
      </x:c>
      <x:c r="L900" t="n">
        <x:v>332</x:v>
      </x:c>
      <x:c r="M900" t="n">
        <x:v>292.2</x:v>
      </x:c>
      <x:c r="N900" t="n">
        <x:v>17.2</x:v>
      </x:c>
      <x:c r="O900" t="n">
        <x:v>55.6</x:v>
      </x:c>
      <x:c r="P900" t="str">
        <x:v>Cloudy</x:v>
      </x:c>
      <x:c r="Q900" t="n">
        <x:v>88</x:v>
      </x:c>
      <x:c r="R900" t="n">
        <x:v>69.1</x:v>
      </x:c>
      <x:c r="S900" t="n">
        <x:v>0.0759</x:v>
      </x:c>
      <x:c r="T900" t="n">
        <x:v>11.9</x:v>
      </x:c>
      <x:c r="U900" t="n">
        <x:v>1160</x:v>
      </x:c>
      <x:c r="V900" t="n">
        <x:v>1188</x:v>
      </x:c>
      <x:c r="W900" t="n">
        <x:v>31.8</x:v>
      </x:c>
    </x:row>
    <x:row r="901">
      <x:c r="A901" t="str">
        <x:v>PJT_900</x:v>
      </x:c>
      <x:c r="B901" t="str">
        <x:v>Marine</x:v>
      </x:c>
      <x:c r="C901" t="n">
        <x:v>12470</x:v>
      </x:c>
      <x:c r="D901" t="n">
        <x:v>8</x:v>
      </x:c>
      <x:c r="E901" t="str">
        <x:v>Medium</x:v>
      </x:c>
      <x:c r="F901" t="str">
        <x:v>Hospital</x:v>
      </x:c>
      <x:c r="G901" t="str">
        <x:v>RC Frame</x:v>
      </x:c>
      <x:c r="H901" t="str">
        <x:v>Piles</x:v>
      </x:c>
      <x:c r="I901" t="str">
        <x:v>Soft Clay</x:v>
      </x:c>
      <x:c r="J901" t="str">
        <x:v>Medium</x:v>
      </x:c>
      <x:c r="K901" t="n">
        <x:v>38844050</x:v>
      </x:c>
      <x:c r="L901" t="n">
        <x:v>625</x:v>
      </x:c>
      <x:c r="M901" t="n">
        <x:v>223.3</x:v>
      </x:c>
      <x:c r="N901" t="n">
        <x:v>13.3</x:v>
      </x:c>
      <x:c r="O901" t="n">
        <x:v>76.9</x:v>
      </x:c>
      <x:c r="P901" t="str">
        <x:v>Rainy</x:v>
      </x:c>
      <x:c r="Q901" t="n">
        <x:v>106</x:v>
      </x:c>
      <x:c r="R901" t="n">
        <x:v>75.9</x:v>
      </x:c>
      <x:c r="S901" t="n">
        <x:v>0.1025</x:v>
      </x:c>
      <x:c r="T901" t="n">
        <x:v>21.4</x:v>
      </x:c>
      <x:c r="U901" t="n">
        <x:v>1558.8</x:v>
      </x:c>
      <x:c r="V901" t="n">
        <x:v>3115</x:v>
      </x:c>
      <x:c r="W901" t="n">
        <x:v>50.1</x:v>
      </x:c>
    </x:row>
    <x:row r="902">
      <x:c r="A902" t="str">
        <x:v>PJT_901</x:v>
      </x:c>
      <x:c r="B902" t="str">
        <x:v>Continental</x:v>
      </x:c>
      <x:c r="C902" t="n">
        <x:v>26840</x:v>
      </x:c>
      <x:c r="D902" t="n">
        <x:v>17</x:v>
      </x:c>
      <x:c r="E902" t="str">
        <x:v>High</x:v>
      </x:c>
      <x:c r="F902" t="str">
        <x:v>Hospital</x:v>
      </x:c>
      <x:c r="G902" t="str">
        <x:v>Shear Wall</x:v>
      </x:c>
      <x:c r="H902" t="str">
        <x:v>Piles</x:v>
      </x:c>
      <x:c r="I902" t="str">
        <x:v>Soft Clay</x:v>
      </x:c>
      <x:c r="J902" t="str">
        <x:v>High</x:v>
      </x:c>
      <x:c r="K902" t="n">
        <x:v>93134800</x:v>
      </x:c>
      <x:c r="L902" t="n">
        <x:v>1546</x:v>
      </x:c>
      <x:c r="M902" t="n">
        <x:v>213.4</x:v>
      </x:c>
      <x:c r="N902" t="n">
        <x:v>2.1</x:v>
      </x:c>
      <x:c r="O902" t="n">
        <x:v>52.7</x:v>
      </x:c>
      <x:c r="P902" t="str">
        <x:v>Cloudy</x:v>
      </x:c>
      <x:c r="Q902" t="n">
        <x:v>97</x:v>
      </x:c>
      <x:c r="R902" t="n">
        <x:v>90.3</x:v>
      </x:c>
      <x:c r="S902" t="n">
        <x:v>0.1103</x:v>
      </x:c>
      <x:c r="T902" t="n">
        <x:v>22.4</x:v>
      </x:c>
      <x:c r="U902" t="n">
        <x:v>1578.8</x:v>
      </x:c>
      <x:c r="V902" t="n">
        <x:v>3470</x:v>
      </x:c>
      <x:c r="W902" t="n">
        <x:v>57.6</x:v>
      </x:c>
    </x:row>
    <x:row r="903">
      <x:c r="A903" t="str">
        <x:v>PJT_902</x:v>
      </x:c>
      <x:c r="B903" t="str">
        <x:v>Humid Subtropical</x:v>
      </x:c>
      <x:c r="C903" t="n">
        <x:v>8350</x:v>
      </x:c>
      <x:c r="D903" t="n">
        <x:v>3</x:v>
      </x:c>
      <x:c r="E903" t="str">
        <x:v>Low</x:v>
      </x:c>
      <x:c r="F903" t="str">
        <x:v>School</x:v>
      </x:c>
      <x:c r="G903" t="str">
        <x:v>RC Frame</x:v>
      </x:c>
      <x:c r="H903" t="str">
        <x:v>Raft</x:v>
      </x:c>
      <x:c r="I903" t="str">
        <x:v>Rock</x:v>
      </x:c>
      <x:c r="J903" t="str">
        <x:v>Low</x:v>
      </x:c>
      <x:c r="K903" t="n">
        <x:v>14261800</x:v>
      </x:c>
      <x:c r="L903" t="n">
        <x:v>238</x:v>
      </x:c>
      <x:c r="M903" t="n">
        <x:v>620.6</x:v>
      </x:c>
      <x:c r="N903" t="n">
        <x:v>32.6</x:v>
      </x:c>
      <x:c r="O903" t="n">
        <x:v>57.1</x:v>
      </x:c>
      <x:c r="P903" t="str">
        <x:v>Sunny</x:v>
      </x:c>
      <x:c r="Q903" t="n">
        <x:v>93</x:v>
      </x:c>
      <x:c r="R903" t="n">
        <x:v>68.6</x:v>
      </x:c>
      <x:c r="S903" t="n">
        <x:v>0.0762</x:v>
      </x:c>
      <x:c r="T903" t="n">
        <x:v>14.2</x:v>
      </x:c>
      <x:c r="U903" t="n">
        <x:v>2783.3</x:v>
      </x:c>
      <x:c r="V903" t="n">
        <x:v>1708</x:v>
      </x:c>
      <x:c r="W903" t="n">
        <x:v>28.5</x:v>
      </x:c>
    </x:row>
    <x:row r="904">
      <x:c r="A904" t="str">
        <x:v>PJT_903</x:v>
      </x:c>
      <x:c r="B904" t="str">
        <x:v>Mediterranean</x:v>
      </x:c>
      <x:c r="C904" t="n">
        <x:v>11290</x:v>
      </x:c>
      <x:c r="D904" t="n">
        <x:v>17</x:v>
      </x:c>
      <x:c r="E904" t="str">
        <x:v>Medium</x:v>
      </x:c>
      <x:c r="F904" t="str">
        <x:v>Residential</x:v>
      </x:c>
      <x:c r="G904" t="str">
        <x:v>Shear Wall</x:v>
      </x:c>
      <x:c r="H904" t="str">
        <x:v>Piles</x:v>
      </x:c>
      <x:c r="I904" t="str">
        <x:v>Mixed</x:v>
      </x:c>
      <x:c r="J904" t="str">
        <x:v>Medium</x:v>
      </x:c>
      <x:c r="K904" t="n">
        <x:v>18244640</x:v>
      </x:c>
      <x:c r="L904" t="n">
        <x:v>425</x:v>
      </x:c>
      <x:c r="M904" t="n">
        <x:v>392.3</x:v>
      </x:c>
      <x:c r="N904" t="n">
        <x:v>19.6</x:v>
      </x:c>
      <x:c r="O904" t="n">
        <x:v>42.8</x:v>
      </x:c>
      <x:c r="P904" t="str">
        <x:v>Sunny</x:v>
      </x:c>
      <x:c r="Q904" t="n">
        <x:v>84</x:v>
      </x:c>
      <x:c r="R904" t="n">
        <x:v>78.9</x:v>
      </x:c>
      <x:c r="S904" t="n">
        <x:v>0.0822</x:v>
      </x:c>
      <x:c r="T904" t="n">
        <x:v>13.8</x:v>
      </x:c>
      <x:c r="U904" t="n">
        <x:v>664.1</x:v>
      </x:c>
      <x:c r="V904" t="n">
        <x:v>1616</x:v>
      </x:c>
      <x:c r="W904" t="n">
        <x:v>37.6</x:v>
      </x:c>
    </x:row>
    <x:row r="905">
      <x:c r="A905" t="str">
        <x:v>PJT_904</x:v>
      </x:c>
      <x:c r="B905" t="str">
        <x:v>Continental</x:v>
      </x:c>
      <x:c r="C905" t="n">
        <x:v>30290</x:v>
      </x:c>
      <x:c r="D905" t="n">
        <x:v>24</x:v>
      </x:c>
      <x:c r="E905" t="str">
        <x:v>High</x:v>
      </x:c>
      <x:c r="F905" t="str">
        <x:v>Mixed-use</x:v>
      </x:c>
      <x:c r="G905" t="str">
        <x:v>Steel</x:v>
      </x:c>
      <x:c r="H905" t="str">
        <x:v>Piles</x:v>
      </x:c>
      <x:c r="I905" t="str">
        <x:v>Sand</x:v>
      </x:c>
      <x:c r="J905" t="str">
        <x:v>Medium</x:v>
      </x:c>
      <x:c r="K905" t="n">
        <x:v>84539390</x:v>
      </x:c>
      <x:c r="L905" t="n">
        <x:v>1708</x:v>
      </x:c>
      <x:c r="M905" t="n">
        <x:v>277.6</x:v>
      </x:c>
      <x:c r="N905" t="n">
        <x:v>17.7</x:v>
      </x:c>
      <x:c r="O905" t="n">
        <x:v>56.3</x:v>
      </x:c>
      <x:c r="P905" t="str">
        <x:v>Cloudy</x:v>
      </x:c>
      <x:c r="Q905" t="n">
        <x:v>101</x:v>
      </x:c>
      <x:c r="R905" t="n">
        <x:v>91.7</x:v>
      </x:c>
      <x:c r="S905" t="n">
        <x:v>0.1048</x:v>
      </x:c>
      <x:c r="T905" t="n">
        <x:v>20.3</x:v>
      </x:c>
      <x:c r="U905" t="n">
        <x:v>1262.1</x:v>
      </x:c>
      <x:c r="V905" t="n">
        <x:v>2791</x:v>
      </x:c>
      <x:c r="W905" t="n">
        <x:v>56.4</x:v>
      </x:c>
    </x:row>
    <x:row r="906">
      <x:c r="A906" t="str">
        <x:v>PJT_905</x:v>
      </x:c>
      <x:c r="B906" t="str">
        <x:v>Continental</x:v>
      </x:c>
      <x:c r="C906" t="n">
        <x:v>17030</x:v>
      </x:c>
      <x:c r="D906" t="n">
        <x:v>14</x:v>
      </x:c>
      <x:c r="E906" t="str">
        <x:v>Medium</x:v>
      </x:c>
      <x:c r="F906" t="str">
        <x:v>Commercial</x:v>
      </x:c>
      <x:c r="G906" t="str">
        <x:v>Steel</x:v>
      </x:c>
      <x:c r="H906" t="str">
        <x:v>Piles</x:v>
      </x:c>
      <x:c r="I906" t="str">
        <x:v>Sand</x:v>
      </x:c>
      <x:c r="J906" t="str">
        <x:v>Medium</x:v>
      </x:c>
      <x:c r="K906" t="n">
        <x:v>41519140</x:v>
      </x:c>
      <x:c r="L906" t="n">
        <x:v>807</x:v>
      </x:c>
      <x:c r="M906" t="n">
        <x:v>345.2</x:v>
      </x:c>
      <x:c r="N906" t="n">
        <x:v>18.2</x:v>
      </x:c>
      <x:c r="O906" t="n">
        <x:v>50.6</x:v>
      </x:c>
      <x:c r="P906" t="str">
        <x:v>Cloudy</x:v>
      </x:c>
      <x:c r="Q906" t="n">
        <x:v>71</x:v>
      </x:c>
      <x:c r="R906" t="n">
        <x:v>77.5</x:v>
      </x:c>
      <x:c r="S906" t="n">
        <x:v>0.0959</x:v>
      </x:c>
      <x:c r="T906" t="n">
        <x:v>16.6</x:v>
      </x:c>
      <x:c r="U906" t="n">
        <x:v>1216.4</x:v>
      </x:c>
      <x:c r="V906" t="n">
        <x:v>2438</x:v>
      </x:c>
      <x:c r="W906" t="n">
        <x:v>47.4</x:v>
      </x:c>
    </x:row>
    <x:row r="907">
      <x:c r="A907" t="str">
        <x:v>PJT_906</x:v>
      </x:c>
      <x:c r="B907" t="str">
        <x:v>Mediterranean</x:v>
      </x:c>
      <x:c r="C907" t="n">
        <x:v>35790</x:v>
      </x:c>
      <x:c r="D907" t="n">
        <x:v>23</x:v>
      </x:c>
      <x:c r="E907" t="str">
        <x:v>High</x:v>
      </x:c>
      <x:c r="F907" t="str">
        <x:v>Mixed-use</x:v>
      </x:c>
      <x:c r="G907" t="str">
        <x:v>Steel</x:v>
      </x:c>
      <x:c r="H907" t="str">
        <x:v>Piles</x:v>
      </x:c>
      <x:c r="I907" t="str">
        <x:v>Rock</x:v>
      </x:c>
      <x:c r="J907" t="str">
        <x:v>Low</x:v>
      </x:c>
      <x:c r="K907" t="n">
        <x:v>102252030</x:v>
      </x:c>
      <x:c r="L907" t="n">
        <x:v>2033</x:v>
      </x:c>
      <x:c r="M907" t="n">
        <x:v>721</x:v>
      </x:c>
      <x:c r="N907" t="n">
        <x:v>15.8</x:v>
      </x:c>
      <x:c r="O907" t="n">
        <x:v>56.6</x:v>
      </x:c>
      <x:c r="P907" t="str">
        <x:v>Cloudy</x:v>
      </x:c>
      <x:c r="Q907" t="n">
        <x:v>64</x:v>
      </x:c>
      <x:c r="R907" t="n">
        <x:v>84.3</x:v>
      </x:c>
      <x:c r="S907" t="n">
        <x:v>0.1087</x:v>
      </x:c>
      <x:c r="T907" t="n">
        <x:v>19.8</x:v>
      </x:c>
      <x:c r="U907" t="n">
        <x:v>1556.1</x:v>
      </x:c>
      <x:c r="V907" t="n">
        <x:v>2857</x:v>
      </x:c>
      <x:c r="W907" t="n">
        <x:v>56.8</x:v>
      </x:c>
    </x:row>
    <x:row r="908">
      <x:c r="A908" t="str">
        <x:v>PJT_907</x:v>
      </x:c>
      <x:c r="B908" t="str">
        <x:v>Mediterranean</x:v>
      </x:c>
      <x:c r="C908" t="n">
        <x:v>11200</x:v>
      </x:c>
      <x:c r="D908" t="n">
        <x:v>15</x:v>
      </x:c>
      <x:c r="E908" t="str">
        <x:v>Medium</x:v>
      </x:c>
      <x:c r="F908" t="str">
        <x:v>Residential</x:v>
      </x:c>
      <x:c r="G908" t="str">
        <x:v>Shear Wall</x:v>
      </x:c>
      <x:c r="H908" t="str">
        <x:v>Raft</x:v>
      </x:c>
      <x:c r="I908" t="str">
        <x:v>Rock</x:v>
      </x:c>
      <x:c r="J908" t="str">
        <x:v>High</x:v>
      </x:c>
      <x:c r="K908" t="n">
        <x:v>19062400</x:v>
      </x:c>
      <x:c r="L908" t="n">
        <x:v>441</x:v>
      </x:c>
      <x:c r="M908" t="n">
        <x:v>752.9</x:v>
      </x:c>
      <x:c r="N908" t="n">
        <x:v>16.1</x:v>
      </x:c>
      <x:c r="O908" t="n">
        <x:v>80.2</x:v>
      </x:c>
      <x:c r="P908" t="str">
        <x:v>Stormy</x:v>
      </x:c>
      <x:c r="Q908" t="n">
        <x:v>94</x:v>
      </x:c>
      <x:c r="R908" t="n">
        <x:v>75.7</x:v>
      </x:c>
      <x:c r="S908" t="n">
        <x:v>0.0812</x:v>
      </x:c>
      <x:c r="T908" t="n">
        <x:v>13</x:v>
      </x:c>
      <x:c r="U908" t="n">
        <x:v>746.7</x:v>
      </x:c>
      <x:c r="V908" t="n">
        <x:v>1702</x:v>
      </x:c>
      <x:c r="W908" t="n">
        <x:v>39.4</x:v>
      </x:c>
    </x:row>
    <x:row r="909">
      <x:c r="A909" t="str">
        <x:v>PJT_908</x:v>
      </x:c>
      <x:c r="B909" t="str">
        <x:v>Mediterranean</x:v>
      </x:c>
      <x:c r="C909" t="n">
        <x:v>27040</x:v>
      </x:c>
      <x:c r="D909" t="n">
        <x:v>19</x:v>
      </x:c>
      <x:c r="E909" t="str">
        <x:v>Medium</x:v>
      </x:c>
      <x:c r="F909" t="str">
        <x:v>Mixed-use</x:v>
      </x:c>
      <x:c r="G909" t="str">
        <x:v>Steel</x:v>
      </x:c>
      <x:c r="H909" t="str">
        <x:v>Piles</x:v>
      </x:c>
      <x:c r="I909" t="str">
        <x:v>Soft Clay</x:v>
      </x:c>
      <x:c r="J909" t="str">
        <x:v>Low</x:v>
      </x:c>
      <x:c r="K909" t="n">
        <x:v>73035040</x:v>
      </x:c>
      <x:c r="L909" t="n">
        <x:v>1357</x:v>
      </x:c>
      <x:c r="M909" t="n">
        <x:v>199.7</x:v>
      </x:c>
      <x:c r="N909" t="n">
        <x:v>20.8</x:v>
      </x:c>
      <x:c r="O909" t="n">
        <x:v>62.5</x:v>
      </x:c>
      <x:c r="P909" t="str">
        <x:v>Cloudy</x:v>
      </x:c>
      <x:c r="Q909" t="n">
        <x:v>67</x:v>
      </x:c>
      <x:c r="R909" t="n">
        <x:v>82.9</x:v>
      </x:c>
      <x:c r="S909" t="n">
        <x:v>0.0994</x:v>
      </x:c>
      <x:c r="T909" t="n">
        <x:v>17.8</x:v>
      </x:c>
      <x:c r="U909" t="n">
        <x:v>1423.2</x:v>
      </x:c>
      <x:c r="V909" t="n">
        <x:v>2701</x:v>
      </x:c>
      <x:c r="W909" t="n">
        <x:v>50.2</x:v>
      </x:c>
    </x:row>
    <x:row r="910">
      <x:c r="A910" t="str">
        <x:v>PJT_909</x:v>
      </x:c>
      <x:c r="B910" t="str">
        <x:v>Continental</x:v>
      </x:c>
      <x:c r="C910" t="n">
        <x:v>22190</x:v>
      </x:c>
      <x:c r="D910" t="n">
        <x:v>18</x:v>
      </x:c>
      <x:c r="E910" t="str">
        <x:v>High</x:v>
      </x:c>
      <x:c r="F910" t="str">
        <x:v>Mixed-use</x:v>
      </x:c>
      <x:c r="G910" t="str">
        <x:v>Steel</x:v>
      </x:c>
      <x:c r="H910" t="str">
        <x:v>Piles</x:v>
      </x:c>
      <x:c r="I910" t="str">
        <x:v>Rock</x:v>
      </x:c>
      <x:c r="J910" t="str">
        <x:v>Low</x:v>
      </x:c>
      <x:c r="K910" t="n">
        <x:v>62775510</x:v>
      </x:c>
      <x:c r="L910" t="n">
        <x:v>1216</x:v>
      </x:c>
      <x:c r="M910" t="n">
        <x:v>714.1</x:v>
      </x:c>
      <x:c r="N910" t="n">
        <x:v>21.9</x:v>
      </x:c>
      <x:c r="O910" t="n">
        <x:v>66.7</x:v>
      </x:c>
      <x:c r="P910" t="str">
        <x:v>Cloudy</x:v>
      </x:c>
      <x:c r="Q910" t="n">
        <x:v>82</x:v>
      </x:c>
      <x:c r="R910" t="n">
        <x:v>91</x:v>
      </x:c>
      <x:c r="S910" t="n">
        <x:v>0.1055</x:v>
      </x:c>
      <x:c r="T910" t="n">
        <x:v>20.1</x:v>
      </x:c>
      <x:c r="U910" t="n">
        <x:v>1232.8</x:v>
      </x:c>
      <x:c r="V910" t="n">
        <x:v>2829</x:v>
      </x:c>
      <x:c r="W910" t="n">
        <x:v>54.8</x:v>
      </x:c>
    </x:row>
    <x:row r="911">
      <x:c r="A911" t="str">
        <x:v>PJT_910</x:v>
      </x:c>
      <x:c r="B911" t="str">
        <x:v>Mediterranean</x:v>
      </x:c>
      <x:c r="C911" t="n">
        <x:v>6890</x:v>
      </x:c>
      <x:c r="D911" t="n">
        <x:v>2</x:v>
      </x:c>
      <x:c r="E911" t="str">
        <x:v>Low</x:v>
      </x:c>
      <x:c r="F911" t="str">
        <x:v>School</x:v>
      </x:c>
      <x:c r="G911" t="str">
        <x:v>Steel</x:v>
      </x:c>
      <x:c r="H911" t="str">
        <x:v>Piles</x:v>
      </x:c>
      <x:c r="I911" t="str">
        <x:v>Soft Clay</x:v>
      </x:c>
      <x:c r="J911" t="str">
        <x:v>High</x:v>
      </x:c>
      <x:c r="K911" t="n">
        <x:v>13848900</x:v>
      </x:c>
      <x:c r="L911" t="n">
        <x:v>228</x:v>
      </x:c>
      <x:c r="M911" t="n">
        <x:v>223.6</x:v>
      </x:c>
      <x:c r="N911" t="n">
        <x:v>24.6</x:v>
      </x:c>
      <x:c r="O911" t="n">
        <x:v>60.4</x:v>
      </x:c>
      <x:c r="P911" t="str">
        <x:v>Sunny</x:v>
      </x:c>
      <x:c r="Q911" t="n">
        <x:v>60</x:v>
      </x:c>
      <x:c r="R911" t="n">
        <x:v>65.9</x:v>
      </x:c>
      <x:c r="S911" t="n">
        <x:v>0.0847</x:v>
      </x:c>
      <x:c r="T911" t="n">
        <x:v>14.2</x:v>
      </x:c>
      <x:c r="U911" t="n">
        <x:v>3445</x:v>
      </x:c>
      <x:c r="V911" t="n">
        <x:v>2010</x:v>
      </x:c>
      <x:c r="W911" t="n">
        <x:v>33.1</x:v>
      </x:c>
    </x:row>
    <x:row r="912">
      <x:c r="A912" t="str">
        <x:v>PJT_911</x:v>
      </x:c>
      <x:c r="B912" t="str">
        <x:v>Mediterranean</x:v>
      </x:c>
      <x:c r="C912" t="n">
        <x:v>11990</x:v>
      </x:c>
      <x:c r="D912" t="n">
        <x:v>10</x:v>
      </x:c>
      <x:c r="E912" t="str">
        <x:v>Low</x:v>
      </x:c>
      <x:c r="F912" t="str">
        <x:v>Residential</x:v>
      </x:c>
      <x:c r="G912" t="str">
        <x:v>Shear Wall</x:v>
      </x:c>
      <x:c r="H912" t="str">
        <x:v>Raft</x:v>
      </x:c>
      <x:c r="I912" t="str">
        <x:v>Rock</x:v>
      </x:c>
      <x:c r="J912" t="str">
        <x:v>High</x:v>
      </x:c>
      <x:c r="K912" t="n">
        <x:v>17637290</x:v>
      </x:c>
      <x:c r="L912" t="n">
        <x:v>442</x:v>
      </x:c>
      <x:c r="M912" t="n">
        <x:v>618.9</x:v>
      </x:c>
      <x:c r="N912" t="n">
        <x:v>15.8</x:v>
      </x:c>
      <x:c r="O912" t="n">
        <x:v>80.2</x:v>
      </x:c>
      <x:c r="P912" t="str">
        <x:v>Rainy</x:v>
      </x:c>
      <x:c r="Q912" t="n">
        <x:v>66</x:v>
      </x:c>
      <x:c r="R912" t="n">
        <x:v>60.9</x:v>
      </x:c>
      <x:c r="S912" t="n">
        <x:v>0.0768</x:v>
      </x:c>
      <x:c r="T912" t="n">
        <x:v>12.5</x:v>
      </x:c>
      <x:c r="U912" t="n">
        <x:v>1199</x:v>
      </x:c>
      <x:c r="V912" t="n">
        <x:v>1471</x:v>
      </x:c>
      <x:c r="W912" t="n">
        <x:v>36.9</x:v>
      </x:c>
    </x:row>
    <x:row r="913">
      <x:c r="A913" t="str">
        <x:v>PJT_912</x:v>
      </x:c>
      <x:c r="B913" t="str">
        <x:v>Mediterranean</x:v>
      </x:c>
      <x:c r="C913" t="n">
        <x:v>5460</x:v>
      </x:c>
      <x:c r="D913" t="n">
        <x:v>6</x:v>
      </x:c>
      <x:c r="E913" t="str">
        <x:v>Low</x:v>
      </x:c>
      <x:c r="F913" t="str">
        <x:v>Residential</x:v>
      </x:c>
      <x:c r="G913" t="str">
        <x:v>RC Frame</x:v>
      </x:c>
      <x:c r="H913" t="str">
        <x:v>Raft</x:v>
      </x:c>
      <x:c r="I913" t="str">
        <x:v>Rock</x:v>
      </x:c>
      <x:c r="J913" t="str">
        <x:v>Medium</x:v>
      </x:c>
      <x:c r="K913" t="n">
        <x:v>7414680</x:v>
      </x:c>
      <x:c r="L913" t="n">
        <x:v>180</x:v>
      </x:c>
      <x:c r="M913" t="n">
        <x:v>737.4</x:v>
      </x:c>
      <x:c r="N913" t="n">
        <x:v>18.5</x:v>
      </x:c>
      <x:c r="O913" t="n">
        <x:v>58.5</x:v>
      </x:c>
      <x:c r="P913" t="str">
        <x:v>Cloudy</x:v>
      </x:c>
      <x:c r="Q913" t="n">
        <x:v>65</x:v>
      </x:c>
      <x:c r="R913" t="n">
        <x:v>67.2</x:v>
      </x:c>
      <x:c r="S913" t="n">
        <x:v>0.07</x:v>
      </x:c>
      <x:c r="T913" t="n">
        <x:v>12</x:v>
      </x:c>
      <x:c r="U913" t="n">
        <x:v>910</x:v>
      </x:c>
      <x:c r="V913" t="n">
        <x:v>1358</x:v>
      </x:c>
      <x:c r="W913" t="n">
        <x:v>29.7</x:v>
      </x:c>
    </x:row>
    <x:row r="914">
      <x:c r="A914" t="str">
        <x:v>PJT_913</x:v>
      </x:c>
      <x:c r="B914" t="str">
        <x:v>Continental</x:v>
      </x:c>
      <x:c r="C914" t="n">
        <x:v>21270</x:v>
      </x:c>
      <x:c r="D914" t="n">
        <x:v>13</x:v>
      </x:c>
      <x:c r="E914" t="str">
        <x:v>High</x:v>
      </x:c>
      <x:c r="F914" t="str">
        <x:v>Mixed-use</x:v>
      </x:c>
      <x:c r="G914" t="str">
        <x:v>Steel</x:v>
      </x:c>
      <x:c r="H914" t="str">
        <x:v>Piles</x:v>
      </x:c>
      <x:c r="I914" t="str">
        <x:v>Mixed</x:v>
      </x:c>
      <x:c r="J914" t="str">
        <x:v>Medium</x:v>
      </x:c>
      <x:c r="K914" t="n">
        <x:v>58407420</x:v>
      </x:c>
      <x:c r="L914" t="n">
        <x:v>1234</x:v>
      </x:c>
      <x:c r="M914" t="n">
        <x:v>364.7</x:v>
      </x:c>
      <x:c r="N914" t="n">
        <x:v>-3.7</x:v>
      </x:c>
      <x:c r="O914" t="n">
        <x:v>66.1</x:v>
      </x:c>
      <x:c r="P914" t="str">
        <x:v>Snowy</x:v>
      </x:c>
      <x:c r="Q914" t="n">
        <x:v>89</x:v>
      </x:c>
      <x:c r="R914" t="n">
        <x:v>88.4</x:v>
      </x:c>
      <x:c r="S914" t="n">
        <x:v>0.103</x:v>
      </x:c>
      <x:c r="T914" t="n">
        <x:v>20.9</x:v>
      </x:c>
      <x:c r="U914" t="n">
        <x:v>1636.2</x:v>
      </x:c>
      <x:c r="V914" t="n">
        <x:v>2746</x:v>
      </x:c>
      <x:c r="W914" t="n">
        <x:v>58</x:v>
      </x:c>
    </x:row>
    <x:row r="915">
      <x:c r="A915" t="str">
        <x:v>PJT_914</x:v>
      </x:c>
      <x:c r="B915" t="str">
        <x:v>Marine</x:v>
      </x:c>
      <x:c r="C915" t="n">
        <x:v>12410</x:v>
      </x:c>
      <x:c r="D915" t="n">
        <x:v>13</x:v>
      </x:c>
      <x:c r="E915" t="str">
        <x:v>Medium</x:v>
      </x:c>
      <x:c r="F915" t="str">
        <x:v>Mixed-use</x:v>
      </x:c>
      <x:c r="G915" t="str">
        <x:v>Shear Wall</x:v>
      </x:c>
      <x:c r="H915" t="str">
        <x:v>Piles</x:v>
      </x:c>
      <x:c r="I915" t="str">
        <x:v>Soft Clay</x:v>
      </x:c>
      <x:c r="J915" t="str">
        <x:v>Medium</x:v>
      </x:c>
      <x:c r="K915" t="n">
        <x:v>32973370</x:v>
      </x:c>
      <x:c r="L915" t="n">
        <x:v>635</x:v>
      </x:c>
      <x:c r="M915" t="n">
        <x:v>208.3</x:v>
      </x:c>
      <x:c r="N915" t="n">
        <x:v>10.7</x:v>
      </x:c>
      <x:c r="O915" t="n">
        <x:v>90.2</x:v>
      </x:c>
      <x:c r="P915" t="str">
        <x:v>Stormy</x:v>
      </x:c>
      <x:c r="Q915" t="n">
        <x:v>102</x:v>
      </x:c>
      <x:c r="R915" t="n">
        <x:v>85.4</x:v>
      </x:c>
      <x:c r="S915" t="n">
        <x:v>0.0986</x:v>
      </x:c>
      <x:c r="T915" t="n">
        <x:v>18.1</x:v>
      </x:c>
      <x:c r="U915" t="n">
        <x:v>954.6</x:v>
      </x:c>
      <x:c r="V915" t="n">
        <x:v>2657</x:v>
      </x:c>
      <x:c r="W915" t="n">
        <x:v>51.2</x:v>
      </x:c>
    </x:row>
    <x:row r="916">
      <x:c r="A916" t="str">
        <x:v>PJT_915</x:v>
      </x:c>
      <x:c r="B916" t="str">
        <x:v>Marine</x:v>
      </x:c>
      <x:c r="C916" t="n">
        <x:v>9290</x:v>
      </x:c>
      <x:c r="D916" t="n">
        <x:v>6</x:v>
      </x:c>
      <x:c r="E916" t="str">
        <x:v>Low</x:v>
      </x:c>
      <x:c r="F916" t="str">
        <x:v>Commercial</x:v>
      </x:c>
      <x:c r="G916" t="str">
        <x:v>RC Frame</x:v>
      </x:c>
      <x:c r="H916" t="str">
        <x:v>Raft</x:v>
      </x:c>
      <x:c r="I916" t="str">
        <x:v>Soft Clay</x:v>
      </x:c>
      <x:c r="J916" t="str">
        <x:v>Medium</x:v>
      </x:c>
      <x:c r="K916" t="n">
        <x:v>18886570</x:v>
      </x:c>
      <x:c r="L916" t="n">
        <x:v>330</x:v>
      </x:c>
      <x:c r="M916" t="n">
        <x:v>185.5</x:v>
      </x:c>
      <x:c r="N916" t="n">
        <x:v>10.2</x:v>
      </x:c>
      <x:c r="O916" t="n">
        <x:v>58.9</x:v>
      </x:c>
      <x:c r="P916" t="str">
        <x:v>Sunny</x:v>
      </x:c>
      <x:c r="Q916" t="n">
        <x:v>75</x:v>
      </x:c>
      <x:c r="R916" t="n">
        <x:v>66</x:v>
      </x:c>
      <x:c r="S916" t="n">
        <x:v>0.0899</x:v>
      </x:c>
      <x:c r="T916" t="n">
        <x:v>15.6</x:v>
      </x:c>
      <x:c r="U916" t="n">
        <x:v>1548.3</x:v>
      </x:c>
      <x:c r="V916" t="n">
        <x:v>2033</x:v>
      </x:c>
      <x:c r="W916" t="n">
        <x:v>35.5</x:v>
      </x:c>
    </x:row>
    <x:row r="917">
      <x:c r="A917" t="str">
        <x:v>PJT_916</x:v>
      </x:c>
      <x:c r="B917" t="str">
        <x:v>Continental</x:v>
      </x:c>
      <x:c r="C917" t="n">
        <x:v>28990</x:v>
      </x:c>
      <x:c r="D917" t="n">
        <x:v>19</x:v>
      </x:c>
      <x:c r="E917" t="str">
        <x:v>High</x:v>
      </x:c>
      <x:c r="F917" t="str">
        <x:v>Commercial</x:v>
      </x:c>
      <x:c r="G917" t="str">
        <x:v>Steel</x:v>
      </x:c>
      <x:c r="H917" t="str">
        <x:v>Piles</x:v>
      </x:c>
      <x:c r="I917" t="str">
        <x:v>Soft Clay</x:v>
      </x:c>
      <x:c r="J917" t="str">
        <x:v>High</x:v>
      </x:c>
      <x:c r="K917" t="n">
        <x:v>81403920</x:v>
      </x:c>
      <x:c r="L917" t="n">
        <x:v>1481</x:v>
      </x:c>
      <x:c r="M917" t="n">
        <x:v>211.5</x:v>
      </x:c>
      <x:c r="N917" t="n">
        <x:v>9.8</x:v>
      </x:c>
      <x:c r="O917" t="n">
        <x:v>69.6</x:v>
      </x:c>
      <x:c r="P917" t="str">
        <x:v>Cloudy</x:v>
      </x:c>
      <x:c r="Q917" t="n">
        <x:v>98</x:v>
      </x:c>
      <x:c r="R917" t="n">
        <x:v>83.5</x:v>
      </x:c>
      <x:c r="S917" t="n">
        <x:v>0.0989</x:v>
      </x:c>
      <x:c r="T917" t="n">
        <x:v>18.2</x:v>
      </x:c>
      <x:c r="U917" t="n">
        <x:v>1525.8</x:v>
      </x:c>
      <x:c r="V917" t="n">
        <x:v>2808</x:v>
      </x:c>
      <x:c r="W917" t="n">
        <x:v>51.1</x:v>
      </x:c>
    </x:row>
    <x:row r="918">
      <x:c r="A918" t="str">
        <x:v>PJT_917</x:v>
      </x:c>
      <x:c r="B918" t="str">
        <x:v>Mediterranean</x:v>
      </x:c>
      <x:c r="C918" t="n">
        <x:v>28240</x:v>
      </x:c>
      <x:c r="D918" t="n">
        <x:v>25</x:v>
      </x:c>
      <x:c r="E918" t="str">
        <x:v>High</x:v>
      </x:c>
      <x:c r="F918" t="str">
        <x:v>Mixed-use</x:v>
      </x:c>
      <x:c r="G918" t="str">
        <x:v>Steel</x:v>
      </x:c>
      <x:c r="H918" t="str">
        <x:v>Piles</x:v>
      </x:c>
      <x:c r="I918" t="str">
        <x:v>Mixed</x:v>
      </x:c>
      <x:c r="J918" t="str">
        <x:v>High</x:v>
      </x:c>
      <x:c r="K918" t="n">
        <x:v>86329680</x:v>
      </x:c>
      <x:c r="L918" t="n">
        <x:v>1615</x:v>
      </x:c>
      <x:c r="M918" t="n">
        <x:v>421.7</x:v>
      </x:c>
      <x:c r="N918" t="n">
        <x:v>23.9</x:v>
      </x:c>
      <x:c r="O918" t="n">
        <x:v>52.7</x:v>
      </x:c>
      <x:c r="P918" t="str">
        <x:v>Cloudy</x:v>
      </x:c>
      <x:c r="Q918" t="n">
        <x:v>79</x:v>
      </x:c>
      <x:c r="R918" t="n">
        <x:v>91</x:v>
      </x:c>
      <x:c r="S918" t="n">
        <x:v>0.1086</x:v>
      </x:c>
      <x:c r="T918" t="n">
        <x:v>21.1</x:v>
      </x:c>
      <x:c r="U918" t="n">
        <x:v>1129.6</x:v>
      </x:c>
      <x:c r="V918" t="n">
        <x:v>3057</x:v>
      </x:c>
      <x:c r="W918" t="n">
        <x:v>57.2</x:v>
      </x:c>
    </x:row>
    <x:row r="919">
      <x:c r="A919" t="str">
        <x:v>PJT_918</x:v>
      </x:c>
      <x:c r="B919" t="str">
        <x:v>Marine</x:v>
      </x:c>
      <x:c r="C919" t="n">
        <x:v>14700</x:v>
      </x:c>
      <x:c r="D919" t="n">
        <x:v>5</x:v>
      </x:c>
      <x:c r="E919" t="str">
        <x:v>Low</x:v>
      </x:c>
      <x:c r="F919" t="str">
        <x:v>School</x:v>
      </x:c>
      <x:c r="G919" t="str">
        <x:v>RC Frame</x:v>
      </x:c>
      <x:c r="H919" t="str">
        <x:v>Raft</x:v>
      </x:c>
      <x:c r="I919" t="str">
        <x:v>Rock</x:v>
      </x:c>
      <x:c r="J919" t="str">
        <x:v>Low</x:v>
      </x:c>
      <x:c r="K919" t="n">
        <x:v>23299500</x:v>
      </x:c>
      <x:c r="L919" t="n">
        <x:v>445</x:v>
      </x:c>
      <x:c r="M919" t="n">
        <x:v>642.4</x:v>
      </x:c>
      <x:c r="N919" t="n">
        <x:v>15.5</x:v>
      </x:c>
      <x:c r="O919" t="n">
        <x:v>91.3</x:v>
      </x:c>
      <x:c r="P919" t="str">
        <x:v>Rainy</x:v>
      </x:c>
      <x:c r="Q919" t="n">
        <x:v>69</x:v>
      </x:c>
      <x:c r="R919" t="n">
        <x:v>67</x:v>
      </x:c>
      <x:c r="S919" t="n">
        <x:v>0.0793</x:v>
      </x:c>
      <x:c r="T919" t="n">
        <x:v>14</x:v>
      </x:c>
      <x:c r="U919" t="n">
        <x:v>2940</x:v>
      </x:c>
      <x:c r="V919" t="n">
        <x:v>1585</x:v>
      </x:c>
      <x:c r="W919" t="n">
        <x:v>30.3</x:v>
      </x:c>
    </x:row>
    <x:row r="920">
      <x:c r="A920" t="str">
        <x:v>PJT_919</x:v>
      </x:c>
      <x:c r="B920" t="str">
        <x:v>Continental</x:v>
      </x:c>
      <x:c r="C920" t="n">
        <x:v>37460</x:v>
      </x:c>
      <x:c r="D920" t="n">
        <x:v>29</x:v>
      </x:c>
      <x:c r="E920" t="str">
        <x:v>High</x:v>
      </x:c>
      <x:c r="F920" t="str">
        <x:v>Mixed-use</x:v>
      </x:c>
      <x:c r="G920" t="str">
        <x:v>Steel</x:v>
      </x:c>
      <x:c r="H920" t="str">
        <x:v>Piles</x:v>
      </x:c>
      <x:c r="I920" t="str">
        <x:v>Rock</x:v>
      </x:c>
      <x:c r="J920" t="str">
        <x:v>Low</x:v>
      </x:c>
      <x:c r="K920" t="n">
        <x:v>103614360</x:v>
      </x:c>
      <x:c r="L920" t="n">
        <x:v>2173</x:v>
      </x:c>
      <x:c r="M920" t="n">
        <x:v>859.2</x:v>
      </x:c>
      <x:c r="N920" t="n">
        <x:v>2.5</x:v>
      </x:c>
      <x:c r="O920" t="n">
        <x:v>54.4</x:v>
      </x:c>
      <x:c r="P920" t="str">
        <x:v>Cloudy</x:v>
      </x:c>
      <x:c r="Q920" t="n">
        <x:v>98</x:v>
      </x:c>
      <x:c r="R920" t="n">
        <x:v>90.6</x:v>
      </x:c>
      <x:c r="S920" t="n">
        <x:v>0.1083</x:v>
      </x:c>
      <x:c r="T920" t="n">
        <x:v>19.9</x:v>
      </x:c>
      <x:c r="U920" t="n">
        <x:v>1291.7</x:v>
      </x:c>
      <x:c r="V920" t="n">
        <x:v>2766</x:v>
      </x:c>
      <x:c r="W920" t="n">
        <x:v>58</x:v>
      </x:c>
    </x:row>
    <x:row r="921">
      <x:c r="A921" t="str">
        <x:v>PJT_920</x:v>
      </x:c>
      <x:c r="B921" t="str">
        <x:v>Continental</x:v>
      </x:c>
      <x:c r="C921" t="n">
        <x:v>15300</x:v>
      </x:c>
      <x:c r="D921" t="n">
        <x:v>12</x:v>
      </x:c>
      <x:c r="E921" t="str">
        <x:v>Medium</x:v>
      </x:c>
      <x:c r="F921" t="str">
        <x:v>Mixed-use</x:v>
      </x:c>
      <x:c r="G921" t="str">
        <x:v>Shear Wall</x:v>
      </x:c>
      <x:c r="H921" t="str">
        <x:v>Piles</x:v>
      </x:c>
      <x:c r="I921" t="str">
        <x:v>Sand</x:v>
      </x:c>
      <x:c r="J921" t="str">
        <x:v>High</x:v>
      </x:c>
      <x:c r="K921" t="n">
        <x:v>41325300</x:v>
      </x:c>
      <x:c r="L921" t="n">
        <x:v>783</x:v>
      </x:c>
      <x:c r="M921" t="n">
        <x:v>255</x:v>
      </x:c>
      <x:c r="N921" t="n">
        <x:v>18.9</x:v>
      </x:c>
      <x:c r="O921" t="n">
        <x:v>82.5</x:v>
      </x:c>
      <x:c r="P921" t="str">
        <x:v>Stormy</x:v>
      </x:c>
      <x:c r="Q921" t="n">
        <x:v>84</x:v>
      </x:c>
      <x:c r="R921" t="n">
        <x:v>80</x:v>
      </x:c>
      <x:c r="S921" t="n">
        <x:v>0.0989</x:v>
      </x:c>
      <x:c r="T921" t="n">
        <x:v>17.8</x:v>
      </x:c>
      <x:c r="U921" t="n">
        <x:v>1275</x:v>
      </x:c>
      <x:c r="V921" t="n">
        <x:v>2701</x:v>
      </x:c>
      <x:c r="W921" t="n">
        <x:v>51.2</x:v>
      </x:c>
    </x:row>
    <x:row r="922">
      <x:c r="A922" t="str">
        <x:v>PJT_921</x:v>
      </x:c>
      <x:c r="B922" t="str">
        <x:v>Continental</x:v>
      </x:c>
      <x:c r="C922" t="n">
        <x:v>15560</x:v>
      </x:c>
      <x:c r="D922" t="n">
        <x:v>13</x:v>
      </x:c>
      <x:c r="E922" t="str">
        <x:v>Low</x:v>
      </x:c>
      <x:c r="F922" t="str">
        <x:v>Residential</x:v>
      </x:c>
      <x:c r="G922" t="str">
        <x:v>RC Frame</x:v>
      </x:c>
      <x:c r="H922" t="str">
        <x:v>Raft</x:v>
      </x:c>
      <x:c r="I922" t="str">
        <x:v>Mixed</x:v>
      </x:c>
      <x:c r="J922" t="str">
        <x:v>Medium</x:v>
      </x:c>
      <x:c r="K922" t="n">
        <x:v>20928200</x:v>
      </x:c>
      <x:c r="L922" t="n">
        <x:v>559</x:v>
      </x:c>
      <x:c r="M922" t="n">
        <x:v>374.4</x:v>
      </x:c>
      <x:c r="N922" t="n">
        <x:v>-6.4</x:v>
      </x:c>
      <x:c r="O922" t="n">
        <x:v>73.2</x:v>
      </x:c>
      <x:c r="P922" t="str">
        <x:v>Snowy</x:v>
      </x:c>
      <x:c r="Q922" t="n">
        <x:v>88</x:v>
      </x:c>
      <x:c r="R922" t="n">
        <x:v>71.1</x:v>
      </x:c>
      <x:c r="S922" t="n">
        <x:v>0.0763</x:v>
      </x:c>
      <x:c r="T922" t="n">
        <x:v>11.7</x:v>
      </x:c>
      <x:c r="U922" t="n">
        <x:v>1196.9</x:v>
      </x:c>
      <x:c r="V922" t="n">
        <x:v>1345</x:v>
      </x:c>
      <x:c r="W922" t="n">
        <x:v>35.9</x:v>
      </x:c>
    </x:row>
    <x:row r="923">
      <x:c r="A923" t="str">
        <x:v>PJT_922</x:v>
      </x:c>
      <x:c r="B923" t="str">
        <x:v>Continental</x:v>
      </x:c>
      <x:c r="C923" t="n">
        <x:v>14260</x:v>
      </x:c>
      <x:c r="D923" t="n">
        <x:v>18</x:v>
      </x:c>
      <x:c r="E923" t="str">
        <x:v>Medium</x:v>
      </x:c>
      <x:c r="F923" t="str">
        <x:v>Residential</x:v>
      </x:c>
      <x:c r="G923" t="str">
        <x:v>Shear Wall</x:v>
      </x:c>
      <x:c r="H923" t="str">
        <x:v>Piles</x:v>
      </x:c>
      <x:c r="I923" t="str">
        <x:v>Mixed</x:v>
      </x:c>
      <x:c r="J923" t="str">
        <x:v>Medium</x:v>
      </x:c>
      <x:c r="K923" t="n">
        <x:v>23657340</x:v>
      </x:c>
      <x:c r="L923" t="n">
        <x:v>607</x:v>
      </x:c>
      <x:c r="M923" t="n">
        <x:v>355.8</x:v>
      </x:c>
      <x:c r="N923" t="n">
        <x:v>8.3</x:v>
      </x:c>
      <x:c r="O923" t="n">
        <x:v>80</x:v>
      </x:c>
      <x:c r="P923" t="str">
        <x:v>Stormy</x:v>
      </x:c>
      <x:c r="Q923" t="n">
        <x:v>88</x:v>
      </x:c>
      <x:c r="R923" t="n">
        <x:v>78.8</x:v>
      </x:c>
      <x:c r="S923" t="n">
        <x:v>0.0793</x:v>
      </x:c>
      <x:c r="T923" t="n">
        <x:v>14.1</x:v>
      </x:c>
      <x:c r="U923" t="n">
        <x:v>792.2</x:v>
      </x:c>
      <x:c r="V923" t="n">
        <x:v>1659</x:v>
      </x:c>
      <x:c r="W923" t="n">
        <x:v>42.6</x:v>
      </x:c>
    </x:row>
    <x:row r="924">
      <x:c r="A924" t="str">
        <x:v>PJT_923</x:v>
      </x:c>
      <x:c r="B924" t="str">
        <x:v>Continental</x:v>
      </x:c>
      <x:c r="C924" t="n">
        <x:v>14760</x:v>
      </x:c>
      <x:c r="D924" t="n">
        <x:v>12</x:v>
      </x:c>
      <x:c r="E924" t="str">
        <x:v>Medium</x:v>
      </x:c>
      <x:c r="F924" t="str">
        <x:v>Commercial</x:v>
      </x:c>
      <x:c r="G924" t="str">
        <x:v>RC Frame</x:v>
      </x:c>
      <x:c r="H924" t="str">
        <x:v>Raft</x:v>
      </x:c>
      <x:c r="I924" t="str">
        <x:v>Rock</x:v>
      </x:c>
      <x:c r="J924" t="str">
        <x:v>Low</x:v>
      </x:c>
      <x:c r="K924" t="n">
        <x:v>31571640</x:v>
      </x:c>
      <x:c r="L924" t="n">
        <x:v>552</x:v>
      </x:c>
      <x:c r="M924" t="n">
        <x:v>592.8</x:v>
      </x:c>
      <x:c r="N924" t="n">
        <x:v>11.3</x:v>
      </x:c>
      <x:c r="O924" t="n">
        <x:v>52.2</x:v>
      </x:c>
      <x:c r="P924" t="str">
        <x:v>Sunny</x:v>
      </x:c>
      <x:c r="Q924" t="n">
        <x:v>92</x:v>
      </x:c>
      <x:c r="R924" t="n">
        <x:v>78.7</x:v>
      </x:c>
      <x:c r="S924" t="n">
        <x:v>0.0885</x:v>
      </x:c>
      <x:c r="T924" t="n">
        <x:v>16.3</x:v>
      </x:c>
      <x:c r="U924" t="n">
        <x:v>1230</x:v>
      </x:c>
      <x:c r="V924" t="n">
        <x:v>2139</x:v>
      </x:c>
      <x:c r="W924" t="n">
        <x:v>37.4</x:v>
      </x:c>
    </x:row>
    <x:row r="925">
      <x:c r="A925" t="str">
        <x:v>PJT_924</x:v>
      </x:c>
      <x:c r="B925" t="str">
        <x:v>Continental</x:v>
      </x:c>
      <x:c r="C925" t="n">
        <x:v>23010</x:v>
      </x:c>
      <x:c r="D925" t="n">
        <x:v>14</x:v>
      </x:c>
      <x:c r="E925" t="str">
        <x:v>Medium</x:v>
      </x:c>
      <x:c r="F925" t="str">
        <x:v>Mixed-use</x:v>
      </x:c>
      <x:c r="G925" t="str">
        <x:v>Steel</x:v>
      </x:c>
      <x:c r="H925" t="str">
        <x:v>Piles</x:v>
      </x:c>
      <x:c r="I925" t="str">
        <x:v>Mixed</x:v>
      </x:c>
      <x:c r="J925" t="str">
        <x:v>Low</x:v>
      </x:c>
      <x:c r="K925" t="n">
        <x:v>58905600</x:v>
      </x:c>
      <x:c r="L925" t="n">
        <x:v>1121</x:v>
      </x:c>
      <x:c r="M925" t="n">
        <x:v>427.2</x:v>
      </x:c>
      <x:c r="N925" t="n">
        <x:v>20.3</x:v>
      </x:c>
      <x:c r="O925" t="n">
        <x:v>55.8</x:v>
      </x:c>
      <x:c r="P925" t="str">
        <x:v>Cloudy</x:v>
      </x:c>
      <x:c r="Q925" t="n">
        <x:v>73</x:v>
      </x:c>
      <x:c r="R925" t="n">
        <x:v>83.3</x:v>
      </x:c>
      <x:c r="S925" t="n">
        <x:v>0.104</x:v>
      </x:c>
      <x:c r="T925" t="n">
        <x:v>18.3</x:v>
      </x:c>
      <x:c r="U925" t="n">
        <x:v>1643.6</x:v>
      </x:c>
      <x:c r="V925" t="n">
        <x:v>2560</x:v>
      </x:c>
      <x:c r="W925" t="n">
        <x:v>48.7</x:v>
      </x:c>
    </x:row>
    <x:row r="926">
      <x:c r="A926" t="str">
        <x:v>PJT_925</x:v>
      </x:c>
      <x:c r="B926" t="str">
        <x:v>Marine</x:v>
      </x:c>
      <x:c r="C926" t="n">
        <x:v>9880</x:v>
      </x:c>
      <x:c r="D926" t="n">
        <x:v>12</x:v>
      </x:c>
      <x:c r="E926" t="str">
        <x:v>Low</x:v>
      </x:c>
      <x:c r="F926" t="str">
        <x:v>Residential</x:v>
      </x:c>
      <x:c r="G926" t="str">
        <x:v>RC Frame</x:v>
      </x:c>
      <x:c r="H926" t="str">
        <x:v>Piles</x:v>
      </x:c>
      <x:c r="I926" t="str">
        <x:v>Soft Clay</x:v>
      </x:c>
      <x:c r="J926" t="str">
        <x:v>Medium</x:v>
      </x:c>
      <x:c r="K926" t="n">
        <x:v>15215200</x:v>
      </x:c>
      <x:c r="L926" t="n">
        <x:v>336</x:v>
      </x:c>
      <x:c r="M926" t="n">
        <x:v>156.4</x:v>
      </x:c>
      <x:c r="N926" t="n">
        <x:v>14</x:v>
      </x:c>
      <x:c r="O926" t="n">
        <x:v>74.1</x:v>
      </x:c>
      <x:c r="P926" t="str">
        <x:v>Cloudy</x:v>
      </x:c>
      <x:c r="Q926" t="n">
        <x:v>71</x:v>
      </x:c>
      <x:c r="R926" t="n">
        <x:v>68.7</x:v>
      </x:c>
      <x:c r="S926" t="n">
        <x:v>0.0705</x:v>
      </x:c>
      <x:c r="T926" t="n">
        <x:v>11.6</x:v>
      </x:c>
      <x:c r="U926" t="n">
        <x:v>823.3</x:v>
      </x:c>
      <x:c r="V926" t="n">
        <x:v>1540</x:v>
      </x:c>
      <x:c r="W926" t="n">
        <x:v>34</x:v>
      </x:c>
    </x:row>
    <x:row r="927">
      <x:c r="A927" t="str">
        <x:v>PJT_926</x:v>
      </x:c>
      <x:c r="B927" t="str">
        <x:v>Continental</x:v>
      </x:c>
      <x:c r="C927" t="n">
        <x:v>18990</x:v>
      </x:c>
      <x:c r="D927" t="n">
        <x:v>16</x:v>
      </x:c>
      <x:c r="E927" t="str">
        <x:v>Medium</x:v>
      </x:c>
      <x:c r="F927" t="str">
        <x:v>Commercial</x:v>
      </x:c>
      <x:c r="G927" t="str">
        <x:v>Steel</x:v>
      </x:c>
      <x:c r="H927" t="str">
        <x:v>Piles</x:v>
      </x:c>
      <x:c r="I927" t="str">
        <x:v>Sand</x:v>
      </x:c>
      <x:c r="J927" t="str">
        <x:v>Medium</x:v>
      </x:c>
      <x:c r="K927" t="n">
        <x:v>48253590</x:v>
      </x:c>
      <x:c r="L927" t="n">
        <x:v>934</x:v>
      </x:c>
      <x:c r="M927" t="n">
        <x:v>253.4</x:v>
      </x:c>
      <x:c r="N927" t="n">
        <x:v>12.4</x:v>
      </x:c>
      <x:c r="O927" t="n">
        <x:v>84.3</x:v>
      </x:c>
      <x:c r="P927" t="str">
        <x:v>Rainy</x:v>
      </x:c>
      <x:c r="Q927" t="n">
        <x:v>87</x:v>
      </x:c>
      <x:c r="R927" t="n">
        <x:v>76.3</x:v>
      </x:c>
      <x:c r="S927" t="n">
        <x:v>0.0946</x:v>
      </x:c>
      <x:c r="T927" t="n">
        <x:v>18.1</x:v>
      </x:c>
      <x:c r="U927" t="n">
        <x:v>1186.9</x:v>
      </x:c>
      <x:c r="V927" t="n">
        <x:v>2541</x:v>
      </x:c>
      <x:c r="W927" t="n">
        <x:v>49.2</x:v>
      </x:c>
    </x:row>
    <x:row r="928">
      <x:c r="A928" t="str">
        <x:v>PJT_927</x:v>
      </x:c>
      <x:c r="B928" t="str">
        <x:v>Marine</x:v>
      </x:c>
      <x:c r="C928" t="n">
        <x:v>15010</x:v>
      </x:c>
      <x:c r="D928" t="n">
        <x:v>11</x:v>
      </x:c>
      <x:c r="E928" t="str">
        <x:v>Medium</x:v>
      </x:c>
      <x:c r="F928" t="str">
        <x:v>Mixed-use</x:v>
      </x:c>
      <x:c r="G928" t="str">
        <x:v>Steel</x:v>
      </x:c>
      <x:c r="H928" t="str">
        <x:v>Raft</x:v>
      </x:c>
      <x:c r="I928" t="str">
        <x:v>Mixed</x:v>
      </x:c>
      <x:c r="J928" t="str">
        <x:v>Medium</x:v>
      </x:c>
      <x:c r="K928" t="n">
        <x:v>39671430</x:v>
      </x:c>
      <x:c r="L928" t="n">
        <x:v>714</x:v>
      </x:c>
      <x:c r="M928" t="n">
        <x:v>333.3</x:v>
      </x:c>
      <x:c r="N928" t="n">
        <x:v>10</x:v>
      </x:c>
      <x:c r="O928" t="n">
        <x:v>66.4</x:v>
      </x:c>
      <x:c r="P928" t="str">
        <x:v>Cloudy</x:v>
      </x:c>
      <x:c r="Q928" t="n">
        <x:v>93</x:v>
      </x:c>
      <x:c r="R928" t="n">
        <x:v>79.6</x:v>
      </x:c>
      <x:c r="S928" t="n">
        <x:v>0.1048</x:v>
      </x:c>
      <x:c r="T928" t="n">
        <x:v>17.9</x:v>
      </x:c>
      <x:c r="U928" t="n">
        <x:v>1364.5</x:v>
      </x:c>
      <x:c r="V928" t="n">
        <x:v>2643</x:v>
      </x:c>
      <x:c r="W928" t="n">
        <x:v>47.6</x:v>
      </x:c>
    </x:row>
    <x:row r="929">
      <x:c r="A929" t="str">
        <x:v>PJT_928</x:v>
      </x:c>
      <x:c r="B929" t="str">
        <x:v>Humid Subtropical</x:v>
      </x:c>
      <x:c r="C929" t="n">
        <x:v>25620</x:v>
      </x:c>
      <x:c r="D929" t="n">
        <x:v>18</x:v>
      </x:c>
      <x:c r="E929" t="str">
        <x:v>Medium</x:v>
      </x:c>
      <x:c r="F929" t="str">
        <x:v>Commercial</x:v>
      </x:c>
      <x:c r="G929" t="str">
        <x:v>Steel</x:v>
      </x:c>
      <x:c r="H929" t="str">
        <x:v>Piles</x:v>
      </x:c>
      <x:c r="I929" t="str">
        <x:v>Sand</x:v>
      </x:c>
      <x:c r="J929" t="str">
        <x:v>High</x:v>
      </x:c>
      <x:c r="K929" t="n">
        <x:v>70301280</x:v>
      </x:c>
      <x:c r="L929" t="n">
        <x:v>1207</x:v>
      </x:c>
      <x:c r="M929" t="n">
        <x:v>248.3</x:v>
      </x:c>
      <x:c r="N929" t="n">
        <x:v>27.7</x:v>
      </x:c>
      <x:c r="O929" t="n">
        <x:v>84.3</x:v>
      </x:c>
      <x:c r="P929" t="str">
        <x:v>Rainy</x:v>
      </x:c>
      <x:c r="Q929" t="n">
        <x:v>86</x:v>
      </x:c>
      <x:c r="R929" t="n">
        <x:v>82.1</x:v>
      </x:c>
      <x:c r="S929" t="n">
        <x:v>0.0992</x:v>
      </x:c>
      <x:c r="T929" t="n">
        <x:v>16.3</x:v>
      </x:c>
      <x:c r="U929" t="n">
        <x:v>1423.3</x:v>
      </x:c>
      <x:c r="V929" t="n">
        <x:v>2744</x:v>
      </x:c>
      <x:c r="W929" t="n">
        <x:v>47.1</x:v>
      </x:c>
    </x:row>
    <x:row r="930">
      <x:c r="A930" t="str">
        <x:v>PJT_929</x:v>
      </x:c>
      <x:c r="B930" t="str">
        <x:v>Humid Subtropical</x:v>
      </x:c>
      <x:c r="C930" t="n">
        <x:v>15120</x:v>
      </x:c>
      <x:c r="D930" t="n">
        <x:v>7</x:v>
      </x:c>
      <x:c r="E930" t="str">
        <x:v>Medium</x:v>
      </x:c>
      <x:c r="F930" t="str">
        <x:v>Hospital</x:v>
      </x:c>
      <x:c r="G930" t="str">
        <x:v>Shear Wall</x:v>
      </x:c>
      <x:c r="H930" t="str">
        <x:v>Raft</x:v>
      </x:c>
      <x:c r="I930" t="str">
        <x:v>Rock</x:v>
      </x:c>
      <x:c r="J930" t="str">
        <x:v>High</x:v>
      </x:c>
      <x:c r="K930" t="n">
        <x:v>47990880</x:v>
      </x:c>
      <x:c r="L930" t="n">
        <x:v>762</x:v>
      </x:c>
      <x:c r="M930" t="n">
        <x:v>698.2</x:v>
      </x:c>
      <x:c r="N930" t="n">
        <x:v>27.7</x:v>
      </x:c>
      <x:c r="O930" t="n">
        <x:v>82.7</x:v>
      </x:c>
      <x:c r="P930" t="str">
        <x:v>Stormy</x:v>
      </x:c>
      <x:c r="Q930" t="n">
        <x:v>99</x:v>
      </x:c>
      <x:c r="R930" t="n">
        <x:v>84.1</x:v>
      </x:c>
      <x:c r="S930" t="n">
        <x:v>0.1082</x:v>
      </x:c>
      <x:c r="T930" t="n">
        <x:v>21.7</x:v>
      </x:c>
      <x:c r="U930" t="n">
        <x:v>2160</x:v>
      </x:c>
      <x:c r="V930" t="n">
        <x:v>3174</x:v>
      </x:c>
      <x:c r="W930" t="n">
        <x:v>50.4</x:v>
      </x:c>
    </x:row>
    <x:row r="931">
      <x:c r="A931" t="str">
        <x:v>PJT_930</x:v>
      </x:c>
      <x:c r="B931" t="str">
        <x:v>Humid Subtropical</x:v>
      </x:c>
      <x:c r="C931" t="n">
        <x:v>23430</x:v>
      </x:c>
      <x:c r="D931" t="n">
        <x:v>18</x:v>
      </x:c>
      <x:c r="E931" t="str">
        <x:v>High</x:v>
      </x:c>
      <x:c r="F931" t="str">
        <x:v>Mixed-use</x:v>
      </x:c>
      <x:c r="G931" t="str">
        <x:v>Steel</x:v>
      </x:c>
      <x:c r="H931" t="str">
        <x:v>Piles</x:v>
      </x:c>
      <x:c r="I931" t="str">
        <x:v>Mixed</x:v>
      </x:c>
      <x:c r="J931" t="str">
        <x:v>Medium</x:v>
      </x:c>
      <x:c r="K931" t="n">
        <x:v>69329370</x:v>
      </x:c>
      <x:c r="L931" t="n">
        <x:v>1343</x:v>
      </x:c>
      <x:c r="M931" t="n">
        <x:v>380.3</x:v>
      </x:c>
      <x:c r="N931" t="n">
        <x:v>24.2</x:v>
      </x:c>
      <x:c r="O931" t="n">
        <x:v>91.1</x:v>
      </x:c>
      <x:c r="P931" t="str">
        <x:v>Stormy</x:v>
      </x:c>
      <x:c r="Q931" t="n">
        <x:v>108</x:v>
      </x:c>
      <x:c r="R931" t="n">
        <x:v>86.6</x:v>
      </x:c>
      <x:c r="S931" t="n">
        <x:v>0.1097</x:v>
      </x:c>
      <x:c r="T931" t="n">
        <x:v>20.4</x:v>
      </x:c>
      <x:c r="U931" t="n">
        <x:v>1301.7</x:v>
      </x:c>
      <x:c r="V931" t="n">
        <x:v>2959</x:v>
      </x:c>
      <x:c r="W931" t="n">
        <x:v>57.3</x:v>
      </x:c>
    </x:row>
    <x:row r="932">
      <x:c r="A932" t="str">
        <x:v>PJT_931</x:v>
      </x:c>
      <x:c r="B932" t="str">
        <x:v>Continental</x:v>
      </x:c>
      <x:c r="C932" t="n">
        <x:v>22120</x:v>
      </x:c>
      <x:c r="D932" t="n">
        <x:v>13</x:v>
      </x:c>
      <x:c r="E932" t="str">
        <x:v>Medium</x:v>
      </x:c>
      <x:c r="F932" t="str">
        <x:v>Commercial</x:v>
      </x:c>
      <x:c r="G932" t="str">
        <x:v>Steel</x:v>
      </x:c>
      <x:c r="H932" t="str">
        <x:v>Raft</x:v>
      </x:c>
      <x:c r="I932" t="str">
        <x:v>Rock</x:v>
      </x:c>
      <x:c r="J932" t="str">
        <x:v>Medium</x:v>
      </x:c>
      <x:c r="K932" t="n">
        <x:v>49570920</x:v>
      </x:c>
      <x:c r="L932" t="n">
        <x:v>1084</x:v>
      </x:c>
      <x:c r="M932" t="n">
        <x:v>743.1</x:v>
      </x:c>
      <x:c r="N932" t="n">
        <x:v>11.4</x:v>
      </x:c>
      <x:c r="O932" t="n">
        <x:v>70</x:v>
      </x:c>
      <x:c r="P932" t="str">
        <x:v>Stormy</x:v>
      </x:c>
      <x:c r="Q932" t="n">
        <x:v>111</x:v>
      </x:c>
      <x:c r="R932" t="n">
        <x:v>78.1</x:v>
      </x:c>
      <x:c r="S932" t="n">
        <x:v>0.1006</x:v>
      </x:c>
      <x:c r="T932" t="n">
        <x:v>18.1</x:v>
      </x:c>
      <x:c r="U932" t="n">
        <x:v>1701.5</x:v>
      </x:c>
      <x:c r="V932" t="n">
        <x:v>2241</x:v>
      </x:c>
      <x:c r="W932" t="n">
        <x:v>49</x:v>
      </x:c>
    </x:row>
    <x:row r="933">
      <x:c r="A933" t="str">
        <x:v>PJT_932</x:v>
      </x:c>
      <x:c r="B933" t="str">
        <x:v>Marine</x:v>
      </x:c>
      <x:c r="C933" t="n">
        <x:v>7020</x:v>
      </x:c>
      <x:c r="D933" t="n">
        <x:v>3</x:v>
      </x:c>
      <x:c r="E933" t="str">
        <x:v>Low</x:v>
      </x:c>
      <x:c r="F933" t="str">
        <x:v>School</x:v>
      </x:c>
      <x:c r="G933" t="str">
        <x:v>RC Frame</x:v>
      </x:c>
      <x:c r="H933" t="str">
        <x:v>Raft</x:v>
      </x:c>
      <x:c r="I933" t="str">
        <x:v>Sand</x:v>
      </x:c>
      <x:c r="J933" t="str">
        <x:v>Medium</x:v>
      </x:c>
      <x:c r="K933" t="n">
        <x:v>12116520</x:v>
      </x:c>
      <x:c r="L933" t="n">
        <x:v>199</x:v>
      </x:c>
      <x:c r="M933" t="n">
        <x:v>314.2</x:v>
      </x:c>
      <x:c r="N933" t="n">
        <x:v>23.9</x:v>
      </x:c>
      <x:c r="O933" t="n">
        <x:v>69.1</x:v>
      </x:c>
      <x:c r="P933" t="str">
        <x:v>Sunny</x:v>
      </x:c>
      <x:c r="Q933" t="n">
        <x:v>71</x:v>
      </x:c>
      <x:c r="R933" t="n">
        <x:v>65.9</x:v>
      </x:c>
      <x:c r="S933" t="n">
        <x:v>0.0774</x:v>
      </x:c>
      <x:c r="T933" t="n">
        <x:v>14.4</x:v>
      </x:c>
      <x:c r="U933" t="n">
        <x:v>2340</x:v>
      </x:c>
      <x:c r="V933" t="n">
        <x:v>1726</x:v>
      </x:c>
      <x:c r="W933" t="n">
        <x:v>28.3</x:v>
      </x:c>
    </x:row>
    <x:row r="934">
      <x:c r="A934" t="str">
        <x:v>PJT_933</x:v>
      </x:c>
      <x:c r="B934" t="str">
        <x:v>Continental</x:v>
      </x:c>
      <x:c r="C934" t="n">
        <x:v>21980</x:v>
      </x:c>
      <x:c r="D934" t="n">
        <x:v>20</x:v>
      </x:c>
      <x:c r="E934" t="str">
        <x:v>High</x:v>
      </x:c>
      <x:c r="F934" t="str">
        <x:v>Mixed-use</x:v>
      </x:c>
      <x:c r="G934" t="str">
        <x:v>Steel</x:v>
      </x:c>
      <x:c r="H934" t="str">
        <x:v>Piles</x:v>
      </x:c>
      <x:c r="I934" t="str">
        <x:v>Mixed</x:v>
      </x:c>
      <x:c r="J934" t="str">
        <x:v>Medium</x:v>
      </x:c>
      <x:c r="K934" t="n">
        <x:v>61324200</x:v>
      </x:c>
      <x:c r="L934" t="n">
        <x:v>1161</x:v>
      </x:c>
      <x:c r="M934" t="n">
        <x:v>408.2</x:v>
      </x:c>
      <x:c r="N934" t="n">
        <x:v>11.2</x:v>
      </x:c>
      <x:c r="O934" t="n">
        <x:v>54.7</x:v>
      </x:c>
      <x:c r="P934" t="str">
        <x:v>Sunny</x:v>
      </x:c>
      <x:c r="Q934" t="n">
        <x:v>80</x:v>
      </x:c>
      <x:c r="R934" t="n">
        <x:v>88.9</x:v>
      </x:c>
      <x:c r="S934" t="n">
        <x:v>0.1107</x:v>
      </x:c>
      <x:c r="T934" t="n">
        <x:v>19.4</x:v>
      </x:c>
      <x:c r="U934" t="n">
        <x:v>1099</x:v>
      </x:c>
      <x:c r="V934" t="n">
        <x:v>2790</x:v>
      </x:c>
      <x:c r="W934" t="n">
        <x:v>52.8</x:v>
      </x:c>
    </x:row>
    <x:row r="935">
      <x:c r="A935" t="str">
        <x:v>PJT_934</x:v>
      </x:c>
      <x:c r="B935" t="str">
        <x:v>Mediterranean</x:v>
      </x:c>
      <x:c r="C935" t="n">
        <x:v>31680</x:v>
      </x:c>
      <x:c r="D935" t="n">
        <x:v>19</x:v>
      </x:c>
      <x:c r="E935" t="str">
        <x:v>Medium</x:v>
      </x:c>
      <x:c r="F935" t="str">
        <x:v>Commercial</x:v>
      </x:c>
      <x:c r="G935" t="str">
        <x:v>Steel</x:v>
      </x:c>
      <x:c r="H935" t="str">
        <x:v>Piles</x:v>
      </x:c>
      <x:c r="I935" t="str">
        <x:v>Soft Clay</x:v>
      </x:c>
      <x:c r="J935" t="str">
        <x:v>Medium</x:v>
      </x:c>
      <x:c r="K935" t="n">
        <x:v>79580160</x:v>
      </x:c>
      <x:c r="L935" t="n">
        <x:v>1422</x:v>
      </x:c>
      <x:c r="M935" t="n">
        <x:v>200.6</x:v>
      </x:c>
      <x:c r="N935" t="n">
        <x:v>20.2</x:v>
      </x:c>
      <x:c r="O935" t="n">
        <x:v>60.5</x:v>
      </x:c>
      <x:c r="P935" t="str">
        <x:v>Sunny</x:v>
      </x:c>
      <x:c r="Q935" t="n">
        <x:v>91</x:v>
      </x:c>
      <x:c r="R935" t="n">
        <x:v>82.7</x:v>
      </x:c>
      <x:c r="S935" t="n">
        <x:v>0.0938</x:v>
      </x:c>
      <x:c r="T935" t="n">
        <x:v>17.9</x:v>
      </x:c>
      <x:c r="U935" t="n">
        <x:v>1667.4</x:v>
      </x:c>
      <x:c r="V935" t="n">
        <x:v>2512</x:v>
      </x:c>
      <x:c r="W935" t="n">
        <x:v>44.9</x:v>
      </x:c>
    </x:row>
    <x:row r="936">
      <x:c r="A936" t="str">
        <x:v>PJT_935</x:v>
      </x:c>
      <x:c r="B936" t="str">
        <x:v>Marine</x:v>
      </x:c>
      <x:c r="C936" t="n">
        <x:v>7270</x:v>
      </x:c>
      <x:c r="D936" t="n">
        <x:v>6</x:v>
      </x:c>
      <x:c r="E936" t="str">
        <x:v>Medium</x:v>
      </x:c>
      <x:c r="F936" t="str">
        <x:v>Commercial</x:v>
      </x:c>
      <x:c r="G936" t="str">
        <x:v>RC Frame</x:v>
      </x:c>
      <x:c r="H936" t="str">
        <x:v>Raft</x:v>
      </x:c>
      <x:c r="I936" t="str">
        <x:v>Mixed</x:v>
      </x:c>
      <x:c r="J936" t="str">
        <x:v>Medium</x:v>
      </x:c>
      <x:c r="K936" t="n">
        <x:v>15732280</x:v>
      </x:c>
      <x:c r="L936" t="n">
        <x:v>284</x:v>
      </x:c>
      <x:c r="M936" t="n">
        <x:v>273.9</x:v>
      </x:c>
      <x:c r="N936" t="n">
        <x:v>14.8</x:v>
      </x:c>
      <x:c r="O936" t="n">
        <x:v>55.1</x:v>
      </x:c>
      <x:c r="P936" t="str">
        <x:v>Sunny</x:v>
      </x:c>
      <x:c r="Q936" t="n">
        <x:v>89</x:v>
      </x:c>
      <x:c r="R936" t="n">
        <x:v>72.4</x:v>
      </x:c>
      <x:c r="S936" t="n">
        <x:v>0.087</x:v>
      </x:c>
      <x:c r="T936" t="n">
        <x:v>16.1</x:v>
      </x:c>
      <x:c r="U936" t="n">
        <x:v>1211.7</x:v>
      </x:c>
      <x:c r="V936" t="n">
        <x:v>2164</x:v>
      </x:c>
      <x:c r="W936" t="n">
        <x:v>39.1</x:v>
      </x:c>
    </x:row>
    <x:row r="937">
      <x:c r="A937" t="str">
        <x:v>PJT_936</x:v>
      </x:c>
      <x:c r="B937" t="str">
        <x:v>Humid Subtropical</x:v>
      </x:c>
      <x:c r="C937" t="n">
        <x:v>19960</x:v>
      </x:c>
      <x:c r="D937" t="n">
        <x:v>12</x:v>
      </x:c>
      <x:c r="E937" t="str">
        <x:v>Medium</x:v>
      </x:c>
      <x:c r="F937" t="str">
        <x:v>Mixed-use</x:v>
      </x:c>
      <x:c r="G937" t="str">
        <x:v>Steel</x:v>
      </x:c>
      <x:c r="H937" t="str">
        <x:v>Raft</x:v>
      </x:c>
      <x:c r="I937" t="str">
        <x:v>Mixed</x:v>
      </x:c>
      <x:c r="J937" t="str">
        <x:v>Low</x:v>
      </x:c>
      <x:c r="K937" t="n">
        <x:v>50418960</x:v>
      </x:c>
      <x:c r="L937" t="n">
        <x:v>910</x:v>
      </x:c>
      <x:c r="M937" t="n">
        <x:v>376</x:v>
      </x:c>
      <x:c r="N937" t="n">
        <x:v>32.4</x:v>
      </x:c>
      <x:c r="O937" t="n">
        <x:v>57.2</x:v>
      </x:c>
      <x:c r="P937" t="str">
        <x:v>Sunny</x:v>
      </x:c>
      <x:c r="Q937" t="n">
        <x:v>101</x:v>
      </x:c>
      <x:c r="R937" t="n">
        <x:v>79.6</x:v>
      </x:c>
      <x:c r="S937" t="n">
        <x:v>0.1042</x:v>
      </x:c>
      <x:c r="T937" t="n">
        <x:v>18</x:v>
      </x:c>
      <x:c r="U937" t="n">
        <x:v>1663.3</x:v>
      </x:c>
      <x:c r="V937" t="n">
        <x:v>2526</x:v>
      </x:c>
      <x:c r="W937" t="n">
        <x:v>45.6</x:v>
      </x:c>
    </x:row>
    <x:row r="938">
      <x:c r="A938" t="str">
        <x:v>PJT_937</x:v>
      </x:c>
      <x:c r="B938" t="str">
        <x:v>Mediterranean</x:v>
      </x:c>
      <x:c r="C938" t="n">
        <x:v>7150</x:v>
      </x:c>
      <x:c r="D938" t="n">
        <x:v>11</x:v>
      </x:c>
      <x:c r="E938" t="str">
        <x:v>Low</x:v>
      </x:c>
      <x:c r="F938" t="str">
        <x:v>Residential</x:v>
      </x:c>
      <x:c r="G938" t="str">
        <x:v>RC Frame</x:v>
      </x:c>
      <x:c r="H938" t="str">
        <x:v>Raft</x:v>
      </x:c>
      <x:c r="I938" t="str">
        <x:v>Sand</x:v>
      </x:c>
      <x:c r="J938" t="str">
        <x:v>Medium</x:v>
      </x:c>
      <x:c r="K938" t="n">
        <x:v>9852700</x:v>
      </x:c>
      <x:c r="L938" t="n">
        <x:v>209</x:v>
      </x:c>
      <x:c r="M938" t="n">
        <x:v>296.8</x:v>
      </x:c>
      <x:c r="N938" t="n">
        <x:v>25.1</x:v>
      </x:c>
      <x:c r="O938" t="n">
        <x:v>53.1</x:v>
      </x:c>
      <x:c r="P938" t="str">
        <x:v>Sunny</x:v>
      </x:c>
      <x:c r="Q938" t="n">
        <x:v>59</x:v>
      </x:c>
      <x:c r="R938" t="n">
        <x:v>68.2</x:v>
      </x:c>
      <x:c r="S938" t="n">
        <x:v>0.0733</x:v>
      </x:c>
      <x:c r="T938" t="n">
        <x:v>11.7</x:v>
      </x:c>
      <x:c r="U938" t="n">
        <x:v>650</x:v>
      </x:c>
      <x:c r="V938" t="n">
        <x:v>1378</x:v>
      </x:c>
      <x:c r="W938" t="n">
        <x:v>29.3</x:v>
      </x:c>
    </x:row>
    <x:row r="939">
      <x:c r="A939" t="str">
        <x:v>PJT_938</x:v>
      </x:c>
      <x:c r="B939" t="str">
        <x:v>Mediterranean</x:v>
      </x:c>
      <x:c r="C939" t="n">
        <x:v>7600</x:v>
      </x:c>
      <x:c r="D939" t="n">
        <x:v>3</x:v>
      </x:c>
      <x:c r="E939" t="str">
        <x:v>Low</x:v>
      </x:c>
      <x:c r="F939" t="str">
        <x:v>School</x:v>
      </x:c>
      <x:c r="G939" t="str">
        <x:v>RC Frame</x:v>
      </x:c>
      <x:c r="H939" t="str">
        <x:v>Raft</x:v>
      </x:c>
      <x:c r="I939" t="str">
        <x:v>Soft Clay</x:v>
      </x:c>
      <x:c r="J939" t="str">
        <x:v>Low</x:v>
      </x:c>
      <x:c r="K939" t="n">
        <x:v>12426000</x:v>
      </x:c>
      <x:c r="L939" t="n">
        <x:v>210</x:v>
      </x:c>
      <x:c r="M939" t="n">
        <x:v>195.6</x:v>
      </x:c>
      <x:c r="N939" t="n">
        <x:v>19.6</x:v>
      </x:c>
      <x:c r="O939" t="n">
        <x:v>57.5</x:v>
      </x:c>
      <x:c r="P939" t="str">
        <x:v>Cloudy</x:v>
      </x:c>
      <x:c r="Q939" t="n">
        <x:v>68</x:v>
      </x:c>
      <x:c r="R939" t="n">
        <x:v>63.5</x:v>
      </x:c>
      <x:c r="S939" t="n">
        <x:v>0.082</x:v>
      </x:c>
      <x:c r="T939" t="n">
        <x:v>13.4</x:v>
      </x:c>
      <x:c r="U939" t="n">
        <x:v>2533.3</x:v>
      </x:c>
      <x:c r="V939" t="n">
        <x:v>1635</x:v>
      </x:c>
      <x:c r="W939" t="n">
        <x:v>27.6</x:v>
      </x:c>
    </x:row>
    <x:row r="940">
      <x:c r="A940" t="str">
        <x:v>PJT_939</x:v>
      </x:c>
      <x:c r="B940" t="str">
        <x:v>Humid Subtropical</x:v>
      </x:c>
      <x:c r="C940" t="n">
        <x:v>17760</x:v>
      </x:c>
      <x:c r="D940" t="n">
        <x:v>9</x:v>
      </x:c>
      <x:c r="E940" t="str">
        <x:v>Medium</x:v>
      </x:c>
      <x:c r="F940" t="str">
        <x:v>Hospital</x:v>
      </x:c>
      <x:c r="G940" t="str">
        <x:v>Steel</x:v>
      </x:c>
      <x:c r="H940" t="str">
        <x:v>Raft</x:v>
      </x:c>
      <x:c r="I940" t="str">
        <x:v>Mixed</x:v>
      </x:c>
      <x:c r="J940" t="str">
        <x:v>Low</x:v>
      </x:c>
      <x:c r="K940" t="n">
        <x:v>55357920</x:v>
      </x:c>
      <x:c r="L940" t="n">
        <x:v>879</x:v>
      </x:c>
      <x:c r="M940" t="n">
        <x:v>308.3</x:v>
      </x:c>
      <x:c r="N940" t="n">
        <x:v>21.6</x:v>
      </x:c>
      <x:c r="O940" t="n">
        <x:v>73.7</x:v>
      </x:c>
      <x:c r="P940" t="str">
        <x:v>Cloudy</x:v>
      </x:c>
      <x:c r="Q940" t="n">
        <x:v>103</x:v>
      </x:c>
      <x:c r="R940" t="n">
        <x:v>83.1</x:v>
      </x:c>
      <x:c r="S940" t="n">
        <x:v>0.1122</x:v>
      </x:c>
      <x:c r="T940" t="n">
        <x:v>21.8</x:v>
      </x:c>
      <x:c r="U940" t="n">
        <x:v>1973.3</x:v>
      </x:c>
      <x:c r="V940" t="n">
        <x:v>3117</x:v>
      </x:c>
      <x:c r="W940" t="n">
        <x:v>49.5</x:v>
      </x:c>
    </x:row>
    <x:row r="941">
      <x:c r="A941" t="str">
        <x:v>PJT_940</x:v>
      </x:c>
      <x:c r="B941" t="str">
        <x:v>Mediterranean</x:v>
      </x:c>
      <x:c r="C941" t="n">
        <x:v>7930</x:v>
      </x:c>
      <x:c r="D941" t="n">
        <x:v>8</x:v>
      </x:c>
      <x:c r="E941" t="str">
        <x:v>Medium</x:v>
      </x:c>
      <x:c r="F941" t="str">
        <x:v>Commercial</x:v>
      </x:c>
      <x:c r="G941" t="str">
        <x:v>Steel</x:v>
      </x:c>
      <x:c r="H941" t="str">
        <x:v>Raft</x:v>
      </x:c>
      <x:c r="I941" t="str">
        <x:v>Sand</x:v>
      </x:c>
      <x:c r="J941" t="str">
        <x:v>High</x:v>
      </x:c>
      <x:c r="K941" t="n">
        <x:v>19047860</x:v>
      </x:c>
      <x:c r="L941" t="n">
        <x:v>364</x:v>
      </x:c>
      <x:c r="M941" t="n">
        <x:v>216</x:v>
      </x:c>
      <x:c r="N941" t="n">
        <x:v>14.5</x:v>
      </x:c>
      <x:c r="O941" t="n">
        <x:v>72</x:v>
      </x:c>
      <x:c r="P941" t="str">
        <x:v>Rainy</x:v>
      </x:c>
      <x:c r="Q941" t="n">
        <x:v>74</x:v>
      </x:c>
      <x:c r="R941" t="n">
        <x:v>72.6</x:v>
      </x:c>
      <x:c r="S941" t="n">
        <x:v>0.1001</x:v>
      </x:c>
      <x:c r="T941" t="n">
        <x:v>16.8</x:v>
      </x:c>
      <x:c r="U941" t="n">
        <x:v>991.2</x:v>
      </x:c>
      <x:c r="V941" t="n">
        <x:v>2402</x:v>
      </x:c>
      <x:c r="W941" t="n">
        <x:v>45.9</x:v>
      </x:c>
    </x:row>
    <x:row r="942">
      <x:c r="A942" t="str">
        <x:v>PJT_941</x:v>
      </x:c>
      <x:c r="B942" t="str">
        <x:v>Marine</x:v>
      </x:c>
      <x:c r="C942" t="n">
        <x:v>27540</x:v>
      </x:c>
      <x:c r="D942" t="n">
        <x:v>15</x:v>
      </x:c>
      <x:c r="E942" t="str">
        <x:v>Medium</x:v>
      </x:c>
      <x:c r="F942" t="str">
        <x:v>Commercial</x:v>
      </x:c>
      <x:c r="G942" t="str">
        <x:v>Steel</x:v>
      </x:c>
      <x:c r="H942" t="str">
        <x:v>Piles</x:v>
      </x:c>
      <x:c r="I942" t="str">
        <x:v>Soft Clay</x:v>
      </x:c>
      <x:c r="J942" t="str">
        <x:v>Medium</x:v>
      </x:c>
      <x:c r="K942" t="n">
        <x:v>66509100</x:v>
      </x:c>
      <x:c r="L942" t="n">
        <x:v>1226</x:v>
      </x:c>
      <x:c r="M942" t="n">
        <x:v>225.9</x:v>
      </x:c>
      <x:c r="N942" t="n">
        <x:v>19.9</x:v>
      </x:c>
      <x:c r="O942" t="n">
        <x:v>69.5</x:v>
      </x:c>
      <x:c r="P942" t="str">
        <x:v>Cloudy</x:v>
      </x:c>
      <x:c r="Q942" t="n">
        <x:v>74</x:v>
      </x:c>
      <x:c r="R942" t="n">
        <x:v>77.4</x:v>
      </x:c>
      <x:c r="S942" t="n">
        <x:v>0.0993</x:v>
      </x:c>
      <x:c r="T942" t="n">
        <x:v>17.5</x:v>
      </x:c>
      <x:c r="U942" t="n">
        <x:v>1836</x:v>
      </x:c>
      <x:c r="V942" t="n">
        <x:v>2415</x:v>
      </x:c>
      <x:c r="W942" t="n">
        <x:v>44.5</x:v>
      </x:c>
    </x:row>
    <x:row r="943">
      <x:c r="A943" t="str">
        <x:v>PJT_942</x:v>
      </x:c>
      <x:c r="B943" t="str">
        <x:v>Continental</x:v>
      </x:c>
      <x:c r="C943" t="n">
        <x:v>12590</x:v>
      </x:c>
      <x:c r="D943" t="n">
        <x:v>11</x:v>
      </x:c>
      <x:c r="E943" t="str">
        <x:v>Medium</x:v>
      </x:c>
      <x:c r="F943" t="str">
        <x:v>Mixed-use</x:v>
      </x:c>
      <x:c r="G943" t="str">
        <x:v>Steel</x:v>
      </x:c>
      <x:c r="H943" t="str">
        <x:v>Raft</x:v>
      </x:c>
      <x:c r="I943" t="str">
        <x:v>Rock</x:v>
      </x:c>
      <x:c r="J943" t="str">
        <x:v>Medium</x:v>
      </x:c>
      <x:c r="K943" t="n">
        <x:v>30908450</x:v>
      </x:c>
      <x:c r="L943" t="n">
        <x:v>554</x:v>
      </x:c>
      <x:c r="M943" t="n">
        <x:v>751.7</x:v>
      </x:c>
      <x:c r="N943" t="n">
        <x:v>17.9</x:v>
      </x:c>
      <x:c r="O943" t="n">
        <x:v>42.5</x:v>
      </x:c>
      <x:c r="P943" t="str">
        <x:v>Sunny</x:v>
      </x:c>
      <x:c r="Q943" t="n">
        <x:v>78</x:v>
      </x:c>
      <x:c r="R943" t="n">
        <x:v>82</x:v>
      </x:c>
      <x:c r="S943" t="n">
        <x:v>0.1025</x:v>
      </x:c>
      <x:c r="T943" t="n">
        <x:v>18.2</x:v>
      </x:c>
      <x:c r="U943" t="n">
        <x:v>1144.5</x:v>
      </x:c>
      <x:c r="V943" t="n">
        <x:v>2455</x:v>
      </x:c>
      <x:c r="W943" t="n">
        <x:v>44</x:v>
      </x:c>
    </x:row>
    <x:row r="944">
      <x:c r="A944" t="str">
        <x:v>PJT_943</x:v>
      </x:c>
      <x:c r="B944" t="str">
        <x:v>Continental</x:v>
      </x:c>
      <x:c r="C944" t="n">
        <x:v>17640</x:v>
      </x:c>
      <x:c r="D944" t="n">
        <x:v>21</x:v>
      </x:c>
      <x:c r="E944" t="str">
        <x:v>Medium</x:v>
      </x:c>
      <x:c r="F944" t="str">
        <x:v>Residential</x:v>
      </x:c>
      <x:c r="G944" t="str">
        <x:v>Shear Wall</x:v>
      </x:c>
      <x:c r="H944" t="str">
        <x:v>Piles</x:v>
      </x:c>
      <x:c r="I944" t="str">
        <x:v>Mixed</x:v>
      </x:c>
      <x:c r="J944" t="str">
        <x:v>Medium</x:v>
      </x:c>
      <x:c r="K944" t="n">
        <x:v>28594440</x:v>
      </x:c>
      <x:c r="L944" t="n">
        <x:v>683</x:v>
      </x:c>
      <x:c r="M944" t="n">
        <x:v>415.3</x:v>
      </x:c>
      <x:c r="N944" t="n">
        <x:v>16</x:v>
      </x:c>
      <x:c r="O944" t="n">
        <x:v>57.8</x:v>
      </x:c>
      <x:c r="P944" t="str">
        <x:v>Cloudy</x:v>
      </x:c>
      <x:c r="Q944" t="n">
        <x:v>73</x:v>
      </x:c>
      <x:c r="R944" t="n">
        <x:v>71.2</x:v>
      </x:c>
      <x:c r="S944" t="n">
        <x:v>0.0829</x:v>
      </x:c>
      <x:c r="T944" t="n">
        <x:v>13.4</x:v>
      </x:c>
      <x:c r="U944" t="n">
        <x:v>840</x:v>
      </x:c>
      <x:c r="V944" t="n">
        <x:v>1621</x:v>
      </x:c>
      <x:c r="W944" t="n">
        <x:v>38.7</x:v>
      </x:c>
    </x:row>
    <x:row r="945">
      <x:c r="A945" t="str">
        <x:v>PJT_944</x:v>
      </x:c>
      <x:c r="B945" t="str">
        <x:v>Humid Subtropical</x:v>
      </x:c>
      <x:c r="C945" t="n">
        <x:v>23650</x:v>
      </x:c>
      <x:c r="D945" t="n">
        <x:v>24</x:v>
      </x:c>
      <x:c r="E945" t="str">
        <x:v>High</x:v>
      </x:c>
      <x:c r="F945" t="str">
        <x:v>Mixed-use</x:v>
      </x:c>
      <x:c r="G945" t="str">
        <x:v>Steel</x:v>
      </x:c>
      <x:c r="H945" t="str">
        <x:v>Piles</x:v>
      </x:c>
      <x:c r="I945" t="str">
        <x:v>Soft Clay</x:v>
      </x:c>
      <x:c r="J945" t="str">
        <x:v>High</x:v>
      </x:c>
      <x:c r="K945" t="n">
        <x:v>72510900</x:v>
      </x:c>
      <x:c r="L945" t="n">
        <x:v>1268</x:v>
      </x:c>
      <x:c r="M945" t="n">
        <x:v>196.6</x:v>
      </x:c>
      <x:c r="N945" t="n">
        <x:v>33.6</x:v>
      </x:c>
      <x:c r="O945" t="n">
        <x:v>56.4</x:v>
      </x:c>
      <x:c r="P945" t="str">
        <x:v>Sunny</x:v>
      </x:c>
      <x:c r="Q945" t="n">
        <x:v>105</x:v>
      </x:c>
      <x:c r="R945" t="n">
        <x:v>84.8</x:v>
      </x:c>
      <x:c r="S945" t="n">
        <x:v>0.1035</x:v>
      </x:c>
      <x:c r="T945" t="n">
        <x:v>21.1</x:v>
      </x:c>
      <x:c r="U945" t="n">
        <x:v>985.4</x:v>
      </x:c>
      <x:c r="V945" t="n">
        <x:v>3066</x:v>
      </x:c>
      <x:c r="W945" t="n">
        <x:v>53.6</x:v>
      </x:c>
    </x:row>
    <x:row r="946">
      <x:c r="A946" t="str">
        <x:v>PJT_945</x:v>
      </x:c>
      <x:c r="B946" t="str">
        <x:v>Humid Subtropical</x:v>
      </x:c>
      <x:c r="C946" t="n">
        <x:v>15410</x:v>
      </x:c>
      <x:c r="D946" t="n">
        <x:v>14</x:v>
      </x:c>
      <x:c r="E946" t="str">
        <x:v>Medium</x:v>
      </x:c>
      <x:c r="F946" t="str">
        <x:v>Mixed-use</x:v>
      </x:c>
      <x:c r="G946" t="str">
        <x:v>Shear Wall</x:v>
      </x:c>
      <x:c r="H946" t="str">
        <x:v>Raft</x:v>
      </x:c>
      <x:c r="I946" t="str">
        <x:v>Rock</x:v>
      </x:c>
      <x:c r="J946" t="str">
        <x:v>Medium</x:v>
      </x:c>
      <x:c r="K946" t="n">
        <x:v>38139750</x:v>
      </x:c>
      <x:c r="L946" t="n">
        <x:v>767</x:v>
      </x:c>
      <x:c r="M946" t="n">
        <x:v>628.2</x:v>
      </x:c>
      <x:c r="N946" t="n">
        <x:v>26.1</x:v>
      </x:c>
      <x:c r="O946" t="n">
        <x:v>83.3</x:v>
      </x:c>
      <x:c r="P946" t="str">
        <x:v>Rainy</x:v>
      </x:c>
      <x:c r="Q946" t="n">
        <x:v>99</x:v>
      </x:c>
      <x:c r="R946" t="n">
        <x:v>81.8</x:v>
      </x:c>
      <x:c r="S946" t="n">
        <x:v>0.0999</x:v>
      </x:c>
      <x:c r="T946" t="n">
        <x:v>18.4</x:v>
      </x:c>
      <x:c r="U946" t="n">
        <x:v>1100.7</x:v>
      </x:c>
      <x:c r="V946" t="n">
        <x:v>2475</x:v>
      </x:c>
      <x:c r="W946" t="n">
        <x:v>49.8</x:v>
      </x:c>
    </x:row>
    <x:row r="947">
      <x:c r="A947" t="str">
        <x:v>PJT_946</x:v>
      </x:c>
      <x:c r="B947" t="str">
        <x:v>Continental</x:v>
      </x:c>
      <x:c r="C947" t="n">
        <x:v>12020</x:v>
      </x:c>
      <x:c r="D947" t="n">
        <x:v>7</x:v>
      </x:c>
      <x:c r="E947" t="str">
        <x:v>Low</x:v>
      </x:c>
      <x:c r="F947" t="str">
        <x:v>Commercial</x:v>
      </x:c>
      <x:c r="G947" t="str">
        <x:v>RC Frame</x:v>
      </x:c>
      <x:c r="H947" t="str">
        <x:v>Raft</x:v>
      </x:c>
      <x:c r="I947" t="str">
        <x:v>Soft Clay</x:v>
      </x:c>
      <x:c r="J947" t="str">
        <x:v>Medium</x:v>
      </x:c>
      <x:c r="K947" t="n">
        <x:v>25217960</x:v>
      </x:c>
      <x:c r="L947" t="n">
        <x:v>486</x:v>
      </x:c>
      <x:c r="M947" t="n">
        <x:v>157.7</x:v>
      </x:c>
      <x:c r="N947" t="n">
        <x:v>-6.3</x:v>
      </x:c>
      <x:c r="O947" t="n">
        <x:v>66.8</x:v>
      </x:c>
      <x:c r="P947" t="str">
        <x:v>Snowy</x:v>
      </x:c>
      <x:c r="Q947" t="n">
        <x:v>96</x:v>
      </x:c>
      <x:c r="R947" t="n">
        <x:v>68.8</x:v>
      </x:c>
      <x:c r="S947" t="n">
        <x:v>0.0843</x:v>
      </x:c>
      <x:c r="T947" t="n">
        <x:v>15</x:v>
      </x:c>
      <x:c r="U947" t="n">
        <x:v>1717.1</x:v>
      </x:c>
      <x:c r="V947" t="n">
        <x:v>2098</x:v>
      </x:c>
      <x:c r="W947" t="n">
        <x:v>40.4</x:v>
      </x:c>
    </x:row>
    <x:row r="948">
      <x:c r="A948" t="str">
        <x:v>PJT_947</x:v>
      </x:c>
      <x:c r="B948" t="str">
        <x:v>Continental</x:v>
      </x:c>
      <x:c r="C948" t="n">
        <x:v>27690</x:v>
      </x:c>
      <x:c r="D948" t="n">
        <x:v>21</x:v>
      </x:c>
      <x:c r="E948" t="str">
        <x:v>High</x:v>
      </x:c>
      <x:c r="F948" t="str">
        <x:v>Mixed-use</x:v>
      </x:c>
      <x:c r="G948" t="str">
        <x:v>Steel</x:v>
      </x:c>
      <x:c r="H948" t="str">
        <x:v>Piles</x:v>
      </x:c>
      <x:c r="I948" t="str">
        <x:v>Mixed</x:v>
      </x:c>
      <x:c r="J948" t="str">
        <x:v>High</x:v>
      </x:c>
      <x:c r="K948" t="n">
        <x:v>84066840</x:v>
      </x:c>
      <x:c r="L948" t="n">
        <x:v>1484</x:v>
      </x:c>
      <x:c r="M948" t="n">
        <x:v>383.3</x:v>
      </x:c>
      <x:c r="N948" t="n">
        <x:v>17</x:v>
      </x:c>
      <x:c r="O948" t="n">
        <x:v>56.7</x:v>
      </x:c>
      <x:c r="P948" t="str">
        <x:v>Sunny</x:v>
      </x:c>
      <x:c r="Q948" t="n">
        <x:v>68</x:v>
      </x:c>
      <x:c r="R948" t="n">
        <x:v>90.3</x:v>
      </x:c>
      <x:c r="S948" t="n">
        <x:v>0.1085</x:v>
      </x:c>
      <x:c r="T948" t="n">
        <x:v>19.9</x:v>
      </x:c>
      <x:c r="U948" t="n">
        <x:v>1318.6</x:v>
      </x:c>
      <x:c r="V948" t="n">
        <x:v>3036</x:v>
      </x:c>
      <x:c r="W948" t="n">
        <x:v>53.6</x:v>
      </x:c>
    </x:row>
    <x:row r="949">
      <x:c r="A949" t="str">
        <x:v>PJT_948</x:v>
      </x:c>
      <x:c r="B949" t="str">
        <x:v>Mediterranean</x:v>
      </x:c>
      <x:c r="C949" t="n">
        <x:v>28880</x:v>
      </x:c>
      <x:c r="D949" t="n">
        <x:v>21</x:v>
      </x:c>
      <x:c r="E949" t="str">
        <x:v>Medium</x:v>
      </x:c>
      <x:c r="F949" t="str">
        <x:v>Commercial</x:v>
      </x:c>
      <x:c r="G949" t="str">
        <x:v>Steel</x:v>
      </x:c>
      <x:c r="H949" t="str">
        <x:v>Piles</x:v>
      </x:c>
      <x:c r="I949" t="str">
        <x:v>Soft Clay</x:v>
      </x:c>
      <x:c r="J949" t="str">
        <x:v>High</x:v>
      </x:c>
      <x:c r="K949" t="n">
        <x:v>76763040</x:v>
      </x:c>
      <x:c r="L949" t="n">
        <x:v>1510</x:v>
      </x:c>
      <x:c r="M949" t="n">
        <x:v>158.3</x:v>
      </x:c>
      <x:c r="N949" t="n">
        <x:v>16.5</x:v>
      </x:c>
      <x:c r="O949" t="n">
        <x:v>82.7</x:v>
      </x:c>
      <x:c r="P949" t="str">
        <x:v>Stormy</x:v>
      </x:c>
      <x:c r="Q949" t="n">
        <x:v>74</x:v>
      </x:c>
      <x:c r="R949" t="n">
        <x:v>78.3</x:v>
      </x:c>
      <x:c r="S949" t="n">
        <x:v>0.0983</x:v>
      </x:c>
      <x:c r="T949" t="n">
        <x:v>18.1</x:v>
      </x:c>
      <x:c r="U949" t="n">
        <x:v>1375.2</x:v>
      </x:c>
      <x:c r="V949" t="n">
        <x:v>2658</x:v>
      </x:c>
      <x:c r="W949" t="n">
        <x:v>52.3</x:v>
      </x:c>
    </x:row>
    <x:row r="950">
      <x:c r="A950" t="str">
        <x:v>PJT_949</x:v>
      </x:c>
      <x:c r="B950" t="str">
        <x:v>Continental</x:v>
      </x:c>
      <x:c r="C950" t="n">
        <x:v>14620</x:v>
      </x:c>
      <x:c r="D950" t="n">
        <x:v>13</x:v>
      </x:c>
      <x:c r="E950" t="str">
        <x:v>Medium</x:v>
      </x:c>
      <x:c r="F950" t="str">
        <x:v>Mixed-use</x:v>
      </x:c>
      <x:c r="G950" t="str">
        <x:v>Steel</x:v>
      </x:c>
      <x:c r="H950" t="str">
        <x:v>Raft</x:v>
      </x:c>
      <x:c r="I950" t="str">
        <x:v>Mixed</x:v>
      </x:c>
      <x:c r="J950" t="str">
        <x:v>Medium</x:v>
      </x:c>
      <x:c r="K950" t="n">
        <x:v>36096780</x:v>
      </x:c>
      <x:c r="L950" t="n">
        <x:v>734</x:v>
      </x:c>
      <x:c r="M950" t="n">
        <x:v>347.8</x:v>
      </x:c>
      <x:c r="N950" t="n">
        <x:v>8.1</x:v>
      </x:c>
      <x:c r="O950" t="n">
        <x:v>85.4</x:v>
      </x:c>
      <x:c r="P950" t="str">
        <x:v>Rainy</x:v>
      </x:c>
      <x:c r="Q950" t="n">
        <x:v>93</x:v>
      </x:c>
      <x:c r="R950" t="n">
        <x:v>75.8</x:v>
      </x:c>
      <x:c r="S950" t="n">
        <x:v>0.1012</x:v>
      </x:c>
      <x:c r="T950" t="n">
        <x:v>19.1</x:v>
      </x:c>
      <x:c r="U950" t="n">
        <x:v>1124.6</x:v>
      </x:c>
      <x:c r="V950" t="n">
        <x:v>2469</x:v>
      </x:c>
      <x:c r="W950" t="n">
        <x:v>50.2</x:v>
      </x:c>
    </x:row>
    <x:row r="951">
      <x:c r="A951" t="str">
        <x:v>PJT_950</x:v>
      </x:c>
      <x:c r="B951" t="str">
        <x:v>Humid Subtropical</x:v>
      </x:c>
      <x:c r="C951" t="n">
        <x:v>9160</x:v>
      </x:c>
      <x:c r="D951" t="n">
        <x:v>12</x:v>
      </x:c>
      <x:c r="E951" t="str">
        <x:v>Low</x:v>
      </x:c>
      <x:c r="F951" t="str">
        <x:v>Residential</x:v>
      </x:c>
      <x:c r="G951" t="str">
        <x:v>RC Frame</x:v>
      </x:c>
      <x:c r="H951" t="str">
        <x:v>Piles</x:v>
      </x:c>
      <x:c r="I951" t="str">
        <x:v>Soft Clay</x:v>
      </x:c>
      <x:c r="J951" t="str">
        <x:v>Low</x:v>
      </x:c>
      <x:c r="K951" t="n">
        <x:v>12741560</x:v>
      </x:c>
      <x:c r="L951" t="n">
        <x:v>291</x:v>
      </x:c>
      <x:c r="M951" t="n">
        <x:v>175.1</x:v>
      </x:c>
      <x:c r="N951" t="n">
        <x:v>33.4</x:v>
      </x:c>
      <x:c r="O951" t="n">
        <x:v>63</x:v>
      </x:c>
      <x:c r="P951" t="str">
        <x:v>Sunny</x:v>
      </x:c>
      <x:c r="Q951" t="n">
        <x:v>74</x:v>
      </x:c>
      <x:c r="R951" t="n">
        <x:v>64.2</x:v>
      </x:c>
      <x:c r="S951" t="n">
        <x:v>0.0738</x:v>
      </x:c>
      <x:c r="T951" t="n">
        <x:v>12.7</x:v>
      </x:c>
      <x:c r="U951" t="n">
        <x:v>763.3</x:v>
      </x:c>
      <x:c r="V951" t="n">
        <x:v>1391</x:v>
      </x:c>
      <x:c r="W951" t="n">
        <x:v>31.8</x:v>
      </x:c>
    </x:row>
    <x:row r="952">
      <x:c r="A952" t="str">
        <x:v>PJT_951</x:v>
      </x:c>
      <x:c r="B952" t="str">
        <x:v>Marine</x:v>
      </x:c>
      <x:c r="C952" t="n">
        <x:v>10730</x:v>
      </x:c>
      <x:c r="D952" t="n">
        <x:v>9</x:v>
      </x:c>
      <x:c r="E952" t="str">
        <x:v>Medium</x:v>
      </x:c>
      <x:c r="F952" t="str">
        <x:v>Commercial</x:v>
      </x:c>
      <x:c r="G952" t="str">
        <x:v>RC Frame</x:v>
      </x:c>
      <x:c r="H952" t="str">
        <x:v>Piles</x:v>
      </x:c>
      <x:c r="I952" t="str">
        <x:v>Soft Clay</x:v>
      </x:c>
      <x:c r="J952" t="str">
        <x:v>Medium</x:v>
      </x:c>
      <x:c r="K952" t="n">
        <x:v>24228340</x:v>
      </x:c>
      <x:c r="L952" t="n">
        <x:v>422</x:v>
      </x:c>
      <x:c r="M952" t="n">
        <x:v>197.7</x:v>
      </x:c>
      <x:c r="N952" t="n">
        <x:v>19.7</x:v>
      </x:c>
      <x:c r="O952" t="n">
        <x:v>60.1</x:v>
      </x:c>
      <x:c r="P952" t="str">
        <x:v>Sunny</x:v>
      </x:c>
      <x:c r="Q952" t="n">
        <x:v>72</x:v>
      </x:c>
      <x:c r="R952" t="n">
        <x:v>72</x:v>
      </x:c>
      <x:c r="S952" t="n">
        <x:v>0.0931</x:v>
      </x:c>
      <x:c r="T952" t="n">
        <x:v>16</x:v>
      </x:c>
      <x:c r="U952" t="n">
        <x:v>1192.2</x:v>
      </x:c>
      <x:c r="V952" t="n">
        <x:v>2258</x:v>
      </x:c>
      <x:c r="W952" t="n">
        <x:v>39.3</x:v>
      </x:c>
    </x:row>
    <x:row r="953">
      <x:c r="A953" t="str">
        <x:v>PJT_952</x:v>
      </x:c>
      <x:c r="B953" t="str">
        <x:v>Continental</x:v>
      </x:c>
      <x:c r="C953" t="n">
        <x:v>19110</x:v>
      </x:c>
      <x:c r="D953" t="n">
        <x:v>16</x:v>
      </x:c>
      <x:c r="E953" t="str">
        <x:v>Medium</x:v>
      </x:c>
      <x:c r="F953" t="str">
        <x:v>Mixed-use</x:v>
      </x:c>
      <x:c r="G953" t="str">
        <x:v>Steel</x:v>
      </x:c>
      <x:c r="H953" t="str">
        <x:v>Piles</x:v>
      </x:c>
      <x:c r="I953" t="str">
        <x:v>Mixed</x:v>
      </x:c>
      <x:c r="J953" t="str">
        <x:v>Low</x:v>
      </x:c>
      <x:c r="K953" t="n">
        <x:v>49781550</x:v>
      </x:c>
      <x:c r="L953" t="n">
        <x:v>1032</x:v>
      </x:c>
      <x:c r="M953" t="n">
        <x:v>372</x:v>
      </x:c>
      <x:c r="N953" t="n">
        <x:v>14.5</x:v>
      </x:c>
      <x:c r="O953" t="n">
        <x:v>68.8</x:v>
      </x:c>
      <x:c r="P953" t="str">
        <x:v>Stormy</x:v>
      </x:c>
      <x:c r="Q953" t="n">
        <x:v>82</x:v>
      </x:c>
      <x:c r="R953" t="n">
        <x:v>83</x:v>
      </x:c>
      <x:c r="S953" t="n">
        <x:v>0.1018</x:v>
      </x:c>
      <x:c r="T953" t="n">
        <x:v>18.6</x:v>
      </x:c>
      <x:c r="U953" t="n">
        <x:v>1194.4</x:v>
      </x:c>
      <x:c r="V953" t="n">
        <x:v>2605</x:v>
      </x:c>
      <x:c r="W953" t="n">
        <x:v>54</x:v>
      </x:c>
    </x:row>
    <x:row r="954">
      <x:c r="A954" t="str">
        <x:v>PJT_953</x:v>
      </x:c>
      <x:c r="B954" t="str">
        <x:v>Continental</x:v>
      </x:c>
      <x:c r="C954" t="n">
        <x:v>13210</x:v>
      </x:c>
      <x:c r="D954" t="n">
        <x:v>20</x:v>
      </x:c>
      <x:c r="E954" t="str">
        <x:v>Medium</x:v>
      </x:c>
      <x:c r="F954" t="str">
        <x:v>Residential</x:v>
      </x:c>
      <x:c r="G954" t="str">
        <x:v>Shear Wall</x:v>
      </x:c>
      <x:c r="H954" t="str">
        <x:v>Piles</x:v>
      </x:c>
      <x:c r="I954" t="str">
        <x:v>Rock</x:v>
      </x:c>
      <x:c r="J954" t="str">
        <x:v>High</x:v>
      </x:c>
      <x:c r="K954" t="n">
        <x:v>23764790</x:v>
      </x:c>
      <x:c r="L954" t="n">
        <x:v>528</x:v>
      </x:c>
      <x:c r="M954" t="n">
        <x:v>720.4</x:v>
      </x:c>
      <x:c r="N954" t="n">
        <x:v>18</x:v>
      </x:c>
      <x:c r="O954" t="n">
        <x:v>60.9</x:v>
      </x:c>
      <x:c r="P954" t="str">
        <x:v>Sunny</x:v>
      </x:c>
      <x:c r="Q954" t="n">
        <x:v>76</x:v>
      </x:c>
      <x:c r="R954" t="n">
        <x:v>77.5</x:v>
      </x:c>
      <x:c r="S954" t="n">
        <x:v>0.081</x:v>
      </x:c>
      <x:c r="T954" t="n">
        <x:v>14.4</x:v>
      </x:c>
      <x:c r="U954" t="n">
        <x:v>660.5</x:v>
      </x:c>
      <x:c r="V954" t="n">
        <x:v>1799</x:v>
      </x:c>
      <x:c r="W954" t="n">
        <x:v>40</x:v>
      </x:c>
    </x:row>
    <x:row r="955">
      <x:c r="A955" t="str">
        <x:v>PJT_954</x:v>
      </x:c>
      <x:c r="B955" t="str">
        <x:v>Marine</x:v>
      </x:c>
      <x:c r="C955" t="n">
        <x:v>15500</x:v>
      </x:c>
      <x:c r="D955" t="n">
        <x:v>15</x:v>
      </x:c>
      <x:c r="E955" t="str">
        <x:v>High</x:v>
      </x:c>
      <x:c r="F955" t="str">
        <x:v>Mixed-use</x:v>
      </x:c>
      <x:c r="G955" t="str">
        <x:v>Steel</x:v>
      </x:c>
      <x:c r="H955" t="str">
        <x:v>Piles</x:v>
      </x:c>
      <x:c r="I955" t="str">
        <x:v>Soft Clay</x:v>
      </x:c>
      <x:c r="J955" t="str">
        <x:v>Medium</x:v>
      </x:c>
      <x:c r="K955" t="n">
        <x:v>43586000</x:v>
      </x:c>
      <x:c r="L955" t="n">
        <x:v>866</x:v>
      </x:c>
      <x:c r="M955" t="n">
        <x:v>199.1</x:v>
      </x:c>
      <x:c r="N955" t="n">
        <x:v>8.3</x:v>
      </x:c>
      <x:c r="O955" t="n">
        <x:v>88</x:v>
      </x:c>
      <x:c r="P955" t="str">
        <x:v>Rainy</x:v>
      </x:c>
      <x:c r="Q955" t="n">
        <x:v>106</x:v>
      </x:c>
      <x:c r="R955" t="n">
        <x:v>81</x:v>
      </x:c>
      <x:c r="S955" t="n">
        <x:v>0.1075</x:v>
      </x:c>
      <x:c r="T955" t="n">
        <x:v>21.3</x:v>
      </x:c>
      <x:c r="U955" t="n">
        <x:v>1033.3</x:v>
      </x:c>
      <x:c r="V955" t="n">
        <x:v>2812</x:v>
      </x:c>
      <x:c r="W955" t="n">
        <x:v>55.9</x:v>
      </x:c>
    </x:row>
    <x:row r="956">
      <x:c r="A956" t="str">
        <x:v>PJT_955</x:v>
      </x:c>
      <x:c r="B956" t="str">
        <x:v>Continental</x:v>
      </x:c>
      <x:c r="C956" t="n">
        <x:v>23010</x:v>
      </x:c>
      <x:c r="D956" t="n">
        <x:v>17</x:v>
      </x:c>
      <x:c r="E956" t="str">
        <x:v>High</x:v>
      </x:c>
      <x:c r="F956" t="str">
        <x:v>Mixed-use</x:v>
      </x:c>
      <x:c r="G956" t="str">
        <x:v>Steel</x:v>
      </x:c>
      <x:c r="H956" t="str">
        <x:v>Piles</x:v>
      </x:c>
      <x:c r="I956" t="str">
        <x:v>Soft Clay</x:v>
      </x:c>
      <x:c r="J956" t="str">
        <x:v>High</x:v>
      </x:c>
      <x:c r="K956" t="n">
        <x:v>69674280</x:v>
      </x:c>
      <x:c r="L956" t="n">
        <x:v>1268</x:v>
      </x:c>
      <x:c r="M956" t="n">
        <x:v>169.4</x:v>
      </x:c>
      <x:c r="N956" t="n">
        <x:v>15.2</x:v>
      </x:c>
      <x:c r="O956" t="n">
        <x:v>72.5</x:v>
      </x:c>
      <x:c r="P956" t="str">
        <x:v>Rainy</x:v>
      </x:c>
      <x:c r="Q956" t="n">
        <x:v>86</x:v>
      </x:c>
      <x:c r="R956" t="n">
        <x:v>89.9</x:v>
      </x:c>
      <x:c r="S956" t="n">
        <x:v>0.1073</x:v>
      </x:c>
      <x:c r="T956" t="n">
        <x:v>20.2</x:v>
      </x:c>
      <x:c r="U956" t="n">
        <x:v>1353.5</x:v>
      </x:c>
      <x:c r="V956" t="n">
        <x:v>3028</x:v>
      </x:c>
      <x:c r="W956" t="n">
        <x:v>55.1</x:v>
      </x:c>
    </x:row>
    <x:row r="957">
      <x:c r="A957" t="str">
        <x:v>PJT_956</x:v>
      </x:c>
      <x:c r="B957" t="str">
        <x:v>Continental</x:v>
      </x:c>
      <x:c r="C957" t="n">
        <x:v>11490</x:v>
      </x:c>
      <x:c r="D957" t="n">
        <x:v>12</x:v>
      </x:c>
      <x:c r="E957" t="str">
        <x:v>Medium</x:v>
      </x:c>
      <x:c r="F957" t="str">
        <x:v>Mixed-use</x:v>
      </x:c>
      <x:c r="G957" t="str">
        <x:v>Shear Wall</x:v>
      </x:c>
      <x:c r="H957" t="str">
        <x:v>Raft</x:v>
      </x:c>
      <x:c r="I957" t="str">
        <x:v>Rock</x:v>
      </x:c>
      <x:c r="J957" t="str">
        <x:v>Medium</x:v>
      </x:c>
      <x:c r="K957" t="n">
        <x:v>28874370</x:v>
      </x:c>
      <x:c r="L957" t="n">
        <x:v>522</x:v>
      </x:c>
      <x:c r="M957" t="n">
        <x:v>596.6</x:v>
      </x:c>
      <x:c r="N957" t="n">
        <x:v>11.9</x:v>
      </x:c>
      <x:c r="O957" t="n">
        <x:v>51.6</x:v>
      </x:c>
      <x:c r="P957" t="str">
        <x:v>Sunny</x:v>
      </x:c>
      <x:c r="Q957" t="n">
        <x:v>79</x:v>
      </x:c>
      <x:c r="R957" t="n">
        <x:v>75.8</x:v>
      </x:c>
      <x:c r="S957" t="n">
        <x:v>0.1031</x:v>
      </x:c>
      <x:c r="T957" t="n">
        <x:v>17.2</x:v>
      </x:c>
      <x:c r="U957" t="n">
        <x:v>957.5</x:v>
      </x:c>
      <x:c r="V957" t="n">
        <x:v>2513</x:v>
      </x:c>
      <x:c r="W957" t="n">
        <x:v>45.4</x:v>
      </x:c>
    </x:row>
    <x:row r="958">
      <x:c r="A958" t="str">
        <x:v>PJT_957</x:v>
      </x:c>
      <x:c r="B958" t="str">
        <x:v>Continental</x:v>
      </x:c>
      <x:c r="C958" t="n">
        <x:v>21420</x:v>
      </x:c>
      <x:c r="D958" t="n">
        <x:v>11</x:v>
      </x:c>
      <x:c r="E958" t="str">
        <x:v>Medium</x:v>
      </x:c>
      <x:c r="F958" t="str">
        <x:v>Commercial</x:v>
      </x:c>
      <x:c r="G958" t="str">
        <x:v>Steel</x:v>
      </x:c>
      <x:c r="H958" t="str">
        <x:v>Piles</x:v>
      </x:c>
      <x:c r="I958" t="str">
        <x:v>Mixed</x:v>
      </x:c>
      <x:c r="J958" t="str">
        <x:v>Low</x:v>
      </x:c>
      <x:c r="K958" t="n">
        <x:v>49672980</x:v>
      </x:c>
      <x:c r="L958" t="n">
        <x:v>1052</x:v>
      </x:c>
      <x:c r="M958" t="n">
        <x:v>371.2</x:v>
      </x:c>
      <x:c r="N958" t="n">
        <x:v>-8.9</x:v>
      </x:c>
      <x:c r="O958" t="n">
        <x:v>80.4</x:v>
      </x:c>
      <x:c r="P958" t="str">
        <x:v>Snowy</x:v>
      </x:c>
      <x:c r="Q958" t="n">
        <x:v>101</x:v>
      </x:c>
      <x:c r="R958" t="n">
        <x:v>71.9</x:v>
      </x:c>
      <x:c r="S958" t="n">
        <x:v>0.0971</x:v>
      </x:c>
      <x:c r="T958" t="n">
        <x:v>17.5</x:v>
      </x:c>
      <x:c r="U958" t="n">
        <x:v>1947.3</x:v>
      </x:c>
      <x:c r="V958" t="n">
        <x:v>2319</x:v>
      </x:c>
      <x:c r="W958" t="n">
        <x:v>49.1</x:v>
      </x:c>
    </x:row>
    <x:row r="959">
      <x:c r="A959" t="str">
        <x:v>PJT_958</x:v>
      </x:c>
      <x:c r="B959" t="str">
        <x:v>Mediterranean</x:v>
      </x:c>
      <x:c r="C959" t="n">
        <x:v>7660</x:v>
      </x:c>
      <x:c r="D959" t="n">
        <x:v>9</x:v>
      </x:c>
      <x:c r="E959" t="str">
        <x:v>Low</x:v>
      </x:c>
      <x:c r="F959" t="str">
        <x:v>Residential</x:v>
      </x:c>
      <x:c r="G959" t="str">
        <x:v>RC Frame</x:v>
      </x:c>
      <x:c r="H959" t="str">
        <x:v>Raft</x:v>
      </x:c>
      <x:c r="I959" t="str">
        <x:v>Rock</x:v>
      </x:c>
      <x:c r="J959" t="str">
        <x:v>Medium</x:v>
      </x:c>
      <x:c r="K959" t="n">
        <x:v>10563140</x:v>
      </x:c>
      <x:c r="L959" t="n">
        <x:v>266</x:v>
      </x:c>
      <x:c r="M959" t="n">
        <x:v>721.7</x:v>
      </x:c>
      <x:c r="N959" t="n">
        <x:v>14.5</x:v>
      </x:c>
      <x:c r="O959" t="n">
        <x:v>82.2</x:v>
      </x:c>
      <x:c r="P959" t="str">
        <x:v>Stormy</x:v>
      </x:c>
      <x:c r="Q959" t="n">
        <x:v>78</x:v>
      </x:c>
      <x:c r="R959" t="n">
        <x:v>69</x:v>
      </x:c>
      <x:c r="S959" t="n">
        <x:v>0.0748</x:v>
      </x:c>
      <x:c r="T959" t="n">
        <x:v>11</x:v>
      </x:c>
      <x:c r="U959" t="n">
        <x:v>851.1</x:v>
      </x:c>
      <x:c r="V959" t="n">
        <x:v>1379</x:v>
      </x:c>
      <x:c r="W959" t="n">
        <x:v>34.7</x:v>
      </x:c>
    </x:row>
    <x:row r="960">
      <x:c r="A960" t="str">
        <x:v>PJT_959</x:v>
      </x:c>
      <x:c r="B960" t="str">
        <x:v>Marine</x:v>
      </x:c>
      <x:c r="C960" t="n">
        <x:v>18130</x:v>
      </x:c>
      <x:c r="D960" t="n">
        <x:v>10</x:v>
      </x:c>
      <x:c r="E960" t="str">
        <x:v>Medium</x:v>
      </x:c>
      <x:c r="F960" t="str">
        <x:v>Hospital</x:v>
      </x:c>
      <x:c r="G960" t="str">
        <x:v>Shear Wall</x:v>
      </x:c>
      <x:c r="H960" t="str">
        <x:v>Raft</x:v>
      </x:c>
      <x:c r="I960" t="str">
        <x:v>Sand</x:v>
      </x:c>
      <x:c r="J960" t="str">
        <x:v>Medium</x:v>
      </x:c>
      <x:c r="K960" t="n">
        <x:v>54734470</x:v>
      </x:c>
      <x:c r="L960" t="n">
        <x:v>863</x:v>
      </x:c>
      <x:c r="M960" t="n">
        <x:v>305.7</x:v>
      </x:c>
      <x:c r="N960" t="n">
        <x:v>8.4</x:v>
      </x:c>
      <x:c r="O960" t="n">
        <x:v>66</x:v>
      </x:c>
      <x:c r="P960" t="str">
        <x:v>Cloudy</x:v>
      </x:c>
      <x:c r="Q960" t="n">
        <x:v>70</x:v>
      </x:c>
      <x:c r="R960" t="n">
        <x:v>76.9</x:v>
      </x:c>
      <x:c r="S960" t="n">
        <x:v>0.1069</x:v>
      </x:c>
      <x:c r="T960" t="n">
        <x:v>21.2</x:v>
      </x:c>
      <x:c r="U960" t="n">
        <x:v>1813</x:v>
      </x:c>
      <x:c r="V960" t="n">
        <x:v>3019</x:v>
      </x:c>
      <x:c r="W960" t="n">
        <x:v>47.6</x:v>
      </x:c>
    </x:row>
    <x:row r="961">
      <x:c r="A961" t="str">
        <x:v>PJT_960</x:v>
      </x:c>
      <x:c r="B961" t="str">
        <x:v>Continental</x:v>
      </x:c>
      <x:c r="C961" t="n">
        <x:v>27680</x:v>
      </x:c>
      <x:c r="D961" t="n">
        <x:v>22</x:v>
      </x:c>
      <x:c r="E961" t="str">
        <x:v>High</x:v>
      </x:c>
      <x:c r="F961" t="str">
        <x:v>Mixed-use</x:v>
      </x:c>
      <x:c r="G961" t="str">
        <x:v>Steel</x:v>
      </x:c>
      <x:c r="H961" t="str">
        <x:v>Piles</x:v>
      </x:c>
      <x:c r="I961" t="str">
        <x:v>Rock</x:v>
      </x:c>
      <x:c r="J961" t="str">
        <x:v>High</x:v>
      </x:c>
      <x:c r="K961" t="n">
        <x:v>82098880</x:v>
      </x:c>
      <x:c r="L961" t="n">
        <x:v>1509</x:v>
      </x:c>
      <x:c r="M961" t="n">
        <x:v>698</x:v>
      </x:c>
      <x:c r="N961" t="n">
        <x:v>21.6</x:v>
      </x:c>
      <x:c r="O961" t="n">
        <x:v>53.7</x:v>
      </x:c>
      <x:c r="P961" t="str">
        <x:v>Sunny</x:v>
      </x:c>
      <x:c r="Q961" t="n">
        <x:v>73</x:v>
      </x:c>
      <x:c r="R961" t="n">
        <x:v>87</x:v>
      </x:c>
      <x:c r="S961" t="n">
        <x:v>0.104</x:v>
      </x:c>
      <x:c r="T961" t="n">
        <x:v>21.3</x:v>
      </x:c>
      <x:c r="U961" t="n">
        <x:v>1258.2</x:v>
      </x:c>
      <x:c r="V961" t="n">
        <x:v>2966</x:v>
      </x:c>
      <x:c r="W961" t="n">
        <x:v>54.5</x:v>
      </x:c>
    </x:row>
    <x:row r="962">
      <x:c r="A962" t="str">
        <x:v>PJT_961</x:v>
      </x:c>
      <x:c r="B962" t="str">
        <x:v>Continental</x:v>
      </x:c>
      <x:c r="C962" t="n">
        <x:v>16390</x:v>
      </x:c>
      <x:c r="D962" t="n">
        <x:v>12</x:v>
      </x:c>
      <x:c r="E962" t="str">
        <x:v>Medium</x:v>
      </x:c>
      <x:c r="F962" t="str">
        <x:v>Mixed-use</x:v>
      </x:c>
      <x:c r="G962" t="str">
        <x:v>Steel</x:v>
      </x:c>
      <x:c r="H962" t="str">
        <x:v>Piles</x:v>
      </x:c>
      <x:c r="I962" t="str">
        <x:v>Sand</x:v>
      </x:c>
      <x:c r="J962" t="str">
        <x:v>Low</x:v>
      </x:c>
      <x:c r="K962" t="n">
        <x:v>42761510</x:v>
      </x:c>
      <x:c r="L962" t="n">
        <x:v>820</x:v>
      </x:c>
      <x:c r="M962" t="n">
        <x:v>267.2</x:v>
      </x:c>
      <x:c r="N962" t="n">
        <x:v>17</x:v>
      </x:c>
      <x:c r="O962" t="n">
        <x:v>60.3</x:v>
      </x:c>
      <x:c r="P962" t="str">
        <x:v>Cloudy</x:v>
      </x:c>
      <x:c r="Q962" t="n">
        <x:v>75</x:v>
      </x:c>
      <x:c r="R962" t="n">
        <x:v>79.5</x:v>
      </x:c>
      <x:c r="S962" t="n">
        <x:v>0.1037</x:v>
      </x:c>
      <x:c r="T962" t="n">
        <x:v>18.6</x:v>
      </x:c>
      <x:c r="U962" t="n">
        <x:v>1365.8</x:v>
      </x:c>
      <x:c r="V962" t="n">
        <x:v>2609</x:v>
      </x:c>
      <x:c r="W962" t="n">
        <x:v>50</x:v>
      </x:c>
    </x:row>
    <x:row r="963">
      <x:c r="A963" t="str">
        <x:v>PJT_962</x:v>
      </x:c>
      <x:c r="B963" t="str">
        <x:v>Marine</x:v>
      </x:c>
      <x:c r="C963" t="n">
        <x:v>35020</x:v>
      </x:c>
      <x:c r="D963" t="n">
        <x:v>26</x:v>
      </x:c>
      <x:c r="E963" t="str">
        <x:v>High</x:v>
      </x:c>
      <x:c r="F963" t="str">
        <x:v>Mixed-use</x:v>
      </x:c>
      <x:c r="G963" t="str">
        <x:v>Steel</x:v>
      </x:c>
      <x:c r="H963" t="str">
        <x:v>Piles</x:v>
      </x:c>
      <x:c r="I963" t="str">
        <x:v>Soft Clay</x:v>
      </x:c>
      <x:c r="J963" t="str">
        <x:v>Medium</x:v>
      </x:c>
      <x:c r="K963" t="n">
        <x:v>99842020</x:v>
      </x:c>
      <x:c r="L963" t="n">
        <x:v>2031</x:v>
      </x:c>
      <x:c r="M963" t="n">
        <x:v>226.3</x:v>
      </x:c>
      <x:c r="N963" t="n">
        <x:v>10.7</x:v>
      </x:c>
      <x:c r="O963" t="n">
        <x:v>89</x:v>
      </x:c>
      <x:c r="P963" t="str">
        <x:v>Rainy</x:v>
      </x:c>
      <x:c r="Q963" t="n">
        <x:v>99</x:v>
      </x:c>
      <x:c r="R963" t="n">
        <x:v>92</x:v>
      </x:c>
      <x:c r="S963" t="n">
        <x:v>0.1036</x:v>
      </x:c>
      <x:c r="T963" t="n">
        <x:v>21</x:v>
      </x:c>
      <x:c r="U963" t="n">
        <x:v>1346.9</x:v>
      </x:c>
      <x:c r="V963" t="n">
        <x:v>2851</x:v>
      </x:c>
      <x:c r="W963" t="n">
        <x:v>58</x:v>
      </x:c>
    </x:row>
    <x:row r="964">
      <x:c r="A964" t="str">
        <x:v>PJT_963</x:v>
      </x:c>
      <x:c r="B964" t="str">
        <x:v>Humid Subtropical</x:v>
      </x:c>
      <x:c r="C964" t="n">
        <x:v>25610</x:v>
      </x:c>
      <x:c r="D964" t="n">
        <x:v>18</x:v>
      </x:c>
      <x:c r="E964" t="str">
        <x:v>Medium</x:v>
      </x:c>
      <x:c r="F964" t="str">
        <x:v>Commercial</x:v>
      </x:c>
      <x:c r="G964" t="str">
        <x:v>Steel</x:v>
      </x:c>
      <x:c r="H964" t="str">
        <x:v>Piles</x:v>
      </x:c>
      <x:c r="I964" t="str">
        <x:v>Rock</x:v>
      </x:c>
      <x:c r="J964" t="str">
        <x:v>Low</x:v>
      </x:c>
      <x:c r="K964" t="n">
        <x:v>63615240</x:v>
      </x:c>
      <x:c r="L964" t="n">
        <x:v>1227</x:v>
      </x:c>
      <x:c r="M964" t="n">
        <x:v>721.8</x:v>
      </x:c>
      <x:c r="N964" t="n">
        <x:v>22.6</x:v>
      </x:c>
      <x:c r="O964" t="n">
        <x:v>80.7</x:v>
      </x:c>
      <x:c r="P964" t="str">
        <x:v>Cloudy</x:v>
      </x:c>
      <x:c r="Q964" t="n">
        <x:v>105</x:v>
      </x:c>
      <x:c r="R964" t="n">
        <x:v>76.8</x:v>
      </x:c>
      <x:c r="S964" t="n">
        <x:v>0.0988</x:v>
      </x:c>
      <x:c r="T964" t="n">
        <x:v>16.6</x:v>
      </x:c>
      <x:c r="U964" t="n">
        <x:v>1422.8</x:v>
      </x:c>
      <x:c r="V964" t="n">
        <x:v>2484</x:v>
      </x:c>
      <x:c r="W964" t="n">
        <x:v>47.9</x:v>
      </x:c>
    </x:row>
    <x:row r="965">
      <x:c r="A965" t="str">
        <x:v>PJT_964</x:v>
      </x:c>
      <x:c r="B965" t="str">
        <x:v>Marine</x:v>
      </x:c>
      <x:c r="C965" t="n">
        <x:v>7570</x:v>
      </x:c>
      <x:c r="D965" t="n">
        <x:v>3</x:v>
      </x:c>
      <x:c r="E965" t="str">
        <x:v>Low</x:v>
      </x:c>
      <x:c r="F965" t="str">
        <x:v>School</x:v>
      </x:c>
      <x:c r="G965" t="str">
        <x:v>Steel</x:v>
      </x:c>
      <x:c r="H965" t="str">
        <x:v>Raft</x:v>
      </x:c>
      <x:c r="I965" t="str">
        <x:v>Rock</x:v>
      </x:c>
      <x:c r="J965" t="str">
        <x:v>High</x:v>
      </x:c>
      <x:c r="K965" t="n">
        <x:v>15336820</x:v>
      </x:c>
      <x:c r="L965" t="n">
        <x:v>260</x:v>
      </x:c>
      <x:c r="M965" t="n">
        <x:v>671.4</x:v>
      </x:c>
      <x:c r="N965" t="n">
        <x:v>2.1</x:v>
      </x:c>
      <x:c r="O965" t="n">
        <x:v>64.8</x:v>
      </x:c>
      <x:c r="P965" t="str">
        <x:v>Snowy</x:v>
      </x:c>
      <x:c r="Q965" t="n">
        <x:v>62</x:v>
      </x:c>
      <x:c r="R965" t="n">
        <x:v>60.2</x:v>
      </x:c>
      <x:c r="S965" t="n">
        <x:v>0.0814</x:v>
      </x:c>
      <x:c r="T965" t="n">
        <x:v>14.8</x:v>
      </x:c>
      <x:c r="U965" t="n">
        <x:v>2523.3</x:v>
      </x:c>
      <x:c r="V965" t="n">
        <x:v>2026</x:v>
      </x:c>
      <x:c r="W965" t="n">
        <x:v>34.3</x:v>
      </x:c>
    </x:row>
    <x:row r="966">
      <x:c r="A966" t="str">
        <x:v>PJT_965</x:v>
      </x:c>
      <x:c r="B966" t="str">
        <x:v>Continental</x:v>
      </x:c>
      <x:c r="C966" t="n">
        <x:v>24150</x:v>
      </x:c>
      <x:c r="D966" t="n">
        <x:v>15</x:v>
      </x:c>
      <x:c r="E966" t="str">
        <x:v>High</x:v>
      </x:c>
      <x:c r="F966" t="str">
        <x:v>Hospital</x:v>
      </x:c>
      <x:c r="G966" t="str">
        <x:v>Shear Wall</x:v>
      </x:c>
      <x:c r="H966" t="str">
        <x:v>Raft</x:v>
      </x:c>
      <x:c r="I966" t="str">
        <x:v>Rock</x:v>
      </x:c>
      <x:c r="J966" t="str">
        <x:v>Medium</x:v>
      </x:c>
      <x:c r="K966" t="n">
        <x:v>79719150</x:v>
      </x:c>
      <x:c r="L966" t="n">
        <x:v>1401</x:v>
      </x:c>
      <x:c r="M966" t="n">
        <x:v>606.1</x:v>
      </x:c>
      <x:c r="N966" t="n">
        <x:v>6</x:v>
      </x:c>
      <x:c r="O966" t="n">
        <x:v>84.3</x:v>
      </x:c>
      <x:c r="P966" t="str">
        <x:v>Stormy</x:v>
      </x:c>
      <x:c r="Q966" t="n">
        <x:v>101</x:v>
      </x:c>
      <x:c r="R966" t="n">
        <x:v>91.1</x:v>
      </x:c>
      <x:c r="S966" t="n">
        <x:v>0.1107</x:v>
      </x:c>
      <x:c r="T966" t="n">
        <x:v>22</x:v>
      </x:c>
      <x:c r="U966" t="n">
        <x:v>1610</x:v>
      </x:c>
      <x:c r="V966" t="n">
        <x:v>3301</x:v>
      </x:c>
      <x:c r="W966" t="n">
        <x:v>58</x:v>
      </x:c>
    </x:row>
    <x:row r="967">
      <x:c r="A967" t="str">
        <x:v>PJT_966</x:v>
      </x:c>
      <x:c r="B967" t="str">
        <x:v>Continental</x:v>
      </x:c>
      <x:c r="C967" t="n">
        <x:v>25300</x:v>
      </x:c>
      <x:c r="D967" t="n">
        <x:v>10</x:v>
      </x:c>
      <x:c r="E967" t="str">
        <x:v>Medium</x:v>
      </x:c>
      <x:c r="F967" t="str">
        <x:v>Hospital</x:v>
      </x:c>
      <x:c r="G967" t="str">
        <x:v>Shear Wall</x:v>
      </x:c>
      <x:c r="H967" t="str">
        <x:v>Raft</x:v>
      </x:c>
      <x:c r="I967" t="str">
        <x:v>Rock</x:v>
      </x:c>
      <x:c r="J967" t="str">
        <x:v>Medium</x:v>
      </x:c>
      <x:c r="K967" t="n">
        <x:v>75545800</x:v>
      </x:c>
      <x:c r="L967" t="n">
        <x:v>1212</x:v>
      </x:c>
      <x:c r="M967" t="n">
        <x:v>651</x:v>
      </x:c>
      <x:c r="N967" t="n">
        <x:v>18.4</x:v>
      </x:c>
      <x:c r="O967" t="n">
        <x:v>60</x:v>
      </x:c>
      <x:c r="P967" t="str">
        <x:v>Sunny</x:v>
      </x:c>
      <x:c r="Q967" t="n">
        <x:v>90</x:v>
      </x:c>
      <x:c r="R967" t="n">
        <x:v>78.1</x:v>
      </x:c>
      <x:c r="S967" t="n">
        <x:v>0.107</x:v>
      </x:c>
      <x:c r="T967" t="n">
        <x:v>21.1</x:v>
      </x:c>
      <x:c r="U967" t="n">
        <x:v>2530</x:v>
      </x:c>
      <x:c r="V967" t="n">
        <x:v>2986</x:v>
      </x:c>
      <x:c r="W967" t="n">
        <x:v>47.9</x:v>
      </x:c>
    </x:row>
    <x:row r="968">
      <x:c r="A968" t="str">
        <x:v>PJT_967</x:v>
      </x:c>
      <x:c r="B968" t="str">
        <x:v>Marine</x:v>
      </x:c>
      <x:c r="C968" t="n">
        <x:v>5850</x:v>
      </x:c>
      <x:c r="D968" t="n">
        <x:v>2</x:v>
      </x:c>
      <x:c r="E968" t="str">
        <x:v>Low</x:v>
      </x:c>
      <x:c r="F968" t="str">
        <x:v>School</x:v>
      </x:c>
      <x:c r="G968" t="str">
        <x:v>RC Frame</x:v>
      </x:c>
      <x:c r="H968" t="str">
        <x:v>Raft</x:v>
      </x:c>
      <x:c r="I968" t="str">
        <x:v>Sand</x:v>
      </x:c>
      <x:c r="J968" t="str">
        <x:v>Medium</x:v>
      </x:c>
      <x:c r="K968" t="n">
        <x:v>9746100</x:v>
      </x:c>
      <x:c r="L968" t="n">
        <x:v>180</x:v>
      </x:c>
      <x:c r="M968" t="n">
        <x:v>229.5</x:v>
      </x:c>
      <x:c r="N968" t="n">
        <x:v>19.9</x:v>
      </x:c>
      <x:c r="O968" t="n">
        <x:v>69.9</x:v>
      </x:c>
      <x:c r="P968" t="str">
        <x:v>Sunny</x:v>
      </x:c>
      <x:c r="Q968" t="n">
        <x:v>59</x:v>
      </x:c>
      <x:c r="R968" t="n">
        <x:v>66.1</x:v>
      </x:c>
      <x:c r="S968" t="n">
        <x:v>0.0773</x:v>
      </x:c>
      <x:c r="T968" t="n">
        <x:v>14.2</x:v>
      </x:c>
      <x:c r="U968" t="n">
        <x:v>2925</x:v>
      </x:c>
      <x:c r="V968" t="n">
        <x:v>1666</x:v>
      </x:c>
      <x:c r="W968" t="n">
        <x:v>25.7</x:v>
      </x:c>
    </x:row>
    <x:row r="969">
      <x:c r="A969" t="str">
        <x:v>PJT_968</x:v>
      </x:c>
      <x:c r="B969" t="str">
        <x:v>Marine</x:v>
      </x:c>
      <x:c r="C969" t="n">
        <x:v>10340</x:v>
      </x:c>
      <x:c r="D969" t="n">
        <x:v>6</x:v>
      </x:c>
      <x:c r="E969" t="str">
        <x:v>Medium</x:v>
      </x:c>
      <x:c r="F969" t="str">
        <x:v>Commercial</x:v>
      </x:c>
      <x:c r="G969" t="str">
        <x:v>RC Frame</x:v>
      </x:c>
      <x:c r="H969" t="str">
        <x:v>Raft</x:v>
      </x:c>
      <x:c r="I969" t="str">
        <x:v>Mixed</x:v>
      </x:c>
      <x:c r="J969" t="str">
        <x:v>Medium</x:v>
      </x:c>
      <x:c r="K969" t="n">
        <x:v>23275340</x:v>
      </x:c>
      <x:c r="L969" t="n">
        <x:v>435</x:v>
      </x:c>
      <x:c r="M969" t="n">
        <x:v>280.8</x:v>
      </x:c>
      <x:c r="N969" t="n">
        <x:v>1.4</x:v>
      </x:c>
      <x:c r="O969" t="n">
        <x:v>82.7</x:v>
      </x:c>
      <x:c r="P969" t="str">
        <x:v>Snowy</x:v>
      </x:c>
      <x:c r="Q969" t="n">
        <x:v>75</x:v>
      </x:c>
      <x:c r="R969" t="n">
        <x:v>75.2</x:v>
      </x:c>
      <x:c r="S969" t="n">
        <x:v>0.0919</x:v>
      </x:c>
      <x:c r="T969" t="n">
        <x:v>17.4</x:v>
      </x:c>
      <x:c r="U969" t="n">
        <x:v>1723.3</x:v>
      </x:c>
      <x:c r="V969" t="n">
        <x:v>2251</x:v>
      </x:c>
      <x:c r="W969" t="n">
        <x:v>42.1</x:v>
      </x:c>
    </x:row>
    <x:row r="970">
      <x:c r="A970" t="str">
        <x:v>PJT_969</x:v>
      </x:c>
      <x:c r="B970" t="str">
        <x:v>Continental</x:v>
      </x:c>
      <x:c r="C970" t="n">
        <x:v>13420</x:v>
      </x:c>
      <x:c r="D970" t="n">
        <x:v>8</x:v>
      </x:c>
      <x:c r="E970" t="str">
        <x:v>Medium</x:v>
      </x:c>
      <x:c r="F970" t="str">
        <x:v>Hospital</x:v>
      </x:c>
      <x:c r="G970" t="str">
        <x:v>Shear Wall</x:v>
      </x:c>
      <x:c r="H970" t="str">
        <x:v>Raft</x:v>
      </x:c>
      <x:c r="I970" t="str">
        <x:v>Mixed</x:v>
      </x:c>
      <x:c r="J970" t="str">
        <x:v>High</x:v>
      </x:c>
      <x:c r="K970" t="n">
        <x:v>41011520</x:v>
      </x:c>
      <x:c r="L970" t="n">
        <x:v>650</x:v>
      </x:c>
      <x:c r="M970" t="n">
        <x:v>269.1</x:v>
      </x:c>
      <x:c r="N970" t="n">
        <x:v>17.8</x:v>
      </x:c>
      <x:c r="O970" t="n">
        <x:v>71.1</x:v>
      </x:c>
      <x:c r="P970" t="str">
        <x:v>Rainy</x:v>
      </x:c>
      <x:c r="Q970" t="n">
        <x:v>104</x:v>
      </x:c>
      <x:c r="R970" t="n">
        <x:v>76.4</x:v>
      </x:c>
      <x:c r="S970" t="n">
        <x:v>0.1072</x:v>
      </x:c>
      <x:c r="T970" t="n">
        <x:v>21.7</x:v>
      </x:c>
      <x:c r="U970" t="n">
        <x:v>1677.5</x:v>
      </x:c>
      <x:c r="V970" t="n">
        <x:v>3056</x:v>
      </x:c>
      <x:c r="W970" t="n">
        <x:v>48.4</x:v>
      </x:c>
    </x:row>
    <x:row r="971">
      <x:c r="A971" t="str">
        <x:v>PJT_970</x:v>
      </x:c>
      <x:c r="B971" t="str">
        <x:v>Mediterranean</x:v>
      </x:c>
      <x:c r="C971" t="n">
        <x:v>20980</x:v>
      </x:c>
      <x:c r="D971" t="n">
        <x:v>13</x:v>
      </x:c>
      <x:c r="E971" t="str">
        <x:v>High</x:v>
      </x:c>
      <x:c r="F971" t="str">
        <x:v>Mixed-use</x:v>
      </x:c>
      <x:c r="G971" t="str">
        <x:v>Shear Wall</x:v>
      </x:c>
      <x:c r="H971" t="str">
        <x:v>Raft</x:v>
      </x:c>
      <x:c r="I971" t="str">
        <x:v>Rock</x:v>
      </x:c>
      <x:c r="J971" t="str">
        <x:v>High</x:v>
      </x:c>
      <x:c r="K971" t="n">
        <x:v>56121500</x:v>
      </x:c>
      <x:c r="L971" t="n">
        <x:v>1078</x:v>
      </x:c>
      <x:c r="M971" t="n">
        <x:v>633.4</x:v>
      </x:c>
      <x:c r="N971" t="n">
        <x:v>27.7</x:v>
      </x:c>
      <x:c r="O971" t="n">
        <x:v>58.6</x:v>
      </x:c>
      <x:c r="P971" t="str">
        <x:v>Sunny</x:v>
      </x:c>
      <x:c r="Q971" t="n">
        <x:v>63</x:v>
      </x:c>
      <x:c r="R971" t="n">
        <x:v>82.8</x:v>
      </x:c>
      <x:c r="S971" t="n">
        <x:v>0.1048</x:v>
      </x:c>
      <x:c r="T971" t="n">
        <x:v>19.9</x:v>
      </x:c>
      <x:c r="U971" t="n">
        <x:v>1613.8</x:v>
      </x:c>
      <x:c r="V971" t="n">
        <x:v>2675</x:v>
      </x:c>
      <x:c r="W971" t="n">
        <x:v>51.4</x:v>
      </x:c>
    </x:row>
    <x:row r="972">
      <x:c r="A972" t="str">
        <x:v>PJT_971</x:v>
      </x:c>
      <x:c r="B972" t="str">
        <x:v>Humid Subtropical</x:v>
      </x:c>
      <x:c r="C972" t="n">
        <x:v>25950</x:v>
      </x:c>
      <x:c r="D972" t="n">
        <x:v>20</x:v>
      </x:c>
      <x:c r="E972" t="str">
        <x:v>Medium</x:v>
      </x:c>
      <x:c r="F972" t="str">
        <x:v>Mixed-use</x:v>
      </x:c>
      <x:c r="G972" t="str">
        <x:v>Steel</x:v>
      </x:c>
      <x:c r="H972" t="str">
        <x:v>Piles</x:v>
      </x:c>
      <x:c r="I972" t="str">
        <x:v>Rock</x:v>
      </x:c>
      <x:c r="J972" t="str">
        <x:v>Medium</x:v>
      </x:c>
      <x:c r="K972" t="n">
        <x:v>71933400</x:v>
      </x:c>
      <x:c r="L972" t="n">
        <x:v>1305</x:v>
      </x:c>
      <x:c r="M972" t="n">
        <x:v>849.9</x:v>
      </x:c>
      <x:c r="N972" t="n">
        <x:v>27.3</x:v>
      </x:c>
      <x:c r="O972" t="n">
        <x:v>62.4</x:v>
      </x:c>
      <x:c r="P972" t="str">
        <x:v>Sunny</x:v>
      </x:c>
      <x:c r="Q972" t="n">
        <x:v>72</x:v>
      </x:c>
      <x:c r="R972" t="n">
        <x:v>81.4</x:v>
      </x:c>
      <x:c r="S972" t="n">
        <x:v>0.1038</x:v>
      </x:c>
      <x:c r="T972" t="n">
        <x:v>18.5</x:v>
      </x:c>
      <x:c r="U972" t="n">
        <x:v>1297.5</x:v>
      </x:c>
      <x:c r="V972" t="n">
        <x:v>2772</x:v>
      </x:c>
      <x:c r="W972" t="n">
        <x:v>50.3</x:v>
      </x:c>
    </x:row>
    <x:row r="973">
      <x:c r="A973" t="str">
        <x:v>PJT_972</x:v>
      </x:c>
      <x:c r="B973" t="str">
        <x:v>Mediterranean</x:v>
      </x:c>
      <x:c r="C973" t="n">
        <x:v>7670</x:v>
      </x:c>
      <x:c r="D973" t="n">
        <x:v>6</x:v>
      </x:c>
      <x:c r="E973" t="str">
        <x:v>Low</x:v>
      </x:c>
      <x:c r="F973" t="str">
        <x:v>Commercial</x:v>
      </x:c>
      <x:c r="G973" t="str">
        <x:v>RC Frame</x:v>
      </x:c>
      <x:c r="H973" t="str">
        <x:v>Raft</x:v>
      </x:c>
      <x:c r="I973" t="str">
        <x:v>Mixed</x:v>
      </x:c>
      <x:c r="J973" t="str">
        <x:v>High</x:v>
      </x:c>
      <x:c r="K973" t="n">
        <x:v>16168360</x:v>
      </x:c>
      <x:c r="L973" t="n">
        <x:v>264</x:v>
      </x:c>
      <x:c r="M973" t="n">
        <x:v>330.5</x:v>
      </x:c>
      <x:c r="N973" t="n">
        <x:v>23.7</x:v>
      </x:c>
      <x:c r="O973" t="n">
        <x:v>44.8</x:v>
      </x:c>
      <x:c r="P973" t="str">
        <x:v>Sunny</x:v>
      </x:c>
      <x:c r="Q973" t="n">
        <x:v>77</x:v>
      </x:c>
      <x:c r="R973" t="n">
        <x:v>71.4</x:v>
      </x:c>
      <x:c r="S973" t="n">
        <x:v>0.0893</x:v>
      </x:c>
      <x:c r="T973" t="n">
        <x:v>15.1</x:v>
      </x:c>
      <x:c r="U973" t="n">
        <x:v>1278.3</x:v>
      </x:c>
      <x:c r="V973" t="n">
        <x:v>2108</x:v>
      </x:c>
      <x:c r="W973" t="n">
        <x:v>34.4</x:v>
      </x:c>
    </x:row>
    <x:row r="974">
      <x:c r="A974" t="str">
        <x:v>PJT_973</x:v>
      </x:c>
      <x:c r="B974" t="str">
        <x:v>Continental</x:v>
      </x:c>
      <x:c r="C974" t="n">
        <x:v>8590</x:v>
      </x:c>
      <x:c r="D974" t="n">
        <x:v>8</x:v>
      </x:c>
      <x:c r="E974" t="str">
        <x:v>Medium</x:v>
      </x:c>
      <x:c r="F974" t="str">
        <x:v>Commercial</x:v>
      </x:c>
      <x:c r="G974" t="str">
        <x:v>Steel</x:v>
      </x:c>
      <x:c r="H974" t="str">
        <x:v>Raft</x:v>
      </x:c>
      <x:c r="I974" t="str">
        <x:v>Rock</x:v>
      </x:c>
      <x:c r="J974" t="str">
        <x:v>High</x:v>
      </x:c>
      <x:c r="K974" t="n">
        <x:v>20066240</x:v>
      </x:c>
      <x:c r="L974" t="n">
        <x:v>411</x:v>
      </x:c>
      <x:c r="M974" t="n">
        <x:v>650.6</x:v>
      </x:c>
      <x:c r="N974" t="n">
        <x:v>8.3</x:v>
      </x:c>
      <x:c r="O974" t="n">
        <x:v>70.8</x:v>
      </x:c>
      <x:c r="P974" t="str">
        <x:v>Stormy</x:v>
      </x:c>
      <x:c r="Q974" t="n">
        <x:v>99</x:v>
      </x:c>
      <x:c r="R974" t="n">
        <x:v>77.7</x:v>
      </x:c>
      <x:c r="S974" t="n">
        <x:v>0.0997</x:v>
      </x:c>
      <x:c r="T974" t="n">
        <x:v>16.2</x:v>
      </x:c>
      <x:c r="U974" t="n">
        <x:v>1073.8</x:v>
      </x:c>
      <x:c r="V974" t="n">
        <x:v>2336</x:v>
      </x:c>
      <x:c r="W974" t="n">
        <x:v>47.8</x:v>
      </x:c>
    </x:row>
    <x:row r="975">
      <x:c r="A975" t="str">
        <x:v>PJT_974</x:v>
      </x:c>
      <x:c r="B975" t="str">
        <x:v>Marine</x:v>
      </x:c>
      <x:c r="C975" t="n">
        <x:v>27250</x:v>
      </x:c>
      <x:c r="D975" t="n">
        <x:v>13</x:v>
      </x:c>
      <x:c r="E975" t="str">
        <x:v>High</x:v>
      </x:c>
      <x:c r="F975" t="str">
        <x:v>Hospital</x:v>
      </x:c>
      <x:c r="G975" t="str">
        <x:v>Shear Wall</x:v>
      </x:c>
      <x:c r="H975" t="str">
        <x:v>Piles</x:v>
      </x:c>
      <x:c r="I975" t="str">
        <x:v>Mixed</x:v>
      </x:c>
      <x:c r="J975" t="str">
        <x:v>Medium</x:v>
      </x:c>
      <x:c r="K975" t="n">
        <x:v>90769750</x:v>
      </x:c>
      <x:c r="L975" t="n">
        <x:v>1556</x:v>
      </x:c>
      <x:c r="M975" t="n">
        <x:v>319.5</x:v>
      </x:c>
      <x:c r="N975" t="n">
        <x:v>10.8</x:v>
      </x:c>
      <x:c r="O975" t="n">
        <x:v>68.5</x:v>
      </x:c>
      <x:c r="P975" t="str">
        <x:v>Cloudy</x:v>
      </x:c>
      <x:c r="Q975" t="n">
        <x:v>80</x:v>
      </x:c>
      <x:c r="R975" t="n">
        <x:v>91.4</x:v>
      </x:c>
      <x:c r="S975" t="n">
        <x:v>0.1128</x:v>
      </x:c>
      <x:c r="T975" t="n">
        <x:v>23.5</x:v>
      </x:c>
      <x:c r="U975" t="n">
        <x:v>2096.2</x:v>
      </x:c>
      <x:c r="V975" t="n">
        <x:v>3331</x:v>
      </x:c>
      <x:c r="W975" t="n">
        <x:v>57.1</x:v>
      </x:c>
    </x:row>
    <x:row r="976">
      <x:c r="A976" t="str">
        <x:v>PJT_975</x:v>
      </x:c>
      <x:c r="B976" t="str">
        <x:v>Marine</x:v>
      </x:c>
      <x:c r="C976" t="n">
        <x:v>12880</x:v>
      </x:c>
      <x:c r="D976" t="n">
        <x:v>4</x:v>
      </x:c>
      <x:c r="E976" t="str">
        <x:v>Low</x:v>
      </x:c>
      <x:c r="F976" t="str">
        <x:v>School</x:v>
      </x:c>
      <x:c r="G976" t="str">
        <x:v>RC Frame</x:v>
      </x:c>
      <x:c r="H976" t="str">
        <x:v>Raft</x:v>
      </x:c>
      <x:c r="I976" t="str">
        <x:v>Mixed</x:v>
      </x:c>
      <x:c r="J976" t="str">
        <x:v>Low</x:v>
      </x:c>
      <x:c r="K976" t="n">
        <x:v>20221600</x:v>
      </x:c>
      <x:c r="L976" t="n">
        <x:v>413</x:v>
      </x:c>
      <x:c r="M976" t="n">
        <x:v>279.2</x:v>
      </x:c>
      <x:c r="N976" t="n">
        <x:v>6.6</x:v>
      </x:c>
      <x:c r="O976" t="n">
        <x:v>82.8</x:v>
      </x:c>
      <x:c r="P976" t="str">
        <x:v>Rainy</x:v>
      </x:c>
      <x:c r="Q976" t="n">
        <x:v>93</x:v>
      </x:c>
      <x:c r="R976" t="n">
        <x:v>67.9</x:v>
      </x:c>
      <x:c r="S976" t="n">
        <x:v>0.0815</x:v>
      </x:c>
      <x:c r="T976" t="n">
        <x:v>13</x:v>
      </x:c>
      <x:c r="U976" t="n">
        <x:v>3220</x:v>
      </x:c>
      <x:c r="V976" t="n">
        <x:v>1570</x:v>
      </x:c>
      <x:c r="W976" t="n">
        <x:v>32.1</x:v>
      </x:c>
    </x:row>
    <x:row r="977">
      <x:c r="A977" t="str">
        <x:v>PJT_976</x:v>
      </x:c>
      <x:c r="B977" t="str">
        <x:v>Humid Subtropical</x:v>
      </x:c>
      <x:c r="C977" t="n">
        <x:v>16380</x:v>
      </x:c>
      <x:c r="D977" t="n">
        <x:v>20</x:v>
      </x:c>
      <x:c r="E977" t="str">
        <x:v>Medium</x:v>
      </x:c>
      <x:c r="F977" t="str">
        <x:v>Residential</x:v>
      </x:c>
      <x:c r="G977" t="str">
        <x:v>RC Frame</x:v>
      </x:c>
      <x:c r="H977" t="str">
        <x:v>Piles</x:v>
      </x:c>
      <x:c r="I977" t="str">
        <x:v>Sand</x:v>
      </x:c>
      <x:c r="J977" t="str">
        <x:v>Low</x:v>
      </x:c>
      <x:c r="K977" t="n">
        <x:v>24242400</x:v>
      </x:c>
      <x:c r="L977" t="n">
        <x:v>603</x:v>
      </x:c>
      <x:c r="M977" t="n">
        <x:v>299.4</x:v>
      </x:c>
      <x:c r="N977" t="n">
        <x:v>33.9</x:v>
      </x:c>
      <x:c r="O977" t="n">
        <x:v>53.5</x:v>
      </x:c>
      <x:c r="P977" t="str">
        <x:v>Sunny</x:v>
      </x:c>
      <x:c r="Q977" t="n">
        <x:v>74</x:v>
      </x:c>
      <x:c r="R977" t="n">
        <x:v>77.3</x:v>
      </x:c>
      <x:c r="S977" t="n">
        <x:v>0.0753</x:v>
      </x:c>
      <x:c r="T977" t="n">
        <x:v>13.7</x:v>
      </x:c>
      <x:c r="U977" t="n">
        <x:v>819</x:v>
      </x:c>
      <x:c r="V977" t="n">
        <x:v>1480</x:v>
      </x:c>
      <x:c r="W977" t="n">
        <x:v>36.8</x:v>
      </x:c>
    </x:row>
    <x:row r="978">
      <x:c r="A978" t="str">
        <x:v>PJT_977</x:v>
      </x:c>
      <x:c r="B978" t="str">
        <x:v>Humid Subtropical</x:v>
      </x:c>
      <x:c r="C978" t="n">
        <x:v>11630</x:v>
      </x:c>
      <x:c r="D978" t="n">
        <x:v>7</x:v>
      </x:c>
      <x:c r="E978" t="str">
        <x:v>Medium</x:v>
      </x:c>
      <x:c r="F978" t="str">
        <x:v>Commercial</x:v>
      </x:c>
      <x:c r="G978" t="str">
        <x:v>RC Frame</x:v>
      </x:c>
      <x:c r="H978" t="str">
        <x:v>Raft</x:v>
      </x:c>
      <x:c r="I978" t="str">
        <x:v>Sand</x:v>
      </x:c>
      <x:c r="J978" t="str">
        <x:v>High</x:v>
      </x:c>
      <x:c r="K978" t="n">
        <x:v>27586360</x:v>
      </x:c>
      <x:c r="L978" t="n">
        <x:v>484</x:v>
      </x:c>
      <x:c r="M978" t="n">
        <x:v>290</x:v>
      </x:c>
      <x:c r="N978" t="n">
        <x:v>26.9</x:v>
      </x:c>
      <x:c r="O978" t="n">
        <x:v>86.4</x:v>
      </x:c>
      <x:c r="P978" t="str">
        <x:v>Rainy</x:v>
      </x:c>
      <x:c r="Q978" t="n">
        <x:v>93</x:v>
      </x:c>
      <x:c r="R978" t="n">
        <x:v>73.7</x:v>
      </x:c>
      <x:c r="S978" t="n">
        <x:v>0.0905</x:v>
      </x:c>
      <x:c r="T978" t="n">
        <x:v>16.4</x:v>
      </x:c>
      <x:c r="U978" t="n">
        <x:v>1661.4</x:v>
      </x:c>
      <x:c r="V978" t="n">
        <x:v>2372</x:v>
      </x:c>
      <x:c r="W978" t="n">
        <x:v>41.6</x:v>
      </x:c>
    </x:row>
    <x:row r="979">
      <x:c r="A979" t="str">
        <x:v>PJT_978</x:v>
      </x:c>
      <x:c r="B979" t="str">
        <x:v>Marine</x:v>
      </x:c>
      <x:c r="C979" t="n">
        <x:v>16300</x:v>
      </x:c>
      <x:c r="D979" t="n">
        <x:v>8</x:v>
      </x:c>
      <x:c r="E979" t="str">
        <x:v>Medium</x:v>
      </x:c>
      <x:c r="F979" t="str">
        <x:v>Hospital</x:v>
      </x:c>
      <x:c r="G979" t="str">
        <x:v>Steel</x:v>
      </x:c>
      <x:c r="H979" t="str">
        <x:v>Raft</x:v>
      </x:c>
      <x:c r="I979" t="str">
        <x:v>Sand</x:v>
      </x:c>
      <x:c r="J979" t="str">
        <x:v>Medium</x:v>
      </x:c>
      <x:c r="K979" t="n">
        <x:v>50415900</x:v>
      </x:c>
      <x:c r="L979" t="n">
        <x:v>750</x:v>
      </x:c>
      <x:c r="M979" t="n">
        <x:v>232.5</x:v>
      </x:c>
      <x:c r="N979" t="n">
        <x:v>22</x:v>
      </x:c>
      <x:c r="O979" t="n">
        <x:v>60.5</x:v>
      </x:c>
      <x:c r="P979" t="str">
        <x:v>Sunny</x:v>
      </x:c>
      <x:c r="Q979" t="n">
        <x:v>96</x:v>
      </x:c>
      <x:c r="R979" t="n">
        <x:v>76.4</x:v>
      </x:c>
      <x:c r="S979" t="n">
        <x:v>0.1092</x:v>
      </x:c>
      <x:c r="T979" t="n">
        <x:v>21.5</x:v>
      </x:c>
      <x:c r="U979" t="n">
        <x:v>2037.5</x:v>
      </x:c>
      <x:c r="V979" t="n">
        <x:v>3093</x:v>
      </x:c>
      <x:c r="W979" t="n">
        <x:v>46</x:v>
      </x:c>
    </x:row>
    <x:row r="980">
      <x:c r="A980" t="str">
        <x:v>PJT_979</x:v>
      </x:c>
      <x:c r="B980" t="str">
        <x:v>Marine</x:v>
      </x:c>
      <x:c r="C980" t="n">
        <x:v>15650</x:v>
      </x:c>
      <x:c r="D980" t="n">
        <x:v>9</x:v>
      </x:c>
      <x:c r="E980" t="str">
        <x:v>Medium</x:v>
      </x:c>
      <x:c r="F980" t="str">
        <x:v>Commercial</x:v>
      </x:c>
      <x:c r="G980" t="str">
        <x:v>RC Frame</x:v>
      </x:c>
      <x:c r="H980" t="str">
        <x:v>Raft</x:v>
      </x:c>
      <x:c r="I980" t="str">
        <x:v>Rock</x:v>
      </x:c>
      <x:c r="J980" t="str">
        <x:v>High</x:v>
      </x:c>
      <x:c r="K980" t="n">
        <x:v>35322050</x:v>
      </x:c>
      <x:c r="L980" t="n">
        <x:v>709</x:v>
      </x:c>
      <x:c r="M980" t="n">
        <x:v>597</x:v>
      </x:c>
      <x:c r="N980" t="n">
        <x:v>2.1</x:v>
      </x:c>
      <x:c r="O980" t="n">
        <x:v>71.2</x:v>
      </x:c>
      <x:c r="P980" t="str">
        <x:v>Snowy</x:v>
      </x:c>
      <x:c r="Q980" t="n">
        <x:v>88</x:v>
      </x:c>
      <x:c r="R980" t="n">
        <x:v>72.7</x:v>
      </x:c>
      <x:c r="S980" t="n">
        <x:v>0.0913</x:v>
      </x:c>
      <x:c r="T980" t="n">
        <x:v>16.5</x:v>
      </x:c>
      <x:c r="U980" t="n">
        <x:v>1738.9</x:v>
      </x:c>
      <x:c r="V980" t="n">
        <x:v>2257</x:v>
      </x:c>
      <x:c r="W980" t="n">
        <x:v>45.3</x:v>
      </x:c>
    </x:row>
    <x:row r="981">
      <x:c r="A981" t="str">
        <x:v>PJT_980</x:v>
      </x:c>
      <x:c r="B981" t="str">
        <x:v>Humid Subtropical</x:v>
      </x:c>
      <x:c r="C981" t="n">
        <x:v>17960</x:v>
      </x:c>
      <x:c r="D981" t="n">
        <x:v>16</x:v>
      </x:c>
      <x:c r="E981" t="str">
        <x:v>Medium</x:v>
      </x:c>
      <x:c r="F981" t="str">
        <x:v>Mixed-use</x:v>
      </x:c>
      <x:c r="G981" t="str">
        <x:v>Steel</x:v>
      </x:c>
      <x:c r="H981" t="str">
        <x:v>Piles</x:v>
      </x:c>
      <x:c r="I981" t="str">
        <x:v>Sand</x:v>
      </x:c>
      <x:c r="J981" t="str">
        <x:v>Medium</x:v>
      </x:c>
      <x:c r="K981" t="n">
        <x:v>48779360</x:v>
      </x:c>
      <x:c r="L981" t="n">
        <x:v>977</x:v>
      </x:c>
      <x:c r="M981" t="n">
        <x:v>255.6</x:v>
      </x:c>
      <x:c r="N981" t="n">
        <x:v>26.5</x:v>
      </x:c>
      <x:c r="O981" t="n">
        <x:v>88.1</x:v>
      </x:c>
      <x:c r="P981" t="str">
        <x:v>Stormy</x:v>
      </x:c>
      <x:c r="Q981" t="n">
        <x:v>107</x:v>
      </x:c>
      <x:c r="R981" t="n">
        <x:v>87.1</x:v>
      </x:c>
      <x:c r="S981" t="n">
        <x:v>0.0983</x:v>
      </x:c>
      <x:c r="T981" t="n">
        <x:v>17.7</x:v>
      </x:c>
      <x:c r="U981" t="n">
        <x:v>1122.5</x:v>
      </x:c>
      <x:c r="V981" t="n">
        <x:v>2716</x:v>
      </x:c>
      <x:c r="W981" t="n">
        <x:v>54.4</x:v>
      </x:c>
    </x:row>
    <x:row r="982">
      <x:c r="A982" t="str">
        <x:v>PJT_981</x:v>
      </x:c>
      <x:c r="B982" t="str">
        <x:v>Mediterranean</x:v>
      </x:c>
      <x:c r="C982" t="n">
        <x:v>19900</x:v>
      </x:c>
      <x:c r="D982" t="n">
        <x:v>12</x:v>
      </x:c>
      <x:c r="E982" t="str">
        <x:v>Medium</x:v>
      </x:c>
      <x:c r="F982" t="str">
        <x:v>Commercial</x:v>
      </x:c>
      <x:c r="G982" t="str">
        <x:v>RC Frame</x:v>
      </x:c>
      <x:c r="H982" t="str">
        <x:v>Raft</x:v>
      </x:c>
      <x:c r="I982" t="str">
        <x:v>Mixed</x:v>
      </x:c>
      <x:c r="J982" t="str">
        <x:v>Low</x:v>
      </x:c>
      <x:c r="K982" t="n">
        <x:v>42904400</x:v>
      </x:c>
      <x:c r="L982" t="n">
        <x:v>844</x:v>
      </x:c>
      <x:c r="M982" t="n">
        <x:v>362.6</x:v>
      </x:c>
      <x:c r="N982" t="n">
        <x:v>12.5</x:v>
      </x:c>
      <x:c r="O982" t="n">
        <x:v>76.8</x:v>
      </x:c>
      <x:c r="P982" t="str">
        <x:v>Rainy</x:v>
      </x:c>
      <x:c r="Q982" t="n">
        <x:v>104</x:v>
      </x:c>
      <x:c r="R982" t="n">
        <x:v>79.4</x:v>
      </x:c>
      <x:c r="S982" t="n">
        <x:v>0.0878</x:v>
      </x:c>
      <x:c r="T982" t="n">
        <x:v>16.4</x:v>
      </x:c>
      <x:c r="U982" t="n">
        <x:v>1658.3</x:v>
      </x:c>
      <x:c r="V982" t="n">
        <x:v>2156</x:v>
      </x:c>
      <x:c r="W982" t="n">
        <x:v>42.4</x:v>
      </x:c>
    </x:row>
    <x:row r="983">
      <x:c r="A983" t="str">
        <x:v>PJT_982</x:v>
      </x:c>
      <x:c r="B983" t="str">
        <x:v>Humid Subtropical</x:v>
      </x:c>
      <x:c r="C983" t="n">
        <x:v>14760</x:v>
      </x:c>
      <x:c r="D983" t="n">
        <x:v>9</x:v>
      </x:c>
      <x:c r="E983" t="str">
        <x:v>Medium</x:v>
      </x:c>
      <x:c r="F983" t="str">
        <x:v>Commercial</x:v>
      </x:c>
      <x:c r="G983" t="str">
        <x:v>Steel</x:v>
      </x:c>
      <x:c r="H983" t="str">
        <x:v>Raft</x:v>
      </x:c>
      <x:c r="I983" t="str">
        <x:v>Rock</x:v>
      </x:c>
      <x:c r="J983" t="str">
        <x:v>High</x:v>
      </x:c>
      <x:c r="K983" t="n">
        <x:v>36811440</x:v>
      </x:c>
      <x:c r="L983" t="n">
        <x:v>645</x:v>
      </x:c>
      <x:c r="M983" t="n">
        <x:v>602.8</x:v>
      </x:c>
      <x:c r="N983" t="n">
        <x:v>22.9</x:v>
      </x:c>
      <x:c r="O983" t="n">
        <x:v>89.6</x:v>
      </x:c>
      <x:c r="P983" t="str">
        <x:v>Rainy</x:v>
      </x:c>
      <x:c r="Q983" t="n">
        <x:v>95</x:v>
      </x:c>
      <x:c r="R983" t="n">
        <x:v>80.3</x:v>
      </x:c>
      <x:c r="S983" t="n">
        <x:v>0.0938</x:v>
      </x:c>
      <x:c r="T983" t="n">
        <x:v>17.9</x:v>
      </x:c>
      <x:c r="U983" t="n">
        <x:v>1640</x:v>
      </x:c>
      <x:c r="V983" t="n">
        <x:v>2494</x:v>
      </x:c>
      <x:c r="W983" t="n">
        <x:v>43.7</x:v>
      </x:c>
    </x:row>
    <x:row r="984">
      <x:c r="A984" t="str">
        <x:v>PJT_983</x:v>
      </x:c>
      <x:c r="B984" t="str">
        <x:v>Continental</x:v>
      </x:c>
      <x:c r="C984" t="n">
        <x:v>9890</x:v>
      </x:c>
      <x:c r="D984" t="n">
        <x:v>4</x:v>
      </x:c>
      <x:c r="E984" t="str">
        <x:v>Low</x:v>
      </x:c>
      <x:c r="F984" t="str">
        <x:v>School</x:v>
      </x:c>
      <x:c r="G984" t="str">
        <x:v>RC Frame</x:v>
      </x:c>
      <x:c r="H984" t="str">
        <x:v>Raft</x:v>
      </x:c>
      <x:c r="I984" t="str">
        <x:v>Rock</x:v>
      </x:c>
      <x:c r="J984" t="str">
        <x:v>High</x:v>
      </x:c>
      <x:c r="K984" t="n">
        <x:v>16545970</x:v>
      </x:c>
      <x:c r="L984" t="n">
        <x:v>307</x:v>
      </x:c>
      <x:c r="M984" t="n">
        <x:v>758.5</x:v>
      </x:c>
      <x:c r="N984" t="n">
        <x:v>7.6</x:v>
      </x:c>
      <x:c r="O984" t="n">
        <x:v>74.4</x:v>
      </x:c>
      <x:c r="P984" t="str">
        <x:v>Rainy</x:v>
      </x:c>
      <x:c r="Q984" t="n">
        <x:v>77</x:v>
      </x:c>
      <x:c r="R984" t="n">
        <x:v>63.6</x:v>
      </x:c>
      <x:c r="S984" t="n">
        <x:v>0.0808</x:v>
      </x:c>
      <x:c r="T984" t="n">
        <x:v>13.2</x:v>
      </x:c>
      <x:c r="U984" t="n">
        <x:v>2472.5</x:v>
      </x:c>
      <x:c r="V984" t="n">
        <x:v>1673</x:v>
      </x:c>
      <x:c r="W984" t="n">
        <x:v>31</x:v>
      </x:c>
    </x:row>
    <x:row r="985">
      <x:c r="A985" t="str">
        <x:v>PJT_984</x:v>
      </x:c>
      <x:c r="B985" t="str">
        <x:v>Marine</x:v>
      </x:c>
      <x:c r="C985" t="n">
        <x:v>20940</x:v>
      </x:c>
      <x:c r="D985" t="n">
        <x:v>11</x:v>
      </x:c>
      <x:c r="E985" t="str">
        <x:v>Medium</x:v>
      </x:c>
      <x:c r="F985" t="str">
        <x:v>Mixed-use</x:v>
      </x:c>
      <x:c r="G985" t="str">
        <x:v>Shear Wall</x:v>
      </x:c>
      <x:c r="H985" t="str">
        <x:v>Piles</x:v>
      </x:c>
      <x:c r="I985" t="str">
        <x:v>Mixed</x:v>
      </x:c>
      <x:c r="J985" t="str">
        <x:v>Medium</x:v>
      </x:c>
      <x:c r="K985" t="n">
        <x:v>52559400</x:v>
      </x:c>
      <x:c r="L985" t="n">
        <x:v>1018</x:v>
      </x:c>
      <x:c r="M985" t="n">
        <x:v>403.1</x:v>
      </x:c>
      <x:c r="N985" t="n">
        <x:v>8.7</x:v>
      </x:c>
      <x:c r="O985" t="n">
        <x:v>79.9</x:v>
      </x:c>
      <x:c r="P985" t="str">
        <x:v>Cloudy</x:v>
      </x:c>
      <x:c r="Q985" t="n">
        <x:v>79</x:v>
      </x:c>
      <x:c r="R985" t="n">
        <x:v>82.5</x:v>
      </x:c>
      <x:c r="S985" t="n">
        <x:v>0.1007</x:v>
      </x:c>
      <x:c r="T985" t="n">
        <x:v>18.5</x:v>
      </x:c>
      <x:c r="U985" t="n">
        <x:v>1903.6</x:v>
      </x:c>
      <x:c r="V985" t="n">
        <x:v>2510</x:v>
      </x:c>
      <x:c r="W985" t="n">
        <x:v>48.6</x:v>
      </x:c>
    </x:row>
    <x:row r="986">
      <x:c r="A986" t="str">
        <x:v>PJT_985</x:v>
      </x:c>
      <x:c r="B986" t="str">
        <x:v>Mediterranean</x:v>
      </x:c>
      <x:c r="C986" t="n">
        <x:v>27620</x:v>
      </x:c>
      <x:c r="D986" t="n">
        <x:v>13</x:v>
      </x:c>
      <x:c r="E986" t="str">
        <x:v>High</x:v>
      </x:c>
      <x:c r="F986" t="str">
        <x:v>Hospital</x:v>
      </x:c>
      <x:c r="G986" t="str">
        <x:v>Shear Wall</x:v>
      </x:c>
      <x:c r="H986" t="str">
        <x:v>Piles</x:v>
      </x:c>
      <x:c r="I986" t="str">
        <x:v>Mixed</x:v>
      </x:c>
      <x:c r="J986" t="str">
        <x:v>High</x:v>
      </x:c>
      <x:c r="K986" t="n">
        <x:v>96918580</x:v>
      </x:c>
      <x:c r="L986" t="n">
        <x:v>1563</x:v>
      </x:c>
      <x:c r="M986" t="n">
        <x:v>336.4</x:v>
      </x:c>
      <x:c r="N986" t="n">
        <x:v>15.2</x:v>
      </x:c>
      <x:c r="O986" t="n">
        <x:v>57.2</x:v>
      </x:c>
      <x:c r="P986" t="str">
        <x:v>Cloudy</x:v>
      </x:c>
      <x:c r="Q986" t="n">
        <x:v>72</x:v>
      </x:c>
      <x:c r="R986" t="n">
        <x:v>85.1</x:v>
      </x:c>
      <x:c r="S986" t="n">
        <x:v>0.1111</x:v>
      </x:c>
      <x:c r="T986" t="n">
        <x:v>22.2</x:v>
      </x:c>
      <x:c r="U986" t="n">
        <x:v>2124.6</x:v>
      </x:c>
      <x:c r="V986" t="n">
        <x:v>3509</x:v>
      </x:c>
      <x:c r="W986" t="n">
        <x:v>56.6</x:v>
      </x:c>
    </x:row>
    <x:row r="987">
      <x:c r="A987" t="str">
        <x:v>PJT_986</x:v>
      </x:c>
      <x:c r="B987" t="str">
        <x:v>Mediterranean</x:v>
      </x:c>
      <x:c r="C987" t="n">
        <x:v>7060</x:v>
      </x:c>
      <x:c r="D987" t="n">
        <x:v>7</x:v>
      </x:c>
      <x:c r="E987" t="str">
        <x:v>Low</x:v>
      </x:c>
      <x:c r="F987" t="str">
        <x:v>Residential</x:v>
      </x:c>
      <x:c r="G987" t="str">
        <x:v>RC Frame</x:v>
      </x:c>
      <x:c r="H987" t="str">
        <x:v>Raft</x:v>
      </x:c>
      <x:c r="I987" t="str">
        <x:v>Mixed</x:v>
      </x:c>
      <x:c r="J987" t="str">
        <x:v>Low</x:v>
      </x:c>
      <x:c r="K987" t="n">
        <x:v>9876940</x:v>
      </x:c>
      <x:c r="L987" t="n">
        <x:v>215</x:v>
      </x:c>
      <x:c r="M987" t="n">
        <x:v>290.9</x:v>
      </x:c>
      <x:c r="N987" t="n">
        <x:v>22.9</x:v>
      </x:c>
      <x:c r="O987" t="n">
        <x:v>60.3</x:v>
      </x:c>
      <x:c r="P987" t="str">
        <x:v>Cloudy</x:v>
      </x:c>
      <x:c r="Q987" t="n">
        <x:v>67</x:v>
      </x:c>
      <x:c r="R987" t="n">
        <x:v>61.3</x:v>
      </x:c>
      <x:c r="S987" t="n">
        <x:v>0.0735</x:v>
      </x:c>
      <x:c r="T987" t="n">
        <x:v>11.7</x:v>
      </x:c>
      <x:c r="U987" t="n">
        <x:v>1008.6</x:v>
      </x:c>
      <x:c r="V987" t="n">
        <x:v>1399</x:v>
      </x:c>
      <x:c r="W987" t="n">
        <x:v>30.4</x:v>
      </x:c>
    </x:row>
    <x:row r="988">
      <x:c r="A988" t="str">
        <x:v>PJT_987</x:v>
      </x:c>
      <x:c r="B988" t="str">
        <x:v>Humid Subtropical</x:v>
      </x:c>
      <x:c r="C988" t="n">
        <x:v>4140</x:v>
      </x:c>
      <x:c r="D988" t="n">
        <x:v>2</x:v>
      </x:c>
      <x:c r="E988" t="str">
        <x:v>Low</x:v>
      </x:c>
      <x:c r="F988" t="str">
        <x:v>School</x:v>
      </x:c>
      <x:c r="G988" t="str">
        <x:v>RC Frame</x:v>
      </x:c>
      <x:c r="H988" t="str">
        <x:v>Strip</x:v>
      </x:c>
      <x:c r="I988" t="str">
        <x:v>Sand</x:v>
      </x:c>
      <x:c r="J988" t="str">
        <x:v>Low</x:v>
      </x:c>
      <x:c r="K988" t="n">
        <x:v>6537060</x:v>
      </x:c>
      <x:c r="L988" t="n">
        <x:v>180</x:v>
      </x:c>
      <x:c r="M988" t="n">
        <x:v>211.9</x:v>
      </x:c>
      <x:c r="N988" t="n">
        <x:v>25.3</x:v>
      </x:c>
      <x:c r="O988" t="n">
        <x:v>77.9</x:v>
      </x:c>
      <x:c r="P988" t="str">
        <x:v>Rainy</x:v>
      </x:c>
      <x:c r="Q988" t="n">
        <x:v>77</x:v>
      </x:c>
      <x:c r="R988" t="n">
        <x:v>58.8</x:v>
      </x:c>
      <x:c r="S988" t="n">
        <x:v>0.0808</x:v>
      </x:c>
      <x:c r="T988" t="n">
        <x:v>13.9</x:v>
      </x:c>
      <x:c r="U988" t="n">
        <x:v>2070</x:v>
      </x:c>
      <x:c r="V988" t="n">
        <x:v>1579</x:v>
      </x:c>
      <x:c r="W988" t="n">
        <x:v>28.7</x:v>
      </x:c>
    </x:row>
    <x:row r="989">
      <x:c r="A989" t="str">
        <x:v>PJT_988</x:v>
      </x:c>
      <x:c r="B989" t="str">
        <x:v>Mediterranean</x:v>
      </x:c>
      <x:c r="C989" t="n">
        <x:v>16350</x:v>
      </x:c>
      <x:c r="D989" t="n">
        <x:v>8</x:v>
      </x:c>
      <x:c r="E989" t="str">
        <x:v>Medium</x:v>
      </x:c>
      <x:c r="F989" t="str">
        <x:v>Commercial</x:v>
      </x:c>
      <x:c r="G989" t="str">
        <x:v>RC Frame</x:v>
      </x:c>
      <x:c r="H989" t="str">
        <x:v>Piles</x:v>
      </x:c>
      <x:c r="I989" t="str">
        <x:v>Soft Clay</x:v>
      </x:c>
      <x:c r="J989" t="str">
        <x:v>High</x:v>
      </x:c>
      <x:c r="K989" t="n">
        <x:v>38079150</x:v>
      </x:c>
      <x:c r="L989" t="n">
        <x:v>760</x:v>
      </x:c>
      <x:c r="M989" t="n">
        <x:v>209.7</x:v>
      </x:c>
      <x:c r="N989" t="n">
        <x:v>12.9</x:v>
      </x:c>
      <x:c r="O989" t="n">
        <x:v>79.8</x:v>
      </x:c>
      <x:c r="P989" t="str">
        <x:v>Stormy</x:v>
      </x:c>
      <x:c r="Q989" t="n">
        <x:v>71</x:v>
      </x:c>
      <x:c r="R989" t="n">
        <x:v>71</x:v>
      </x:c>
      <x:c r="S989" t="n">
        <x:v>0.0933</x:v>
      </x:c>
      <x:c r="T989" t="n">
        <x:v>17.2</x:v>
      </x:c>
      <x:c r="U989" t="n">
        <x:v>2043.8</x:v>
      </x:c>
      <x:c r="V989" t="n">
        <x:v>2329</x:v>
      </x:c>
      <x:c r="W989" t="n">
        <x:v>46.5</x:v>
      </x:c>
    </x:row>
    <x:row r="990">
      <x:c r="A990" t="str">
        <x:v>PJT_989</x:v>
      </x:c>
      <x:c r="B990" t="str">
        <x:v>Humid Subtropical</x:v>
      </x:c>
      <x:c r="C990" t="n">
        <x:v>16980</x:v>
      </x:c>
      <x:c r="D990" t="n">
        <x:v>11</x:v>
      </x:c>
      <x:c r="E990" t="str">
        <x:v>Medium</x:v>
      </x:c>
      <x:c r="F990" t="str">
        <x:v>Commercial</x:v>
      </x:c>
      <x:c r="G990" t="str">
        <x:v>RC Frame</x:v>
      </x:c>
      <x:c r="H990" t="str">
        <x:v>Piles</x:v>
      </x:c>
      <x:c r="I990" t="str">
        <x:v>Soft Clay</x:v>
      </x:c>
      <x:c r="J990" t="str">
        <x:v>Medium</x:v>
      </x:c>
      <x:c r="K990" t="n">
        <x:v>37712580</x:v>
      </x:c>
      <x:c r="L990" t="n">
        <x:v>761</x:v>
      </x:c>
      <x:c r="M990" t="n">
        <x:v>208.4</x:v>
      </x:c>
      <x:c r="N990" t="n">
        <x:v>27.9</x:v>
      </x:c>
      <x:c r="O990" t="n">
        <x:v>78.1</x:v>
      </x:c>
      <x:c r="P990" t="str">
        <x:v>Cloudy</x:v>
      </x:c>
      <x:c r="Q990" t="n">
        <x:v>79</x:v>
      </x:c>
      <x:c r="R990" t="n">
        <x:v>77.7</x:v>
      </x:c>
      <x:c r="S990" t="n">
        <x:v>0.0875</x:v>
      </x:c>
      <x:c r="T990" t="n">
        <x:v>16.5</x:v>
      </x:c>
      <x:c r="U990" t="n">
        <x:v>1543.6</x:v>
      </x:c>
      <x:c r="V990" t="n">
        <x:v>2221</x:v>
      </x:c>
      <x:c r="W990" t="n">
        <x:v>44.8</x:v>
      </x:c>
    </x:row>
    <x:row r="991">
      <x:c r="A991" t="str">
        <x:v>PJT_990</x:v>
      </x:c>
      <x:c r="B991" t="str">
        <x:v>Continental</x:v>
      </x:c>
      <x:c r="C991" t="n">
        <x:v>14580</x:v>
      </x:c>
      <x:c r="D991" t="n">
        <x:v>13</x:v>
      </x:c>
      <x:c r="E991" t="str">
        <x:v>Low</x:v>
      </x:c>
      <x:c r="F991" t="str">
        <x:v>Residential</x:v>
      </x:c>
      <x:c r="G991" t="str">
        <x:v>RC Frame</x:v>
      </x:c>
      <x:c r="H991" t="str">
        <x:v>Raft</x:v>
      </x:c>
      <x:c r="I991" t="str">
        <x:v>Mixed</x:v>
      </x:c>
      <x:c r="J991" t="str">
        <x:v>Low</x:v>
      </x:c>
      <x:c r="K991" t="n">
        <x:v>18502020</x:v>
      </x:c>
      <x:c r="L991" t="n">
        <x:v>512</x:v>
      </x:c>
      <x:c r="M991" t="n">
        <x:v>359.5</x:v>
      </x:c>
      <x:c r="N991" t="n">
        <x:v>1.2</x:v>
      </x:c>
      <x:c r="O991" t="n">
        <x:v>75</x:v>
      </x:c>
      <x:c r="P991" t="str">
        <x:v>Snowy</x:v>
      </x:c>
      <x:c r="Q991" t="n">
        <x:v>79</x:v>
      </x:c>
      <x:c r="R991" t="n">
        <x:v>70.7</x:v>
      </x:c>
      <x:c r="S991" t="n">
        <x:v>0.0765</x:v>
      </x:c>
      <x:c r="T991" t="n">
        <x:v>11.3</x:v>
      </x:c>
      <x:c r="U991" t="n">
        <x:v>1121.5</x:v>
      </x:c>
      <x:c r="V991" t="n">
        <x:v>1269</x:v>
      </x:c>
      <x:c r="W991" t="n">
        <x:v>35.1</x:v>
      </x:c>
    </x:row>
    <x:row r="992">
      <x:c r="A992" t="str">
        <x:v>PJT_991</x:v>
      </x:c>
      <x:c r="B992" t="str">
        <x:v>Continental</x:v>
      </x:c>
      <x:c r="C992" t="n">
        <x:v>18750</x:v>
      </x:c>
      <x:c r="D992" t="n">
        <x:v>13</x:v>
      </x:c>
      <x:c r="E992" t="str">
        <x:v>Medium</x:v>
      </x:c>
      <x:c r="F992" t="str">
        <x:v>Mixed-use</x:v>
      </x:c>
      <x:c r="G992" t="str">
        <x:v>Steel</x:v>
      </x:c>
      <x:c r="H992" t="str">
        <x:v>Piles</x:v>
      </x:c>
      <x:c r="I992" t="str">
        <x:v>Soft Clay</x:v>
      </x:c>
      <x:c r="J992" t="str">
        <x:v>Medium</x:v>
      </x:c>
      <x:c r="K992" t="n">
        <x:v>49406250</x:v>
      </x:c>
      <x:c r="L992" t="n">
        <x:v>1028</x:v>
      </x:c>
      <x:c r="M992" t="n">
        <x:v>164.2</x:v>
      </x:c>
      <x:c r="N992" t="n">
        <x:v>11.6</x:v>
      </x:c>
      <x:c r="O992" t="n">
        <x:v>73.6</x:v>
      </x:c>
      <x:c r="P992" t="str">
        <x:v>Stormy</x:v>
      </x:c>
      <x:c r="Q992" t="n">
        <x:v>96</x:v>
      </x:c>
      <x:c r="R992" t="n">
        <x:v>82.3</x:v>
      </x:c>
      <x:c r="S992" t="n">
        <x:v>0.0992</x:v>
      </x:c>
      <x:c r="T992" t="n">
        <x:v>19.4</x:v>
      </x:c>
      <x:c r="U992" t="n">
        <x:v>1442.3</x:v>
      </x:c>
      <x:c r="V992" t="n">
        <x:v>2635</x:v>
      </x:c>
      <x:c r="W992" t="n">
        <x:v>54.8</x:v>
      </x:c>
    </x:row>
    <x:row r="993">
      <x:c r="A993" t="str">
        <x:v>PJT_992</x:v>
      </x:c>
      <x:c r="B993" t="str">
        <x:v>Continental</x:v>
      </x:c>
      <x:c r="C993" t="n">
        <x:v>24850</x:v>
      </x:c>
      <x:c r="D993" t="n">
        <x:v>14</x:v>
      </x:c>
      <x:c r="E993" t="str">
        <x:v>Medium</x:v>
      </x:c>
      <x:c r="F993" t="str">
        <x:v>Mixed-use</x:v>
      </x:c>
      <x:c r="G993" t="str">
        <x:v>Shear Wall</x:v>
      </x:c>
      <x:c r="H993" t="str">
        <x:v>Piles</x:v>
      </x:c>
      <x:c r="I993" t="str">
        <x:v>Soft Clay</x:v>
      </x:c>
      <x:c r="J993" t="str">
        <x:v>Low</x:v>
      </x:c>
      <x:c r="K993" t="n">
        <x:v>59143000</x:v>
      </x:c>
      <x:c r="L993" t="n">
        <x:v>1290</x:v>
      </x:c>
      <x:c r="M993" t="n">
        <x:v>216.6</x:v>
      </x:c>
      <x:c r="N993" t="n">
        <x:v>14.8</x:v>
      </x:c>
      <x:c r="O993" t="n">
        <x:v>73.9</x:v>
      </x:c>
      <x:c r="P993" t="str">
        <x:v>Rainy</x:v>
      </x:c>
      <x:c r="Q993" t="n">
        <x:v>103</x:v>
      </x:c>
      <x:c r="R993" t="n">
        <x:v>81.2</x:v>
      </x:c>
      <x:c r="S993" t="n">
        <x:v>0.0961</x:v>
      </x:c>
      <x:c r="T993" t="n">
        <x:v>18.2</x:v>
      </x:c>
      <x:c r="U993" t="n">
        <x:v>1775</x:v>
      </x:c>
      <x:c r="V993" t="n">
        <x:v>2380</x:v>
      </x:c>
      <x:c r="W993" t="n">
        <x:v>51.9</x:v>
      </x:c>
    </x:row>
    <x:row r="994">
      <x:c r="A994" t="str">
        <x:v>PJT_993</x:v>
      </x:c>
      <x:c r="B994" t="str">
        <x:v>Continental</x:v>
      </x:c>
      <x:c r="C994" t="n">
        <x:v>19070</x:v>
      </x:c>
      <x:c r="D994" t="n">
        <x:v>13</x:v>
      </x:c>
      <x:c r="E994" t="str">
        <x:v>Medium</x:v>
      </x:c>
      <x:c r="F994" t="str">
        <x:v>Mixed-use</x:v>
      </x:c>
      <x:c r="G994" t="str">
        <x:v>Steel</x:v>
      </x:c>
      <x:c r="H994" t="str">
        <x:v>Piles</x:v>
      </x:c>
      <x:c r="I994" t="str">
        <x:v>Soft Clay</x:v>
      </x:c>
      <x:c r="J994" t="str">
        <x:v>High</x:v>
      </x:c>
      <x:c r="K994" t="n">
        <x:v>50745270</x:v>
      </x:c>
      <x:c r="L994" t="n">
        <x:v>967</x:v>
      </x:c>
      <x:c r="M994" t="n">
        <x:v>214.8</x:v>
      </x:c>
      <x:c r="N994" t="n">
        <x:v>17.8</x:v>
      </x:c>
      <x:c r="O994" t="n">
        <x:v>58.2</x:v>
      </x:c>
      <x:c r="P994" t="str">
        <x:v>Cloudy</x:v>
      </x:c>
      <x:c r="Q994" t="n">
        <x:v>90</x:v>
      </x:c>
      <x:c r="R994" t="n">
        <x:v>77.7</x:v>
      </x:c>
      <x:c r="S994" t="n">
        <x:v>0.0999</x:v>
      </x:c>
      <x:c r="T994" t="n">
        <x:v>19.3</x:v>
      </x:c>
      <x:c r="U994" t="n">
        <x:v>1466.9</x:v>
      </x:c>
      <x:c r="V994" t="n">
        <x:v>2661</x:v>
      </x:c>
      <x:c r="W994" t="n">
        <x:v>50.7</x:v>
      </x:c>
    </x:row>
    <x:row r="995">
      <x:c r="A995" t="str">
        <x:v>PJT_994</x:v>
      </x:c>
      <x:c r="B995" t="str">
        <x:v>Humid Subtropical</x:v>
      </x:c>
      <x:c r="C995" t="n">
        <x:v>20690</x:v>
      </x:c>
      <x:c r="D995" t="n">
        <x:v>11</x:v>
      </x:c>
      <x:c r="E995" t="str">
        <x:v>Medium</x:v>
      </x:c>
      <x:c r="F995" t="str">
        <x:v>Commercial</x:v>
      </x:c>
      <x:c r="G995" t="str">
        <x:v>Steel</x:v>
      </x:c>
      <x:c r="H995" t="str">
        <x:v>Piles</x:v>
      </x:c>
      <x:c r="I995" t="str">
        <x:v>Mixed</x:v>
      </x:c>
      <x:c r="J995" t="str">
        <x:v>Low</x:v>
      </x:c>
      <x:c r="K995" t="n">
        <x:v>51228440</x:v>
      </x:c>
      <x:c r="L995" t="n">
        <x:v>941</x:v>
      </x:c>
      <x:c r="M995" t="n">
        <x:v>318.1</x:v>
      </x:c>
      <x:c r="N995" t="n">
        <x:v>24.9</x:v>
      </x:c>
      <x:c r="O995" t="n">
        <x:v>80.3</x:v>
      </x:c>
      <x:c r="P995" t="str">
        <x:v>Cloudy</x:v>
      </x:c>
      <x:c r="Q995" t="n">
        <x:v>89</x:v>
      </x:c>
      <x:c r="R995" t="n">
        <x:v>75.7</x:v>
      </x:c>
      <x:c r="S995" t="n">
        <x:v>0.0995</x:v>
      </x:c>
      <x:c r="T995" t="n">
        <x:v>16.2</x:v>
      </x:c>
      <x:c r="U995" t="n">
        <x:v>1880.9</x:v>
      </x:c>
      <x:c r="V995" t="n">
        <x:v>2476</x:v>
      </x:c>
      <x:c r="W995" t="n">
        <x:v>45.5</x:v>
      </x:c>
    </x:row>
    <x:row r="996">
      <x:c r="A996" t="str">
        <x:v>PJT_995</x:v>
      </x:c>
      <x:c r="B996" t="str">
        <x:v>Marine</x:v>
      </x:c>
      <x:c r="C996" t="n">
        <x:v>15120</x:v>
      </x:c>
      <x:c r="D996" t="n">
        <x:v>14</x:v>
      </x:c>
      <x:c r="E996" t="str">
        <x:v>Low</x:v>
      </x:c>
      <x:c r="F996" t="str">
        <x:v>Residential</x:v>
      </x:c>
      <x:c r="G996" t="str">
        <x:v>Shear Wall</x:v>
      </x:c>
      <x:c r="H996" t="str">
        <x:v>Raft</x:v>
      </x:c>
      <x:c r="I996" t="str">
        <x:v>Mixed</x:v>
      </x:c>
      <x:c r="J996" t="str">
        <x:v>Medium</x:v>
      </x:c>
      <x:c r="K996" t="n">
        <x:v>21273840</x:v>
      </x:c>
      <x:c r="L996" t="n">
        <x:v>519</x:v>
      </x:c>
      <x:c r="M996" t="n">
        <x:v>330.4</x:v>
      </x:c>
      <x:c r="N996" t="n">
        <x:v>7.2</x:v>
      </x:c>
      <x:c r="O996" t="n">
        <x:v>90.6</x:v>
      </x:c>
      <x:c r="P996" t="str">
        <x:v>Rainy</x:v>
      </x:c>
      <x:c r="Q996" t="n">
        <x:v>72</x:v>
      </x:c>
      <x:c r="R996" t="n">
        <x:v>66.7</x:v>
      </x:c>
      <x:c r="S996" t="n">
        <x:v>0.0809</x:v>
      </x:c>
      <x:c r="T996" t="n">
        <x:v>13.4</x:v>
      </x:c>
      <x:c r="U996" t="n">
        <x:v>1080</x:v>
      </x:c>
      <x:c r="V996" t="n">
        <x:v>1407</x:v>
      </x:c>
      <x:c r="W996" t="n">
        <x:v>34.3</x:v>
      </x:c>
    </x:row>
    <x:row r="997">
      <x:c r="A997" t="str">
        <x:v>PJT_996</x:v>
      </x:c>
      <x:c r="B997" t="str">
        <x:v>Marine</x:v>
      </x:c>
      <x:c r="C997" t="n">
        <x:v>12320</x:v>
      </x:c>
      <x:c r="D997" t="n">
        <x:v>10</x:v>
      </x:c>
      <x:c r="E997" t="str">
        <x:v>Medium</x:v>
      </x:c>
      <x:c r="F997" t="str">
        <x:v>Commercial</x:v>
      </x:c>
      <x:c r="G997" t="str">
        <x:v>RC Frame</x:v>
      </x:c>
      <x:c r="H997" t="str">
        <x:v>Raft</x:v>
      </x:c>
      <x:c r="I997" t="str">
        <x:v>Mixed</x:v>
      </x:c>
      <x:c r="J997" t="str">
        <x:v>Low</x:v>
      </x:c>
      <x:c r="K997" t="n">
        <x:v>27288800</x:v>
      </x:c>
      <x:c r="L997" t="n">
        <x:v>537</x:v>
      </x:c>
      <x:c r="M997" t="n">
        <x:v>285.2</x:v>
      </x:c>
      <x:c r="N997" t="n">
        <x:v>13.3</x:v>
      </x:c>
      <x:c r="O997" t="n">
        <x:v>93.9</x:v>
      </x:c>
      <x:c r="P997" t="str">
        <x:v>Stormy</x:v>
      </x:c>
      <x:c r="Q997" t="n">
        <x:v>103</x:v>
      </x:c>
      <x:c r="R997" t="n">
        <x:v>77</x:v>
      </x:c>
      <x:c r="S997" t="n">
        <x:v>0.095</x:v>
      </x:c>
      <x:c r="T997" t="n">
        <x:v>17</x:v>
      </x:c>
      <x:c r="U997" t="n">
        <x:v>1232</x:v>
      </x:c>
      <x:c r="V997" t="n">
        <x:v>2215</x:v>
      </x:c>
      <x:c r="W997" t="n">
        <x:v>43.6</x:v>
      </x:c>
    </x:row>
    <x:row r="998">
      <x:c r="A998" t="str">
        <x:v>PJT_997</x:v>
      </x:c>
      <x:c r="B998" t="str">
        <x:v>Continental</x:v>
      </x:c>
      <x:c r="C998" t="n">
        <x:v>11750</x:v>
      </x:c>
      <x:c r="D998" t="n">
        <x:v>8</x:v>
      </x:c>
      <x:c r="E998" t="str">
        <x:v>Medium</x:v>
      </x:c>
      <x:c r="F998" t="str">
        <x:v>Commercial</x:v>
      </x:c>
      <x:c r="G998" t="str">
        <x:v>RC Frame</x:v>
      </x:c>
      <x:c r="H998" t="str">
        <x:v>Raft</x:v>
      </x:c>
      <x:c r="I998" t="str">
        <x:v>Rock</x:v>
      </x:c>
      <x:c r="J998" t="str">
        <x:v>Low</x:v>
      </x:c>
      <x:c r="K998" t="n">
        <x:v>24698500</x:v>
      </x:c>
      <x:c r="L998" t="n">
        <x:v>489</x:v>
      </x:c>
      <x:c r="M998" t="n">
        <x:v>633.6</x:v>
      </x:c>
      <x:c r="N998" t="n">
        <x:v>5.8</x:v>
      </x:c>
      <x:c r="O998" t="n">
        <x:v>80.9</x:v>
      </x:c>
      <x:c r="P998" t="str">
        <x:v>Rainy</x:v>
      </x:c>
      <x:c r="Q998" t="n">
        <x:v>98</x:v>
      </x:c>
      <x:c r="R998" t="n">
        <x:v>73.7</x:v>
      </x:c>
      <x:c r="S998" t="n">
        <x:v>0.0949</x:v>
      </x:c>
      <x:c r="T998" t="n">
        <x:v>15.7</x:v>
      </x:c>
      <x:c r="U998" t="n">
        <x:v>1468.8</x:v>
      </x:c>
      <x:c r="V998" t="n">
        <x:v>2102</x:v>
      </x:c>
      <x:c r="W998" t="n">
        <x:v>41.6</x:v>
      </x:c>
    </x:row>
    <x:row r="999">
      <x:c r="A999" t="str">
        <x:v>PJT_998</x:v>
      </x:c>
      <x:c r="B999" t="str">
        <x:v>Continental</x:v>
      </x:c>
      <x:c r="C999" t="n">
        <x:v>8680</x:v>
      </x:c>
      <x:c r="D999" t="n">
        <x:v>3</x:v>
      </x:c>
      <x:c r="E999" t="str">
        <x:v>Low</x:v>
      </x:c>
      <x:c r="F999" t="str">
        <x:v>School</x:v>
      </x:c>
      <x:c r="G999" t="str">
        <x:v>RC Frame</x:v>
      </x:c>
      <x:c r="H999" t="str">
        <x:v>Raft</x:v>
      </x:c>
      <x:c r="I999" t="str">
        <x:v>Rock</x:v>
      </x:c>
      <x:c r="J999" t="str">
        <x:v>Medium</x:v>
      </x:c>
      <x:c r="K999" t="n">
        <x:v>14877520</x:v>
      </x:c>
      <x:c r="L999" t="n">
        <x:v>218</x:v>
      </x:c>
      <x:c r="M999" t="n">
        <x:v>765.7</x:v>
      </x:c>
      <x:c r="N999" t="n">
        <x:v>14.7</x:v>
      </x:c>
      <x:c r="O999" t="n">
        <x:v>58.8</x:v>
      </x:c>
      <x:c r="P999" t="str">
        <x:v>Sunny</x:v>
      </x:c>
      <x:c r="Q999" t="n">
        <x:v>77</x:v>
      </x:c>
      <x:c r="R999" t="n">
        <x:v>65.9</x:v>
      </x:c>
      <x:c r="S999" t="n">
        <x:v>0.0767</x:v>
      </x:c>
      <x:c r="T999" t="n">
        <x:v>13.8</x:v>
      </x:c>
      <x:c r="U999" t="n">
        <x:v>2893.3</x:v>
      </x:c>
      <x:c r="V999" t="n">
        <x:v>1714</x:v>
      </x:c>
      <x:c r="W999" t="n">
        <x:v>25.1</x:v>
      </x:c>
    </x:row>
    <x:row r="1000">
      <x:c r="A1000" t="str">
        <x:v>PJT_999</x:v>
      </x:c>
      <x:c r="B1000" t="str">
        <x:v>Marine</x:v>
      </x:c>
      <x:c r="C1000" t="n">
        <x:v>14970</x:v>
      </x:c>
      <x:c r="D1000" t="n">
        <x:v>9</x:v>
      </x:c>
      <x:c r="E1000" t="str">
        <x:v>Medium</x:v>
      </x:c>
      <x:c r="F1000" t="str">
        <x:v>Commercial</x:v>
      </x:c>
      <x:c r="G1000" t="str">
        <x:v>Steel</x:v>
      </x:c>
      <x:c r="H1000" t="str">
        <x:v>Raft</x:v>
      </x:c>
      <x:c r="I1000" t="str">
        <x:v>Mixed</x:v>
      </x:c>
      <x:c r="J1000" t="str">
        <x:v>High</x:v>
      </x:c>
      <x:c r="K1000" t="n">
        <x:v>37739370</x:v>
      </x:c>
      <x:c r="L1000" t="n">
        <x:v>647</x:v>
      </x:c>
      <x:c r="M1000" t="n">
        <x:v>262.9</x:v>
      </x:c>
      <x:c r="N1000" t="n">
        <x:v>18.5</x:v>
      </x:c>
      <x:c r="O1000" t="n">
        <x:v>67.7</x:v>
      </x:c>
      <x:c r="P1000" t="str">
        <x:v>Cloudy</x:v>
      </x:c>
      <x:c r="Q1000" t="n">
        <x:v>76</x:v>
      </x:c>
      <x:c r="R1000" t="n">
        <x:v>75.4</x:v>
      </x:c>
      <x:c r="S1000" t="n">
        <x:v>0.0958</x:v>
      </x:c>
      <x:c r="T1000" t="n">
        <x:v>18</x:v>
      </x:c>
      <x:c r="U1000" t="n">
        <x:v>1663.3</x:v>
      </x:c>
      <x:c r="V1000" t="n">
        <x:v>2521</x:v>
      </x:c>
      <x:c r="W1000" t="n">
        <x:v>43.2</x:v>
      </x:c>
    </x:row>
    <x:row r="1001">
      <x:c r="A1001" t="str">
        <x:v>PJT_1000</x:v>
      </x:c>
      <x:c r="B1001" t="str">
        <x:v>Humid Subtropical</x:v>
      </x:c>
      <x:c r="C1001" t="n">
        <x:v>19100</x:v>
      </x:c>
      <x:c r="D1001" t="n">
        <x:v>15</x:v>
      </x:c>
      <x:c r="E1001" t="str">
        <x:v>Medium</x:v>
      </x:c>
      <x:c r="F1001" t="str">
        <x:v>Residential</x:v>
      </x:c>
      <x:c r="G1001" t="str">
        <x:v>Shear Wall</x:v>
      </x:c>
      <x:c r="H1001" t="str">
        <x:v>Piles</x:v>
      </x:c>
      <x:c r="I1001" t="str">
        <x:v>Mixed</x:v>
      </x:c>
      <x:c r="J1001" t="str">
        <x:v>Medium</x:v>
      </x:c>
      <x:c r="K1001" t="n">
        <x:v>31113900</x:v>
      </x:c>
      <x:c r="L1001" t="n">
        <x:v>686</x:v>
      </x:c>
      <x:c r="M1001" t="n">
        <x:v>328.3</x:v>
      </x:c>
      <x:c r="N1001" t="n">
        <x:v>30</x:v>
      </x:c>
      <x:c r="O1001" t="n">
        <x:v>59.4</x:v>
      </x:c>
      <x:c r="P1001" t="str">
        <x:v>Sunny</x:v>
      </x:c>
      <x:c r="Q1001" t="n">
        <x:v>68</x:v>
      </x:c>
      <x:c r="R1001" t="n">
        <x:v>72.2</x:v>
      </x:c>
      <x:c r="S1001" t="n">
        <x:v>0.0854</x:v>
      </x:c>
      <x:c r="T1001" t="n">
        <x:v>13.6</x:v>
      </x:c>
      <x:c r="U1001" t="n">
        <x:v>1273.3</x:v>
      </x:c>
      <x:c r="V1001" t="n">
        <x:v>1629</x:v>
      </x:c>
      <x:c r="W1001" t="n">
        <x:v>35.9</x:v>
      </x:c>
    </x:row>
    <x:row r="1002">
      <x:c r="A1002" t="str">
        <x:v>PJT_1001</x:v>
      </x:c>
      <x:c r="B1002" t="str">
        <x:v>Marine</x:v>
      </x:c>
      <x:c r="C1002" t="n">
        <x:v>22040</x:v>
      </x:c>
      <x:c r="D1002" t="n">
        <x:v>16</x:v>
      </x:c>
      <x:c r="E1002" t="str">
        <x:v>Medium</x:v>
      </x:c>
      <x:c r="F1002" t="str">
        <x:v>Mixed-use</x:v>
      </x:c>
      <x:c r="G1002" t="str">
        <x:v>Shear Wall</x:v>
      </x:c>
      <x:c r="H1002" t="str">
        <x:v>Raft</x:v>
      </x:c>
      <x:c r="I1002" t="str">
        <x:v>Rock</x:v>
      </x:c>
      <x:c r="J1002" t="str">
        <x:v>Medium</x:v>
      </x:c>
      <x:c r="K1002" t="n">
        <x:v>56047720</x:v>
      </x:c>
      <x:c r="L1002" t="n">
        <x:v>1073</x:v>
      </x:c>
      <x:c r="M1002" t="n">
        <x:v>732</x:v>
      </x:c>
      <x:c r="N1002" t="n">
        <x:v>16.6</x:v>
      </x:c>
      <x:c r="O1002" t="n">
        <x:v>83.2</x:v>
      </x:c>
      <x:c r="P1002" t="str">
        <x:v>Rainy</x:v>
      </x:c>
      <x:c r="Q1002" t="n">
        <x:v>107</x:v>
      </x:c>
      <x:c r="R1002" t="n">
        <x:v>85</x:v>
      </x:c>
      <x:c r="S1002" t="n">
        <x:v>0.1004</x:v>
      </x:c>
      <x:c r="T1002" t="n">
        <x:v>17.6</x:v>
      </x:c>
      <x:c r="U1002" t="n">
        <x:v>1377.5</x:v>
      </x:c>
      <x:c r="V1002" t="n">
        <x:v>2543</x:v>
      </x:c>
      <x:c r="W1002" t="n">
        <x:v>48.7</x:v>
      </x:c>
    </x:row>
    <x:row r="1003">
      <x:c r="A1003" t="str">
        <x:v>PJT_1002</x:v>
      </x:c>
      <x:c r="B1003" t="str">
        <x:v>Continental</x:v>
      </x:c>
      <x:c r="C1003" t="n">
        <x:v>10080</x:v>
      </x:c>
      <x:c r="D1003" t="n">
        <x:v>6</x:v>
      </x:c>
      <x:c r="E1003" t="str">
        <x:v>Medium</x:v>
      </x:c>
      <x:c r="F1003" t="str">
        <x:v>Commercial</x:v>
      </x:c>
      <x:c r="G1003" t="str">
        <x:v>RC Frame</x:v>
      </x:c>
      <x:c r="H1003" t="str">
        <x:v>Raft</x:v>
      </x:c>
      <x:c r="I1003" t="str">
        <x:v>Soft Clay</x:v>
      </x:c>
      <x:c r="J1003" t="str">
        <x:v>Medium</x:v>
      </x:c>
      <x:c r="K1003" t="n">
        <x:v>21097440</x:v>
      </x:c>
      <x:c r="L1003" t="n">
        <x:v>380</x:v>
      </x:c>
      <x:c r="M1003" t="n">
        <x:v>167</x:v>
      </x:c>
      <x:c r="N1003" t="n">
        <x:v>23.2</x:v>
      </x:c>
      <x:c r="O1003" t="n">
        <x:v>44.3</x:v>
      </x:c>
      <x:c r="P1003" t="str">
        <x:v>Sunny</x:v>
      </x:c>
      <x:c r="Q1003" t="n">
        <x:v>99</x:v>
      </x:c>
      <x:c r="R1003" t="n">
        <x:v>70.9</x:v>
      </x:c>
      <x:c r="S1003" t="n">
        <x:v>0.0922</x:v>
      </x:c>
      <x:c r="T1003" t="n">
        <x:v>16.7</x:v>
      </x:c>
      <x:c r="U1003" t="n">
        <x:v>1680</x:v>
      </x:c>
      <x:c r="V1003" t="n">
        <x:v>2093</x:v>
      </x:c>
      <x:c r="W1003" t="n">
        <x:v>37.7</x:v>
      </x:c>
    </x:row>
    <x:row r="1004">
      <x:c r="A1004" t="str">
        <x:v>PJT_1003</x:v>
      </x:c>
      <x:c r="B1004" t="str">
        <x:v>Humid Subtropical</x:v>
      </x:c>
      <x:c r="C1004" t="n">
        <x:v>10290</x:v>
      </x:c>
      <x:c r="D1004" t="n">
        <x:v>10</x:v>
      </x:c>
      <x:c r="E1004" t="str">
        <x:v>Medium</x:v>
      </x:c>
      <x:c r="F1004" t="str">
        <x:v>Residential</x:v>
      </x:c>
      <x:c r="G1004" t="str">
        <x:v>RC Frame</x:v>
      </x:c>
      <x:c r="H1004" t="str">
        <x:v>Piles</x:v>
      </x:c>
      <x:c r="I1004" t="str">
        <x:v>Soft Clay</x:v>
      </x:c>
      <x:c r="J1004" t="str">
        <x:v>Medium</x:v>
      </x:c>
      <x:c r="K1004" t="n">
        <x:v>16330230</x:v>
      </x:c>
      <x:c r="L1004" t="n">
        <x:v>354</x:v>
      </x:c>
      <x:c r="M1004" t="n">
        <x:v>181</x:v>
      </x:c>
      <x:c r="N1004" t="n">
        <x:v>29.8</x:v>
      </x:c>
      <x:c r="O1004" t="n">
        <x:v>56.9</x:v>
      </x:c>
      <x:c r="P1004" t="str">
        <x:v>Sunny</x:v>
      </x:c>
      <x:c r="Q1004" t="n">
        <x:v>84</x:v>
      </x:c>
      <x:c r="R1004" t="n">
        <x:v>68.5</x:v>
      </x:c>
      <x:c r="S1004" t="n">
        <x:v>0.0796</x:v>
      </x:c>
      <x:c r="T1004" t="n">
        <x:v>12.8</x:v>
      </x:c>
      <x:c r="U1004" t="n">
        <x:v>1029</x:v>
      </x:c>
      <x:c r="V1004" t="n">
        <x:v>1587</x:v>
      </x:c>
      <x:c r="W1004" t="n">
        <x:v>34.4</x:v>
      </x:c>
    </x:row>
    <x:row r="1005">
      <x:c r="A1005" t="str">
        <x:v>PJT_1004</x:v>
      </x:c>
      <x:c r="B1005" t="str">
        <x:v>Humid Subtropical</x:v>
      </x:c>
      <x:c r="C1005" t="n">
        <x:v>19290</x:v>
      </x:c>
      <x:c r="D1005" t="n">
        <x:v>17</x:v>
      </x:c>
      <x:c r="E1005" t="str">
        <x:v>Medium</x:v>
      </x:c>
      <x:c r="F1005" t="str">
        <x:v>Mixed-use</x:v>
      </x:c>
      <x:c r="G1005" t="str">
        <x:v>Steel</x:v>
      </x:c>
      <x:c r="H1005" t="str">
        <x:v>Piles</x:v>
      </x:c>
      <x:c r="I1005" t="str">
        <x:v>Mixed</x:v>
      </x:c>
      <x:c r="J1005" t="str">
        <x:v>Medium</x:v>
      </x:c>
      <x:c r="K1005" t="n">
        <x:v>53491170</x:v>
      </x:c>
      <x:c r="L1005" t="n">
        <x:v>912</x:v>
      </x:c>
      <x:c r="M1005" t="n">
        <x:v>407.9</x:v>
      </x:c>
      <x:c r="N1005" t="n">
        <x:v>29.6</x:v>
      </x:c>
      <x:c r="O1005" t="n">
        <x:v>64.3</x:v>
      </x:c>
      <x:c r="P1005" t="str">
        <x:v>Sunny</x:v>
      </x:c>
      <x:c r="Q1005" t="n">
        <x:v>96</x:v>
      </x:c>
      <x:c r="R1005" t="n">
        <x:v>80.9</x:v>
      </x:c>
      <x:c r="S1005" t="n">
        <x:v>0.1041</x:v>
      </x:c>
      <x:c r="T1005" t="n">
        <x:v>18.6</x:v>
      </x:c>
      <x:c r="U1005" t="n">
        <x:v>1134.7</x:v>
      </x:c>
      <x:c r="V1005" t="n">
        <x:v>2773</x:v>
      </x:c>
      <x:c r="W1005" t="n">
        <x:v>47.3</x:v>
      </x:c>
    </x:row>
    <x:row r="1006">
      <x:c r="A1006" t="str">
        <x:v>PJT_1005</x:v>
      </x:c>
      <x:c r="B1006" t="str">
        <x:v>Continental</x:v>
      </x:c>
      <x:c r="C1006" t="n">
        <x:v>14540</x:v>
      </x:c>
      <x:c r="D1006" t="n">
        <x:v>12</x:v>
      </x:c>
      <x:c r="E1006" t="str">
        <x:v>Medium</x:v>
      </x:c>
      <x:c r="F1006" t="str">
        <x:v>Mixed-use</x:v>
      </x:c>
      <x:c r="G1006" t="str">
        <x:v>Shear Wall</x:v>
      </x:c>
      <x:c r="H1006" t="str">
        <x:v>Raft</x:v>
      </x:c>
      <x:c r="I1006" t="str">
        <x:v>Rock</x:v>
      </x:c>
      <x:c r="J1006" t="str">
        <x:v>Medium</x:v>
      </x:c>
      <x:c r="K1006" t="n">
        <x:v>36582640</x:v>
      </x:c>
      <x:c r="L1006" t="n">
        <x:v>731</x:v>
      </x:c>
      <x:c r="M1006" t="n">
        <x:v>660.6</x:v>
      </x:c>
      <x:c r="N1006" t="n">
        <x:v>3.6</x:v>
      </x:c>
      <x:c r="O1006" t="n">
        <x:v>77.4</x:v>
      </x:c>
      <x:c r="P1006" t="str">
        <x:v>Rainy</x:v>
      </x:c>
      <x:c r="Q1006" t="n">
        <x:v>111</x:v>
      </x:c>
      <x:c r="R1006" t="n">
        <x:v>82.4</x:v>
      </x:c>
      <x:c r="S1006" t="n">
        <x:v>0.0974</x:v>
      </x:c>
      <x:c r="T1006" t="n">
        <x:v>17.3</x:v>
      </x:c>
      <x:c r="U1006" t="n">
        <x:v>1211.7</x:v>
      </x:c>
      <x:c r="V1006" t="n">
        <x:v>2516</x:v>
      </x:c>
      <x:c r="W1006" t="n">
        <x:v>50.3</x:v>
      </x:c>
    </x:row>
    <x:row r="1007">
      <x:c r="A1007" t="str">
        <x:v>PJT_1006</x:v>
      </x:c>
      <x:c r="B1007" t="str">
        <x:v>Marine</x:v>
      </x:c>
      <x:c r="C1007" t="n">
        <x:v>46570</x:v>
      </x:c>
      <x:c r="D1007" t="n">
        <x:v>27</x:v>
      </x:c>
      <x:c r="E1007" t="str">
        <x:v>High</x:v>
      </x:c>
      <x:c r="F1007" t="str">
        <x:v>Mixed-use</x:v>
      </x:c>
      <x:c r="G1007" t="str">
        <x:v>Steel</x:v>
      </x:c>
      <x:c r="H1007" t="str">
        <x:v>Piles</x:v>
      </x:c>
      <x:c r="I1007" t="str">
        <x:v>Soft Clay</x:v>
      </x:c>
      <x:c r="J1007" t="str">
        <x:v>Low</x:v>
      </x:c>
      <x:c r="K1007" t="n">
        <x:v>131047980</x:v>
      </x:c>
      <x:c r="L1007" t="n">
        <x:v>2627</x:v>
      </x:c>
      <x:c r="M1007" t="n">
        <x:v>181.8</x:v>
      </x:c>
      <x:c r="N1007" t="n">
        <x:v>8.2</x:v>
      </x:c>
      <x:c r="O1007" t="n">
        <x:v>67.4</x:v>
      </x:c>
      <x:c r="P1007" t="str">
        <x:v>Cloudy</x:v>
      </x:c>
      <x:c r="Q1007" t="n">
        <x:v>98</x:v>
      </x:c>
      <x:c r="R1007" t="n">
        <x:v>92</x:v>
      </x:c>
      <x:c r="S1007" t="n">
        <x:v>0.1104</x:v>
      </x:c>
      <x:c r="T1007" t="n">
        <x:v>19.7</x:v>
      </x:c>
      <x:c r="U1007" t="n">
        <x:v>1724.8</x:v>
      </x:c>
      <x:c r="V1007" t="n">
        <x:v>2814</x:v>
      </x:c>
      <x:c r="W1007" t="n">
        <x:v>56.4</x:v>
      </x:c>
    </x:row>
    <x:row r="1008">
      <x:c r="A1008" t="str">
        <x:v>PJT_1007</x:v>
      </x:c>
      <x:c r="B1008" t="str">
        <x:v>Continental</x:v>
      </x:c>
      <x:c r="C1008" t="n">
        <x:v>9290</x:v>
      </x:c>
      <x:c r="D1008" t="n">
        <x:v>3</x:v>
      </x:c>
      <x:c r="E1008" t="str">
        <x:v>Low</x:v>
      </x:c>
      <x:c r="F1008" t="str">
        <x:v>School</x:v>
      </x:c>
      <x:c r="G1008" t="str">
        <x:v>RC Frame</x:v>
      </x:c>
      <x:c r="H1008" t="str">
        <x:v>Raft</x:v>
      </x:c>
      <x:c r="I1008" t="str">
        <x:v>Mixed</x:v>
      </x:c>
      <x:c r="J1008" t="str">
        <x:v>Medium</x:v>
      </x:c>
      <x:c r="K1008" t="n">
        <x:v>14891870</x:v>
      </x:c>
      <x:c r="L1008" t="n">
        <x:v>298</x:v>
      </x:c>
      <x:c r="M1008" t="n">
        <x:v>330.1</x:v>
      </x:c>
      <x:c r="N1008" t="n">
        <x:v>15.3</x:v>
      </x:c>
      <x:c r="O1008" t="n">
        <x:v>85.7</x:v>
      </x:c>
      <x:c r="P1008" t="str">
        <x:v>Rainy</x:v>
      </x:c>
      <x:c r="Q1008" t="n">
        <x:v>86</x:v>
      </x:c>
      <x:c r="R1008" t="n">
        <x:v>68.3</x:v>
      </x:c>
      <x:c r="S1008" t="n">
        <x:v>0.0759</x:v>
      </x:c>
      <x:c r="T1008" t="n">
        <x:v>13.3</x:v>
      </x:c>
      <x:c r="U1008" t="n">
        <x:v>3096.7</x:v>
      </x:c>
      <x:c r="V1008" t="n">
        <x:v>1603</x:v>
      </x:c>
      <x:c r="W1008" t="n">
        <x:v>32.1</x:v>
      </x:c>
    </x:row>
    <x:row r="1009">
      <x:c r="A1009" t="str">
        <x:v>PJT_1008</x:v>
      </x:c>
      <x:c r="B1009" t="str">
        <x:v>Mediterranean</x:v>
      </x:c>
      <x:c r="C1009" t="n">
        <x:v>16300</x:v>
      </x:c>
      <x:c r="D1009" t="n">
        <x:v>13</x:v>
      </x:c>
      <x:c r="E1009" t="str">
        <x:v>Medium</x:v>
      </x:c>
      <x:c r="F1009" t="str">
        <x:v>Residential</x:v>
      </x:c>
      <x:c r="G1009" t="str">
        <x:v>Shear Wall</x:v>
      </x:c>
      <x:c r="H1009" t="str">
        <x:v>Piles</x:v>
      </x:c>
      <x:c r="I1009" t="str">
        <x:v>Soft Clay</x:v>
      </x:c>
      <x:c r="J1009" t="str">
        <x:v>High</x:v>
      </x:c>
      <x:c r="K1009" t="n">
        <x:v>28476100</x:v>
      </x:c>
      <x:c r="L1009" t="n">
        <x:v>629</x:v>
      </x:c>
      <x:c r="M1009" t="n">
        <x:v>192.5</x:v>
      </x:c>
      <x:c r="N1009" t="n">
        <x:v>24.4</x:v>
      </x:c>
      <x:c r="O1009" t="n">
        <x:v>50.8</x:v>
      </x:c>
      <x:c r="P1009" t="str">
        <x:v>Sunny</x:v>
      </x:c>
      <x:c r="Q1009" t="n">
        <x:v>51</x:v>
      </x:c>
      <x:c r="R1009" t="n">
        <x:v>75.7</x:v>
      </x:c>
      <x:c r="S1009" t="n">
        <x:v>0.0832</x:v>
      </x:c>
      <x:c r="T1009" t="n">
        <x:v>13.7</x:v>
      </x:c>
      <x:c r="U1009" t="n">
        <x:v>1253.8</x:v>
      </x:c>
      <x:c r="V1009" t="n">
        <x:v>1747</x:v>
      </x:c>
      <x:c r="W1009" t="n">
        <x:v>38.6</x:v>
      </x:c>
    </x:row>
    <x:row r="1010">
      <x:c r="A1010" t="str">
        <x:v>PJT_1009</x:v>
      </x:c>
      <x:c r="B1010" t="str">
        <x:v>Mediterranean</x:v>
      </x:c>
      <x:c r="C1010" t="n">
        <x:v>18490</x:v>
      </x:c>
      <x:c r="D1010" t="n">
        <x:v>12</x:v>
      </x:c>
      <x:c r="E1010" t="str">
        <x:v>Medium</x:v>
      </x:c>
      <x:c r="F1010" t="str">
        <x:v>Commercial</x:v>
      </x:c>
      <x:c r="G1010" t="str">
        <x:v>Steel</x:v>
      </x:c>
      <x:c r="H1010" t="str">
        <x:v>Piles</x:v>
      </x:c>
      <x:c r="I1010" t="str">
        <x:v>Sand</x:v>
      </x:c>
      <x:c r="J1010" t="str">
        <x:v>Low</x:v>
      </x:c>
      <x:c r="K1010" t="n">
        <x:v>43747340</x:v>
      </x:c>
      <x:c r="L1010" t="n">
        <x:v>801</x:v>
      </x:c>
      <x:c r="M1010" t="n">
        <x:v>351.3</x:v>
      </x:c>
      <x:c r="N1010" t="n">
        <x:v>29.2</x:v>
      </x:c>
      <x:c r="O1010" t="n">
        <x:v>54.5</x:v>
      </x:c>
      <x:c r="P1010" t="str">
        <x:v>Sunny</x:v>
      </x:c>
      <x:c r="Q1010" t="n">
        <x:v>76</x:v>
      </x:c>
      <x:c r="R1010" t="n">
        <x:v>73.3</x:v>
      </x:c>
      <x:c r="S1010" t="n">
        <x:v>0.0956</x:v>
      </x:c>
      <x:c r="T1010" t="n">
        <x:v>17.8</x:v>
      </x:c>
      <x:c r="U1010" t="n">
        <x:v>1540.8</x:v>
      </x:c>
      <x:c r="V1010" t="n">
        <x:v>2366</x:v>
      </x:c>
      <x:c r="W1010" t="n">
        <x:v>43.3</x:v>
      </x:c>
    </x:row>
    <x:row r="1011">
      <x:c r="A1011" t="str">
        <x:v>PJT_1010</x:v>
      </x:c>
      <x:c r="B1011" t="str">
        <x:v>Continental</x:v>
      </x:c>
      <x:c r="C1011" t="n">
        <x:v>18440</x:v>
      </x:c>
      <x:c r="D1011" t="n">
        <x:v>12</x:v>
      </x:c>
      <x:c r="E1011" t="str">
        <x:v>Medium</x:v>
      </x:c>
      <x:c r="F1011" t="str">
        <x:v>Commercial</x:v>
      </x:c>
      <x:c r="G1011" t="str">
        <x:v>RC Frame</x:v>
      </x:c>
      <x:c r="H1011" t="str">
        <x:v>Raft</x:v>
      </x:c>
      <x:c r="I1011" t="str">
        <x:v>Mixed</x:v>
      </x:c>
      <x:c r="J1011" t="str">
        <x:v>High</x:v>
      </x:c>
      <x:c r="K1011" t="n">
        <x:v>40733960</x:v>
      </x:c>
      <x:c r="L1011" t="n">
        <x:v>736</x:v>
      </x:c>
      <x:c r="M1011" t="n">
        <x:v>332.8</x:v>
      </x:c>
      <x:c r="N1011" t="n">
        <x:v>21.4</x:v>
      </x:c>
      <x:c r="O1011" t="n">
        <x:v>52.9</x:v>
      </x:c>
      <x:c r="P1011" t="str">
        <x:v>Cloudy</x:v>
      </x:c>
      <x:c r="Q1011" t="n">
        <x:v>91</x:v>
      </x:c>
      <x:c r="R1011" t="n">
        <x:v>76.9</x:v>
      </x:c>
      <x:c r="S1011" t="n">
        <x:v>0.0916</x:v>
      </x:c>
      <x:c r="T1011" t="n">
        <x:v>15.7</x:v>
      </x:c>
      <x:c r="U1011" t="n">
        <x:v>1536.7</x:v>
      </x:c>
      <x:c r="V1011" t="n">
        <x:v>2209</x:v>
      </x:c>
      <x:c r="W1011" t="n">
        <x:v>39.9</x:v>
      </x:c>
    </x:row>
    <x:row r="1012">
      <x:c r="A1012" t="str">
        <x:v>PJT_1011</x:v>
      </x:c>
      <x:c r="B1012" t="str">
        <x:v>Continental</x:v>
      </x:c>
      <x:c r="C1012" t="n">
        <x:v>26080</x:v>
      </x:c>
      <x:c r="D1012" t="n">
        <x:v>20</x:v>
      </x:c>
      <x:c r="E1012" t="str">
        <x:v>High</x:v>
      </x:c>
      <x:c r="F1012" t="str">
        <x:v>Mixed-use</x:v>
      </x:c>
      <x:c r="G1012" t="str">
        <x:v>Steel</x:v>
      </x:c>
      <x:c r="H1012" t="str">
        <x:v>Piles</x:v>
      </x:c>
      <x:c r="I1012" t="str">
        <x:v>Rock</x:v>
      </x:c>
      <x:c r="J1012" t="str">
        <x:v>Medium</x:v>
      </x:c>
      <x:c r="K1012" t="n">
        <x:v>75944960</x:v>
      </x:c>
      <x:c r="L1012" t="n">
        <x:v>1481</x:v>
      </x:c>
      <x:c r="M1012" t="n">
        <x:v>660.9</x:v>
      </x:c>
      <x:c r="N1012" t="n">
        <x:v>11.1</x:v>
      </x:c>
      <x:c r="O1012" t="n">
        <x:v>81.7</x:v>
      </x:c>
      <x:c r="P1012" t="str">
        <x:v>Rainy</x:v>
      </x:c>
      <x:c r="Q1012" t="n">
        <x:v>100</x:v>
      </x:c>
      <x:c r="R1012" t="n">
        <x:v>87.7</x:v>
      </x:c>
      <x:c r="S1012" t="n">
        <x:v>0.1096</x:v>
      </x:c>
      <x:c r="T1012" t="n">
        <x:v>20.9</x:v>
      </x:c>
      <x:c r="U1012" t="n">
        <x:v>1304</x:v>
      </x:c>
      <x:c r="V1012" t="n">
        <x:v>2912</x:v>
      </x:c>
      <x:c r="W1012" t="n">
        <x:v>56.8</x:v>
      </x:c>
    </x:row>
    <x:row r="1013">
      <x:c r="A1013" t="str">
        <x:v>PJT_1012</x:v>
      </x:c>
      <x:c r="B1013" t="str">
        <x:v>Humid Subtropical</x:v>
      </x:c>
      <x:c r="C1013" t="n">
        <x:v>17770</x:v>
      </x:c>
      <x:c r="D1013" t="n">
        <x:v>15</x:v>
      </x:c>
      <x:c r="E1013" t="str">
        <x:v>Medium</x:v>
      </x:c>
      <x:c r="F1013" t="str">
        <x:v>Mixed-use</x:v>
      </x:c>
      <x:c r="G1013" t="str">
        <x:v>Shear Wall</x:v>
      </x:c>
      <x:c r="H1013" t="str">
        <x:v>Piles</x:v>
      </x:c>
      <x:c r="I1013" t="str">
        <x:v>Soft Clay</x:v>
      </x:c>
      <x:c r="J1013" t="str">
        <x:v>Low</x:v>
      </x:c>
      <x:c r="K1013" t="n">
        <x:v>45242420</x:v>
      </x:c>
      <x:c r="L1013" t="n">
        <x:v>857</x:v>
      </x:c>
      <x:c r="M1013" t="n">
        <x:v>221</x:v>
      </x:c>
      <x:c r="N1013" t="n">
        <x:v>23.9</x:v>
      </x:c>
      <x:c r="O1013" t="n">
        <x:v>68.4</x:v>
      </x:c>
      <x:c r="P1013" t="str">
        <x:v>Cloudy</x:v>
      </x:c>
      <x:c r="Q1013" t="n">
        <x:v>88</x:v>
      </x:c>
      <x:c r="R1013" t="n">
        <x:v>80</x:v>
      </x:c>
      <x:c r="S1013" t="n">
        <x:v>0.1</x:v>
      </x:c>
      <x:c r="T1013" t="n">
        <x:v>18</x:v>
      </x:c>
      <x:c r="U1013" t="n">
        <x:v>1184.7</x:v>
      </x:c>
      <x:c r="V1013" t="n">
        <x:v>2546</x:v>
      </x:c>
      <x:c r="W1013" t="n">
        <x:v>48.2</x:v>
      </x:c>
    </x:row>
    <x:row r="1014">
      <x:c r="A1014" t="str">
        <x:v>PJT_1013</x:v>
      </x:c>
      <x:c r="B1014" t="str">
        <x:v>Marine</x:v>
      </x:c>
      <x:c r="C1014" t="n">
        <x:v>21660</x:v>
      </x:c>
      <x:c r="D1014" t="n">
        <x:v>13</x:v>
      </x:c>
      <x:c r="E1014" t="str">
        <x:v>Medium</x:v>
      </x:c>
      <x:c r="F1014" t="str">
        <x:v>Commercial</x:v>
      </x:c>
      <x:c r="G1014" t="str">
        <x:v>Steel</x:v>
      </x:c>
      <x:c r="H1014" t="str">
        <x:v>Piles</x:v>
      </x:c>
      <x:c r="I1014" t="str">
        <x:v>Soft Clay</x:v>
      </x:c>
      <x:c r="J1014" t="str">
        <x:v>Low</x:v>
      </x:c>
      <x:c r="K1014" t="n">
        <x:v>52287240</x:v>
      </x:c>
      <x:c r="L1014" t="n">
        <x:v>1025</x:v>
      </x:c>
      <x:c r="M1014" t="n">
        <x:v>238.2</x:v>
      </x:c>
      <x:c r="N1014" t="n">
        <x:v>10.4</x:v>
      </x:c>
      <x:c r="O1014" t="n">
        <x:v>65.6</x:v>
      </x:c>
      <x:c r="P1014" t="str">
        <x:v>Cloudy</x:v>
      </x:c>
      <x:c r="Q1014" t="n">
        <x:v>67</x:v>
      </x:c>
      <x:c r="R1014" t="n">
        <x:v>75.5</x:v>
      </x:c>
      <x:c r="S1014" t="n">
        <x:v>0.0987</x:v>
      </x:c>
      <x:c r="T1014" t="n">
        <x:v>16.5</x:v>
      </x:c>
      <x:c r="U1014" t="n">
        <x:v>1666.2</x:v>
      </x:c>
      <x:c r="V1014" t="n">
        <x:v>2414</x:v>
      </x:c>
      <x:c r="W1014" t="n">
        <x:v>47.3</x:v>
      </x:c>
    </x:row>
    <x:row r="1015">
      <x:c r="A1015" t="str">
        <x:v>PJT_1014</x:v>
      </x:c>
      <x:c r="B1015" t="str">
        <x:v>Continental</x:v>
      </x:c>
      <x:c r="C1015" t="n">
        <x:v>7090</x:v>
      </x:c>
      <x:c r="D1015" t="n">
        <x:v>11</x:v>
      </x:c>
      <x:c r="E1015" t="str">
        <x:v>Low</x:v>
      </x:c>
      <x:c r="F1015" t="str">
        <x:v>Residential</x:v>
      </x:c>
      <x:c r="G1015" t="str">
        <x:v>RC Frame</x:v>
      </x:c>
      <x:c r="H1015" t="str">
        <x:v>Piles</x:v>
      </x:c>
      <x:c r="I1015" t="str">
        <x:v>Soft Clay</x:v>
      </x:c>
      <x:c r="J1015" t="str">
        <x:v>Low</x:v>
      </x:c>
      <x:c r="K1015" t="n">
        <x:v>10003990</x:v>
      </x:c>
      <x:c r="L1015" t="n">
        <x:v>264</x:v>
      </x:c>
      <x:c r="M1015" t="n">
        <x:v>221.5</x:v>
      </x:c>
      <x:c r="N1015" t="n">
        <x:v>-1.3</x:v>
      </x:c>
      <x:c r="O1015" t="n">
        <x:v>79.8</x:v>
      </x:c>
      <x:c r="P1015" t="str">
        <x:v>Snowy</x:v>
      </x:c>
      <x:c r="Q1015" t="n">
        <x:v>71</x:v>
      </x:c>
      <x:c r="R1015" t="n">
        <x:v>66.8</x:v>
      </x:c>
      <x:c r="S1015" t="n">
        <x:v>0.0736</x:v>
      </x:c>
      <x:c r="T1015" t="n">
        <x:v>11.6</x:v>
      </x:c>
      <x:c r="U1015" t="n">
        <x:v>644.5</x:v>
      </x:c>
      <x:c r="V1015" t="n">
        <x:v>1411</x:v>
      </x:c>
      <x:c r="W1015" t="n">
        <x:v>37.2</x:v>
      </x:c>
    </x:row>
    <x:row r="1016">
      <x:c r="A1016" t="str">
        <x:v>PJT_1015</x:v>
      </x:c>
      <x:c r="B1016" t="str">
        <x:v>Mediterranean</x:v>
      </x:c>
      <x:c r="C1016" t="n">
        <x:v>11980</x:v>
      </x:c>
      <x:c r="D1016" t="n">
        <x:v>4</x:v>
      </x:c>
      <x:c r="E1016" t="str">
        <x:v>Low</x:v>
      </x:c>
      <x:c r="F1016" t="str">
        <x:v>School</x:v>
      </x:c>
      <x:c r="G1016" t="str">
        <x:v>RC Frame</x:v>
      </x:c>
      <x:c r="H1016" t="str">
        <x:v>Raft</x:v>
      </x:c>
      <x:c r="I1016" t="str">
        <x:v>Rock</x:v>
      </x:c>
      <x:c r="J1016" t="str">
        <x:v>Medium</x:v>
      </x:c>
      <x:c r="K1016" t="n">
        <x:v>20006600</x:v>
      </x:c>
      <x:c r="L1016" t="n">
        <x:v>397</x:v>
      </x:c>
      <x:c r="M1016" t="n">
        <x:v>653.5</x:v>
      </x:c>
      <x:c r="N1016" t="n">
        <x:v>9</x:v>
      </x:c>
      <x:c r="O1016" t="n">
        <x:v>77.5</x:v>
      </x:c>
      <x:c r="P1016" t="str">
        <x:v>Stormy</x:v>
      </x:c>
      <x:c r="Q1016" t="n">
        <x:v>85</x:v>
      </x:c>
      <x:c r="R1016" t="n">
        <x:v>59.7</x:v>
      </x:c>
      <x:c r="S1016" t="n">
        <x:v>0.0758</x:v>
      </x:c>
      <x:c r="T1016" t="n">
        <x:v>14</x:v>
      </x:c>
      <x:c r="U1016" t="n">
        <x:v>2995</x:v>
      </x:c>
      <x:c r="V1016" t="n">
        <x:v>1670</x:v>
      </x:c>
      <x:c r="W1016" t="n">
        <x:v>33.1</x:v>
      </x:c>
    </x:row>
    <x:row r="1017">
      <x:c r="A1017" t="str">
        <x:v>PJT_1016</x:v>
      </x:c>
      <x:c r="B1017" t="str">
        <x:v>Marine</x:v>
      </x:c>
      <x:c r="C1017" t="n">
        <x:v>14500</x:v>
      </x:c>
      <x:c r="D1017" t="n">
        <x:v>13</x:v>
      </x:c>
      <x:c r="E1017" t="str">
        <x:v>Medium</x:v>
      </x:c>
      <x:c r="F1017" t="str">
        <x:v>Mixed-use</x:v>
      </x:c>
      <x:c r="G1017" t="str">
        <x:v>Shear Wall</x:v>
      </x:c>
      <x:c r="H1017" t="str">
        <x:v>Piles</x:v>
      </x:c>
      <x:c r="I1017" t="str">
        <x:v>Soft Clay</x:v>
      </x:c>
      <x:c r="J1017" t="str">
        <x:v>Low</x:v>
      </x:c>
      <x:c r="K1017" t="n">
        <x:v>37076500</x:v>
      </x:c>
      <x:c r="L1017" t="n">
        <x:v>680</x:v>
      </x:c>
      <x:c r="M1017" t="n">
        <x:v>197.4</x:v>
      </x:c>
      <x:c r="N1017" t="n">
        <x:v>13.4</x:v>
      </x:c>
      <x:c r="O1017" t="n">
        <x:v>70</x:v>
      </x:c>
      <x:c r="P1017" t="str">
        <x:v>Sunny</x:v>
      </x:c>
      <x:c r="Q1017" t="n">
        <x:v>72</x:v>
      </x:c>
      <x:c r="R1017" t="n">
        <x:v>85.1</x:v>
      </x:c>
      <x:c r="S1017" t="n">
        <x:v>0.1037</x:v>
      </x:c>
      <x:c r="T1017" t="n">
        <x:v>17.7</x:v>
      </x:c>
      <x:c r="U1017" t="n">
        <x:v>1115.4</x:v>
      </x:c>
      <x:c r="V1017" t="n">
        <x:v>2557</x:v>
      </x:c>
      <x:c r="W1017" t="n">
        <x:v>46.9</x:v>
      </x:c>
    </x:row>
    <x:row r="1018">
      <x:c r="A1018" t="str">
        <x:v>PJT_1017</x:v>
      </x:c>
      <x:c r="B1018" t="str">
        <x:v>Continental</x:v>
      </x:c>
      <x:c r="C1018" t="n">
        <x:v>9880</x:v>
      </x:c>
      <x:c r="D1018" t="n">
        <x:v>12</x:v>
      </x:c>
      <x:c r="E1018" t="str">
        <x:v>Low</x:v>
      </x:c>
      <x:c r="F1018" t="str">
        <x:v>Residential</x:v>
      </x:c>
      <x:c r="G1018" t="str">
        <x:v>RC Frame</x:v>
      </x:c>
      <x:c r="H1018" t="str">
        <x:v>Raft</x:v>
      </x:c>
      <x:c r="I1018" t="str">
        <x:v>Mixed</x:v>
      </x:c>
      <x:c r="J1018" t="str">
        <x:v>Medium</x:v>
      </x:c>
      <x:c r="K1018" t="n">
        <x:v>13328120</x:v>
      </x:c>
      <x:c r="L1018" t="n">
        <x:v>315</x:v>
      </x:c>
      <x:c r="M1018" t="n">
        <x:v>326.8</x:v>
      </x:c>
      <x:c r="N1018" t="n">
        <x:v>7.6</x:v>
      </x:c>
      <x:c r="O1018" t="n">
        <x:v>64.4</x:v>
      </x:c>
      <x:c r="P1018" t="str">
        <x:v>Cloudy</x:v>
      </x:c>
      <x:c r="Q1018" t="n">
        <x:v>81</x:v>
      </x:c>
      <x:c r="R1018" t="n">
        <x:v>62.4</x:v>
      </x:c>
      <x:c r="S1018" t="n">
        <x:v>0.0773</x:v>
      </x:c>
      <x:c r="T1018" t="n">
        <x:v>11.3</x:v>
      </x:c>
      <x:c r="U1018" t="n">
        <x:v>823.3</x:v>
      </x:c>
      <x:c r="V1018" t="n">
        <x:v>1349</x:v>
      </x:c>
      <x:c r="W1018" t="n">
        <x:v>31.9</x:v>
      </x:c>
    </x:row>
    <x:row r="1019">
      <x:c r="A1019" t="str">
        <x:v>PJT_1018</x:v>
      </x:c>
      <x:c r="B1019" t="str">
        <x:v>Marine</x:v>
      </x:c>
      <x:c r="C1019" t="n">
        <x:v>25930</x:v>
      </x:c>
      <x:c r="D1019" t="n">
        <x:v>12</x:v>
      </x:c>
      <x:c r="E1019" t="str">
        <x:v>Medium</x:v>
      </x:c>
      <x:c r="F1019" t="str">
        <x:v>Commercial</x:v>
      </x:c>
      <x:c r="G1019" t="str">
        <x:v>Steel</x:v>
      </x:c>
      <x:c r="H1019" t="str">
        <x:v>Piles</x:v>
      </x:c>
      <x:c r="I1019" t="str">
        <x:v>Mixed</x:v>
      </x:c>
      <x:c r="J1019" t="str">
        <x:v>Low</x:v>
      </x:c>
      <x:c r="K1019" t="n">
        <x:v>61583750</x:v>
      </x:c>
      <x:c r="L1019" t="n">
        <x:v>1201</x:v>
      </x:c>
      <x:c r="M1019" t="n">
        <x:v>394.2</x:v>
      </x:c>
      <x:c r="N1019" t="n">
        <x:v>10.1</x:v>
      </x:c>
      <x:c r="O1019" t="n">
        <x:v>70.7</x:v>
      </x:c>
      <x:c r="P1019" t="str">
        <x:v>Cloudy</x:v>
      </x:c>
      <x:c r="Q1019" t="n">
        <x:v>92</x:v>
      </x:c>
      <x:c r="R1019" t="n">
        <x:v>74.3</x:v>
      </x:c>
      <x:c r="S1019" t="n">
        <x:v>0.0988</x:v>
      </x:c>
      <x:c r="T1019" t="n">
        <x:v>16.8</x:v>
      </x:c>
      <x:c r="U1019" t="n">
        <x:v>2160.8</x:v>
      </x:c>
      <x:c r="V1019" t="n">
        <x:v>2375</x:v>
      </x:c>
      <x:c r="W1019" t="n">
        <x:v>46.3</x:v>
      </x:c>
    </x:row>
    <x:row r="1020">
      <x:c r="A1020" t="str">
        <x:v>PJT_1019</x:v>
      </x:c>
      <x:c r="B1020" t="str">
        <x:v>Humid Subtropical</x:v>
      </x:c>
      <x:c r="C1020" t="n">
        <x:v>12250</x:v>
      </x:c>
      <x:c r="D1020" t="n">
        <x:v>15</x:v>
      </x:c>
      <x:c r="E1020" t="str">
        <x:v>Medium</x:v>
      </x:c>
      <x:c r="F1020" t="str">
        <x:v>Residential</x:v>
      </x:c>
      <x:c r="G1020" t="str">
        <x:v>Shear Wall</x:v>
      </x:c>
      <x:c r="H1020" t="str">
        <x:v>Raft</x:v>
      </x:c>
      <x:c r="I1020" t="str">
        <x:v>Rock</x:v>
      </x:c>
      <x:c r="J1020" t="str">
        <x:v>Medium</x:v>
      </x:c>
      <x:c r="K1020" t="n">
        <x:v>20139000</x:v>
      </x:c>
      <x:c r="L1020" t="n">
        <x:v>436</x:v>
      </x:c>
      <x:c r="M1020" t="n">
        <x:v>764.3</x:v>
      </x:c>
      <x:c r="N1020" t="n">
        <x:v>26.7</x:v>
      </x:c>
      <x:c r="O1020" t="n">
        <x:v>74.4</x:v>
      </x:c>
      <x:c r="P1020" t="str">
        <x:v>Cloudy</x:v>
      </x:c>
      <x:c r="Q1020" t="n">
        <x:v>74</x:v>
      </x:c>
      <x:c r="R1020" t="n">
        <x:v>71.5</x:v>
      </x:c>
      <x:c r="S1020" t="n">
        <x:v>0.0853</x:v>
      </x:c>
      <x:c r="T1020" t="n">
        <x:v>13.5</x:v>
      </x:c>
      <x:c r="U1020" t="n">
        <x:v>816.7</x:v>
      </x:c>
      <x:c r="V1020" t="n">
        <x:v>1644</x:v>
      </x:c>
      <x:c r="W1020" t="n">
        <x:v>35.6</x:v>
      </x:c>
    </x:row>
    <x:row r="1021">
      <x:c r="A1021" t="str">
        <x:v>PJT_1020</x:v>
      </x:c>
      <x:c r="B1021" t="str">
        <x:v>Marine</x:v>
      </x:c>
      <x:c r="C1021" t="n">
        <x:v>9040</x:v>
      </x:c>
      <x:c r="D1021" t="n">
        <x:v>15</x:v>
      </x:c>
      <x:c r="E1021" t="str">
        <x:v>Low</x:v>
      </x:c>
      <x:c r="F1021" t="str">
        <x:v>Residential</x:v>
      </x:c>
      <x:c r="G1021" t="str">
        <x:v>RC Frame</x:v>
      </x:c>
      <x:c r="H1021" t="str">
        <x:v>Piles</x:v>
      </x:c>
      <x:c r="I1021" t="str">
        <x:v>Sand</x:v>
      </x:c>
      <x:c r="J1021" t="str">
        <x:v>Low</x:v>
      </x:c>
      <x:c r="K1021" t="n">
        <x:v>12366720</x:v>
      </x:c>
      <x:c r="L1021" t="n">
        <x:v>346</x:v>
      </x:c>
      <x:c r="M1021" t="n">
        <x:v>237.5</x:v>
      </x:c>
      <x:c r="N1021" t="n">
        <x:v>11.3</x:v>
      </x:c>
      <x:c r="O1021" t="n">
        <x:v>83.2</x:v>
      </x:c>
      <x:c r="P1021" t="str">
        <x:v>Stormy</x:v>
      </x:c>
      <x:c r="Q1021" t="n">
        <x:v>87</x:v>
      </x:c>
      <x:c r="R1021" t="n">
        <x:v>69.5</x:v>
      </x:c>
      <x:c r="S1021" t="n">
        <x:v>0.0709</x:v>
      </x:c>
      <x:c r="T1021" t="n">
        <x:v>11.5</x:v>
      </x:c>
      <x:c r="U1021" t="n">
        <x:v>602.7</x:v>
      </x:c>
      <x:c r="V1021" t="n">
        <x:v>1368</x:v>
      </x:c>
      <x:c r="W1021" t="n">
        <x:v>38.3</x:v>
      </x:c>
    </x:row>
    <x:row r="1022">
      <x:c r="A1022" t="str">
        <x:v>PJT_1021</x:v>
      </x:c>
      <x:c r="B1022" t="str">
        <x:v>Marine</x:v>
      </x:c>
      <x:c r="C1022" t="n">
        <x:v>3900</x:v>
      </x:c>
      <x:c r="D1022" t="n">
        <x:v>5</x:v>
      </x:c>
      <x:c r="E1022" t="str">
        <x:v>Low</x:v>
      </x:c>
      <x:c r="F1022" t="str">
        <x:v>Residential</x:v>
      </x:c>
      <x:c r="G1022" t="str">
        <x:v>RC Frame</x:v>
      </x:c>
      <x:c r="H1022" t="str">
        <x:v>Raft</x:v>
      </x:c>
      <x:c r="I1022" t="str">
        <x:v>Mixed</x:v>
      </x:c>
      <x:c r="J1022" t="str">
        <x:v>Medium</x:v>
      </x:c>
      <x:c r="K1022" t="n">
        <x:v>5436600</x:v>
      </x:c>
      <x:c r="L1022" t="n">
        <x:v>180</x:v>
      </x:c>
      <x:c r="M1022" t="n">
        <x:v>276</x:v>
      </x:c>
      <x:c r="N1022" t="n">
        <x:v>16</x:v>
      </x:c>
      <x:c r="O1022" t="n">
        <x:v>82.4</x:v>
      </x:c>
      <x:c r="P1022" t="str">
        <x:v>Rainy</x:v>
      </x:c>
      <x:c r="Q1022" t="n">
        <x:v>76</x:v>
      </x:c>
      <x:c r="R1022" t="n">
        <x:v>59.4</x:v>
      </x:c>
      <x:c r="S1022" t="n">
        <x:v>0.0702</x:v>
      </x:c>
      <x:c r="T1022" t="n">
        <x:v>11.1</x:v>
      </x:c>
      <x:c r="U1022" t="n">
        <x:v>780</x:v>
      </x:c>
      <x:c r="V1022" t="n">
        <x:v>1394</x:v>
      </x:c>
      <x:c r="W1022" t="n">
        <x:v>31.5</x:v>
      </x:c>
    </x:row>
    <x:row r="1023">
      <x:c r="A1023" t="str">
        <x:v>PJT_1022</x:v>
      </x:c>
      <x:c r="B1023" t="str">
        <x:v>Mediterranean</x:v>
      </x:c>
      <x:c r="C1023" t="n">
        <x:v>19870</x:v>
      </x:c>
      <x:c r="D1023" t="n">
        <x:v>11</x:v>
      </x:c>
      <x:c r="E1023" t="str">
        <x:v>Medium</x:v>
      </x:c>
      <x:c r="F1023" t="str">
        <x:v>Commercial</x:v>
      </x:c>
      <x:c r="G1023" t="str">
        <x:v>RC Frame</x:v>
      </x:c>
      <x:c r="H1023" t="str">
        <x:v>Raft</x:v>
      </x:c>
      <x:c r="I1023" t="str">
        <x:v>Mixed</x:v>
      </x:c>
      <x:c r="J1023" t="str">
        <x:v>High</x:v>
      </x:c>
      <x:c r="K1023" t="n">
        <x:v>45661260</x:v>
      </x:c>
      <x:c r="L1023" t="n">
        <x:v>809</x:v>
      </x:c>
      <x:c r="M1023" t="n">
        <x:v>269.2</x:v>
      </x:c>
      <x:c r="N1023" t="n">
        <x:v>17.3</x:v>
      </x:c>
      <x:c r="O1023" t="n">
        <x:v>64.4</x:v>
      </x:c>
      <x:c r="P1023" t="str">
        <x:v>Cloudy</x:v>
      </x:c>
      <x:c r="Q1023" t="n">
        <x:v>87</x:v>
      </x:c>
      <x:c r="R1023" t="n">
        <x:v>79.3</x:v>
      </x:c>
      <x:c r="S1023" t="n">
        <x:v>0.091</x:v>
      </x:c>
      <x:c r="T1023" t="n">
        <x:v>17</x:v>
      </x:c>
      <x:c r="U1023" t="n">
        <x:v>1806.4</x:v>
      </x:c>
      <x:c r="V1023" t="n">
        <x:v>2298</x:v>
      </x:c>
      <x:c r="W1023" t="n">
        <x:v>40.7</x:v>
      </x:c>
    </x:row>
    <x:row r="1024">
      <x:c r="A1024" t="str">
        <x:v>PJT_1023</x:v>
      </x:c>
      <x:c r="B1024" t="str">
        <x:v>Marine</x:v>
      </x:c>
      <x:c r="C1024" t="n">
        <x:v>27810</x:v>
      </x:c>
      <x:c r="D1024" t="n">
        <x:v>19</x:v>
      </x:c>
      <x:c r="E1024" t="str">
        <x:v>High</x:v>
      </x:c>
      <x:c r="F1024" t="str">
        <x:v>Mixed-use</x:v>
      </x:c>
      <x:c r="G1024" t="str">
        <x:v>Steel</x:v>
      </x:c>
      <x:c r="H1024" t="str">
        <x:v>Piles</x:v>
      </x:c>
      <x:c r="I1024" t="str">
        <x:v>Mixed</x:v>
      </x:c>
      <x:c r="J1024" t="str">
        <x:v>Medium</x:v>
      </x:c>
      <x:c r="K1024" t="n">
        <x:v>83096280</x:v>
      </x:c>
      <x:c r="L1024" t="n">
        <x:v>1524</x:v>
      </x:c>
      <x:c r="M1024" t="n">
        <x:v>303.8</x:v>
      </x:c>
      <x:c r="N1024" t="n">
        <x:v>12.9</x:v>
      </x:c>
      <x:c r="O1024" t="n">
        <x:v>75.6</x:v>
      </x:c>
      <x:c r="P1024" t="str">
        <x:v>Cloudy</x:v>
      </x:c>
      <x:c r="Q1024" t="n">
        <x:v>93</x:v>
      </x:c>
      <x:c r="R1024" t="n">
        <x:v>84.2</x:v>
      </x:c>
      <x:c r="S1024" t="n">
        <x:v>0.106</x:v>
      </x:c>
      <x:c r="T1024" t="n">
        <x:v>20.3</x:v>
      </x:c>
      <x:c r="U1024" t="n">
        <x:v>1463.7</x:v>
      </x:c>
      <x:c r="V1024" t="n">
        <x:v>2988</x:v>
      </x:c>
      <x:c r="W1024" t="n">
        <x:v>54.8</x:v>
      </x:c>
    </x:row>
    <x:row r="1025">
      <x:c r="A1025" t="str">
        <x:v>PJT_1024</x:v>
      </x:c>
      <x:c r="B1025" t="str">
        <x:v>Marine</x:v>
      </x:c>
      <x:c r="C1025" t="n">
        <x:v>32090</x:v>
      </x:c>
      <x:c r="D1025" t="n">
        <x:v>23</x:v>
      </x:c>
      <x:c r="E1025" t="str">
        <x:v>Medium</x:v>
      </x:c>
      <x:c r="F1025" t="str">
        <x:v>Commercial</x:v>
      </x:c>
      <x:c r="G1025" t="str">
        <x:v>Steel</x:v>
      </x:c>
      <x:c r="H1025" t="str">
        <x:v>Piles</x:v>
      </x:c>
      <x:c r="I1025" t="str">
        <x:v>Mixed</x:v>
      </x:c>
      <x:c r="J1025" t="str">
        <x:v>Low</x:v>
      </x:c>
      <x:c r="K1025" t="n">
        <x:v>82792200</x:v>
      </x:c>
      <x:c r="L1025" t="n">
        <x:v>1643</x:v>
      </x:c>
      <x:c r="M1025" t="n">
        <x:v>319.5</x:v>
      </x:c>
      <x:c r="N1025" t="n">
        <x:v>9.9</x:v>
      </x:c>
      <x:c r="O1025" t="n">
        <x:v>81.8</x:v>
      </x:c>
      <x:c r="P1025" t="str">
        <x:v>Stormy</x:v>
      </x:c>
      <x:c r="Q1025" t="n">
        <x:v>81</x:v>
      </x:c>
      <x:c r="R1025" t="n">
        <x:v>85</x:v>
      </x:c>
      <x:c r="S1025" t="n">
        <x:v>0.1009</x:v>
      </x:c>
      <x:c r="T1025" t="n">
        <x:v>16.7</x:v>
      </x:c>
      <x:c r="U1025" t="n">
        <x:v>1395.2</x:v>
      </x:c>
      <x:c r="V1025" t="n">
        <x:v>2580</x:v>
      </x:c>
      <x:c r="W1025" t="n">
        <x:v>51.2</x:v>
      </x:c>
    </x:row>
    <x:row r="1026">
      <x:c r="A1026" t="str">
        <x:v>PJT_1025</x:v>
      </x:c>
      <x:c r="B1026" t="str">
        <x:v>Marine</x:v>
      </x:c>
      <x:c r="C1026" t="n">
        <x:v>22210</x:v>
      </x:c>
      <x:c r="D1026" t="n">
        <x:v>14</x:v>
      </x:c>
      <x:c r="E1026" t="str">
        <x:v>High</x:v>
      </x:c>
      <x:c r="F1026" t="str">
        <x:v>Mixed-use</x:v>
      </x:c>
      <x:c r="G1026" t="str">
        <x:v>Shear Wall</x:v>
      </x:c>
      <x:c r="H1026" t="str">
        <x:v>Piles</x:v>
      </x:c>
      <x:c r="I1026" t="str">
        <x:v>Mixed</x:v>
      </x:c>
      <x:c r="J1026" t="str">
        <x:v>Medium</x:v>
      </x:c>
      <x:c r="K1026" t="n">
        <x:v>59589430</x:v>
      </x:c>
      <x:c r="L1026" t="n">
        <x:v>1226</x:v>
      </x:c>
      <x:c r="M1026" t="n">
        <x:v>376.9</x:v>
      </x:c>
      <x:c r="N1026" t="n">
        <x:v>11.8</x:v>
      </x:c>
      <x:c r="O1026" t="n">
        <x:v>66.3</x:v>
      </x:c>
      <x:c r="P1026" t="str">
        <x:v>Cloudy</x:v>
      </x:c>
      <x:c r="Q1026" t="n">
        <x:v>68</x:v>
      </x:c>
      <x:c r="R1026" t="n">
        <x:v>83.8</x:v>
      </x:c>
      <x:c r="S1026" t="n">
        <x:v>0.1074</x:v>
      </x:c>
      <x:c r="T1026" t="n">
        <x:v>19</x:v>
      </x:c>
      <x:c r="U1026" t="n">
        <x:v>1586.4</x:v>
      </x:c>
      <x:c r="V1026" t="n">
        <x:v>2683</x:v>
      </x:c>
      <x:c r="W1026" t="n">
        <x:v>55.2</x:v>
      </x:c>
    </x:row>
    <x:row r="1027">
      <x:c r="A1027" t="str">
        <x:v>PJT_1026</x:v>
      </x:c>
      <x:c r="B1027" t="str">
        <x:v>Marine</x:v>
      </x:c>
      <x:c r="C1027" t="n">
        <x:v>14640</x:v>
      </x:c>
      <x:c r="D1027" t="n">
        <x:v>12</x:v>
      </x:c>
      <x:c r="E1027" t="str">
        <x:v>Medium</x:v>
      </x:c>
      <x:c r="F1027" t="str">
        <x:v>Residential</x:v>
      </x:c>
      <x:c r="G1027" t="str">
        <x:v>RC Frame</x:v>
      </x:c>
      <x:c r="H1027" t="str">
        <x:v>Piles</x:v>
      </x:c>
      <x:c r="I1027" t="str">
        <x:v>Soft Clay</x:v>
      </x:c>
      <x:c r="J1027" t="str">
        <x:v>Medium</x:v>
      </x:c>
      <x:c r="K1027" t="n">
        <x:v>22545600</x:v>
      </x:c>
      <x:c r="L1027" t="n">
        <x:v>578</x:v>
      </x:c>
      <x:c r="M1027" t="n">
        <x:v>239.2</x:v>
      </x:c>
      <x:c r="N1027" t="n">
        <x:v>14.8</x:v>
      </x:c>
      <x:c r="O1027" t="n">
        <x:v>85.5</x:v>
      </x:c>
      <x:c r="P1027" t="str">
        <x:v>Rainy</x:v>
      </x:c>
      <x:c r="Q1027" t="n">
        <x:v>65</x:v>
      </x:c>
      <x:c r="R1027" t="n">
        <x:v>67.3</x:v>
      </x:c>
      <x:c r="S1027" t="n">
        <x:v>0.0814</x:v>
      </x:c>
      <x:c r="T1027" t="n">
        <x:v>13.9</x:v>
      </x:c>
      <x:c r="U1027" t="n">
        <x:v>1220</x:v>
      </x:c>
      <x:c r="V1027" t="n">
        <x:v>1540</x:v>
      </x:c>
      <x:c r="W1027" t="n">
        <x:v>39.5</x:v>
      </x:c>
    </x:row>
    <x:row r="1028">
      <x:c r="A1028" t="str">
        <x:v>PJT_1027</x:v>
      </x:c>
      <x:c r="B1028" t="str">
        <x:v>Marine</x:v>
      </x:c>
      <x:c r="C1028" t="n">
        <x:v>31540</x:v>
      </x:c>
      <x:c r="D1028" t="n">
        <x:v>16</x:v>
      </x:c>
      <x:c r="E1028" t="str">
        <x:v>Medium</x:v>
      </x:c>
      <x:c r="F1028" t="str">
        <x:v>Commercial</x:v>
      </x:c>
      <x:c r="G1028" t="str">
        <x:v>Steel</x:v>
      </x:c>
      <x:c r="H1028" t="str">
        <x:v>Piles</x:v>
      </x:c>
      <x:c r="I1028" t="str">
        <x:v>Mixed</x:v>
      </x:c>
      <x:c r="J1028" t="str">
        <x:v>Medium</x:v>
      </x:c>
      <x:c r="K1028" t="n">
        <x:v>80206220</x:v>
      </x:c>
      <x:c r="L1028" t="n">
        <x:v>1413</x:v>
      </x:c>
      <x:c r="M1028" t="n">
        <x:v>323.5</x:v>
      </x:c>
      <x:c r="N1028" t="n">
        <x:v>19.4</x:v>
      </x:c>
      <x:c r="O1028" t="n">
        <x:v>68.3</x:v>
      </x:c>
      <x:c r="P1028" t="str">
        <x:v>Cloudy</x:v>
      </x:c>
      <x:c r="Q1028" t="n">
        <x:v>82</x:v>
      </x:c>
      <x:c r="R1028" t="n">
        <x:v>81.3</x:v>
      </x:c>
      <x:c r="S1028" t="n">
        <x:v>0.1007</x:v>
      </x:c>
      <x:c r="T1028" t="n">
        <x:v>17.7</x:v>
      </x:c>
      <x:c r="U1028" t="n">
        <x:v>1971.2</x:v>
      </x:c>
      <x:c r="V1028" t="n">
        <x:v>2543</x:v>
      </x:c>
      <x:c r="W1028" t="n">
        <x:v>44.8</x:v>
      </x:c>
    </x:row>
    <x:row r="1029">
      <x:c r="A1029" t="str">
        <x:v>PJT_1028</x:v>
      </x:c>
      <x:c r="B1029" t="str">
        <x:v>Mediterranean</x:v>
      </x:c>
      <x:c r="C1029" t="n">
        <x:v>20050</x:v>
      </x:c>
      <x:c r="D1029" t="n">
        <x:v>13</x:v>
      </x:c>
      <x:c r="E1029" t="str">
        <x:v>Medium</x:v>
      </x:c>
      <x:c r="F1029" t="str">
        <x:v>Commercial</x:v>
      </x:c>
      <x:c r="G1029" t="str">
        <x:v>Steel</x:v>
      </x:c>
      <x:c r="H1029" t="str">
        <x:v>Piles</x:v>
      </x:c>
      <x:c r="I1029" t="str">
        <x:v>Mixed</x:v>
      </x:c>
      <x:c r="J1029" t="str">
        <x:v>Medium</x:v>
      </x:c>
      <x:c r="K1029" t="n">
        <x:v>48260350</x:v>
      </x:c>
      <x:c r="L1029" t="n">
        <x:v>974</x:v>
      </x:c>
      <x:c r="M1029" t="n">
        <x:v>306.3</x:v>
      </x:c>
      <x:c r="N1029" t="n">
        <x:v>16.2</x:v>
      </x:c>
      <x:c r="O1029" t="n">
        <x:v>75.9</x:v>
      </x:c>
      <x:c r="P1029" t="str">
        <x:v>Rainy</x:v>
      </x:c>
      <x:c r="Q1029" t="n">
        <x:v>103</x:v>
      </x:c>
      <x:c r="R1029" t="n">
        <x:v>79.8</x:v>
      </x:c>
      <x:c r="S1029" t="n">
        <x:v>0.0948</x:v>
      </x:c>
      <x:c r="T1029" t="n">
        <x:v>16.8</x:v>
      </x:c>
      <x:c r="U1029" t="n">
        <x:v>1542.3</x:v>
      </x:c>
      <x:c r="V1029" t="n">
        <x:v>2407</x:v>
      </x:c>
      <x:c r="W1029" t="n">
        <x:v>48.6</x:v>
      </x:c>
    </x:row>
    <x:row r="1030">
      <x:c r="A1030" t="str">
        <x:v>PJT_1029</x:v>
      </x:c>
      <x:c r="B1030" t="str">
        <x:v>Humid Subtropical</x:v>
      </x:c>
      <x:c r="C1030" t="n">
        <x:v>29070</x:v>
      </x:c>
      <x:c r="D1030" t="n">
        <x:v>22</x:v>
      </x:c>
      <x:c r="E1030" t="str">
        <x:v>High</x:v>
      </x:c>
      <x:c r="F1030" t="str">
        <x:v>Mixed-use</x:v>
      </x:c>
      <x:c r="G1030" t="str">
        <x:v>Steel</x:v>
      </x:c>
      <x:c r="H1030" t="str">
        <x:v>Piles</x:v>
      </x:c>
      <x:c r="I1030" t="str">
        <x:v>Sand</x:v>
      </x:c>
      <x:c r="J1030" t="str">
        <x:v>Medium</x:v>
      </x:c>
      <x:c r="K1030" t="n">
        <x:v>84884400</x:v>
      </x:c>
      <x:c r="L1030" t="n">
        <x:v>1663</x:v>
      </x:c>
      <x:c r="M1030" t="n">
        <x:v>307.5</x:v>
      </x:c>
      <x:c r="N1030" t="n">
        <x:v>24.8</x:v>
      </x:c>
      <x:c r="O1030" t="n">
        <x:v>85.7</x:v>
      </x:c>
      <x:c r="P1030" t="str">
        <x:v>Rainy</x:v>
      </x:c>
      <x:c r="Q1030" t="n">
        <x:v>83</x:v>
      </x:c>
      <x:c r="R1030" t="n">
        <x:v>91.8</x:v>
      </x:c>
      <x:c r="S1030" t="n">
        <x:v>0.1098</x:v>
      </x:c>
      <x:c r="T1030" t="n">
        <x:v>20.4</x:v>
      </x:c>
      <x:c r="U1030" t="n">
        <x:v>1321.4</x:v>
      </x:c>
      <x:c r="V1030" t="n">
        <x:v>2920</x:v>
      </x:c>
      <x:c r="W1030" t="n">
        <x:v>57.2</x:v>
      </x:c>
    </x:row>
    <x:row r="1031">
      <x:c r="A1031" t="str">
        <x:v>PJT_1030</x:v>
      </x:c>
      <x:c r="B1031" t="str">
        <x:v>Mediterranean</x:v>
      </x:c>
      <x:c r="C1031" t="n">
        <x:v>8500</x:v>
      </x:c>
      <x:c r="D1031" t="n">
        <x:v>10</x:v>
      </x:c>
      <x:c r="E1031" t="str">
        <x:v>Low</x:v>
      </x:c>
      <x:c r="F1031" t="str">
        <x:v>Residential</x:v>
      </x:c>
      <x:c r="G1031" t="str">
        <x:v>Shear Wall</x:v>
      </x:c>
      <x:c r="H1031" t="str">
        <x:v>Raft</x:v>
      </x:c>
      <x:c r="I1031" t="str">
        <x:v>Rock</x:v>
      </x:c>
      <x:c r="J1031" t="str">
        <x:v>High</x:v>
      </x:c>
      <x:c r="K1031" t="n">
        <x:v>13634000</x:v>
      </x:c>
      <x:c r="L1031" t="n">
        <x:v>280</x:v>
      </x:c>
      <x:c r="M1031" t="n">
        <x:v>651.4</x:v>
      </x:c>
      <x:c r="N1031" t="n">
        <x:v>30</x:v>
      </x:c>
      <x:c r="O1031" t="n">
        <x:v>55.6</x:v>
      </x:c>
      <x:c r="P1031" t="str">
        <x:v>Sunny</x:v>
      </x:c>
      <x:c r="Q1031" t="n">
        <x:v>60</x:v>
      </x:c>
      <x:c r="R1031" t="n">
        <x:v>69.2</x:v>
      </x:c>
      <x:c r="S1031" t="n">
        <x:v>0.0801</x:v>
      </x:c>
      <x:c r="T1031" t="n">
        <x:v>12.4</x:v>
      </x:c>
      <x:c r="U1031" t="n">
        <x:v>850</x:v>
      </x:c>
      <x:c r="V1031" t="n">
        <x:v>1604</x:v>
      </x:c>
      <x:c r="W1031" t="n">
        <x:v>32.9</x:v>
      </x:c>
    </x:row>
    <x:row r="1032">
      <x:c r="A1032" t="str">
        <x:v>PJT_1031</x:v>
      </x:c>
      <x:c r="B1032" t="str">
        <x:v>Continental</x:v>
      </x:c>
      <x:c r="C1032" t="n">
        <x:v>11950</x:v>
      </x:c>
      <x:c r="D1032" t="n">
        <x:v>16</x:v>
      </x:c>
      <x:c r="E1032" t="str">
        <x:v>Medium</x:v>
      </x:c>
      <x:c r="F1032" t="str">
        <x:v>Residential</x:v>
      </x:c>
      <x:c r="G1032" t="str">
        <x:v>Shear Wall</x:v>
      </x:c>
      <x:c r="H1032" t="str">
        <x:v>Raft</x:v>
      </x:c>
      <x:c r="I1032" t="str">
        <x:v>Rock</x:v>
      </x:c>
      <x:c r="J1032" t="str">
        <x:v>High</x:v>
      </x:c>
      <x:c r="K1032" t="n">
        <x:v>20183550</x:v>
      </x:c>
      <x:c r="L1032" t="n">
        <x:v>500</x:v>
      </x:c>
      <x:c r="M1032" t="n">
        <x:v>759</x:v>
      </x:c>
      <x:c r="N1032" t="n">
        <x:v>-2.8</x:v>
      </x:c>
      <x:c r="O1032" t="n">
        <x:v>67.9</x:v>
      </x:c>
      <x:c r="P1032" t="str">
        <x:v>Snowy</x:v>
      </x:c>
      <x:c r="Q1032" t="n">
        <x:v>87</x:v>
      </x:c>
      <x:c r="R1032" t="n">
        <x:v>76.7</x:v>
      </x:c>
      <x:c r="S1032" t="n">
        <x:v>0.0814</x:v>
      </x:c>
      <x:c r="T1032" t="n">
        <x:v>12.7</x:v>
      </x:c>
      <x:c r="U1032" t="n">
        <x:v>746.9</x:v>
      </x:c>
      <x:c r="V1032" t="n">
        <x:v>1689</x:v>
      </x:c>
      <x:c r="W1032" t="n">
        <x:v>41.8</x:v>
      </x:c>
    </x:row>
    <x:row r="1033">
      <x:c r="A1033" t="str">
        <x:v>PJT_1032</x:v>
      </x:c>
      <x:c r="B1033" t="str">
        <x:v>Humid Subtropical</x:v>
      </x:c>
      <x:c r="C1033" t="n">
        <x:v>10690</x:v>
      </x:c>
      <x:c r="D1033" t="n">
        <x:v>3</x:v>
      </x:c>
      <x:c r="E1033" t="str">
        <x:v>Low</x:v>
      </x:c>
      <x:c r="F1033" t="str">
        <x:v>School</x:v>
      </x:c>
      <x:c r="G1033" t="str">
        <x:v>RC Frame</x:v>
      </x:c>
      <x:c r="H1033" t="str">
        <x:v>Raft</x:v>
      </x:c>
      <x:c r="I1033" t="str">
        <x:v>Soft Clay</x:v>
      </x:c>
      <x:c r="J1033" t="str">
        <x:v>Medium</x:v>
      </x:c>
      <x:c r="K1033" t="n">
        <x:v>17542290</x:v>
      </x:c>
      <x:c r="L1033" t="n">
        <x:v>288</x:v>
      </x:c>
      <x:c r="M1033" t="n">
        <x:v>177.7</x:v>
      </x:c>
      <x:c r="N1033" t="n">
        <x:v>26.4</x:v>
      </x:c>
      <x:c r="O1033" t="n">
        <x:v>54.4</x:v>
      </x:c>
      <x:c r="P1033" t="str">
        <x:v>Sunny</x:v>
      </x:c>
      <x:c r="Q1033" t="n">
        <x:v>69</x:v>
      </x:c>
      <x:c r="R1033" t="n">
        <x:v>63.8</x:v>
      </x:c>
      <x:c r="S1033" t="n">
        <x:v>0.0782</x:v>
      </x:c>
      <x:c r="T1033" t="n">
        <x:v>13.3</x:v>
      </x:c>
      <x:c r="U1033" t="n">
        <x:v>3563.3</x:v>
      </x:c>
      <x:c r="V1033" t="n">
        <x:v>1641</x:v>
      </x:c>
      <x:c r="W1033" t="n">
        <x:v>26.9</x:v>
      </x:c>
    </x:row>
    <x:row r="1034">
      <x:c r="A1034" t="str">
        <x:v>PJT_1033</x:v>
      </x:c>
      <x:c r="B1034" t="str">
        <x:v>Mediterranean</x:v>
      </x:c>
      <x:c r="C1034" t="n">
        <x:v>37570</x:v>
      </x:c>
      <x:c r="D1034" t="n">
        <x:v>28</x:v>
      </x:c>
      <x:c r="E1034" t="str">
        <x:v>High</x:v>
      </x:c>
      <x:c r="F1034" t="str">
        <x:v>Mixed-use</x:v>
      </x:c>
      <x:c r="G1034" t="str">
        <x:v>Steel</x:v>
      </x:c>
      <x:c r="H1034" t="str">
        <x:v>Piles</x:v>
      </x:c>
      <x:c r="I1034" t="str">
        <x:v>Mixed</x:v>
      </x:c>
      <x:c r="J1034" t="str">
        <x:v>High</x:v>
      </x:c>
      <x:c r="K1034" t="n">
        <x:v>115715600</x:v>
      </x:c>
      <x:c r="L1034" t="n">
        <x:v>2115</x:v>
      </x:c>
      <x:c r="M1034" t="n">
        <x:v>422.4</x:v>
      </x:c>
      <x:c r="N1034" t="n">
        <x:v>29.4</x:v>
      </x:c>
      <x:c r="O1034" t="n">
        <x:v>53</x:v>
      </x:c>
      <x:c r="P1034" t="str">
        <x:v>Sunny</x:v>
      </x:c>
      <x:c r="Q1034" t="n">
        <x:v>93</x:v>
      </x:c>
      <x:c r="R1034" t="n">
        <x:v>89.2</x:v>
      </x:c>
      <x:c r="S1034" t="n">
        <x:v>0.1035</x:v>
      </x:c>
      <x:c r="T1034" t="n">
        <x:v>20.6</x:v>
      </x:c>
      <x:c r="U1034" t="n">
        <x:v>1341.8</x:v>
      </x:c>
      <x:c r="V1034" t="n">
        <x:v>3080</x:v>
      </x:c>
      <x:c r="W1034" t="n">
        <x:v>56.3</x:v>
      </x:c>
    </x:row>
    <x:row r="1035">
      <x:c r="A1035" t="str">
        <x:v>PJT_1034</x:v>
      </x:c>
      <x:c r="B1035" t="str">
        <x:v>Humid Subtropical</x:v>
      </x:c>
      <x:c r="C1035" t="n">
        <x:v>8560</x:v>
      </x:c>
      <x:c r="D1035" t="n">
        <x:v>9</x:v>
      </x:c>
      <x:c r="E1035" t="str">
        <x:v>Medium</x:v>
      </x:c>
      <x:c r="F1035" t="str">
        <x:v>Residential</x:v>
      </x:c>
      <x:c r="G1035" t="str">
        <x:v>Shear Wall</x:v>
      </x:c>
      <x:c r="H1035" t="str">
        <x:v>Raft</x:v>
      </x:c>
      <x:c r="I1035" t="str">
        <x:v>Sand</x:v>
      </x:c>
      <x:c r="J1035" t="str">
        <x:v>High</x:v>
      </x:c>
      <x:c r="K1035" t="n">
        <x:v>14115440</x:v>
      </x:c>
      <x:c r="L1035" t="n">
        <x:v>304</x:v>
      </x:c>
      <x:c r="M1035" t="n">
        <x:v>268.1</x:v>
      </x:c>
      <x:c r="N1035" t="n">
        <x:v>21.6</x:v>
      </x:c>
      <x:c r="O1035" t="n">
        <x:v>74.2</x:v>
      </x:c>
      <x:c r="P1035" t="str">
        <x:v>Cloudy</x:v>
      </x:c>
      <x:c r="Q1035" t="n">
        <x:v>85</x:v>
      </x:c>
      <x:c r="R1035" t="n">
        <x:v>74</x:v>
      </x:c>
      <x:c r="S1035" t="n">
        <x:v>0.0805</x:v>
      </x:c>
      <x:c r="T1035" t="n">
        <x:v>12.8</x:v>
      </x:c>
      <x:c r="U1035" t="n">
        <x:v>951.1</x:v>
      </x:c>
      <x:c r="V1035" t="n">
        <x:v>1649</x:v>
      </x:c>
      <x:c r="W1035" t="n">
        <x:v>35.5</x:v>
      </x:c>
    </x:row>
    <x:row r="1036">
      <x:c r="A1036" t="str">
        <x:v>PJT_1035</x:v>
      </x:c>
      <x:c r="B1036" t="str">
        <x:v>Continental</x:v>
      </x:c>
      <x:c r="C1036" t="n">
        <x:v>8410</x:v>
      </x:c>
      <x:c r="D1036" t="n">
        <x:v>11</x:v>
      </x:c>
      <x:c r="E1036" t="str">
        <x:v>Low</x:v>
      </x:c>
      <x:c r="F1036" t="str">
        <x:v>Residential</x:v>
      </x:c>
      <x:c r="G1036" t="str">
        <x:v>RC Frame</x:v>
      </x:c>
      <x:c r="H1036" t="str">
        <x:v>Raft</x:v>
      </x:c>
      <x:c r="I1036" t="str">
        <x:v>Rock</x:v>
      </x:c>
      <x:c r="J1036" t="str">
        <x:v>Medium</x:v>
      </x:c>
      <x:c r="K1036" t="n">
        <x:v>11832870</x:v>
      </x:c>
      <x:c r="L1036" t="n">
        <x:v>281</x:v>
      </x:c>
      <x:c r="M1036" t="n">
        <x:v>717.7</x:v>
      </x:c>
      <x:c r="N1036" t="n">
        <x:v>16.2</x:v>
      </x:c>
      <x:c r="O1036" t="n">
        <x:v>65.6</x:v>
      </x:c>
      <x:c r="P1036" t="str">
        <x:v>Rainy</x:v>
      </x:c>
      <x:c r="Q1036" t="n">
        <x:v>70</x:v>
      </x:c>
      <x:c r="R1036" t="n">
        <x:v>61.4</x:v>
      </x:c>
      <x:c r="S1036" t="n">
        <x:v>0.0774</x:v>
      </x:c>
      <x:c r="T1036" t="n">
        <x:v>11.5</x:v>
      </x:c>
      <x:c r="U1036" t="n">
        <x:v>764.5</x:v>
      </x:c>
      <x:c r="V1036" t="n">
        <x:v>1407</x:v>
      </x:c>
      <x:c r="W1036" t="n">
        <x:v>33.4</x:v>
      </x:c>
    </x:row>
    <x:row r="1037">
      <x:c r="A1037" t="str">
        <x:v>PJT_1036</x:v>
      </x:c>
      <x:c r="B1037" t="str">
        <x:v>Continental</x:v>
      </x:c>
      <x:c r="C1037" t="n">
        <x:v>29680</x:v>
      </x:c>
      <x:c r="D1037" t="n">
        <x:v>24</x:v>
      </x:c>
      <x:c r="E1037" t="str">
        <x:v>High</x:v>
      </x:c>
      <x:c r="F1037" t="str">
        <x:v>Mixed-use</x:v>
      </x:c>
      <x:c r="G1037" t="str">
        <x:v>Steel</x:v>
      </x:c>
      <x:c r="H1037" t="str">
        <x:v>Piles</x:v>
      </x:c>
      <x:c r="I1037" t="str">
        <x:v>Rock</x:v>
      </x:c>
      <x:c r="J1037" t="str">
        <x:v>High</x:v>
      </x:c>
      <x:c r="K1037" t="n">
        <x:v>88832240</x:v>
      </x:c>
      <x:c r="L1037" t="n">
        <x:v>1721</x:v>
      </x:c>
      <x:c r="M1037" t="n">
        <x:v>832.5</x:v>
      </x:c>
      <x:c r="N1037" t="n">
        <x:v>-7.7</x:v>
      </x:c>
      <x:c r="O1037" t="n">
        <x:v>60.5</x:v>
      </x:c>
      <x:c r="P1037" t="str">
        <x:v>Snowy</x:v>
      </x:c>
      <x:c r="Q1037" t="n">
        <x:v>101</x:v>
      </x:c>
      <x:c r="R1037" t="n">
        <x:v>92</x:v>
      </x:c>
      <x:c r="S1037" t="n">
        <x:v>0.1034</x:v>
      </x:c>
      <x:c r="T1037" t="n">
        <x:v>20.4</x:v>
      </x:c>
      <x:c r="U1037" t="n">
        <x:v>1236.7</x:v>
      </x:c>
      <x:c r="V1037" t="n">
        <x:v>2993</x:v>
      </x:c>
      <x:c r="W1037" t="n">
        <x:v>58</x:v>
      </x:c>
    </x:row>
    <x:row r="1038">
      <x:c r="A1038" t="str">
        <x:v>PJT_1037</x:v>
      </x:c>
      <x:c r="B1038" t="str">
        <x:v>Humid Subtropical</x:v>
      </x:c>
      <x:c r="C1038" t="n">
        <x:v>27200</x:v>
      </x:c>
      <x:c r="D1038" t="n">
        <x:v>15</x:v>
      </x:c>
      <x:c r="E1038" t="str">
        <x:v>Medium</x:v>
      </x:c>
      <x:c r="F1038" t="str">
        <x:v>Hospital</x:v>
      </x:c>
      <x:c r="G1038" t="str">
        <x:v>Shear Wall</x:v>
      </x:c>
      <x:c r="H1038" t="str">
        <x:v>Piles</x:v>
      </x:c>
      <x:c r="I1038" t="str">
        <x:v>Mixed</x:v>
      </x:c>
      <x:c r="J1038" t="str">
        <x:v>High</x:v>
      </x:c>
      <x:c r="K1038" t="n">
        <x:v>91392000</x:v>
      </x:c>
      <x:c r="L1038" t="n">
        <x:v>1406</x:v>
      </x:c>
      <x:c r="M1038" t="n">
        <x:v>326.1</x:v>
      </x:c>
      <x:c r="N1038" t="n">
        <x:v>27</x:v>
      </x:c>
      <x:c r="O1038" t="n">
        <x:v>66</x:v>
      </x:c>
      <x:c r="P1038" t="str">
        <x:v>Cloudy</x:v>
      </x:c>
      <x:c r="Q1038" t="n">
        <x:v>108</x:v>
      </x:c>
      <x:c r="R1038" t="n">
        <x:v>80.4</x:v>
      </x:c>
      <x:c r="S1038" t="n">
        <x:v>0.107</x:v>
      </x:c>
      <x:c r="T1038" t="n">
        <x:v>21.1</x:v>
      </x:c>
      <x:c r="U1038" t="n">
        <x:v>1813.3</x:v>
      </x:c>
      <x:c r="V1038" t="n">
        <x:v>3360</x:v>
      </x:c>
      <x:c r="W1038" t="n">
        <x:v>51.7</x:v>
      </x:c>
    </x:row>
    <x:row r="1039">
      <x:c r="A1039" t="str">
        <x:v>PJT_1038</x:v>
      </x:c>
      <x:c r="B1039" t="str">
        <x:v>Humid Subtropical</x:v>
      </x:c>
      <x:c r="C1039" t="n">
        <x:v>16460</x:v>
      </x:c>
      <x:c r="D1039" t="n">
        <x:v>14</x:v>
      </x:c>
      <x:c r="E1039" t="str">
        <x:v>Medium</x:v>
      </x:c>
      <x:c r="F1039" t="str">
        <x:v>Commercial</x:v>
      </x:c>
      <x:c r="G1039" t="str">
        <x:v>Steel</x:v>
      </x:c>
      <x:c r="H1039" t="str">
        <x:v>Raft</x:v>
      </x:c>
      <x:c r="I1039" t="str">
        <x:v>Mixed</x:v>
      </x:c>
      <x:c r="J1039" t="str">
        <x:v>Low</x:v>
      </x:c>
      <x:c r="K1039" t="n">
        <x:v>36705800</x:v>
      </x:c>
      <x:c r="L1039" t="n">
        <x:v>762</x:v>
      </x:c>
      <x:c r="M1039" t="n">
        <x:v>344.6</x:v>
      </x:c>
      <x:c r="N1039" t="n">
        <x:v>25.8</x:v>
      </x:c>
      <x:c r="O1039" t="n">
        <x:v>87</x:v>
      </x:c>
      <x:c r="P1039" t="str">
        <x:v>Stormy</x:v>
      </x:c>
      <x:c r="Q1039" t="n">
        <x:v>103</x:v>
      </x:c>
      <x:c r="R1039" t="n">
        <x:v>75.4</x:v>
      </x:c>
      <x:c r="S1039" t="n">
        <x:v>0.0982</x:v>
      </x:c>
      <x:c r="T1039" t="n">
        <x:v>17</x:v>
      </x:c>
      <x:c r="U1039" t="n">
        <x:v>1175.7</x:v>
      </x:c>
      <x:c r="V1039" t="n">
        <x:v>2230</x:v>
      </x:c>
      <x:c r="W1039" t="n">
        <x:v>46.3</x:v>
      </x:c>
    </x:row>
    <x:row r="1040">
      <x:c r="A1040" t="str">
        <x:v>PJT_1039</x:v>
      </x:c>
      <x:c r="B1040" t="str">
        <x:v>Marine</x:v>
      </x:c>
      <x:c r="C1040" t="n">
        <x:v>21360</x:v>
      </x:c>
      <x:c r="D1040" t="n">
        <x:v>20</x:v>
      </x:c>
      <x:c r="E1040" t="str">
        <x:v>Medium</x:v>
      </x:c>
      <x:c r="F1040" t="str">
        <x:v>Mixed-use</x:v>
      </x:c>
      <x:c r="G1040" t="str">
        <x:v>Steel</x:v>
      </x:c>
      <x:c r="H1040" t="str">
        <x:v>Piles</x:v>
      </x:c>
      <x:c r="I1040" t="str">
        <x:v>Mixed</x:v>
      </x:c>
      <x:c r="J1040" t="str">
        <x:v>Medium</x:v>
      </x:c>
      <x:c r="K1040" t="n">
        <x:v>59936160</x:v>
      </x:c>
      <x:c r="L1040" t="n">
        <x:v>1077</x:v>
      </x:c>
      <x:c r="M1040" t="n">
        <x:v>331.8</x:v>
      </x:c>
      <x:c r="N1040" t="n">
        <x:v>21.6</x:v>
      </x:c>
      <x:c r="O1040" t="n">
        <x:v>71.6</x:v>
      </x:c>
      <x:c r="P1040" t="str">
        <x:v>Sunny</x:v>
      </x:c>
      <x:c r="Q1040" t="n">
        <x:v>93</x:v>
      </x:c>
      <x:c r="R1040" t="n">
        <x:v>79.5</x:v>
      </x:c>
      <x:c r="S1040" t="n">
        <x:v>0.104</x:v>
      </x:c>
      <x:c r="T1040" t="n">
        <x:v>18.9</x:v>
      </x:c>
      <x:c r="U1040" t="n">
        <x:v>1068</x:v>
      </x:c>
      <x:c r="V1040" t="n">
        <x:v>2806</x:v>
      </x:c>
      <x:c r="W1040" t="n">
        <x:v>50.4</x:v>
      </x:c>
    </x:row>
    <x:row r="1041">
      <x:c r="A1041" t="str">
        <x:v>PJT_1040</x:v>
      </x:c>
      <x:c r="B1041" t="str">
        <x:v>Humid Subtropical</x:v>
      </x:c>
      <x:c r="C1041" t="n">
        <x:v>21180</x:v>
      </x:c>
      <x:c r="D1041" t="n">
        <x:v>24</x:v>
      </x:c>
      <x:c r="E1041" t="str">
        <x:v>Medium</x:v>
      </x:c>
      <x:c r="F1041" t="str">
        <x:v>Residential</x:v>
      </x:c>
      <x:c r="G1041" t="str">
        <x:v>RC Frame</x:v>
      </x:c>
      <x:c r="H1041" t="str">
        <x:v>Piles</x:v>
      </x:c>
      <x:c r="I1041" t="str">
        <x:v>Sand</x:v>
      </x:c>
      <x:c r="J1041" t="str">
        <x:v>Low</x:v>
      </x:c>
      <x:c r="K1041" t="n">
        <x:v>33316140</x:v>
      </x:c>
      <x:c r="L1041" t="n">
        <x:v>837</x:v>
      </x:c>
      <x:c r="M1041" t="n">
        <x:v>277.4</x:v>
      </x:c>
      <x:c r="N1041" t="n">
        <x:v>21.8</x:v>
      </x:c>
      <x:c r="O1041" t="n">
        <x:v>78.9</x:v>
      </x:c>
      <x:c r="P1041" t="str">
        <x:v>Rainy</x:v>
      </x:c>
      <x:c r="Q1041" t="n">
        <x:v>88</x:v>
      </x:c>
      <x:c r="R1041" t="n">
        <x:v>73.9</x:v>
      </x:c>
      <x:c r="S1041" t="n">
        <x:v>0.0745</x:v>
      </x:c>
      <x:c r="T1041" t="n">
        <x:v>12.3</x:v>
      </x:c>
      <x:c r="U1041" t="n">
        <x:v>882.5</x:v>
      </x:c>
      <x:c r="V1041" t="n">
        <x:v>1573</x:v>
      </x:c>
      <x:c r="W1041" t="n">
        <x:v>39.5</x:v>
      </x:c>
    </x:row>
    <x:row r="1042">
      <x:c r="A1042" t="str">
        <x:v>PJT_1041</x:v>
      </x:c>
      <x:c r="B1042" t="str">
        <x:v>Mediterranean</x:v>
      </x:c>
      <x:c r="C1042" t="n">
        <x:v>17500</x:v>
      </x:c>
      <x:c r="D1042" t="n">
        <x:v>10</x:v>
      </x:c>
      <x:c r="E1042" t="str">
        <x:v>Medium</x:v>
      </x:c>
      <x:c r="F1042" t="str">
        <x:v>Hospital</x:v>
      </x:c>
      <x:c r="G1042" t="str">
        <x:v>Shear Wall</x:v>
      </x:c>
      <x:c r="H1042" t="str">
        <x:v>Raft</x:v>
      </x:c>
      <x:c r="I1042" t="str">
        <x:v>Rock</x:v>
      </x:c>
      <x:c r="J1042" t="str">
        <x:v>High</x:v>
      </x:c>
      <x:c r="K1042" t="n">
        <x:v>55457500</x:v>
      </x:c>
      <x:c r="L1042" t="n">
        <x:v>796</x:v>
      </x:c>
      <x:c r="M1042" t="n">
        <x:v>601</x:v>
      </x:c>
      <x:c r="N1042" t="n">
        <x:v>23.1</x:v>
      </x:c>
      <x:c r="O1042" t="n">
        <x:v>61.3</x:v>
      </x:c>
      <x:c r="P1042" t="str">
        <x:v>Sunny</x:v>
      </x:c>
      <x:c r="Q1042" t="n">
        <x:v>75</x:v>
      </x:c>
      <x:c r="R1042" t="n">
        <x:v>84.9</x:v>
      </x:c>
      <x:c r="S1042" t="n">
        <x:v>0.1056</x:v>
      </x:c>
      <x:c r="T1042" t="n">
        <x:v>20.8</x:v>
      </x:c>
      <x:c r="U1042" t="n">
        <x:v>1750</x:v>
      </x:c>
      <x:c r="V1042" t="n">
        <x:v>3169</x:v>
      </x:c>
      <x:c r="W1042" t="n">
        <x:v>45.5</x:v>
      </x:c>
    </x:row>
    <x:row r="1043">
      <x:c r="A1043" t="str">
        <x:v>PJT_1042</x:v>
      </x:c>
      <x:c r="B1043" t="str">
        <x:v>Continental</x:v>
      </x:c>
      <x:c r="C1043" t="n">
        <x:v>15670</x:v>
      </x:c>
      <x:c r="D1043" t="n">
        <x:v>8</x:v>
      </x:c>
      <x:c r="E1043" t="str">
        <x:v>Medium</x:v>
      </x:c>
      <x:c r="F1043" t="str">
        <x:v>Hospital</x:v>
      </x:c>
      <x:c r="G1043" t="str">
        <x:v>Shear Wall</x:v>
      </x:c>
      <x:c r="H1043" t="str">
        <x:v>Raft</x:v>
      </x:c>
      <x:c r="I1043" t="str">
        <x:v>Rock</x:v>
      </x:c>
      <x:c r="J1043" t="str">
        <x:v>High</x:v>
      </x:c>
      <x:c r="K1043" t="n">
        <x:v>49423180</x:v>
      </x:c>
      <x:c r="L1043" t="n">
        <x:v>790</x:v>
      </x:c>
      <x:c r="M1043" t="n">
        <x:v>725</x:v>
      </x:c>
      <x:c r="N1043" t="n">
        <x:v>-1</x:v>
      </x:c>
      <x:c r="O1043" t="n">
        <x:v>83</x:v>
      </x:c>
      <x:c r="P1043" t="str">
        <x:v>Snowy</x:v>
      </x:c>
      <x:c r="Q1043" t="n">
        <x:v>80</x:v>
      </x:c>
      <x:c r="R1043" t="n">
        <x:v>82.6</x:v>
      </x:c>
      <x:c r="S1043" t="n">
        <x:v>0.1125</x:v>
      </x:c>
      <x:c r="T1043" t="n">
        <x:v>20</x:v>
      </x:c>
      <x:c r="U1043" t="n">
        <x:v>1958.8</x:v>
      </x:c>
      <x:c r="V1043" t="n">
        <x:v>3154</x:v>
      </x:c>
      <x:c r="W1043" t="n">
        <x:v>50.4</x:v>
      </x:c>
    </x:row>
    <x:row r="1044">
      <x:c r="A1044" t="str">
        <x:v>PJT_1043</x:v>
      </x:c>
      <x:c r="B1044" t="str">
        <x:v>Continental</x:v>
      </x:c>
      <x:c r="C1044" t="n">
        <x:v>26580</x:v>
      </x:c>
      <x:c r="D1044" t="n">
        <x:v>14</x:v>
      </x:c>
      <x:c r="E1044" t="str">
        <x:v>Medium</x:v>
      </x:c>
      <x:c r="F1044" t="str">
        <x:v>Mixed-use</x:v>
      </x:c>
      <x:c r="G1044" t="str">
        <x:v>Steel</x:v>
      </x:c>
      <x:c r="H1044" t="str">
        <x:v>Piles</x:v>
      </x:c>
      <x:c r="I1044" t="str">
        <x:v>Soft Clay</x:v>
      </x:c>
      <x:c r="J1044" t="str">
        <x:v>Low</x:v>
      </x:c>
      <x:c r="K1044" t="n">
        <x:v>68177700</x:v>
      </x:c>
      <x:c r="L1044" t="n">
        <x:v>1369</x:v>
      </x:c>
      <x:c r="M1044" t="n">
        <x:v>217.4</x:v>
      </x:c>
      <x:c r="N1044" t="n">
        <x:v>7.9</x:v>
      </x:c>
      <x:c r="O1044" t="n">
        <x:v>70.1</x:v>
      </x:c>
      <x:c r="P1044" t="str">
        <x:v>Cloudy</x:v>
      </x:c>
      <x:c r="Q1044" t="n">
        <x:v>96</x:v>
      </x:c>
      <x:c r="R1044" t="n">
        <x:v>78.1</x:v>
      </x:c>
      <x:c r="S1044" t="n">
        <x:v>0.0991</x:v>
      </x:c>
      <x:c r="T1044" t="n">
        <x:v>17.8</x:v>
      </x:c>
      <x:c r="U1044" t="n">
        <x:v>1898.6</x:v>
      </x:c>
      <x:c r="V1044" t="n">
        <x:v>2565</x:v>
      </x:c>
      <x:c r="W1044" t="n">
        <x:v>51.5</x:v>
      </x:c>
    </x:row>
    <x:row r="1045">
      <x:c r="A1045" t="str">
        <x:v>PJT_1044</x:v>
      </x:c>
      <x:c r="B1045" t="str">
        <x:v>Mediterranean</x:v>
      </x:c>
      <x:c r="C1045" t="n">
        <x:v>13790</x:v>
      </x:c>
      <x:c r="D1045" t="n">
        <x:v>14</x:v>
      </x:c>
      <x:c r="E1045" t="str">
        <x:v>Low</x:v>
      </x:c>
      <x:c r="F1045" t="str">
        <x:v>Residential</x:v>
      </x:c>
      <x:c r="G1045" t="str">
        <x:v>Shear Wall</x:v>
      </x:c>
      <x:c r="H1045" t="str">
        <x:v>Raft</x:v>
      </x:c>
      <x:c r="I1045" t="str">
        <x:v>Mixed</x:v>
      </x:c>
      <x:c r="J1045" t="str">
        <x:v>Medium</x:v>
      </x:c>
      <x:c r="K1045" t="n">
        <x:v>21429660</x:v>
      </x:c>
      <x:c r="L1045" t="n">
        <x:v>470</x:v>
      </x:c>
      <x:c r="M1045" t="n">
        <x:v>282.5</x:v>
      </x:c>
      <x:c r="N1045" t="n">
        <x:v>21.5</x:v>
      </x:c>
      <x:c r="O1045" t="n">
        <x:v>60.2</x:v>
      </x:c>
      <x:c r="P1045" t="str">
        <x:v>Sunny</x:v>
      </x:c>
      <x:c r="Q1045" t="n">
        <x:v>75</x:v>
      </x:c>
      <x:c r="R1045" t="n">
        <x:v>68.4</x:v>
      </x:c>
      <x:c r="S1045" t="n">
        <x:v>0.077</x:v>
      </x:c>
      <x:c r="T1045" t="n">
        <x:v>13.1</x:v>
      </x:c>
      <x:c r="U1045" t="n">
        <x:v>985</x:v>
      </x:c>
      <x:c r="V1045" t="n">
        <x:v>1554</x:v>
      </x:c>
      <x:c r="W1045" t="n">
        <x:v>34.1</x:v>
      </x:c>
    </x:row>
    <x:row r="1046">
      <x:c r="A1046" t="str">
        <x:v>PJT_1045</x:v>
      </x:c>
      <x:c r="B1046" t="str">
        <x:v>Humid Subtropical</x:v>
      </x:c>
      <x:c r="C1046" t="n">
        <x:v>13290</x:v>
      </x:c>
      <x:c r="D1046" t="n">
        <x:v>10</x:v>
      </x:c>
      <x:c r="E1046" t="str">
        <x:v>Medium</x:v>
      </x:c>
      <x:c r="F1046" t="str">
        <x:v>Commercial</x:v>
      </x:c>
      <x:c r="G1046" t="str">
        <x:v>RC Frame</x:v>
      </x:c>
      <x:c r="H1046" t="str">
        <x:v>Raft</x:v>
      </x:c>
      <x:c r="I1046" t="str">
        <x:v>Mixed</x:v>
      </x:c>
      <x:c r="J1046" t="str">
        <x:v>High</x:v>
      </x:c>
      <x:c r="K1046" t="n">
        <x:v>31058730</x:v>
      </x:c>
      <x:c r="L1046" t="n">
        <x:v>524</x:v>
      </x:c>
      <x:c r="M1046" t="n">
        <x:v>357.9</x:v>
      </x:c>
      <x:c r="N1046" t="n">
        <x:v>30.1</x:v>
      </x:c>
      <x:c r="O1046" t="n">
        <x:v>71.6</x:v>
      </x:c>
      <x:c r="P1046" t="str">
        <x:v>Sunny</x:v>
      </x:c>
      <x:c r="Q1046" t="n">
        <x:v>81</x:v>
      </x:c>
      <x:c r="R1046" t="n">
        <x:v>77.9</x:v>
      </x:c>
      <x:c r="S1046" t="n">
        <x:v>0.0949</x:v>
      </x:c>
      <x:c r="T1046" t="n">
        <x:v>16.7</x:v>
      </x:c>
      <x:c r="U1046" t="n">
        <x:v>1329</x:v>
      </x:c>
      <x:c r="V1046" t="n">
        <x:v>2337</x:v>
      </x:c>
      <x:c r="W1046" t="n">
        <x:v>39.4</x:v>
      </x:c>
    </x:row>
    <x:row r="1047">
      <x:c r="A1047" t="str">
        <x:v>PJT_1046</x:v>
      </x:c>
      <x:c r="B1047" t="str">
        <x:v>Continental</x:v>
      </x:c>
      <x:c r="C1047" t="n">
        <x:v>30790</x:v>
      </x:c>
      <x:c r="D1047" t="n">
        <x:v>24</x:v>
      </x:c>
      <x:c r="E1047" t="str">
        <x:v>High</x:v>
      </x:c>
      <x:c r="F1047" t="str">
        <x:v>Mixed-use</x:v>
      </x:c>
      <x:c r="G1047" t="str">
        <x:v>Steel</x:v>
      </x:c>
      <x:c r="H1047" t="str">
        <x:v>Piles</x:v>
      </x:c>
      <x:c r="I1047" t="str">
        <x:v>Sand</x:v>
      </x:c>
      <x:c r="J1047" t="str">
        <x:v>Medium</x:v>
      </x:c>
      <x:c r="K1047" t="n">
        <x:v>87659130</x:v>
      </x:c>
      <x:c r="L1047" t="n">
        <x:v>1786</x:v>
      </x:c>
      <x:c r="M1047" t="n">
        <x:v>318.4</x:v>
      </x:c>
      <x:c r="N1047" t="n">
        <x:v>10</x:v>
      </x:c>
      <x:c r="O1047" t="n">
        <x:v>84.8</x:v>
      </x:c>
      <x:c r="P1047" t="str">
        <x:v>Rainy</x:v>
      </x:c>
      <x:c r="Q1047" t="n">
        <x:v>78</x:v>
      </x:c>
      <x:c r="R1047" t="n">
        <x:v>92</x:v>
      </x:c>
      <x:c r="S1047" t="n">
        <x:v>0.1087</x:v>
      </x:c>
      <x:c r="T1047" t="n">
        <x:v>21.1</x:v>
      </x:c>
      <x:c r="U1047" t="n">
        <x:v>1282.9</x:v>
      </x:c>
      <x:c r="V1047" t="n">
        <x:v>2847</x:v>
      </x:c>
      <x:c r="W1047" t="n">
        <x:v>58</x:v>
      </x:c>
    </x:row>
    <x:row r="1048">
      <x:c r="A1048" t="str">
        <x:v>PJT_1047</x:v>
      </x:c>
      <x:c r="B1048" t="str">
        <x:v>Continental</x:v>
      </x:c>
      <x:c r="C1048" t="n">
        <x:v>20600</x:v>
      </x:c>
      <x:c r="D1048" t="n">
        <x:v>22</x:v>
      </x:c>
      <x:c r="E1048" t="str">
        <x:v>Medium</x:v>
      </x:c>
      <x:c r="F1048" t="str">
        <x:v>Residential</x:v>
      </x:c>
      <x:c r="G1048" t="str">
        <x:v>Shear Wall</x:v>
      </x:c>
      <x:c r="H1048" t="str">
        <x:v>Piles</x:v>
      </x:c>
      <x:c r="I1048" t="str">
        <x:v>Sand</x:v>
      </x:c>
      <x:c r="J1048" t="str">
        <x:v>High</x:v>
      </x:c>
      <x:c r="K1048" t="n">
        <x:v>34669800</x:v>
      </x:c>
      <x:c r="L1048" t="n">
        <x:v>865</x:v>
      </x:c>
      <x:c r="M1048" t="n">
        <x:v>299.3</x:v>
      </x:c>
      <x:c r="N1048" t="n">
        <x:v>0</x:v>
      </x:c>
      <x:c r="O1048" t="n">
        <x:v>70.3</x:v>
      </x:c>
      <x:c r="P1048" t="str">
        <x:v>Snowy</x:v>
      </x:c>
      <x:c r="Q1048" t="n">
        <x:v>88</x:v>
      </x:c>
      <x:c r="R1048" t="n">
        <x:v>72.9</x:v>
      </x:c>
      <x:c r="S1048" t="n">
        <x:v>0.082</x:v>
      </x:c>
      <x:c r="T1048" t="n">
        <x:v>12.9</x:v>
      </x:c>
      <x:c r="U1048" t="n">
        <x:v>936.4</x:v>
      </x:c>
      <x:c r="V1048" t="n">
        <x:v>1683</x:v>
      </x:c>
      <x:c r="W1048" t="n">
        <x:v>42</x:v>
      </x:c>
    </x:row>
    <x:row r="1049">
      <x:c r="A1049" t="str">
        <x:v>PJT_1048</x:v>
      </x:c>
      <x:c r="B1049" t="str">
        <x:v>Continental</x:v>
      </x:c>
      <x:c r="C1049" t="n">
        <x:v>17140</x:v>
      </x:c>
      <x:c r="D1049" t="n">
        <x:v>10</x:v>
      </x:c>
      <x:c r="E1049" t="str">
        <x:v>Medium</x:v>
      </x:c>
      <x:c r="F1049" t="str">
        <x:v>Mixed-use</x:v>
      </x:c>
      <x:c r="G1049" t="str">
        <x:v>Steel</x:v>
      </x:c>
      <x:c r="H1049" t="str">
        <x:v>Piles</x:v>
      </x:c>
      <x:c r="I1049" t="str">
        <x:v>Soft Clay</x:v>
      </x:c>
      <x:c r="J1049" t="str">
        <x:v>Low</x:v>
      </x:c>
      <x:c r="K1049" t="n">
        <x:v>43861260</x:v>
      </x:c>
      <x:c r="L1049" t="n">
        <x:v>864</x:v>
      </x:c>
      <x:c r="M1049" t="n">
        <x:v>191.4</x:v>
      </x:c>
      <x:c r="N1049" t="n">
        <x:v>12.2</x:v>
      </x:c>
      <x:c r="O1049" t="n">
        <x:v>69.8</x:v>
      </x:c>
      <x:c r="P1049" t="str">
        <x:v>Rainy</x:v>
      </x:c>
      <x:c r="Q1049" t="n">
        <x:v>112</x:v>
      </x:c>
      <x:c r="R1049" t="n">
        <x:v>77.9</x:v>
      </x:c>
      <x:c r="S1049" t="n">
        <x:v>0.1051</x:v>
      </x:c>
      <x:c r="T1049" t="n">
        <x:v>19.2</x:v>
      </x:c>
      <x:c r="U1049" t="n">
        <x:v>1714</x:v>
      </x:c>
      <x:c r="V1049" t="n">
        <x:v>2559</x:v>
      </x:c>
      <x:c r="W1049" t="n">
        <x:v>50.4</x:v>
      </x:c>
    </x:row>
    <x:row r="1050">
      <x:c r="A1050" t="str">
        <x:v>PJT_1049</x:v>
      </x:c>
      <x:c r="B1050" t="str">
        <x:v>Marine</x:v>
      </x:c>
      <x:c r="C1050" t="n">
        <x:v>15360</x:v>
      </x:c>
      <x:c r="D1050" t="n">
        <x:v>15</x:v>
      </x:c>
      <x:c r="E1050" t="str">
        <x:v>Medium</x:v>
      </x:c>
      <x:c r="F1050" t="str">
        <x:v>Residential</x:v>
      </x:c>
      <x:c r="G1050" t="str">
        <x:v>Shear Wall</x:v>
      </x:c>
      <x:c r="H1050" t="str">
        <x:v>Piles</x:v>
      </x:c>
      <x:c r="I1050" t="str">
        <x:v>Mixed</x:v>
      </x:c>
      <x:c r="J1050" t="str">
        <x:v>Medium</x:v>
      </x:c>
      <x:c r="K1050" t="n">
        <x:v>26403840</x:v>
      </x:c>
      <x:c r="L1050" t="n">
        <x:v>659</x:v>
      </x:c>
      <x:c r="M1050" t="n">
        <x:v>295.1</x:v>
      </x:c>
      <x:c r="N1050" t="n">
        <x:v>11.9</x:v>
      </x:c>
      <x:c r="O1050" t="n">
        <x:v>77.8</x:v>
      </x:c>
      <x:c r="P1050" t="str">
        <x:v>Rainy</x:v>
      </x:c>
      <x:c r="Q1050" t="n">
        <x:v>76</x:v>
      </x:c>
      <x:c r="R1050" t="n">
        <x:v>68.5</x:v>
      </x:c>
      <x:c r="S1050" t="n">
        <x:v>0.0845</x:v>
      </x:c>
      <x:c r="T1050" t="n">
        <x:v>13.8</x:v>
      </x:c>
      <x:c r="U1050" t="n">
        <x:v>1024</x:v>
      </x:c>
      <x:c r="V1050" t="n">
        <x:v>1719</x:v>
      </x:c>
      <x:c r="W1050" t="n">
        <x:v>42.9</x:v>
      </x:c>
    </x:row>
    <x:row r="1051">
      <x:c r="A1051" t="str">
        <x:v>PJT_1050</x:v>
      </x:c>
      <x:c r="B1051" t="str">
        <x:v>Mediterranean</x:v>
      </x:c>
      <x:c r="C1051" t="n">
        <x:v>28260</x:v>
      </x:c>
      <x:c r="D1051" t="n">
        <x:v>14</x:v>
      </x:c>
      <x:c r="E1051" t="str">
        <x:v>Medium</x:v>
      </x:c>
      <x:c r="F1051" t="str">
        <x:v>Mixed-use</x:v>
      </x:c>
      <x:c r="G1051" t="str">
        <x:v>Steel</x:v>
      </x:c>
      <x:c r="H1051" t="str">
        <x:v>Piles</x:v>
      </x:c>
      <x:c r="I1051" t="str">
        <x:v>Sand</x:v>
      </x:c>
      <x:c r="J1051" t="str">
        <x:v>Medium</x:v>
      </x:c>
      <x:c r="K1051" t="n">
        <x:v>73080360</x:v>
      </x:c>
      <x:c r="L1051" t="n">
        <x:v>1421</x:v>
      </x:c>
      <x:c r="M1051" t="n">
        <x:v>327.2</x:v>
      </x:c>
      <x:c r="N1051" t="n">
        <x:v>23.8</x:v>
      </x:c>
      <x:c r="O1051" t="n">
        <x:v>52.2</x:v>
      </x:c>
      <x:c r="P1051" t="str">
        <x:v>Cloudy</x:v>
      </x:c>
      <x:c r="Q1051" t="n">
        <x:v>97</x:v>
      </x:c>
      <x:c r="R1051" t="n">
        <x:v>81.2</x:v>
      </x:c>
      <x:c r="S1051" t="n">
        <x:v>0.1028</x:v>
      </x:c>
      <x:c r="T1051" t="n">
        <x:v>17.5</x:v>
      </x:c>
      <x:c r="U1051" t="n">
        <x:v>2018.6</x:v>
      </x:c>
      <x:c r="V1051" t="n">
        <x:v>2586</x:v>
      </x:c>
      <x:c r="W1051" t="n">
        <x:v>50.3</x:v>
      </x:c>
    </x:row>
    <x:row r="1052">
      <x:c r="A1052" t="str">
        <x:v>PJT_1051</x:v>
      </x:c>
      <x:c r="B1052" t="str">
        <x:v>Mediterranean</x:v>
      </x:c>
      <x:c r="C1052" t="n">
        <x:v>19230</x:v>
      </x:c>
      <x:c r="D1052" t="n">
        <x:v>14</x:v>
      </x:c>
      <x:c r="E1052" t="str">
        <x:v>Medium</x:v>
      </x:c>
      <x:c r="F1052" t="str">
        <x:v>Mixed-use</x:v>
      </x:c>
      <x:c r="G1052" t="str">
        <x:v>Shear Wall</x:v>
      </x:c>
      <x:c r="H1052" t="str">
        <x:v>Piles</x:v>
      </x:c>
      <x:c r="I1052" t="str">
        <x:v>Soft Clay</x:v>
      </x:c>
      <x:c r="J1052" t="str">
        <x:v>High</x:v>
      </x:c>
      <x:c r="K1052" t="n">
        <x:v>50940270</x:v>
      </x:c>
      <x:c r="L1052" t="n">
        <x:v>935</x:v>
      </x:c>
      <x:c r="M1052" t="n">
        <x:v>160.3</x:v>
      </x:c>
      <x:c r="N1052" t="n">
        <x:v>23.5</x:v>
      </x:c>
      <x:c r="O1052" t="n">
        <x:v>52.6</x:v>
      </x:c>
      <x:c r="P1052" t="str">
        <x:v>Sunny</x:v>
      </x:c>
      <x:c r="Q1052" t="n">
        <x:v>81</x:v>
      </x:c>
      <x:c r="R1052" t="n">
        <x:v>83</x:v>
      </x:c>
      <x:c r="S1052" t="n">
        <x:v>0.1016</x:v>
      </x:c>
      <x:c r="T1052" t="n">
        <x:v>18.1</x:v>
      </x:c>
      <x:c r="U1052" t="n">
        <x:v>1373.6</x:v>
      </x:c>
      <x:c r="V1052" t="n">
        <x:v>2649</x:v>
      </x:c>
      <x:c r="W1052" t="n">
        <x:v>48.6</x:v>
      </x:c>
    </x:row>
    <x:row r="1053">
      <x:c r="A1053" t="str">
        <x:v>PJT_1052</x:v>
      </x:c>
      <x:c r="B1053" t="str">
        <x:v>Mediterranean</x:v>
      </x:c>
      <x:c r="C1053" t="n">
        <x:v>12780</x:v>
      </x:c>
      <x:c r="D1053" t="n">
        <x:v>4</x:v>
      </x:c>
      <x:c r="E1053" t="str">
        <x:v>Low</x:v>
      </x:c>
      <x:c r="F1053" t="str">
        <x:v>School</x:v>
      </x:c>
      <x:c r="G1053" t="str">
        <x:v>RC Frame</x:v>
      </x:c>
      <x:c r="H1053" t="str">
        <x:v>Raft</x:v>
      </x:c>
      <x:c r="I1053" t="str">
        <x:v>Rock</x:v>
      </x:c>
      <x:c r="J1053" t="str">
        <x:v>High</x:v>
      </x:c>
      <x:c r="K1053" t="n">
        <x:v>22761180</x:v>
      </x:c>
      <x:c r="L1053" t="n">
        <x:v>400</x:v>
      </x:c>
      <x:c r="M1053" t="n">
        <x:v>656</x:v>
      </x:c>
      <x:c r="N1053" t="n">
        <x:v>11.2</x:v>
      </x:c>
      <x:c r="O1053" t="n">
        <x:v>83.7</x:v>
      </x:c>
      <x:c r="P1053" t="str">
        <x:v>Stormy</x:v>
      </x:c>
      <x:c r="Q1053" t="n">
        <x:v>64</x:v>
      </x:c>
      <x:c r="R1053" t="n">
        <x:v>66.3</x:v>
      </x:c>
      <x:c r="S1053" t="n">
        <x:v>0.0809</x:v>
      </x:c>
      <x:c r="T1053" t="n">
        <x:v>13.8</x:v>
      </x:c>
      <x:c r="U1053" t="n">
        <x:v>3195</x:v>
      </x:c>
      <x:c r="V1053" t="n">
        <x:v>1781</x:v>
      </x:c>
      <x:c r="W1053" t="n">
        <x:v>31.3</x:v>
      </x:c>
    </x:row>
    <x:row r="1054">
      <x:c r="A1054" t="str">
        <x:v>PJT_1053</x:v>
      </x:c>
      <x:c r="B1054" t="str">
        <x:v>Mediterranean</x:v>
      </x:c>
      <x:c r="C1054" t="n">
        <x:v>11450</x:v>
      </x:c>
      <x:c r="D1054" t="n">
        <x:v>6</x:v>
      </x:c>
      <x:c r="E1054" t="str">
        <x:v>Medium</x:v>
      </x:c>
      <x:c r="F1054" t="str">
        <x:v>Commercial</x:v>
      </x:c>
      <x:c r="G1054" t="str">
        <x:v>RC Frame</x:v>
      </x:c>
      <x:c r="H1054" t="str">
        <x:v>Raft</x:v>
      </x:c>
      <x:c r="I1054" t="str">
        <x:v>Mixed</x:v>
      </x:c>
      <x:c r="J1054" t="str">
        <x:v>Medium</x:v>
      </x:c>
      <x:c r="K1054" t="n">
        <x:v>24835050</x:v>
      </x:c>
      <x:c r="L1054" t="n">
        <x:v>449</x:v>
      </x:c>
      <x:c r="M1054" t="n">
        <x:v>312</x:v>
      </x:c>
      <x:c r="N1054" t="n">
        <x:v>26.9</x:v>
      </x:c>
      <x:c r="O1054" t="n">
        <x:v>53.5</x:v>
      </x:c>
      <x:c r="P1054" t="str">
        <x:v>Sunny</x:v>
      </x:c>
      <x:c r="Q1054" t="n">
        <x:v>73</x:v>
      </x:c>
      <x:c r="R1054" t="n">
        <x:v>74.7</x:v>
      </x:c>
      <x:c r="S1054" t="n">
        <x:v>0.0902</x:v>
      </x:c>
      <x:c r="T1054" t="n">
        <x:v>16.7</x:v>
      </x:c>
      <x:c r="U1054" t="n">
        <x:v>1908.3</x:v>
      </x:c>
      <x:c r="V1054" t="n">
        <x:v>2169</x:v>
      </x:c>
      <x:c r="W1054" t="n">
        <x:v>39.2</x:v>
      </x:c>
    </x:row>
    <x:row r="1055">
      <x:c r="A1055" t="str">
        <x:v>PJT_1054</x:v>
      </x:c>
      <x:c r="B1055" t="str">
        <x:v>Continental</x:v>
      </x:c>
      <x:c r="C1055" t="n">
        <x:v>11190</x:v>
      </x:c>
      <x:c r="D1055" t="n">
        <x:v>12</x:v>
      </x:c>
      <x:c r="E1055" t="str">
        <x:v>Low</x:v>
      </x:c>
      <x:c r="F1055" t="str">
        <x:v>Residential</x:v>
      </x:c>
      <x:c r="G1055" t="str">
        <x:v>RC Frame</x:v>
      </x:c>
      <x:c r="H1055" t="str">
        <x:v>Piles</x:v>
      </x:c>
      <x:c r="I1055" t="str">
        <x:v>Soft Clay</x:v>
      </x:c>
      <x:c r="J1055" t="str">
        <x:v>Medium</x:v>
      </x:c>
      <x:c r="K1055" t="n">
        <x:v>16326210</x:v>
      </x:c>
      <x:c r="L1055" t="n">
        <x:v>404</x:v>
      </x:c>
      <x:c r="M1055" t="n">
        <x:v>189</x:v>
      </x:c>
      <x:c r="N1055" t="n">
        <x:v>2.2</x:v>
      </x:c>
      <x:c r="O1055" t="n">
        <x:v>78.9</x:v>
      </x:c>
      <x:c r="P1055" t="str">
        <x:v>Rainy</x:v>
      </x:c>
      <x:c r="Q1055" t="n">
        <x:v>87</x:v>
      </x:c>
      <x:c r="R1055" t="n">
        <x:v>62.7</x:v>
      </x:c>
      <x:c r="S1055" t="n">
        <x:v>0.0748</x:v>
      </x:c>
      <x:c r="T1055" t="n">
        <x:v>11.6</x:v>
      </x:c>
      <x:c r="U1055" t="n">
        <x:v>932.5</x:v>
      </x:c>
      <x:c r="V1055" t="n">
        <x:v>1459</x:v>
      </x:c>
      <x:c r="W1055" t="n">
        <x:v>36.1</x:v>
      </x:c>
    </x:row>
    <x:row r="1056">
      <x:c r="A1056" t="str">
        <x:v>PJT_1055</x:v>
      </x:c>
      <x:c r="B1056" t="str">
        <x:v>Mediterranean</x:v>
      </x:c>
      <x:c r="C1056" t="n">
        <x:v>9680</x:v>
      </x:c>
      <x:c r="D1056" t="n">
        <x:v>7</x:v>
      </x:c>
      <x:c r="E1056" t="str">
        <x:v>Medium</x:v>
      </x:c>
      <x:c r="F1056" t="str">
        <x:v>Commercial</x:v>
      </x:c>
      <x:c r="G1056" t="str">
        <x:v>RC Frame</x:v>
      </x:c>
      <x:c r="H1056" t="str">
        <x:v>Raft</x:v>
      </x:c>
      <x:c r="I1056" t="str">
        <x:v>Rock</x:v>
      </x:c>
      <x:c r="J1056" t="str">
        <x:v>High</x:v>
      </x:c>
      <x:c r="K1056" t="n">
        <x:v>22167200</x:v>
      </x:c>
      <x:c r="L1056" t="n">
        <x:v>385</x:v>
      </x:c>
      <x:c r="M1056" t="n">
        <x:v>703.3</x:v>
      </x:c>
      <x:c r="N1056" t="n">
        <x:v>29.1</x:v>
      </x:c>
      <x:c r="O1056" t="n">
        <x:v>60.1</x:v>
      </x:c>
      <x:c r="P1056" t="str">
        <x:v>Sunny</x:v>
      </x:c>
      <x:c r="Q1056" t="n">
        <x:v>80</x:v>
      </x:c>
      <x:c r="R1056" t="n">
        <x:v>72.1</x:v>
      </x:c>
      <x:c r="S1056" t="n">
        <x:v>0.0883</x:v>
      </x:c>
      <x:c r="T1056" t="n">
        <x:v>17.1</x:v>
      </x:c>
      <x:c r="U1056" t="n">
        <x:v>1382.9</x:v>
      </x:c>
      <x:c r="V1056" t="n">
        <x:v>2290</x:v>
      </x:c>
      <x:c r="W1056" t="n">
        <x:v>39.8</x:v>
      </x:c>
    </x:row>
    <x:row r="1057">
      <x:c r="A1057" t="str">
        <x:v>PJT_1056</x:v>
      </x:c>
      <x:c r="B1057" t="str">
        <x:v>Marine</x:v>
      </x:c>
      <x:c r="C1057" t="n">
        <x:v>13500</x:v>
      </x:c>
      <x:c r="D1057" t="n">
        <x:v>5</x:v>
      </x:c>
      <x:c r="E1057" t="str">
        <x:v>Medium</x:v>
      </x:c>
      <x:c r="F1057" t="str">
        <x:v>School</x:v>
      </x:c>
      <x:c r="G1057" t="str">
        <x:v>RC Frame</x:v>
      </x:c>
      <x:c r="H1057" t="str">
        <x:v>Raft</x:v>
      </x:c>
      <x:c r="I1057" t="str">
        <x:v>Rock</x:v>
      </x:c>
      <x:c r="J1057" t="str">
        <x:v>High</x:v>
      </x:c>
      <x:c r="K1057" t="n">
        <x:v>24448500</x:v>
      </x:c>
      <x:c r="L1057" t="n">
        <x:v>413</x:v>
      </x:c>
      <x:c r="M1057" t="n">
        <x:v>591.4</x:v>
      </x:c>
      <x:c r="N1057" t="n">
        <x:v>14.3</x:v>
      </x:c>
      <x:c r="O1057" t="n">
        <x:v>74.4</x:v>
      </x:c>
      <x:c r="P1057" t="str">
        <x:v>Cloudy</x:v>
      </x:c>
      <x:c r="Q1057" t="n">
        <x:v>66</x:v>
      </x:c>
      <x:c r="R1057" t="n">
        <x:v>69.1</x:v>
      </x:c>
      <x:c r="S1057" t="n">
        <x:v>0.0839</x:v>
      </x:c>
      <x:c r="T1057" t="n">
        <x:v>15</x:v>
      </x:c>
      <x:c r="U1057" t="n">
        <x:v>2700</x:v>
      </x:c>
      <x:c r="V1057" t="n">
        <x:v>1811</x:v>
      </x:c>
      <x:c r="W1057" t="n">
        <x:v>30.6</x:v>
      </x:c>
    </x:row>
    <x:row r="1058">
      <x:c r="A1058" t="str">
        <x:v>PJT_1057</x:v>
      </x:c>
      <x:c r="B1058" t="str">
        <x:v>Humid Subtropical</x:v>
      </x:c>
      <x:c r="C1058" t="n">
        <x:v>16950</x:v>
      </x:c>
      <x:c r="D1058" t="n">
        <x:v>7</x:v>
      </x:c>
      <x:c r="E1058" t="str">
        <x:v>Medium</x:v>
      </x:c>
      <x:c r="F1058" t="str">
        <x:v>Hospital</x:v>
      </x:c>
      <x:c r="G1058" t="str">
        <x:v>RC Frame</x:v>
      </x:c>
      <x:c r="H1058" t="str">
        <x:v>Raft</x:v>
      </x:c>
      <x:c r="I1058" t="str">
        <x:v>Mixed</x:v>
      </x:c>
      <x:c r="J1058" t="str">
        <x:v>Medium</x:v>
      </x:c>
      <x:c r="K1058" t="n">
        <x:v>49951650</x:v>
      </x:c>
      <x:c r="L1058" t="n">
        <x:v>731</x:v>
      </x:c>
      <x:c r="M1058" t="n">
        <x:v>294.8</x:v>
      </x:c>
      <x:c r="N1058" t="n">
        <x:v>27.4</x:v>
      </x:c>
      <x:c r="O1058" t="n">
        <x:v>67.5</x:v>
      </x:c>
      <x:c r="P1058" t="str">
        <x:v>Sunny</x:v>
      </x:c>
      <x:c r="Q1058" t="n">
        <x:v>74</x:v>
      </x:c>
      <x:c r="R1058" t="n">
        <x:v>80</x:v>
      </x:c>
      <x:c r="S1058" t="n">
        <x:v>0.1053</x:v>
      </x:c>
      <x:c r="T1058" t="n">
        <x:v>21.1</x:v>
      </x:c>
      <x:c r="U1058" t="n">
        <x:v>2421.4</x:v>
      </x:c>
      <x:c r="V1058" t="n">
        <x:v>2947</x:v>
      </x:c>
      <x:c r="W1058" t="n">
        <x:v>43.1</x:v>
      </x:c>
    </x:row>
    <x:row r="1059">
      <x:c r="A1059" t="str">
        <x:v>PJT_1058</x:v>
      </x:c>
      <x:c r="B1059" t="str">
        <x:v>Continental</x:v>
      </x:c>
      <x:c r="C1059" t="n">
        <x:v>36660</x:v>
      </x:c>
      <x:c r="D1059" t="n">
        <x:v>29</x:v>
      </x:c>
      <x:c r="E1059" t="str">
        <x:v>High</x:v>
      </x:c>
      <x:c r="F1059" t="str">
        <x:v>Mixed-use</x:v>
      </x:c>
      <x:c r="G1059" t="str">
        <x:v>Steel</x:v>
      </x:c>
      <x:c r="H1059" t="str">
        <x:v>Piles</x:v>
      </x:c>
      <x:c r="I1059" t="str">
        <x:v>Soft Clay</x:v>
      </x:c>
      <x:c r="J1059" t="str">
        <x:v>Low</x:v>
      </x:c>
      <x:c r="K1059" t="n">
        <x:v>104774280</x:v>
      </x:c>
      <x:c r="L1059" t="n">
        <x:v>2126</x:v>
      </x:c>
      <x:c r="M1059" t="n">
        <x:v>179.7</x:v>
      </x:c>
      <x:c r="N1059" t="n">
        <x:v>-9.7</x:v>
      </x:c>
      <x:c r="O1059" t="n">
        <x:v>65.8</x:v>
      </x:c>
      <x:c r="P1059" t="str">
        <x:v>Snowy</x:v>
      </x:c>
      <x:c r="Q1059" t="n">
        <x:v>86</x:v>
      </x:c>
      <x:c r="R1059" t="n">
        <x:v>92</x:v>
      </x:c>
      <x:c r="S1059" t="n">
        <x:v>0.1052</x:v>
      </x:c>
      <x:c r="T1059" t="n">
        <x:v>21.1</x:v>
      </x:c>
      <x:c r="U1059" t="n">
        <x:v>1264.1</x:v>
      </x:c>
      <x:c r="V1059" t="n">
        <x:v>2858</x:v>
      </x:c>
      <x:c r="W1059" t="n">
        <x:v>58</x:v>
      </x:c>
    </x:row>
    <x:row r="1060">
      <x:c r="A1060" t="str">
        <x:v>PJT_1059</x:v>
      </x:c>
      <x:c r="B1060" t="str">
        <x:v>Mediterranean</x:v>
      </x:c>
      <x:c r="C1060" t="n">
        <x:v>25830</x:v>
      </x:c>
      <x:c r="D1060" t="n">
        <x:v>12</x:v>
      </x:c>
      <x:c r="E1060" t="str">
        <x:v>Medium</x:v>
      </x:c>
      <x:c r="F1060" t="str">
        <x:v>Hospital</x:v>
      </x:c>
      <x:c r="G1060" t="str">
        <x:v>Shear Wall</x:v>
      </x:c>
      <x:c r="H1060" t="str">
        <x:v>Raft</x:v>
      </x:c>
      <x:c r="I1060" t="str">
        <x:v>Rock</x:v>
      </x:c>
      <x:c r="J1060" t="str">
        <x:v>Medium</x:v>
      </x:c>
      <x:c r="K1060" t="n">
        <x:v>81002880</x:v>
      </x:c>
      <x:c r="L1060" t="n">
        <x:v>1255</x:v>
      </x:c>
      <x:c r="M1060" t="n">
        <x:v>736.7</x:v>
      </x:c>
      <x:c r="N1060" t="n">
        <x:v>15.7</x:v>
      </x:c>
      <x:c r="O1060" t="n">
        <x:v>60.4</x:v>
      </x:c>
      <x:c r="P1060" t="str">
        <x:v>Cloudy</x:v>
      </x:c>
      <x:c r="Q1060" t="n">
        <x:v>82</x:v>
      </x:c>
      <x:c r="R1060" t="n">
        <x:v>82.2</x:v>
      </x:c>
      <x:c r="S1060" t="n">
        <x:v>0.1079</x:v>
      </x:c>
      <x:c r="T1060" t="n">
        <x:v>21.5</x:v>
      </x:c>
      <x:c r="U1060" t="n">
        <x:v>2152.5</x:v>
      </x:c>
      <x:c r="V1060" t="n">
        <x:v>3136</x:v>
      </x:c>
      <x:c r="W1060" t="n">
        <x:v>48.6</x:v>
      </x:c>
    </x:row>
    <x:row r="1061">
      <x:c r="A1061" t="str">
        <x:v>PJT_1060</x:v>
      </x:c>
      <x:c r="B1061" t="str">
        <x:v>Humid Subtropical</x:v>
      </x:c>
      <x:c r="C1061" t="n">
        <x:v>8780</x:v>
      </x:c>
      <x:c r="D1061" t="n">
        <x:v>7</x:v>
      </x:c>
      <x:c r="E1061" t="str">
        <x:v>Low</x:v>
      </x:c>
      <x:c r="F1061" t="str">
        <x:v>Residential</x:v>
      </x:c>
      <x:c r="G1061" t="str">
        <x:v>RC Frame</x:v>
      </x:c>
      <x:c r="H1061" t="str">
        <x:v>Raft</x:v>
      </x:c>
      <x:c r="I1061" t="str">
        <x:v>Sand</x:v>
      </x:c>
      <x:c r="J1061" t="str">
        <x:v>Low</x:v>
      </x:c>
      <x:c r="K1061" t="n">
        <x:v>12327120</x:v>
      </x:c>
      <x:c r="L1061" t="n">
        <x:v>270</x:v>
      </x:c>
      <x:c r="M1061" t="n">
        <x:v>256</x:v>
      </x:c>
      <x:c r="N1061" t="n">
        <x:v>30.6</x:v>
      </x:c>
      <x:c r="O1061" t="n">
        <x:v>56.4</x:v>
      </x:c>
      <x:c r="P1061" t="str">
        <x:v>Sunny</x:v>
      </x:c>
      <x:c r="Q1061" t="n">
        <x:v>60</x:v>
      </x:c>
      <x:c r="R1061" t="n">
        <x:v>64.2</x:v>
      </x:c>
      <x:c r="S1061" t="n">
        <x:v>0.0745</x:v>
      </x:c>
      <x:c r="T1061" t="n">
        <x:v>12.2</x:v>
      </x:c>
      <x:c r="U1061" t="n">
        <x:v>1254.3</x:v>
      </x:c>
      <x:c r="V1061" t="n">
        <x:v>1404</x:v>
      </x:c>
      <x:c r="W1061" t="n">
        <x:v>30.8</x:v>
      </x:c>
    </x:row>
    <x:row r="1062">
      <x:c r="A1062" t="str">
        <x:v>PJT_1061</x:v>
      </x:c>
      <x:c r="B1062" t="str">
        <x:v>Mediterranean</x:v>
      </x:c>
      <x:c r="C1062" t="n">
        <x:v>12310</x:v>
      </x:c>
      <x:c r="D1062" t="n">
        <x:v>14</x:v>
      </x:c>
      <x:c r="E1062" t="str">
        <x:v>Medium</x:v>
      </x:c>
      <x:c r="F1062" t="str">
        <x:v>Commercial</x:v>
      </x:c>
      <x:c r="G1062" t="str">
        <x:v>Steel</x:v>
      </x:c>
      <x:c r="H1062" t="str">
        <x:v>Piles</x:v>
      </x:c>
      <x:c r="I1062" t="str">
        <x:v>Sand</x:v>
      </x:c>
      <x:c r="J1062" t="str">
        <x:v>Medium</x:v>
      </x:c>
      <x:c r="K1062" t="n">
        <x:v>30454940</x:v>
      </x:c>
      <x:c r="L1062" t="n">
        <x:v>614</x:v>
      </x:c>
      <x:c r="M1062" t="n">
        <x:v>358.8</x:v>
      </x:c>
      <x:c r="N1062" t="n">
        <x:v>-0.6</x:v>
      </x:c>
      <x:c r="O1062" t="n">
        <x:v>71.8</x:v>
      </x:c>
      <x:c r="P1062" t="str">
        <x:v>Snowy</x:v>
      </x:c>
      <x:c r="Q1062" t="n">
        <x:v>73</x:v>
      </x:c>
      <x:c r="R1062" t="n">
        <x:v>79.1</x:v>
      </x:c>
      <x:c r="S1062" t="n">
        <x:v>0.097</x:v>
      </x:c>
      <x:c r="T1062" t="n">
        <x:v>17.8</x:v>
      </x:c>
      <x:c r="U1062" t="n">
        <x:v>879.3</x:v>
      </x:c>
      <x:c r="V1062" t="n">
        <x:v>2474</x:v>
      </x:c>
      <x:c r="W1062" t="n">
        <x:v>49.9</x:v>
      </x:c>
    </x:row>
    <x:row r="1063">
      <x:c r="A1063" t="str">
        <x:v>PJT_1062</x:v>
      </x:c>
      <x:c r="B1063" t="str">
        <x:v>Mediterranean</x:v>
      </x:c>
      <x:c r="C1063" t="n">
        <x:v>13700</x:v>
      </x:c>
      <x:c r="D1063" t="n">
        <x:v>13</x:v>
      </x:c>
      <x:c r="E1063" t="str">
        <x:v>Medium</x:v>
      </x:c>
      <x:c r="F1063" t="str">
        <x:v>Mixed-use</x:v>
      </x:c>
      <x:c r="G1063" t="str">
        <x:v>Steel</x:v>
      </x:c>
      <x:c r="H1063" t="str">
        <x:v>Raft</x:v>
      </x:c>
      <x:c r="I1063" t="str">
        <x:v>Mixed</x:v>
      </x:c>
      <x:c r="J1063" t="str">
        <x:v>High</x:v>
      </x:c>
      <x:c r="K1063" t="n">
        <x:v>35428200</x:v>
      </x:c>
      <x:c r="L1063" t="n">
        <x:v>693</x:v>
      </x:c>
      <x:c r="M1063" t="n">
        <x:v>339</x:v>
      </x:c>
      <x:c r="N1063" t="n">
        <x:v>17.4</x:v>
      </x:c>
      <x:c r="O1063" t="n">
        <x:v>79.4</x:v>
      </x:c>
      <x:c r="P1063" t="str">
        <x:v>Rainy</x:v>
      </x:c>
      <x:c r="Q1063" t="n">
        <x:v>90</x:v>
      </x:c>
      <x:c r="R1063" t="n">
        <x:v>79.8</x:v>
      </x:c>
      <x:c r="S1063" t="n">
        <x:v>0.1018</x:v>
      </x:c>
      <x:c r="T1063" t="n">
        <x:v>18.3</x:v>
      </x:c>
      <x:c r="U1063" t="n">
        <x:v>1053.8</x:v>
      </x:c>
      <x:c r="V1063" t="n">
        <x:v>2586</x:v>
      </x:c>
      <x:c r="W1063" t="n">
        <x:v>50.6</x:v>
      </x:c>
    </x:row>
    <x:row r="1064">
      <x:c r="A1064" t="str">
        <x:v>PJT_1063</x:v>
      </x:c>
      <x:c r="B1064" t="str">
        <x:v>Continental</x:v>
      </x:c>
      <x:c r="C1064" t="n">
        <x:v>8420</x:v>
      </x:c>
      <x:c r="D1064" t="n">
        <x:v>4</x:v>
      </x:c>
      <x:c r="E1064" t="str">
        <x:v>Low</x:v>
      </x:c>
      <x:c r="F1064" t="str">
        <x:v>School</x:v>
      </x:c>
      <x:c r="G1064" t="str">
        <x:v>RC Frame</x:v>
      </x:c>
      <x:c r="H1064" t="str">
        <x:v>Raft</x:v>
      </x:c>
      <x:c r="I1064" t="str">
        <x:v>Soft Clay</x:v>
      </x:c>
      <x:c r="J1064" t="str">
        <x:v>High</x:v>
      </x:c>
      <x:c r="K1064" t="n">
        <x:v>13977200</x:v>
      </x:c>
      <x:c r="L1064" t="n">
        <x:v>248</x:v>
      </x:c>
      <x:c r="M1064" t="n">
        <x:v>198.9</x:v>
      </x:c>
      <x:c r="N1064" t="n">
        <x:v>21</x:v>
      </x:c>
      <x:c r="O1064" t="n">
        <x:v>48.4</x:v>
      </x:c>
      <x:c r="P1064" t="str">
        <x:v>Cloudy</x:v>
      </x:c>
      <x:c r="Q1064" t="n">
        <x:v>73</x:v>
      </x:c>
      <x:c r="R1064" t="n">
        <x:v>61</x:v>
      </x:c>
      <x:c r="S1064" t="n">
        <x:v>0.0771</x:v>
      </x:c>
      <x:c r="T1064" t="n">
        <x:v>13.4</x:v>
      </x:c>
      <x:c r="U1064" t="n">
        <x:v>2105</x:v>
      </x:c>
      <x:c r="V1064" t="n">
        <x:v>1660</x:v>
      </x:c>
      <x:c r="W1064" t="n">
        <x:v>29.5</x:v>
      </x:c>
    </x:row>
    <x:row r="1065">
      <x:c r="A1065" t="str">
        <x:v>PJT_1064</x:v>
      </x:c>
      <x:c r="B1065" t="str">
        <x:v>Continental</x:v>
      </x:c>
      <x:c r="C1065" t="n">
        <x:v>14160</x:v>
      </x:c>
      <x:c r="D1065" t="n">
        <x:v>15</x:v>
      </x:c>
      <x:c r="E1065" t="str">
        <x:v>Medium</x:v>
      </x:c>
      <x:c r="F1065" t="str">
        <x:v>Mixed-use</x:v>
      </x:c>
      <x:c r="G1065" t="str">
        <x:v>Steel</x:v>
      </x:c>
      <x:c r="H1065" t="str">
        <x:v>Piles</x:v>
      </x:c>
      <x:c r="I1065" t="str">
        <x:v>Mixed</x:v>
      </x:c>
      <x:c r="J1065" t="str">
        <x:v>Low</x:v>
      </x:c>
      <x:c r="K1065" t="n">
        <x:v>35838960</x:v>
      </x:c>
      <x:c r="L1065" t="n">
        <x:v>678</x:v>
      </x:c>
      <x:c r="M1065" t="n">
        <x:v>414.9</x:v>
      </x:c>
      <x:c r="N1065" t="n">
        <x:v>15.4</x:v>
      </x:c>
      <x:c r="O1065" t="n">
        <x:v>47.6</x:v>
      </x:c>
      <x:c r="P1065" t="str">
        <x:v>Sunny</x:v>
      </x:c>
      <x:c r="Q1065" t="n">
        <x:v>73</x:v>
      </x:c>
      <x:c r="R1065" t="n">
        <x:v>79.2</x:v>
      </x:c>
      <x:c r="S1065" t="n">
        <x:v>0.0998</x:v>
      </x:c>
      <x:c r="T1065" t="n">
        <x:v>19.1</x:v>
      </x:c>
      <x:c r="U1065" t="n">
        <x:v>944</x:v>
      </x:c>
      <x:c r="V1065" t="n">
        <x:v>2531</x:v>
      </x:c>
      <x:c r="W1065" t="n">
        <x:v>47.9</x:v>
      </x:c>
    </x:row>
    <x:row r="1066">
      <x:c r="A1066" t="str">
        <x:v>PJT_1065</x:v>
      </x:c>
      <x:c r="B1066" t="str">
        <x:v>Marine</x:v>
      </x:c>
      <x:c r="C1066" t="n">
        <x:v>25920</x:v>
      </x:c>
      <x:c r="D1066" t="n">
        <x:v>20</x:v>
      </x:c>
      <x:c r="E1066" t="str">
        <x:v>High</x:v>
      </x:c>
      <x:c r="F1066" t="str">
        <x:v>Mixed-use</x:v>
      </x:c>
      <x:c r="G1066" t="str">
        <x:v>Steel</x:v>
      </x:c>
      <x:c r="H1066" t="str">
        <x:v>Piles</x:v>
      </x:c>
      <x:c r="I1066" t="str">
        <x:v>Sand</x:v>
      </x:c>
      <x:c r="J1066" t="str">
        <x:v>Medium</x:v>
      </x:c>
      <x:c r="K1066" t="n">
        <x:v>75660480</x:v>
      </x:c>
      <x:c r="L1066" t="n">
        <x:v>1477</x:v>
      </x:c>
      <x:c r="M1066" t="n">
        <x:v>277</x:v>
      </x:c>
      <x:c r="N1066" t="n">
        <x:v>10.7</x:v>
      </x:c>
      <x:c r="O1066" t="n">
        <x:v>80.6</x:v>
      </x:c>
      <x:c r="P1066" t="str">
        <x:v>Rainy</x:v>
      </x:c>
      <x:c r="Q1066" t="n">
        <x:v>80</x:v>
      </x:c>
      <x:c r="R1066" t="n">
        <x:v>91.5</x:v>
      </x:c>
      <x:c r="S1066" t="n">
        <x:v>0.1089</x:v>
      </x:c>
      <x:c r="T1066" t="n">
        <x:v>19.8</x:v>
      </x:c>
      <x:c r="U1066" t="n">
        <x:v>1296</x:v>
      </x:c>
      <x:c r="V1066" t="n">
        <x:v>2919</x:v>
      </x:c>
      <x:c r="W1066" t="n">
        <x:v>57</x:v>
      </x:c>
    </x:row>
    <x:row r="1067">
      <x:c r="A1067" t="str">
        <x:v>PJT_1066</x:v>
      </x:c>
      <x:c r="B1067" t="str">
        <x:v>Humid Subtropical</x:v>
      </x:c>
      <x:c r="C1067" t="n">
        <x:v>10030</x:v>
      </x:c>
      <x:c r="D1067" t="n">
        <x:v>13</x:v>
      </x:c>
      <x:c r="E1067" t="str">
        <x:v>Medium</x:v>
      </x:c>
      <x:c r="F1067" t="str">
        <x:v>Residential</x:v>
      </x:c>
      <x:c r="G1067" t="str">
        <x:v>RC Frame</x:v>
      </x:c>
      <x:c r="H1067" t="str">
        <x:v>Raft</x:v>
      </x:c>
      <x:c r="I1067" t="str">
        <x:v>Rock</x:v>
      </x:c>
      <x:c r="J1067" t="str">
        <x:v>Medium</x:v>
      </x:c>
      <x:c r="K1067" t="n">
        <x:v>15375990</x:v>
      </x:c>
      <x:c r="L1067" t="n">
        <x:v>354</x:v>
      </x:c>
      <x:c r="M1067" t="n">
        <x:v>607.2</x:v>
      </x:c>
      <x:c r="N1067" t="n">
        <x:v>29.8</x:v>
      </x:c>
      <x:c r="O1067" t="n">
        <x:v>74.1</x:v>
      </x:c>
      <x:c r="P1067" t="str">
        <x:v>Cloudy</x:v>
      </x:c>
      <x:c r="Q1067" t="n">
        <x:v>70</x:v>
      </x:c>
      <x:c r="R1067" t="n">
        <x:v>74.7</x:v>
      </x:c>
      <x:c r="S1067" t="n">
        <x:v>0.0804</x:v>
      </x:c>
      <x:c r="T1067" t="n">
        <x:v>13.7</x:v>
      </x:c>
      <x:c r="U1067" t="n">
        <x:v>771.5</x:v>
      </x:c>
      <x:c r="V1067" t="n">
        <x:v>1533</x:v>
      </x:c>
      <x:c r="W1067" t="n">
        <x:v>35.3</x:v>
      </x:c>
    </x:row>
    <x:row r="1068">
      <x:c r="A1068" t="str">
        <x:v>PJT_1067</x:v>
      </x:c>
      <x:c r="B1068" t="str">
        <x:v>Mediterranean</x:v>
      </x:c>
      <x:c r="C1068" t="n">
        <x:v>14850</x:v>
      </x:c>
      <x:c r="D1068" t="n">
        <x:v>24</x:v>
      </x:c>
      <x:c r="E1068" t="str">
        <x:v>Medium</x:v>
      </x:c>
      <x:c r="F1068" t="str">
        <x:v>Residential</x:v>
      </x:c>
      <x:c r="G1068" t="str">
        <x:v>RC Frame</x:v>
      </x:c>
      <x:c r="H1068" t="str">
        <x:v>Piles</x:v>
      </x:c>
      <x:c r="I1068" t="str">
        <x:v>Mixed</x:v>
      </x:c>
      <x:c r="J1068" t="str">
        <x:v>Low</x:v>
      </x:c>
      <x:c r="K1068" t="n">
        <x:v>21621600</x:v>
      </x:c>
      <x:c r="L1068" t="n">
        <x:v>557</x:v>
      </x:c>
      <x:c r="M1068" t="n">
        <x:v>330.6</x:v>
      </x:c>
      <x:c r="N1068" t="n">
        <x:v>27.9</x:v>
      </x:c>
      <x:c r="O1068" t="n">
        <x:v>42.9</x:v>
      </x:c>
      <x:c r="P1068" t="str">
        <x:v>Sunny</x:v>
      </x:c>
      <x:c r="Q1068" t="n">
        <x:v>63</x:v>
      </x:c>
      <x:c r="R1068" t="n">
        <x:v>74.2</x:v>
      </x:c>
      <x:c r="S1068" t="n">
        <x:v>0.0789</x:v>
      </x:c>
      <x:c r="T1068" t="n">
        <x:v>12.5</x:v>
      </x:c>
      <x:c r="U1068" t="n">
        <x:v>618.8</x:v>
      </x:c>
      <x:c r="V1068" t="n">
        <x:v>1456</x:v>
      </x:c>
      <x:c r="W1068" t="n">
        <x:v>37.5</x:v>
      </x:c>
    </x:row>
    <x:row r="1069">
      <x:c r="A1069" t="str">
        <x:v>PJT_1068</x:v>
      </x:c>
      <x:c r="B1069" t="str">
        <x:v>Mediterranean</x:v>
      </x:c>
      <x:c r="C1069" t="n">
        <x:v>21210</x:v>
      </x:c>
      <x:c r="D1069" t="n">
        <x:v>16</x:v>
      </x:c>
      <x:c r="E1069" t="str">
        <x:v>Medium</x:v>
      </x:c>
      <x:c r="F1069" t="str">
        <x:v>Mixed-use</x:v>
      </x:c>
      <x:c r="G1069" t="str">
        <x:v>Steel</x:v>
      </x:c>
      <x:c r="H1069" t="str">
        <x:v>Piles</x:v>
      </x:c>
      <x:c r="I1069" t="str">
        <x:v>Mixed</x:v>
      </x:c>
      <x:c r="J1069" t="str">
        <x:v>Low</x:v>
      </x:c>
      <x:c r="K1069" t="n">
        <x:v>55230840</x:v>
      </x:c>
      <x:c r="L1069" t="n">
        <x:v>1056</x:v>
      </x:c>
      <x:c r="M1069" t="n">
        <x:v>413.5</x:v>
      </x:c>
      <x:c r="N1069" t="n">
        <x:v>18.7</x:v>
      </x:c>
      <x:c r="O1069" t="n">
        <x:v>52.3</x:v>
      </x:c>
      <x:c r="P1069" t="str">
        <x:v>Cloudy</x:v>
      </x:c>
      <x:c r="Q1069" t="n">
        <x:v>94</x:v>
      </x:c>
      <x:c r="R1069" t="n">
        <x:v>79.3</x:v>
      </x:c>
      <x:c r="S1069" t="n">
        <x:v>0.098</x:v>
      </x:c>
      <x:c r="T1069" t="n">
        <x:v>18.6</x:v>
      </x:c>
      <x:c r="U1069" t="n">
        <x:v>1325.6</x:v>
      </x:c>
      <x:c r="V1069" t="n">
        <x:v>2604</x:v>
      </x:c>
      <x:c r="W1069" t="n">
        <x:v>49.8</x:v>
      </x:c>
    </x:row>
    <x:row r="1070">
      <x:c r="A1070" t="str">
        <x:v>PJT_1069</x:v>
      </x:c>
      <x:c r="B1070" t="str">
        <x:v>Continental</x:v>
      </x:c>
      <x:c r="C1070" t="n">
        <x:v>25420</x:v>
      </x:c>
      <x:c r="D1070" t="n">
        <x:v>14</x:v>
      </x:c>
      <x:c r="E1070" t="str">
        <x:v>Medium</x:v>
      </x:c>
      <x:c r="F1070" t="str">
        <x:v>Hospital</x:v>
      </x:c>
      <x:c r="G1070" t="str">
        <x:v>Steel</x:v>
      </x:c>
      <x:c r="H1070" t="str">
        <x:v>Piles</x:v>
      </x:c>
      <x:c r="I1070" t="str">
        <x:v>Mixed</x:v>
      </x:c>
      <x:c r="J1070" t="str">
        <x:v>Low</x:v>
      </x:c>
      <x:c r="K1070" t="n">
        <x:v>80123840</x:v>
      </x:c>
      <x:c r="L1070" t="n">
        <x:v>1281</x:v>
      </x:c>
      <x:c r="M1070" t="n">
        <x:v>286</x:v>
      </x:c>
      <x:c r="N1070" t="n">
        <x:v>8.2</x:v>
      </x:c>
      <x:c r="O1070" t="n">
        <x:v>61.3</x:v>
      </x:c>
      <x:c r="P1070" t="str">
        <x:v>Sunny</x:v>
      </x:c>
      <x:c r="Q1070" t="n">
        <x:v>75</x:v>
      </x:c>
      <x:c r="R1070" t="n">
        <x:v>86.3</x:v>
      </x:c>
      <x:c r="S1070" t="n">
        <x:v>0.1146</x:v>
      </x:c>
      <x:c r="T1070" t="n">
        <x:v>22.1</x:v>
      </x:c>
      <x:c r="U1070" t="n">
        <x:v>1815.7</x:v>
      </x:c>
      <x:c r="V1070" t="n">
        <x:v>3152</x:v>
      </x:c>
      <x:c r="W1070" t="n">
        <x:v>50.4</x:v>
      </x:c>
    </x:row>
    <x:row r="1071">
      <x:c r="A1071" t="str">
        <x:v>PJT_1070</x:v>
      </x:c>
      <x:c r="B1071" t="str">
        <x:v>Mediterranean</x:v>
      </x:c>
      <x:c r="C1071" t="n">
        <x:v>7850</x:v>
      </x:c>
      <x:c r="D1071" t="n">
        <x:v>3</x:v>
      </x:c>
      <x:c r="E1071" t="str">
        <x:v>Low</x:v>
      </x:c>
      <x:c r="F1071" t="str">
        <x:v>School</x:v>
      </x:c>
      <x:c r="G1071" t="str">
        <x:v>Steel</x:v>
      </x:c>
      <x:c r="H1071" t="str">
        <x:v>Raft</x:v>
      </x:c>
      <x:c r="I1071" t="str">
        <x:v>Rock</x:v>
      </x:c>
      <x:c r="J1071" t="str">
        <x:v>High</x:v>
      </x:c>
      <x:c r="K1071" t="n">
        <x:v>15338900</x:v>
      </x:c>
      <x:c r="L1071" t="n">
        <x:v>253</x:v>
      </x:c>
      <x:c r="M1071" t="n">
        <x:v>629.5</x:v>
      </x:c>
      <x:c r="N1071" t="n">
        <x:v>18.5</x:v>
      </x:c>
      <x:c r="O1071" t="n">
        <x:v>65</x:v>
      </x:c>
      <x:c r="P1071" t="str">
        <x:v>Cloudy</x:v>
      </x:c>
      <x:c r="Q1071" t="n">
        <x:v>69</x:v>
      </x:c>
      <x:c r="R1071" t="n">
        <x:v>59.6</x:v>
      </x:c>
      <x:c r="S1071" t="n">
        <x:v>0.087</x:v>
      </x:c>
      <x:c r="T1071" t="n">
        <x:v>13.1</x:v>
      </x:c>
      <x:c r="U1071" t="n">
        <x:v>2616.7</x:v>
      </x:c>
      <x:c r="V1071" t="n">
        <x:v>1954</x:v>
      </x:c>
      <x:c r="W1071" t="n">
        <x:v>32.2</x:v>
      </x:c>
    </x:row>
    <x:row r="1072">
      <x:c r="A1072" t="str">
        <x:v>PJT_1071</x:v>
      </x:c>
      <x:c r="B1072" t="str">
        <x:v>Continental</x:v>
      </x:c>
      <x:c r="C1072" t="n">
        <x:v>26020</x:v>
      </x:c>
      <x:c r="D1072" t="n">
        <x:v>12</x:v>
      </x:c>
      <x:c r="E1072" t="str">
        <x:v>Medium</x:v>
      </x:c>
      <x:c r="F1072" t="str">
        <x:v>Commercial</x:v>
      </x:c>
      <x:c r="G1072" t="str">
        <x:v>Steel</x:v>
      </x:c>
      <x:c r="H1072" t="str">
        <x:v>Piles</x:v>
      </x:c>
      <x:c r="I1072" t="str">
        <x:v>Soft Clay</x:v>
      </x:c>
      <x:c r="J1072" t="str">
        <x:v>Low</x:v>
      </x:c>
      <x:c r="K1072" t="n">
        <x:v>59533760</x:v>
      </x:c>
      <x:c r="L1072" t="n">
        <x:v>1218</x:v>
      </x:c>
      <x:c r="M1072" t="n">
        <x:v>236.5</x:v>
      </x:c>
      <x:c r="N1072" t="n">
        <x:v>6.9</x:v>
      </x:c>
      <x:c r="O1072" t="n">
        <x:v>79</x:v>
      </x:c>
      <x:c r="P1072" t="str">
        <x:v>Rainy</x:v>
      </x:c>
      <x:c r="Q1072" t="n">
        <x:v>97</x:v>
      </x:c>
      <x:c r="R1072" t="n">
        <x:v>74</x:v>
      </x:c>
      <x:c r="S1072" t="n">
        <x:v>0.0956</x:v>
      </x:c>
      <x:c r="T1072" t="n">
        <x:v>17.5</x:v>
      </x:c>
      <x:c r="U1072" t="n">
        <x:v>2168.3</x:v>
      </x:c>
      <x:c r="V1072" t="n">
        <x:v>2288</x:v>
      </x:c>
      <x:c r="W1072" t="n">
        <x:v>46.8</x:v>
      </x:c>
    </x:row>
    <x:row r="1073">
      <x:c r="A1073" t="str">
        <x:v>PJT_1072</x:v>
      </x:c>
      <x:c r="B1073" t="str">
        <x:v>Marine</x:v>
      </x:c>
      <x:c r="C1073" t="n">
        <x:v>4820</x:v>
      </x:c>
      <x:c r="D1073" t="n">
        <x:v>4</x:v>
      </x:c>
      <x:c r="E1073" t="str">
        <x:v>Low</x:v>
      </x:c>
      <x:c r="F1073" t="str">
        <x:v>Residential</x:v>
      </x:c>
      <x:c r="G1073" t="str">
        <x:v>RC Frame</x:v>
      </x:c>
      <x:c r="H1073" t="str">
        <x:v>Strip</x:v>
      </x:c>
      <x:c r="I1073" t="str">
        <x:v>Rock</x:v>
      </x:c>
      <x:c r="J1073" t="str">
        <x:v>Medium</x:v>
      </x:c>
      <x:c r="K1073" t="n">
        <x:v>6453980</x:v>
      </x:c>
      <x:c r="L1073" t="n">
        <x:v>180</x:v>
      </x:c>
      <x:c r="M1073" t="n">
        <x:v>635.9</x:v>
      </x:c>
      <x:c r="N1073" t="n">
        <x:v>12.9</x:v>
      </x:c>
      <x:c r="O1073" t="n">
        <x:v>79.2</x:v>
      </x:c>
      <x:c r="P1073" t="str">
        <x:v>Cloudy</x:v>
      </x:c>
      <x:c r="Q1073" t="n">
        <x:v>75</x:v>
      </x:c>
      <x:c r="R1073" t="n">
        <x:v>58</x:v>
      </x:c>
      <x:c r="S1073" t="n">
        <x:v>0.0726</x:v>
      </x:c>
      <x:c r="T1073" t="n">
        <x:v>12.4</x:v>
      </x:c>
      <x:c r="U1073" t="n">
        <x:v>1205</x:v>
      </x:c>
      <x:c r="V1073" t="n">
        <x:v>1339</x:v>
      </x:c>
      <x:c r="W1073" t="n">
        <x:v>30.1</x:v>
      </x:c>
    </x:row>
    <x:row r="1074">
      <x:c r="A1074" t="str">
        <x:v>PJT_1073</x:v>
      </x:c>
      <x:c r="B1074" t="str">
        <x:v>Humid Subtropical</x:v>
      </x:c>
      <x:c r="C1074" t="n">
        <x:v>24820</x:v>
      </x:c>
      <x:c r="D1074" t="n">
        <x:v>16</x:v>
      </x:c>
      <x:c r="E1074" t="str">
        <x:v>Medium</x:v>
      </x:c>
      <x:c r="F1074" t="str">
        <x:v>Mixed-use</x:v>
      </x:c>
      <x:c r="G1074" t="str">
        <x:v>Shear Wall</x:v>
      </x:c>
      <x:c r="H1074" t="str">
        <x:v>Piles</x:v>
      </x:c>
      <x:c r="I1074" t="str">
        <x:v>Sand</x:v>
      </x:c>
      <x:c r="J1074" t="str">
        <x:v>Medium</x:v>
      </x:c>
      <x:c r="K1074" t="n">
        <x:v>69098880</x:v>
      </x:c>
      <x:c r="L1074" t="n">
        <x:v>1209</x:v>
      </x:c>
      <x:c r="M1074" t="n">
        <x:v>295.5</x:v>
      </x:c>
      <x:c r="N1074" t="n">
        <x:v>21.8</x:v>
      </x:c>
      <x:c r="O1074" t="n">
        <x:v>65.4</x:v>
      </x:c>
      <x:c r="P1074" t="str">
        <x:v>Cloudy</x:v>
      </x:c>
      <x:c r="Q1074" t="n">
        <x:v>80</x:v>
      </x:c>
      <x:c r="R1074" t="n">
        <x:v>79.9</x:v>
      </x:c>
      <x:c r="S1074" t="n">
        <x:v>0.0992</x:v>
      </x:c>
      <x:c r="T1074" t="n">
        <x:v>17.4</x:v>
      </x:c>
      <x:c r="U1074" t="n">
        <x:v>1551.2</x:v>
      </x:c>
      <x:c r="V1074" t="n">
        <x:v>2784</x:v>
      </x:c>
      <x:c r="W1074" t="n">
        <x:v>48.7</x:v>
      </x:c>
    </x:row>
    <x:row r="1075">
      <x:c r="A1075" t="str">
        <x:v>PJT_1074</x:v>
      </x:c>
      <x:c r="B1075" t="str">
        <x:v>Continental</x:v>
      </x:c>
      <x:c r="C1075" t="n">
        <x:v>17270</x:v>
      </x:c>
      <x:c r="D1075" t="n">
        <x:v>15</x:v>
      </x:c>
      <x:c r="E1075" t="str">
        <x:v>Medium</x:v>
      </x:c>
      <x:c r="F1075" t="str">
        <x:v>Commercial</x:v>
      </x:c>
      <x:c r="G1075" t="str">
        <x:v>Steel</x:v>
      </x:c>
      <x:c r="H1075" t="str">
        <x:v>Piles</x:v>
      </x:c>
      <x:c r="I1075" t="str">
        <x:v>Sand</x:v>
      </x:c>
      <x:c r="J1075" t="str">
        <x:v>Low</x:v>
      </x:c>
      <x:c r="K1075" t="n">
        <x:v>40653580</x:v>
      </x:c>
      <x:c r="L1075" t="n">
        <x:v>812</x:v>
      </x:c>
      <x:c r="M1075" t="n">
        <x:v>326.3</x:v>
      </x:c>
      <x:c r="N1075" t="n">
        <x:v>15.3</x:v>
      </x:c>
      <x:c r="O1075" t="n">
        <x:v>67.7</x:v>
      </x:c>
      <x:c r="P1075" t="str">
        <x:v>Rainy</x:v>
      </x:c>
      <x:c r="Q1075" t="n">
        <x:v>112</x:v>
      </x:c>
      <x:c r="R1075" t="n">
        <x:v>76.2</x:v>
      </x:c>
      <x:c r="S1075" t="n">
        <x:v>0.0948</x:v>
      </x:c>
      <x:c r="T1075" t="n">
        <x:v>17.5</x:v>
      </x:c>
      <x:c r="U1075" t="n">
        <x:v>1151.3</x:v>
      </x:c>
      <x:c r="V1075" t="n">
        <x:v>2354</x:v>
      </x:c>
      <x:c r="W1075" t="n">
        <x:v>47</x:v>
      </x:c>
    </x:row>
    <x:row r="1076">
      <x:c r="A1076" t="str">
        <x:v>PJT_1075</x:v>
      </x:c>
      <x:c r="B1076" t="str">
        <x:v>Marine</x:v>
      </x:c>
      <x:c r="C1076" t="n">
        <x:v>26960</x:v>
      </x:c>
      <x:c r="D1076" t="n">
        <x:v>14</x:v>
      </x:c>
      <x:c r="E1076" t="str">
        <x:v>Medium</x:v>
      </x:c>
      <x:c r="F1076" t="str">
        <x:v>Hospital</x:v>
      </x:c>
      <x:c r="G1076" t="str">
        <x:v>Shear Wall</x:v>
      </x:c>
      <x:c r="H1076" t="str">
        <x:v>Raft</x:v>
      </x:c>
      <x:c r="I1076" t="str">
        <x:v>Rock</x:v>
      </x:c>
      <x:c r="J1076" t="str">
        <x:v>Medium</x:v>
      </x:c>
      <x:c r="K1076" t="n">
        <x:v>82443680</x:v>
      </x:c>
      <x:c r="L1076" t="n">
        <x:v>1316</x:v>
      </x:c>
      <x:c r="M1076" t="n">
        <x:v>661.6</x:v>
      </x:c>
      <x:c r="N1076" t="n">
        <x:v>14.5</x:v>
      </x:c>
      <x:c r="O1076" t="n">
        <x:v>67.4</x:v>
      </x:c>
      <x:c r="P1076" t="str">
        <x:v>Cloudy</x:v>
      </x:c>
      <x:c r="Q1076" t="n">
        <x:v>76</x:v>
      </x:c>
      <x:c r="R1076" t="n">
        <x:v>85.2</x:v>
      </x:c>
      <x:c r="S1076" t="n">
        <x:v>0.1112</x:v>
      </x:c>
      <x:c r="T1076" t="n">
        <x:v>20.3</x:v>
      </x:c>
      <x:c r="U1076" t="n">
        <x:v>1925.7</x:v>
      </x:c>
      <x:c r="V1076" t="n">
        <x:v>3058</x:v>
      </x:c>
      <x:c r="W1076" t="n">
        <x:v>48.8</x:v>
      </x:c>
    </x:row>
    <x:row r="1077">
      <x:c r="A1077" t="str">
        <x:v>PJT_1076</x:v>
      </x:c>
      <x:c r="B1077" t="str">
        <x:v>Continental</x:v>
      </x:c>
      <x:c r="C1077" t="n">
        <x:v>9420</x:v>
      </x:c>
      <x:c r="D1077" t="n">
        <x:v>13</x:v>
      </x:c>
      <x:c r="E1077" t="str">
        <x:v>Low</x:v>
      </x:c>
      <x:c r="F1077" t="str">
        <x:v>Residential</x:v>
      </x:c>
      <x:c r="G1077" t="str">
        <x:v>RC Frame</x:v>
      </x:c>
      <x:c r="H1077" t="str">
        <x:v>Raft</x:v>
      </x:c>
      <x:c r="I1077" t="str">
        <x:v>Rock</x:v>
      </x:c>
      <x:c r="J1077" t="str">
        <x:v>Low</x:v>
      </x:c>
      <x:c r="K1077" t="n">
        <x:v>11869200</x:v>
      </x:c>
      <x:c r="L1077" t="n">
        <x:v>293</x:v>
      </x:c>
      <x:c r="M1077" t="n">
        <x:v>675.9</x:v>
      </x:c>
      <x:c r="N1077" t="n">
        <x:v>23.3</x:v>
      </x:c>
      <x:c r="O1077" t="n">
        <x:v>52.6</x:v>
      </x:c>
      <x:c r="P1077" t="str">
        <x:v>Sunny</x:v>
      </x:c>
      <x:c r="Q1077" t="n">
        <x:v>83</x:v>
      </x:c>
      <x:c r="R1077" t="n">
        <x:v>63.1</x:v>
      </x:c>
      <x:c r="S1077" t="n">
        <x:v>0.0765</x:v>
      </x:c>
      <x:c r="T1077" t="n">
        <x:v>12.3</x:v>
      </x:c>
      <x:c r="U1077" t="n">
        <x:v>724.6</x:v>
      </x:c>
      <x:c r="V1077" t="n">
        <x:v>1260</x:v>
      </x:c>
      <x:c r="W1077" t="n">
        <x:v>31.1</x:v>
      </x:c>
    </x:row>
    <x:row r="1078">
      <x:c r="A1078" t="str">
        <x:v>PJT_1077</x:v>
      </x:c>
      <x:c r="B1078" t="str">
        <x:v>Humid Subtropical</x:v>
      </x:c>
      <x:c r="C1078" t="n">
        <x:v>22080</x:v>
      </x:c>
      <x:c r="D1078" t="n">
        <x:v>19</x:v>
      </x:c>
      <x:c r="E1078" t="str">
        <x:v>High</x:v>
      </x:c>
      <x:c r="F1078" t="str">
        <x:v>Mixed-use</x:v>
      </x:c>
      <x:c r="G1078" t="str">
        <x:v>Steel</x:v>
      </x:c>
      <x:c r="H1078" t="str">
        <x:v>Piles</x:v>
      </x:c>
      <x:c r="I1078" t="str">
        <x:v>Rock</x:v>
      </x:c>
      <x:c r="J1078" t="str">
        <x:v>Medium</x:v>
      </x:c>
      <x:c r="K1078" t="n">
        <x:v>65489280</x:v>
      </x:c>
      <x:c r="L1078" t="n">
        <x:v>1281</x:v>
      </x:c>
      <x:c r="M1078" t="n">
        <x:v>647.4</x:v>
      </x:c>
      <x:c r="N1078" t="n">
        <x:v>26.5</x:v>
      </x:c>
      <x:c r="O1078" t="n">
        <x:v>81.2</x:v>
      </x:c>
      <x:c r="P1078" t="str">
        <x:v>Rainy</x:v>
      </x:c>
      <x:c r="Q1078" t="n">
        <x:v>96</x:v>
      </x:c>
      <x:c r="R1078" t="n">
        <x:v>86.6</x:v>
      </x:c>
      <x:c r="S1078" t="n">
        <x:v>0.1092</x:v>
      </x:c>
      <x:c r="T1078" t="n">
        <x:v>20.2</x:v>
      </x:c>
      <x:c r="U1078" t="n">
        <x:v>1162.1</x:v>
      </x:c>
      <x:c r="V1078" t="n">
        <x:v>2966</x:v>
      </x:c>
      <x:c r="W1078" t="n">
        <x:v>58</x:v>
      </x:c>
    </x:row>
    <x:row r="1079">
      <x:c r="A1079" t="str">
        <x:v>PJT_1078</x:v>
      </x:c>
      <x:c r="B1079" t="str">
        <x:v>Mediterranean</x:v>
      </x:c>
      <x:c r="C1079" t="n">
        <x:v>28950</x:v>
      </x:c>
      <x:c r="D1079" t="n">
        <x:v>20</x:v>
      </x:c>
      <x:c r="E1079" t="str">
        <x:v>High</x:v>
      </x:c>
      <x:c r="F1079" t="str">
        <x:v>Mixed-use</x:v>
      </x:c>
      <x:c r="G1079" t="str">
        <x:v>Steel</x:v>
      </x:c>
      <x:c r="H1079" t="str">
        <x:v>Piles</x:v>
      </x:c>
      <x:c r="I1079" t="str">
        <x:v>Rock</x:v>
      </x:c>
      <x:c r="J1079" t="str">
        <x:v>Medium</x:v>
      </x:c>
      <x:c r="K1079" t="n">
        <x:v>84562950</x:v>
      </x:c>
      <x:c r="L1079" t="n">
        <x:v>1615</x:v>
      </x:c>
      <x:c r="M1079" t="n">
        <x:v>649.8</x:v>
      </x:c>
      <x:c r="N1079" t="n">
        <x:v>13.8</x:v>
      </x:c>
      <x:c r="O1079" t="n">
        <x:v>78.3</x:v>
      </x:c>
      <x:c r="P1079" t="str">
        <x:v>Rainy</x:v>
      </x:c>
      <x:c r="Q1079" t="n">
        <x:v>82</x:v>
      </x:c>
      <x:c r="R1079" t="n">
        <x:v>91.4</x:v>
      </x:c>
      <x:c r="S1079" t="n">
        <x:v>0.1039</x:v>
      </x:c>
      <x:c r="T1079" t="n">
        <x:v>19.6</x:v>
      </x:c>
      <x:c r="U1079" t="n">
        <x:v>1447.5</x:v>
      </x:c>
      <x:c r="V1079" t="n">
        <x:v>2921</x:v>
      </x:c>
      <x:c r="W1079" t="n">
        <x:v>55.8</x:v>
      </x:c>
    </x:row>
    <x:row r="1080">
      <x:c r="A1080" t="str">
        <x:v>PJT_1079</x:v>
      </x:c>
      <x:c r="B1080" t="str">
        <x:v>Continental</x:v>
      </x:c>
      <x:c r="C1080" t="n">
        <x:v>16660</x:v>
      </x:c>
      <x:c r="D1080" t="n">
        <x:v>12</x:v>
      </x:c>
      <x:c r="E1080" t="str">
        <x:v>Medium</x:v>
      </x:c>
      <x:c r="F1080" t="str">
        <x:v>Mixed-use</x:v>
      </x:c>
      <x:c r="G1080" t="str">
        <x:v>Steel</x:v>
      </x:c>
      <x:c r="H1080" t="str">
        <x:v>Raft</x:v>
      </x:c>
      <x:c r="I1080" t="str">
        <x:v>Mixed</x:v>
      </x:c>
      <x:c r="J1080" t="str">
        <x:v>Medium</x:v>
      </x:c>
      <x:c r="K1080" t="n">
        <x:v>40817000</x:v>
      </x:c>
      <x:c r="L1080" t="n">
        <x:v>786</x:v>
      </x:c>
      <x:c r="M1080" t="n">
        <x:v>280.7</x:v>
      </x:c>
      <x:c r="N1080" t="n">
        <x:v>24.2</x:v>
      </x:c>
      <x:c r="O1080" t="n">
        <x:v>60.7</x:v>
      </x:c>
      <x:c r="P1080" t="str">
        <x:v>Sunny</x:v>
      </x:c>
      <x:c r="Q1080" t="n">
        <x:v>85</x:v>
      </x:c>
      <x:c r="R1080" t="n">
        <x:v>84.5</x:v>
      </x:c>
      <x:c r="S1080" t="n">
        <x:v>0.1007</x:v>
      </x:c>
      <x:c r="T1080" t="n">
        <x:v>17.8</x:v>
      </x:c>
      <x:c r="U1080" t="n">
        <x:v>1388.3</x:v>
      </x:c>
      <x:c r="V1080" t="n">
        <x:v>2450</x:v>
      </x:c>
      <x:c r="W1080" t="n">
        <x:v>47.2</x:v>
      </x:c>
    </x:row>
    <x:row r="1081">
      <x:c r="A1081" t="str">
        <x:v>PJT_1080</x:v>
      </x:c>
      <x:c r="B1081" t="str">
        <x:v>Mediterranean</x:v>
      </x:c>
      <x:c r="C1081" t="n">
        <x:v>30120</x:v>
      </x:c>
      <x:c r="D1081" t="n">
        <x:v>25</x:v>
      </x:c>
      <x:c r="E1081" t="str">
        <x:v>High</x:v>
      </x:c>
      <x:c r="F1081" t="str">
        <x:v>Mixed-use</x:v>
      </x:c>
      <x:c r="G1081" t="str">
        <x:v>Steel</x:v>
      </x:c>
      <x:c r="H1081" t="str">
        <x:v>Piles</x:v>
      </x:c>
      <x:c r="I1081" t="str">
        <x:v>Soft Clay</x:v>
      </x:c>
      <x:c r="J1081" t="str">
        <x:v>High</x:v>
      </x:c>
      <x:c r="K1081" t="n">
        <x:v>90691320</x:v>
      </x:c>
      <x:c r="L1081" t="n">
        <x:v>1729</x:v>
      </x:c>
      <x:c r="M1081" t="n">
        <x:v>216.5</x:v>
      </x:c>
      <x:c r="N1081" t="n">
        <x:v>17.9</x:v>
      </x:c>
      <x:c r="O1081" t="n">
        <x:v>82.3</x:v>
      </x:c>
      <x:c r="P1081" t="str">
        <x:v>Rainy</x:v>
      </x:c>
      <x:c r="Q1081" t="n">
        <x:v>101</x:v>
      </x:c>
      <x:c r="R1081" t="n">
        <x:v>90.2</x:v>
      </x:c>
      <x:c r="S1081" t="n">
        <x:v>0.1078</x:v>
      </x:c>
      <x:c r="T1081" t="n">
        <x:v>20.8</x:v>
      </x:c>
      <x:c r="U1081" t="n">
        <x:v>1204.8</x:v>
      </x:c>
      <x:c r="V1081" t="n">
        <x:v>3011</x:v>
      </x:c>
      <x:c r="W1081" t="n">
        <x:v>57.4</x:v>
      </x:c>
    </x:row>
    <x:row r="1082">
      <x:c r="A1082" t="str">
        <x:v>PJT_1081</x:v>
      </x:c>
      <x:c r="B1082" t="str">
        <x:v>Humid Subtropical</x:v>
      </x:c>
      <x:c r="C1082" t="n">
        <x:v>31580</x:v>
      </x:c>
      <x:c r="D1082" t="n">
        <x:v>20</x:v>
      </x:c>
      <x:c r="E1082" t="str">
        <x:v>Medium</x:v>
      </x:c>
      <x:c r="F1082" t="str">
        <x:v>Mixed-use</x:v>
      </x:c>
      <x:c r="G1082" t="str">
        <x:v>Steel</x:v>
      </x:c>
      <x:c r="H1082" t="str">
        <x:v>Piles</x:v>
      </x:c>
      <x:c r="I1082" t="str">
        <x:v>Soft Clay</x:v>
      </x:c>
      <x:c r="J1082" t="str">
        <x:v>Medium</x:v>
      </x:c>
      <x:c r="K1082" t="n">
        <x:v>88424000</x:v>
      </x:c>
      <x:c r="L1082" t="n">
        <x:v>1601</x:v>
      </x:c>
      <x:c r="M1082" t="n">
        <x:v>185.7</x:v>
      </x:c>
      <x:c r="N1082" t="n">
        <x:v>25.3</x:v>
      </x:c>
      <x:c r="O1082" t="n">
        <x:v>66.3</x:v>
      </x:c>
      <x:c r="P1082" t="str">
        <x:v>Cloudy</x:v>
      </x:c>
      <x:c r="Q1082" t="n">
        <x:v>86</x:v>
      </x:c>
      <x:c r="R1082" t="n">
        <x:v>87</x:v>
      </x:c>
      <x:c r="S1082" t="n">
        <x:v>0.1007</x:v>
      </x:c>
      <x:c r="T1082" t="n">
        <x:v>18.9</x:v>
      </x:c>
      <x:c r="U1082" t="n">
        <x:v>1579</x:v>
      </x:c>
      <x:c r="V1082" t="n">
        <x:v>2800</x:v>
      </x:c>
      <x:c r="W1082" t="n">
        <x:v>50.7</x:v>
      </x:c>
    </x:row>
    <x:row r="1083">
      <x:c r="A1083" t="str">
        <x:v>PJT_1082</x:v>
      </x:c>
      <x:c r="B1083" t="str">
        <x:v>Continental</x:v>
      </x:c>
      <x:c r="C1083" t="n">
        <x:v>13850</x:v>
      </x:c>
      <x:c r="D1083" t="n">
        <x:v>16</x:v>
      </x:c>
      <x:c r="E1083" t="str">
        <x:v>Medium</x:v>
      </x:c>
      <x:c r="F1083" t="str">
        <x:v>Residential</x:v>
      </x:c>
      <x:c r="G1083" t="str">
        <x:v>Shear Wall</x:v>
      </x:c>
      <x:c r="H1083" t="str">
        <x:v>Piles</x:v>
      </x:c>
      <x:c r="I1083" t="str">
        <x:v>Soft Clay</x:v>
      </x:c>
      <x:c r="J1083" t="str">
        <x:v>High</x:v>
      </x:c>
      <x:c r="K1083" t="n">
        <x:v>23891250</x:v>
      </x:c>
      <x:c r="L1083" t="n">
        <x:v>616</x:v>
      </x:c>
      <x:c r="M1083" t="n">
        <x:v>227.4</x:v>
      </x:c>
      <x:c r="N1083" t="n">
        <x:v>19.6</x:v>
      </x:c>
      <x:c r="O1083" t="n">
        <x:v>75.9</x:v>
      </x:c>
      <x:c r="P1083" t="str">
        <x:v>Stormy</x:v>
      </x:c>
      <x:c r="Q1083" t="n">
        <x:v>97</x:v>
      </x:c>
      <x:c r="R1083" t="n">
        <x:v>77.8</x:v>
      </x:c>
      <x:c r="S1083" t="n">
        <x:v>0.0797</x:v>
      </x:c>
      <x:c r="T1083" t="n">
        <x:v>13.6</x:v>
      </x:c>
      <x:c r="U1083" t="n">
        <x:v>865.6</x:v>
      </x:c>
      <x:c r="V1083" t="n">
        <x:v>1725</x:v>
      </x:c>
      <x:c r="W1083" t="n">
        <x:v>44.5</x:v>
      </x:c>
    </x:row>
    <x:row r="1084">
      <x:c r="A1084" t="str">
        <x:v>PJT_1083</x:v>
      </x:c>
      <x:c r="B1084" t="str">
        <x:v>Mediterranean</x:v>
      </x:c>
      <x:c r="C1084" t="n">
        <x:v>13880</x:v>
      </x:c>
      <x:c r="D1084" t="n">
        <x:v>17</x:v>
      </x:c>
      <x:c r="E1084" t="str">
        <x:v>Medium</x:v>
      </x:c>
      <x:c r="F1084" t="str">
        <x:v>Residential</x:v>
      </x:c>
      <x:c r="G1084" t="str">
        <x:v>RC Frame</x:v>
      </x:c>
      <x:c r="H1084" t="str">
        <x:v>Piles</x:v>
      </x:c>
      <x:c r="I1084" t="str">
        <x:v>Mixed</x:v>
      </x:c>
      <x:c r="J1084" t="str">
        <x:v>Low</x:v>
      </x:c>
      <x:c r="K1084" t="n">
        <x:v>19723480</x:v>
      </x:c>
      <x:c r="L1084" t="n">
        <x:v>511</x:v>
      </x:c>
      <x:c r="M1084" t="n">
        <x:v>359.8</x:v>
      </x:c>
      <x:c r="N1084" t="n">
        <x:v>30</x:v>
      </x:c>
      <x:c r="O1084" t="n">
        <x:v>45</x:v>
      </x:c>
      <x:c r="P1084" t="str">
        <x:v>Sunny</x:v>
      </x:c>
      <x:c r="Q1084" t="n">
        <x:v>56</x:v>
      </x:c>
      <x:c r="R1084" t="n">
        <x:v>74.8</x:v>
      </x:c>
      <x:c r="S1084" t="n">
        <x:v>0.0811</x:v>
      </x:c>
      <x:c r="T1084" t="n">
        <x:v>13.9</x:v>
      </x:c>
      <x:c r="U1084" t="n">
        <x:v>816.5</x:v>
      </x:c>
      <x:c r="V1084" t="n">
        <x:v>1421</x:v>
      </x:c>
      <x:c r="W1084" t="n">
        <x:v>36.8</x:v>
      </x:c>
    </x:row>
    <x:row r="1085">
      <x:c r="A1085" t="str">
        <x:v>PJT_1084</x:v>
      </x:c>
      <x:c r="B1085" t="str">
        <x:v>Mediterranean</x:v>
      </x:c>
      <x:c r="C1085" t="n">
        <x:v>19040</x:v>
      </x:c>
      <x:c r="D1085" t="n">
        <x:v>12</x:v>
      </x:c>
      <x:c r="E1085" t="str">
        <x:v>Medium</x:v>
      </x:c>
      <x:c r="F1085" t="str">
        <x:v>Hospital</x:v>
      </x:c>
      <x:c r="G1085" t="str">
        <x:v>Shear Wall</x:v>
      </x:c>
      <x:c r="H1085" t="str">
        <x:v>Piles</x:v>
      </x:c>
      <x:c r="I1085" t="str">
        <x:v>Sand</x:v>
      </x:c>
      <x:c r="J1085" t="str">
        <x:v>Medium</x:v>
      </x:c>
      <x:c r="K1085" t="n">
        <x:v>58909760</x:v>
      </x:c>
      <x:c r="L1085" t="n">
        <x:v>946</x:v>
      </x:c>
      <x:c r="M1085" t="n">
        <x:v>288.1</x:v>
      </x:c>
      <x:c r="N1085" t="n">
        <x:v>19</x:v>
      </x:c>
      <x:c r="O1085" t="n">
        <x:v>56.7</x:v>
      </x:c>
      <x:c r="P1085" t="str">
        <x:v>Cloudy</x:v>
      </x:c>
      <x:c r="Q1085" t="n">
        <x:v>71</x:v>
      </x:c>
      <x:c r="R1085" t="n">
        <x:v>86.1</x:v>
      </x:c>
      <x:c r="S1085" t="n">
        <x:v>0.113</x:v>
      </x:c>
      <x:c r="T1085" t="n">
        <x:v>20.6</x:v>
      </x:c>
      <x:c r="U1085" t="n">
        <x:v>1586.7</x:v>
      </x:c>
      <x:c r="V1085" t="n">
        <x:v>3094</x:v>
      </x:c>
      <x:c r="W1085" t="n">
        <x:v>49.7</x:v>
      </x:c>
    </x:row>
    <x:row r="1086">
      <x:c r="A1086" t="str">
        <x:v>PJT_1085</x:v>
      </x:c>
      <x:c r="B1086" t="str">
        <x:v>Marine</x:v>
      </x:c>
      <x:c r="C1086" t="n">
        <x:v>14310</x:v>
      </x:c>
      <x:c r="D1086" t="n">
        <x:v>8</x:v>
      </x:c>
      <x:c r="E1086" t="str">
        <x:v>Medium</x:v>
      </x:c>
      <x:c r="F1086" t="str">
        <x:v>Hospital</x:v>
      </x:c>
      <x:c r="G1086" t="str">
        <x:v>RC Frame</x:v>
      </x:c>
      <x:c r="H1086" t="str">
        <x:v>Raft</x:v>
      </x:c>
      <x:c r="I1086" t="str">
        <x:v>Rock</x:v>
      </x:c>
      <x:c r="J1086" t="str">
        <x:v>Low</x:v>
      </x:c>
      <x:c r="K1086" t="n">
        <x:v>42443460</x:v>
      </x:c>
      <x:c r="L1086" t="n">
        <x:v>643</x:v>
      </x:c>
      <x:c r="M1086" t="n">
        <x:v>747.7</x:v>
      </x:c>
      <x:c r="N1086" t="n">
        <x:v>10.1</x:v>
      </x:c>
      <x:c r="O1086" t="n">
        <x:v>70.2</x:v>
      </x:c>
      <x:c r="P1086" t="str">
        <x:v>Cloudy</x:v>
      </x:c>
      <x:c r="Q1086" t="n">
        <x:v>73</x:v>
      </x:c>
      <x:c r="R1086" t="n">
        <x:v>83.3</x:v>
      </x:c>
      <x:c r="S1086" t="n">
        <x:v>0.1076</x:v>
      </x:c>
      <x:c r="T1086" t="n">
        <x:v>20.4</x:v>
      </x:c>
      <x:c r="U1086" t="n">
        <x:v>1788.8</x:v>
      </x:c>
      <x:c r="V1086" t="n">
        <x:v>2966</x:v>
      </x:c>
      <x:c r="W1086" t="n">
        <x:v>44.9</x:v>
      </x:c>
    </x:row>
    <x:row r="1087">
      <x:c r="A1087" t="str">
        <x:v>PJT_1086</x:v>
      </x:c>
      <x:c r="B1087" t="str">
        <x:v>Humid Subtropical</x:v>
      </x:c>
      <x:c r="C1087" t="n">
        <x:v>16590</x:v>
      </x:c>
      <x:c r="D1087" t="n">
        <x:v>19</x:v>
      </x:c>
      <x:c r="E1087" t="str">
        <x:v>Medium</x:v>
      </x:c>
      <x:c r="F1087" t="str">
        <x:v>Commercial</x:v>
      </x:c>
      <x:c r="G1087" t="str">
        <x:v>Steel</x:v>
      </x:c>
      <x:c r="H1087" t="str">
        <x:v>Piles</x:v>
      </x:c>
      <x:c r="I1087" t="str">
        <x:v>Mixed</x:v>
      </x:c>
      <x:c r="J1087" t="str">
        <x:v>Medium</x:v>
      </x:c>
      <x:c r="K1087" t="n">
        <x:v>41674080</x:v>
      </x:c>
      <x:c r="L1087" t="n">
        <x:v>790</x:v>
      </x:c>
      <x:c r="M1087" t="n">
        <x:v>296</x:v>
      </x:c>
      <x:c r="N1087" t="n">
        <x:v>25.7</x:v>
      </x:c>
      <x:c r="O1087" t="n">
        <x:v>88.6</x:v>
      </x:c>
      <x:c r="P1087" t="str">
        <x:v>Rainy</x:v>
      </x:c>
      <x:c r="Q1087" t="n">
        <x:v>109</x:v>
      </x:c>
      <x:c r="R1087" t="n">
        <x:v>85.1</x:v>
      </x:c>
      <x:c r="S1087" t="n">
        <x:v>0.0988</x:v>
      </x:c>
      <x:c r="T1087" t="n">
        <x:v>17.9</x:v>
      </x:c>
      <x:c r="U1087" t="n">
        <x:v>873.2</x:v>
      </x:c>
      <x:c r="V1087" t="n">
        <x:v>2512</x:v>
      </x:c>
      <x:c r="W1087" t="n">
        <x:v>47.6</x:v>
      </x:c>
    </x:row>
    <x:row r="1088">
      <x:c r="A1088" t="str">
        <x:v>PJT_1087</x:v>
      </x:c>
      <x:c r="B1088" t="str">
        <x:v>Humid Subtropical</x:v>
      </x:c>
      <x:c r="C1088" t="n">
        <x:v>9650</x:v>
      </x:c>
      <x:c r="D1088" t="n">
        <x:v>3</x:v>
      </x:c>
      <x:c r="E1088" t="str">
        <x:v>Low</x:v>
      </x:c>
      <x:c r="F1088" t="str">
        <x:v>School</x:v>
      </x:c>
      <x:c r="G1088" t="str">
        <x:v>Steel</x:v>
      </x:c>
      <x:c r="H1088" t="str">
        <x:v>Raft</x:v>
      </x:c>
      <x:c r="I1088" t="str">
        <x:v>Rock</x:v>
      </x:c>
      <x:c r="J1088" t="str">
        <x:v>High</x:v>
      </x:c>
      <x:c r="K1088" t="n">
        <x:v>18248150</x:v>
      </x:c>
      <x:c r="L1088" t="n">
        <x:v>292</x:v>
      </x:c>
      <x:c r="M1088" t="n">
        <x:v>696.9</x:v>
      </x:c>
      <x:c r="N1088" t="n">
        <x:v>26.7</x:v>
      </x:c>
      <x:c r="O1088" t="n">
        <x:v>67.1</x:v>
      </x:c>
      <x:c r="P1088" t="str">
        <x:v>Cloudy</x:v>
      </x:c>
      <x:c r="Q1088" t="n">
        <x:v>65</x:v>
      </x:c>
      <x:c r="R1088" t="n">
        <x:v>65.4</x:v>
      </x:c>
      <x:c r="S1088" t="n">
        <x:v>0.0821</x:v>
      </x:c>
      <x:c r="T1088" t="n">
        <x:v>14.4</x:v>
      </x:c>
      <x:c r="U1088" t="n">
        <x:v>3216.7</x:v>
      </x:c>
      <x:c r="V1088" t="n">
        <x:v>1891</x:v>
      </x:c>
      <x:c r="W1088" t="n">
        <x:v>30.3</x:v>
      </x:c>
    </x:row>
    <x:row r="1089">
      <x:c r="A1089" t="str">
        <x:v>PJT_1088</x:v>
      </x:c>
      <x:c r="B1089" t="str">
        <x:v>Continental</x:v>
      </x:c>
      <x:c r="C1089" t="n">
        <x:v>9930</x:v>
      </x:c>
      <x:c r="D1089" t="n">
        <x:v>13</x:v>
      </x:c>
      <x:c r="E1089" t="str">
        <x:v>Low</x:v>
      </x:c>
      <x:c r="F1089" t="str">
        <x:v>Residential</x:v>
      </x:c>
      <x:c r="G1089" t="str">
        <x:v>Shear Wall</x:v>
      </x:c>
      <x:c r="H1089" t="str">
        <x:v>Piles</x:v>
      </x:c>
      <x:c r="I1089" t="str">
        <x:v>Soft Clay</x:v>
      </x:c>
      <x:c r="J1089" t="str">
        <x:v>High</x:v>
      </x:c>
      <x:c r="K1089" t="n">
        <x:v>15451080</x:v>
      </x:c>
      <x:c r="L1089" t="n">
        <x:v>381</x:v>
      </x:c>
      <x:c r="M1089" t="n">
        <x:v>175.4</x:v>
      </x:c>
      <x:c r="N1089" t="n">
        <x:v>11</x:v>
      </x:c>
      <x:c r="O1089" t="n">
        <x:v>74.6</x:v>
      </x:c>
      <x:c r="P1089" t="str">
        <x:v>Rainy</x:v>
      </x:c>
      <x:c r="Q1089" t="n">
        <x:v>72</x:v>
      </x:c>
      <x:c r="R1089" t="n">
        <x:v>64.7</x:v>
      </x:c>
      <x:c r="S1089" t="n">
        <x:v>0.0814</x:v>
      </x:c>
      <x:c r="T1089" t="n">
        <x:v>12.3</x:v>
      </x:c>
      <x:c r="U1089" t="n">
        <x:v>763.8</x:v>
      </x:c>
      <x:c r="V1089" t="n">
        <x:v>1556</x:v>
      </x:c>
      <x:c r="W1089" t="n">
        <x:v>38.4</x:v>
      </x:c>
    </x:row>
    <x:row r="1090">
      <x:c r="A1090" t="str">
        <x:v>PJT_1089</x:v>
      </x:c>
      <x:c r="B1090" t="str">
        <x:v>Continental</x:v>
      </x:c>
      <x:c r="C1090" t="n">
        <x:v>30360</x:v>
      </x:c>
      <x:c r="D1090" t="n">
        <x:v>16</x:v>
      </x:c>
      <x:c r="E1090" t="str">
        <x:v>Medium</x:v>
      </x:c>
      <x:c r="F1090" t="str">
        <x:v>Commercial</x:v>
      </x:c>
      <x:c r="G1090" t="str">
        <x:v>Steel</x:v>
      </x:c>
      <x:c r="H1090" t="str">
        <x:v>Piles</x:v>
      </x:c>
      <x:c r="I1090" t="str">
        <x:v>Mixed</x:v>
      </x:c>
      <x:c r="J1090" t="str">
        <x:v>Low</x:v>
      </x:c>
      <x:c r="K1090" t="n">
        <x:v>74746320</x:v>
      </x:c>
      <x:c r="L1090" t="n">
        <x:v>1472</x:v>
      </x:c>
      <x:c r="M1090" t="n">
        <x:v>383.5</x:v>
      </x:c>
      <x:c r="N1090" t="n">
        <x:v>6.7</x:v>
      </x:c>
      <x:c r="O1090" t="n">
        <x:v>85.9</x:v>
      </x:c>
      <x:c r="P1090" t="str">
        <x:v>Rainy</x:v>
      </x:c>
      <x:c r="Q1090" t="n">
        <x:v>101</x:v>
      </x:c>
      <x:c r="R1090" t="n">
        <x:v>83.9</x:v>
      </x:c>
      <x:c r="S1090" t="n">
        <x:v>0.0983</x:v>
      </x:c>
      <x:c r="T1090" t="n">
        <x:v>17</x:v>
      </x:c>
      <x:c r="U1090" t="n">
        <x:v>1897.5</x:v>
      </x:c>
      <x:c r="V1090" t="n">
        <x:v>2462</x:v>
      </x:c>
      <x:c r="W1090" t="n">
        <x:v>48.5</x:v>
      </x:c>
    </x:row>
    <x:row r="1091">
      <x:c r="A1091" t="str">
        <x:v>PJT_1090</x:v>
      </x:c>
      <x:c r="B1091" t="str">
        <x:v>Mediterranean</x:v>
      </x:c>
      <x:c r="C1091" t="n">
        <x:v>40720</x:v>
      </x:c>
      <x:c r="D1091" t="n">
        <x:v>29</x:v>
      </x:c>
      <x:c r="E1091" t="str">
        <x:v>High</x:v>
      </x:c>
      <x:c r="F1091" t="str">
        <x:v>Mixed-use</x:v>
      </x:c>
      <x:c r="G1091" t="str">
        <x:v>Steel</x:v>
      </x:c>
      <x:c r="H1091" t="str">
        <x:v>Piles</x:v>
      </x:c>
      <x:c r="I1091" t="str">
        <x:v>Sand</x:v>
      </x:c>
      <x:c r="J1091" t="str">
        <x:v>Medium</x:v>
      </x:c>
      <x:c r="K1091" t="n">
        <x:v>121101280</x:v>
      </x:c>
      <x:c r="L1091" t="n">
        <x:v>2317</x:v>
      </x:c>
      <x:c r="M1091" t="n">
        <x:v>356.6</x:v>
      </x:c>
      <x:c r="N1091" t="n">
        <x:v>22.8</x:v>
      </x:c>
      <x:c r="O1091" t="n">
        <x:v>67.6</x:v>
      </x:c>
      <x:c r="P1091" t="str">
        <x:v>Cloudy</x:v>
      </x:c>
      <x:c r="Q1091" t="n">
        <x:v>65</x:v>
      </x:c>
      <x:c r="R1091" t="n">
        <x:v>88.6</x:v>
      </x:c>
      <x:c r="S1091" t="n">
        <x:v>0.1089</x:v>
      </x:c>
      <x:c r="T1091" t="n">
        <x:v>20.8</x:v>
      </x:c>
      <x:c r="U1091" t="n">
        <x:v>1404.1</x:v>
      </x:c>
      <x:c r="V1091" t="n">
        <x:v>2974</x:v>
      </x:c>
      <x:c r="W1091" t="n">
        <x:v>56.9</x:v>
      </x:c>
    </x:row>
    <x:row r="1092">
      <x:c r="A1092" t="str">
        <x:v>PJT_1091</x:v>
      </x:c>
      <x:c r="B1092" t="str">
        <x:v>Marine</x:v>
      </x:c>
      <x:c r="C1092" t="n">
        <x:v>10080</x:v>
      </x:c>
      <x:c r="D1092" t="n">
        <x:v>3</x:v>
      </x:c>
      <x:c r="E1092" t="str">
        <x:v>Low</x:v>
      </x:c>
      <x:c r="F1092" t="str">
        <x:v>School</x:v>
      </x:c>
      <x:c r="G1092" t="str">
        <x:v>Steel</x:v>
      </x:c>
      <x:c r="H1092" t="str">
        <x:v>Raft</x:v>
      </x:c>
      <x:c r="I1092" t="str">
        <x:v>Mixed</x:v>
      </x:c>
      <x:c r="J1092" t="str">
        <x:v>High</x:v>
      </x:c>
      <x:c r="K1092" t="n">
        <x:v>20422080</x:v>
      </x:c>
      <x:c r="L1092" t="n">
        <x:v>297</x:v>
      </x:c>
      <x:c r="M1092" t="n">
        <x:v>321.7</x:v>
      </x:c>
      <x:c r="N1092" t="n">
        <x:v>13.3</x:v>
      </x:c>
      <x:c r="O1092" t="n">
        <x:v>62.1</x:v>
      </x:c>
      <x:c r="P1092" t="str">
        <x:v>Sunny</x:v>
      </x:c>
      <x:c r="Q1092" t="n">
        <x:v>56</x:v>
      </x:c>
      <x:c r="R1092" t="n">
        <x:v>59.9</x:v>
      </x:c>
      <x:c r="S1092" t="n">
        <x:v>0.0845</x:v>
      </x:c>
      <x:c r="T1092" t="n">
        <x:v>15</x:v>
      </x:c>
      <x:c r="U1092" t="n">
        <x:v>3360</x:v>
      </x:c>
      <x:c r="V1092" t="n">
        <x:v>2026</x:v>
      </x:c>
      <x:c r="W1092" t="n">
        <x:v>29.5</x:v>
      </x:c>
    </x:row>
    <x:row r="1093">
      <x:c r="A1093" t="str">
        <x:v>PJT_1092</x:v>
      </x:c>
      <x:c r="B1093" t="str">
        <x:v>Humid Subtropical</x:v>
      </x:c>
      <x:c r="C1093" t="n">
        <x:v>12640</x:v>
      </x:c>
      <x:c r="D1093" t="n">
        <x:v>6</x:v>
      </x:c>
      <x:c r="E1093" t="str">
        <x:v>Medium</x:v>
      </x:c>
      <x:c r="F1093" t="str">
        <x:v>Hospital</x:v>
      </x:c>
      <x:c r="G1093" t="str">
        <x:v>Shear Wall</x:v>
      </x:c>
      <x:c r="H1093" t="str">
        <x:v>Raft</x:v>
      </x:c>
      <x:c r="I1093" t="str">
        <x:v>Mixed</x:v>
      </x:c>
      <x:c r="J1093" t="str">
        <x:v>High</x:v>
      </x:c>
      <x:c r="K1093" t="n">
        <x:v>39853920</x:v>
      </x:c>
      <x:c r="L1093" t="n">
        <x:v>622</x:v>
      </x:c>
      <x:c r="M1093" t="n">
        <x:v>303.9</x:v>
      </x:c>
      <x:c r="N1093" t="n">
        <x:v>19.8</x:v>
      </x:c>
      <x:c r="O1093" t="n">
        <x:v>75</x:v>
      </x:c>
      <x:c r="P1093" t="str">
        <x:v>Rainy</x:v>
      </x:c>
      <x:c r="Q1093" t="n">
        <x:v>83</x:v>
      </x:c>
      <x:c r="R1093" t="n">
        <x:v>76.3</x:v>
      </x:c>
      <x:c r="S1093" t="n">
        <x:v>0.1071</x:v>
      </x:c>
      <x:c r="T1093" t="n">
        <x:v>20.4</x:v>
      </x:c>
      <x:c r="U1093" t="n">
        <x:v>2106.7</x:v>
      </x:c>
      <x:c r="V1093" t="n">
        <x:v>3153</x:v>
      </x:c>
      <x:c r="W1093" t="n">
        <x:v>49.2</x:v>
      </x:c>
    </x:row>
    <x:row r="1094">
      <x:c r="A1094" t="str">
        <x:v>PJT_1093</x:v>
      </x:c>
      <x:c r="B1094" t="str">
        <x:v>Marine</x:v>
      </x:c>
      <x:c r="C1094" t="n">
        <x:v>5290</x:v>
      </x:c>
      <x:c r="D1094" t="n">
        <x:v>8</x:v>
      </x:c>
      <x:c r="E1094" t="str">
        <x:v>Low</x:v>
      </x:c>
      <x:c r="F1094" t="str">
        <x:v>Residential</x:v>
      </x:c>
      <x:c r="G1094" t="str">
        <x:v>RC Frame</x:v>
      </x:c>
      <x:c r="H1094" t="str">
        <x:v>Piles</x:v>
      </x:c>
      <x:c r="I1094" t="str">
        <x:v>Soft Clay</x:v>
      </x:c>
      <x:c r="J1094" t="str">
        <x:v>Low</x:v>
      </x:c>
      <x:c r="K1094" t="n">
        <x:v>7120340</x:v>
      </x:c>
      <x:c r="L1094" t="n">
        <x:v>193</x:v>
      </x:c>
      <x:c r="M1094" t="n">
        <x:v>216.1</x:v>
      </x:c>
      <x:c r="N1094" t="n">
        <x:v>8.9</x:v>
      </x:c>
      <x:c r="O1094" t="n">
        <x:v>77.7</x:v>
      </x:c>
      <x:c r="P1094" t="str">
        <x:v>Rainy</x:v>
      </x:c>
      <x:c r="Q1094" t="n">
        <x:v>76</x:v>
      </x:c>
      <x:c r="R1094" t="n">
        <x:v>67.6</x:v>
      </x:c>
      <x:c r="S1094" t="n">
        <x:v>0.0742</x:v>
      </x:c>
      <x:c r="T1094" t="n">
        <x:v>11.9</x:v>
      </x:c>
      <x:c r="U1094" t="n">
        <x:v>661.2</x:v>
      </x:c>
      <x:c r="V1094" t="n">
        <x:v>1346</x:v>
      </x:c>
      <x:c r="W1094" t="n">
        <x:v>36.5</x:v>
      </x:c>
    </x:row>
    <x:row r="1095">
      <x:c r="A1095" t="str">
        <x:v>PJT_1094</x:v>
      </x:c>
      <x:c r="B1095" t="str">
        <x:v>Mediterranean</x:v>
      </x:c>
      <x:c r="C1095" t="n">
        <x:v>20940</x:v>
      </x:c>
      <x:c r="D1095" t="n">
        <x:v>17</x:v>
      </x:c>
      <x:c r="E1095" t="str">
        <x:v>Medium</x:v>
      </x:c>
      <x:c r="F1095" t="str">
        <x:v>Commercial</x:v>
      </x:c>
      <x:c r="G1095" t="str">
        <x:v>Steel</x:v>
      </x:c>
      <x:c r="H1095" t="str">
        <x:v>Piles</x:v>
      </x:c>
      <x:c r="I1095" t="str">
        <x:v>Sand</x:v>
      </x:c>
      <x:c r="J1095" t="str">
        <x:v>High</x:v>
      </x:c>
      <x:c r="K1095" t="n">
        <x:v>56433300</x:v>
      </x:c>
      <x:c r="L1095" t="n">
        <x:v>942</x:v>
      </x:c>
      <x:c r="M1095" t="n">
        <x:v>262</x:v>
      </x:c>
      <x:c r="N1095" t="n">
        <x:v>27.5</x:v>
      </x:c>
      <x:c r="O1095" t="n">
        <x:v>47</x:v>
      </x:c>
      <x:c r="P1095" t="str">
        <x:v>Sunny</x:v>
      </x:c>
      <x:c r="Q1095" t="n">
        <x:v>76</x:v>
      </x:c>
      <x:c r="R1095" t="n">
        <x:v>81.5</x:v>
      </x:c>
      <x:c r="S1095" t="n">
        <x:v>0.1004</x:v>
      </x:c>
      <x:c r="T1095" t="n">
        <x:v>17.6</x:v>
      </x:c>
      <x:c r="U1095" t="n">
        <x:v>1231.8</x:v>
      </x:c>
      <x:c r="V1095" t="n">
        <x:v>2695</x:v>
      </x:c>
      <x:c r="W1095" t="n">
        <x:v>45</x:v>
      </x:c>
    </x:row>
    <x:row r="1096">
      <x:c r="A1096" t="str">
        <x:v>PJT_1095</x:v>
      </x:c>
      <x:c r="B1096" t="str">
        <x:v>Mediterranean</x:v>
      </x:c>
      <x:c r="C1096" t="n">
        <x:v>27160</x:v>
      </x:c>
      <x:c r="D1096" t="n">
        <x:v>21</x:v>
      </x:c>
      <x:c r="E1096" t="str">
        <x:v>Medium</x:v>
      </x:c>
      <x:c r="F1096" t="str">
        <x:v>Commercial</x:v>
      </x:c>
      <x:c r="G1096" t="str">
        <x:v>Steel</x:v>
      </x:c>
      <x:c r="H1096" t="str">
        <x:v>Piles</x:v>
      </x:c>
      <x:c r="I1096" t="str">
        <x:v>Mixed</x:v>
      </x:c>
      <x:c r="J1096" t="str">
        <x:v>Medium</x:v>
      </x:c>
      <x:c r="K1096" t="n">
        <x:v>69556760</x:v>
      </x:c>
      <x:c r="L1096" t="n">
        <x:v>1258</x:v>
      </x:c>
      <x:c r="M1096" t="n">
        <x:v>382.7</x:v>
      </x:c>
      <x:c r="N1096" t="n">
        <x:v>25.6</x:v>
      </x:c>
      <x:c r="O1096" t="n">
        <x:v>54.3</x:v>
      </x:c>
      <x:c r="P1096" t="str">
        <x:v>Sunny</x:v>
      </x:c>
      <x:c r="Q1096" t="n">
        <x:v>88</x:v>
      </x:c>
      <x:c r="R1096" t="n">
        <x:v>81.6</x:v>
      </x:c>
      <x:c r="S1096" t="n">
        <x:v>0.1006</x:v>
      </x:c>
      <x:c r="T1096" t="n">
        <x:v>18</x:v>
      </x:c>
      <x:c r="U1096" t="n">
        <x:v>1293.3</x:v>
      </x:c>
      <x:c r="V1096" t="n">
        <x:v>2561</x:v>
      </x:c>
      <x:c r="W1096" t="n">
        <x:v>46.3</x:v>
      </x:c>
    </x:row>
    <x:row r="1097">
      <x:c r="A1097" t="str">
        <x:v>PJT_1096</x:v>
      </x:c>
      <x:c r="B1097" t="str">
        <x:v>Humid Subtropical</x:v>
      </x:c>
      <x:c r="C1097" t="n">
        <x:v>21100</x:v>
      </x:c>
      <x:c r="D1097" t="n">
        <x:v>17</x:v>
      </x:c>
      <x:c r="E1097" t="str">
        <x:v>Medium</x:v>
      </x:c>
      <x:c r="F1097" t="str">
        <x:v>Residential</x:v>
      </x:c>
      <x:c r="G1097" t="str">
        <x:v>Shear Wall</x:v>
      </x:c>
      <x:c r="H1097" t="str">
        <x:v>Piles</x:v>
      </x:c>
      <x:c r="I1097" t="str">
        <x:v>Soft Clay</x:v>
      </x:c>
      <x:c r="J1097" t="str">
        <x:v>Medium</x:v>
      </x:c>
      <x:c r="K1097" t="n">
        <x:v>35827800</x:v>
      </x:c>
      <x:c r="L1097" t="n">
        <x:v>781</x:v>
      </x:c>
      <x:c r="M1097" t="n">
        <x:v>188.1</x:v>
      </x:c>
      <x:c r="N1097" t="n">
        <x:v>28.3</x:v>
      </x:c>
      <x:c r="O1097" t="n">
        <x:v>58.6</x:v>
      </x:c>
      <x:c r="P1097" t="str">
        <x:v>Sunny</x:v>
      </x:c>
      <x:c r="Q1097" t="n">
        <x:v>72</x:v>
      </x:c>
      <x:c r="R1097" t="n">
        <x:v>71.7</x:v>
      </x:c>
      <x:c r="S1097" t="n">
        <x:v>0.0853</x:v>
      </x:c>
      <x:c r="T1097" t="n">
        <x:v>13.5</x:v>
      </x:c>
      <x:c r="U1097" t="n">
        <x:v>1241.2</x:v>
      </x:c>
      <x:c r="V1097" t="n">
        <x:v>1698</x:v>
      </x:c>
      <x:c r="W1097" t="n">
        <x:v>37</x:v>
      </x:c>
    </x:row>
    <x:row r="1098">
      <x:c r="A1098" t="str">
        <x:v>PJT_1097</x:v>
      </x:c>
      <x:c r="B1098" t="str">
        <x:v>Continental</x:v>
      </x:c>
      <x:c r="C1098" t="n">
        <x:v>10280</x:v>
      </x:c>
      <x:c r="D1098" t="n">
        <x:v>15</x:v>
      </x:c>
      <x:c r="E1098" t="str">
        <x:v>Medium</x:v>
      </x:c>
      <x:c r="F1098" t="str">
        <x:v>Residential</x:v>
      </x:c>
      <x:c r="G1098" t="str">
        <x:v>Shear Wall</x:v>
      </x:c>
      <x:c r="H1098" t="str">
        <x:v>Piles</x:v>
      </x:c>
      <x:c r="I1098" t="str">
        <x:v>Sand</x:v>
      </x:c>
      <x:c r="J1098" t="str">
        <x:v>Medium</x:v>
      </x:c>
      <x:c r="K1098" t="n">
        <x:v>17414320</x:v>
      </x:c>
      <x:c r="L1098" t="n">
        <x:v>409</x:v>
      </x:c>
      <x:c r="M1098" t="n">
        <x:v>288.8</x:v>
      </x:c>
      <x:c r="N1098" t="n">
        <x:v>2.6</x:v>
      </x:c>
      <x:c r="O1098" t="n">
        <x:v>48.9</x:v>
      </x:c>
      <x:c r="P1098" t="str">
        <x:v>Cloudy</x:v>
      </x:c>
      <x:c r="Q1098" t="n">
        <x:v>72</x:v>
      </x:c>
      <x:c r="R1098" t="n">
        <x:v>71.4</x:v>
      </x:c>
      <x:c r="S1098" t="n">
        <x:v>0.0789</x:v>
      </x:c>
      <x:c r="T1098" t="n">
        <x:v>13.7</x:v>
      </x:c>
      <x:c r="U1098" t="n">
        <x:v>685.3</x:v>
      </x:c>
      <x:c r="V1098" t="n">
        <x:v>1694</x:v>
      </x:c>
      <x:c r="W1098" t="n">
        <x:v>39.8</x:v>
      </x:c>
    </x:row>
    <x:row r="1099">
      <x:c r="A1099" t="str">
        <x:v>PJT_1098</x:v>
      </x:c>
      <x:c r="B1099" t="str">
        <x:v>Humid Subtropical</x:v>
      </x:c>
      <x:c r="C1099" t="n">
        <x:v>33890</x:v>
      </x:c>
      <x:c r="D1099" t="n">
        <x:v>18</x:v>
      </x:c>
      <x:c r="E1099" t="str">
        <x:v>High</x:v>
      </x:c>
      <x:c r="F1099" t="str">
        <x:v>Mixed-use</x:v>
      </x:c>
      <x:c r="G1099" t="str">
        <x:v>Steel</x:v>
      </x:c>
      <x:c r="H1099" t="str">
        <x:v>Piles</x:v>
      </x:c>
      <x:c r="I1099" t="str">
        <x:v>Soft Clay</x:v>
      </x:c>
      <x:c r="J1099" t="str">
        <x:v>High</x:v>
      </x:c>
      <x:c r="K1099" t="n">
        <x:v>104618430</x:v>
      </x:c>
      <x:c r="L1099" t="n">
        <x:v>1837</x:v>
      </x:c>
      <x:c r="M1099" t="n">
        <x:v>219.6</x:v>
      </x:c>
      <x:c r="N1099" t="n">
        <x:v>25</x:v>
      </x:c>
      <x:c r="O1099" t="n">
        <x:v>72.6</x:v>
      </x:c>
      <x:c r="P1099" t="str">
        <x:v>Cloudy</x:v>
      </x:c>
      <x:c r="Q1099" t="n">
        <x:v>88</x:v>
      </x:c>
      <x:c r="R1099" t="n">
        <x:v>90.5</x:v>
      </x:c>
      <x:c r="S1099" t="n">
        <x:v>0.1042</x:v>
      </x:c>
      <x:c r="T1099" t="n">
        <x:v>21</x:v>
      </x:c>
      <x:c r="U1099" t="n">
        <x:v>1882.8</x:v>
      </x:c>
      <x:c r="V1099" t="n">
        <x:v>3087</x:v>
      </x:c>
      <x:c r="W1099" t="n">
        <x:v>54.2</x:v>
      </x:c>
    </x:row>
    <x:row r="1100">
      <x:c r="A1100" t="str">
        <x:v>PJT_1099</x:v>
      </x:c>
      <x:c r="B1100" t="str">
        <x:v>Continental</x:v>
      </x:c>
      <x:c r="C1100" t="n">
        <x:v>7550</x:v>
      </x:c>
      <x:c r="D1100" t="n">
        <x:v>4</x:v>
      </x:c>
      <x:c r="E1100" t="str">
        <x:v>Low</x:v>
      </x:c>
      <x:c r="F1100" t="str">
        <x:v>School</x:v>
      </x:c>
      <x:c r="G1100" t="str">
        <x:v>RC Frame</x:v>
      </x:c>
      <x:c r="H1100" t="str">
        <x:v>Raft</x:v>
      </x:c>
      <x:c r="I1100" t="str">
        <x:v>Mixed</x:v>
      </x:c>
      <x:c r="J1100" t="str">
        <x:v>Low</x:v>
      </x:c>
      <x:c r="K1100" t="n">
        <x:v>11770450</x:v>
      </x:c>
      <x:c r="L1100" t="n">
        <x:v>229</x:v>
      </x:c>
      <x:c r="M1100" t="n">
        <x:v>347.7</x:v>
      </x:c>
      <x:c r="N1100" t="n">
        <x:v>13</x:v>
      </x:c>
      <x:c r="O1100" t="n">
        <x:v>73.8</x:v>
      </x:c>
      <x:c r="P1100" t="str">
        <x:v>Rainy</x:v>
      </x:c>
      <x:c r="Q1100" t="n">
        <x:v>98</x:v>
      </x:c>
      <x:c r="R1100" t="n">
        <x:v>63.2</x:v>
      </x:c>
      <x:c r="S1100" t="n">
        <x:v>0.0753</x:v>
      </x:c>
      <x:c r="T1100" t="n">
        <x:v>12.7</x:v>
      </x:c>
      <x:c r="U1100" t="n">
        <x:v>1887.5</x:v>
      </x:c>
      <x:c r="V1100" t="n">
        <x:v>1559</x:v>
      </x:c>
      <x:c r="W1100" t="n">
        <x:v>30.3</x:v>
      </x:c>
    </x:row>
    <x:row r="1101">
      <x:c r="A1101" t="str">
        <x:v>PJT_1100</x:v>
      </x:c>
      <x:c r="B1101" t="str">
        <x:v>Continental</x:v>
      </x:c>
      <x:c r="C1101" t="n">
        <x:v>15710</x:v>
      </x:c>
      <x:c r="D1101" t="n">
        <x:v>18</x:v>
      </x:c>
      <x:c r="E1101" t="str">
        <x:v>Medium</x:v>
      </x:c>
      <x:c r="F1101" t="str">
        <x:v>Commercial</x:v>
      </x:c>
      <x:c r="G1101" t="str">
        <x:v>Steel</x:v>
      </x:c>
      <x:c r="H1101" t="str">
        <x:v>Piles</x:v>
      </x:c>
      <x:c r="I1101" t="str">
        <x:v>Rock</x:v>
      </x:c>
      <x:c r="J1101" t="str">
        <x:v>Low</x:v>
      </x:c>
      <x:c r="K1101" t="n">
        <x:v>37044180</x:v>
      </x:c>
      <x:c r="L1101" t="n">
        <x:v>693</x:v>
      </x:c>
      <x:c r="M1101" t="n">
        <x:v>727.3</x:v>
      </x:c>
      <x:c r="N1101" t="n">
        <x:v>25.4</x:v>
      </x:c>
      <x:c r="O1101" t="n">
        <x:v>60.3</x:v>
      </x:c>
      <x:c r="P1101" t="str">
        <x:v>Sunny</x:v>
      </x:c>
      <x:c r="Q1101" t="n">
        <x:v>69</x:v>
      </x:c>
      <x:c r="R1101" t="n">
        <x:v>79.8</x:v>
      </x:c>
      <x:c r="S1101" t="n">
        <x:v>0.0953</x:v>
      </x:c>
      <x:c r="T1101" t="n">
        <x:v>17.1</x:v>
      </x:c>
      <x:c r="U1101" t="n">
        <x:v>872.8</x:v>
      </x:c>
      <x:c r="V1101" t="n">
        <x:v>2358</x:v>
      </x:c>
      <x:c r="W1101" t="n">
        <x:v>44.1</x:v>
      </x:c>
    </x:row>
    <x:row r="1102">
      <x:c r="A1102" t="str">
        <x:v>PJT_1101</x:v>
      </x:c>
      <x:c r="B1102" t="str">
        <x:v>Humid Subtropical</x:v>
      </x:c>
      <x:c r="C1102" t="n">
        <x:v>11520</x:v>
      </x:c>
      <x:c r="D1102" t="n">
        <x:v>8</x:v>
      </x:c>
      <x:c r="E1102" t="str">
        <x:v>Medium</x:v>
      </x:c>
      <x:c r="F1102" t="str">
        <x:v>Commercial</x:v>
      </x:c>
      <x:c r="G1102" t="str">
        <x:v>RC Frame</x:v>
      </x:c>
      <x:c r="H1102" t="str">
        <x:v>Raft</x:v>
      </x:c>
      <x:c r="I1102" t="str">
        <x:v>Mixed</x:v>
      </x:c>
      <x:c r="J1102" t="str">
        <x:v>High</x:v>
      </x:c>
      <x:c r="K1102" t="n">
        <x:v>26173440</x:v>
      </x:c>
      <x:c r="L1102" t="n">
        <x:v>518</x:v>
      </x:c>
      <x:c r="M1102" t="n">
        <x:v>307</x:v>
      </x:c>
      <x:c r="N1102" t="n">
        <x:v>20.9</x:v>
      </x:c>
      <x:c r="O1102" t="n">
        <x:v>89.5</x:v>
      </x:c>
      <x:c r="P1102" t="str">
        <x:v>Stormy</x:v>
      </x:c>
      <x:c r="Q1102" t="n">
        <x:v>115</x:v>
      </x:c>
      <x:c r="R1102" t="n">
        <x:v>78.1</x:v>
      </x:c>
      <x:c r="S1102" t="n">
        <x:v>0.0941</x:v>
      </x:c>
      <x:c r="T1102" t="n">
        <x:v>16</x:v>
      </x:c>
      <x:c r="U1102" t="n">
        <x:v>1440</x:v>
      </x:c>
      <x:c r="V1102" t="n">
        <x:v>2272</x:v>
      </x:c>
      <x:c r="W1102" t="n">
        <x:v>45</x:v>
      </x:c>
    </x:row>
    <x:row r="1103">
      <x:c r="A1103" t="str">
        <x:v>PJT_1102</x:v>
      </x:c>
      <x:c r="B1103" t="str">
        <x:v>Humid Subtropical</x:v>
      </x:c>
      <x:c r="C1103" t="n">
        <x:v>9100</x:v>
      </x:c>
      <x:c r="D1103" t="n">
        <x:v>3</x:v>
      </x:c>
      <x:c r="E1103" t="str">
        <x:v>Low</x:v>
      </x:c>
      <x:c r="F1103" t="str">
        <x:v>School</x:v>
      </x:c>
      <x:c r="G1103" t="str">
        <x:v>RC Frame</x:v>
      </x:c>
      <x:c r="H1103" t="str">
        <x:v>Raft</x:v>
      </x:c>
      <x:c r="I1103" t="str">
        <x:v>Soft Clay</x:v>
      </x:c>
      <x:c r="J1103" t="str">
        <x:v>Medium</x:v>
      </x:c>
      <x:c r="K1103" t="n">
        <x:v>15087800</x:v>
      </x:c>
      <x:c r="L1103" t="n">
        <x:v>261</x:v>
      </x:c>
      <x:c r="M1103" t="n">
        <x:v>195.5</x:v>
      </x:c>
      <x:c r="N1103" t="n">
        <x:v>24</x:v>
      </x:c>
      <x:c r="O1103" t="n">
        <x:v>72.9</x:v>
      </x:c>
      <x:c r="P1103" t="str">
        <x:v>Cloudy</x:v>
      </x:c>
      <x:c r="Q1103" t="n">
        <x:v>74</x:v>
      </x:c>
      <x:c r="R1103" t="n">
        <x:v>62.9</x:v>
      </x:c>
      <x:c r="S1103" t="n">
        <x:v>0.0806</x:v>
      </x:c>
      <x:c r="T1103" t="n">
        <x:v>13.5</x:v>
      </x:c>
      <x:c r="U1103" t="n">
        <x:v>3033.3</x:v>
      </x:c>
      <x:c r="V1103" t="n">
        <x:v>1658</x:v>
      </x:c>
      <x:c r="W1103" t="n">
        <x:v>28.7</x:v>
      </x:c>
    </x:row>
    <x:row r="1104">
      <x:c r="A1104" t="str">
        <x:v>PJT_1103</x:v>
      </x:c>
      <x:c r="B1104" t="str">
        <x:v>Marine</x:v>
      </x:c>
      <x:c r="C1104" t="n">
        <x:v>9820</x:v>
      </x:c>
      <x:c r="D1104" t="n">
        <x:v>3</x:v>
      </x:c>
      <x:c r="E1104" t="str">
        <x:v>Low</x:v>
      </x:c>
      <x:c r="F1104" t="str">
        <x:v>School</x:v>
      </x:c>
      <x:c r="G1104" t="str">
        <x:v>RC Frame</x:v>
      </x:c>
      <x:c r="H1104" t="str">
        <x:v>Raft</x:v>
      </x:c>
      <x:c r="I1104" t="str">
        <x:v>Rock</x:v>
      </x:c>
      <x:c r="J1104" t="str">
        <x:v>Low</x:v>
      </x:c>
      <x:c r="K1104" t="n">
        <x:v>15928040</x:v>
      </x:c>
      <x:c r="L1104" t="n">
        <x:v>282</x:v>
      </x:c>
      <x:c r="M1104" t="n">
        <x:v>601.5</x:v>
      </x:c>
      <x:c r="N1104" t="n">
        <x:v>19.1</x:v>
      </x:c>
      <x:c r="O1104" t="n">
        <x:v>78.1</x:v>
      </x:c>
      <x:c r="P1104" t="str">
        <x:v>Cloudy</x:v>
      </x:c>
      <x:c r="Q1104" t="n">
        <x:v>83</x:v>
      </x:c>
      <x:c r="R1104" t="n">
        <x:v>68.3</x:v>
      </x:c>
      <x:c r="S1104" t="n">
        <x:v>0.0743</x:v>
      </x:c>
      <x:c r="T1104" t="n">
        <x:v>13.3</x:v>
      </x:c>
      <x:c r="U1104" t="n">
        <x:v>3273.3</x:v>
      </x:c>
      <x:c r="V1104" t="n">
        <x:v>1622</x:v>
      </x:c>
      <x:c r="W1104" t="n">
        <x:v>28.7</x:v>
      </x:c>
    </x:row>
    <x:row r="1105">
      <x:c r="A1105" t="str">
        <x:v>PJT_1104</x:v>
      </x:c>
      <x:c r="B1105" t="str">
        <x:v>Marine</x:v>
      </x:c>
      <x:c r="C1105" t="n">
        <x:v>16270</x:v>
      </x:c>
      <x:c r="D1105" t="n">
        <x:v>16</x:v>
      </x:c>
      <x:c r="E1105" t="str">
        <x:v>Medium</x:v>
      </x:c>
      <x:c r="F1105" t="str">
        <x:v>Mixed-use</x:v>
      </x:c>
      <x:c r="G1105" t="str">
        <x:v>Shear Wall</x:v>
      </x:c>
      <x:c r="H1105" t="str">
        <x:v>Raft</x:v>
      </x:c>
      <x:c r="I1105" t="str">
        <x:v>Rock</x:v>
      </x:c>
      <x:c r="J1105" t="str">
        <x:v>Medium</x:v>
      </x:c>
      <x:c r="K1105" t="n">
        <x:v>43766300</x:v>
      </x:c>
      <x:c r="L1105" t="n">
        <x:v>771</x:v>
      </x:c>
      <x:c r="M1105" t="n">
        <x:v>750.3</x:v>
      </x:c>
      <x:c r="N1105" t="n">
        <x:v>19.9</x:v>
      </x:c>
      <x:c r="O1105" t="n">
        <x:v>64</x:v>
      </x:c>
      <x:c r="P1105" t="str">
        <x:v>Cloudy</x:v>
      </x:c>
      <x:c r="Q1105" t="n">
        <x:v>89</x:v>
      </x:c>
      <x:c r="R1105" t="n">
        <x:v>80.2</x:v>
      </x:c>
      <x:c r="S1105" t="n">
        <x:v>0.0975</x:v>
      </x:c>
      <x:c r="T1105" t="n">
        <x:v>18.8</x:v>
      </x:c>
      <x:c r="U1105" t="n">
        <x:v>1016.9</x:v>
      </x:c>
      <x:c r="V1105" t="n">
        <x:v>2690</x:v>
      </x:c>
      <x:c r="W1105" t="n">
        <x:v>47.4</x:v>
      </x:c>
    </x:row>
    <x:row r="1106">
      <x:c r="A1106" t="str">
        <x:v>PJT_1105</x:v>
      </x:c>
      <x:c r="B1106" t="str">
        <x:v>Mediterranean</x:v>
      </x:c>
      <x:c r="C1106" t="n">
        <x:v>22130</x:v>
      </x:c>
      <x:c r="D1106" t="n">
        <x:v>21</x:v>
      </x:c>
      <x:c r="E1106" t="str">
        <x:v>Medium</x:v>
      </x:c>
      <x:c r="F1106" t="str">
        <x:v>Commercial</x:v>
      </x:c>
      <x:c r="G1106" t="str">
        <x:v>Steel</x:v>
      </x:c>
      <x:c r="H1106" t="str">
        <x:v>Piles</x:v>
      </x:c>
      <x:c r="I1106" t="str">
        <x:v>Rock</x:v>
      </x:c>
      <x:c r="J1106" t="str">
        <x:v>Medium</x:v>
      </x:c>
      <x:c r="K1106" t="n">
        <x:v>57139660</x:v>
      </x:c>
      <x:c r="L1106" t="n">
        <x:v>1098</x:v>
      </x:c>
      <x:c r="M1106" t="n">
        <x:v>643.2</x:v>
      </x:c>
      <x:c r="N1106" t="n">
        <x:v>11.7</x:v>
      </x:c>
      <x:c r="O1106" t="n">
        <x:v>76.9</x:v>
      </x:c>
      <x:c r="P1106" t="str">
        <x:v>Rainy</x:v>
      </x:c>
      <x:c r="Q1106" t="n">
        <x:v>71</x:v>
      </x:c>
      <x:c r="R1106" t="n">
        <x:v>82.3</x:v>
      </x:c>
      <x:c r="S1106" t="n">
        <x:v>0.0971</x:v>
      </x:c>
      <x:c r="T1106" t="n">
        <x:v>16.2</x:v>
      </x:c>
      <x:c r="U1106" t="n">
        <x:v>1053.8</x:v>
      </x:c>
      <x:c r="V1106" t="n">
        <x:v>2582</x:v>
      </x:c>
      <x:c r="W1106" t="n">
        <x:v>49.6</x:v>
      </x:c>
    </x:row>
    <x:row r="1107">
      <x:c r="A1107" t="str">
        <x:v>PJT_1106</x:v>
      </x:c>
      <x:c r="B1107" t="str">
        <x:v>Humid Subtropical</x:v>
      </x:c>
      <x:c r="C1107" t="n">
        <x:v>6720</x:v>
      </x:c>
      <x:c r="D1107" t="n">
        <x:v>2</x:v>
      </x:c>
      <x:c r="E1107" t="str">
        <x:v>Low</x:v>
      </x:c>
      <x:c r="F1107" t="str">
        <x:v>School</x:v>
      </x:c>
      <x:c r="G1107" t="str">
        <x:v>RC Frame</x:v>
      </x:c>
      <x:c r="H1107" t="str">
        <x:v>Raft</x:v>
      </x:c>
      <x:c r="I1107" t="str">
        <x:v>Mixed</x:v>
      </x:c>
      <x:c r="J1107" t="str">
        <x:v>Low</x:v>
      </x:c>
      <x:c r="K1107" t="n">
        <x:v>10859520</x:v>
      </x:c>
      <x:c r="L1107" t="n">
        <x:v>195</x:v>
      </x:c>
      <x:c r="M1107" t="n">
        <x:v>359.7</x:v>
      </x:c>
      <x:c r="N1107" t="n">
        <x:v>22.7</x:v>
      </x:c>
      <x:c r="O1107" t="n">
        <x:v>81.9</x:v>
      </x:c>
      <x:c r="P1107" t="str">
        <x:v>Rainy</x:v>
      </x:c>
      <x:c r="Q1107" t="n">
        <x:v>90</x:v>
      </x:c>
      <x:c r="R1107" t="n">
        <x:v>66.9</x:v>
      </x:c>
      <x:c r="S1107" t="n">
        <x:v>0.077</x:v>
      </x:c>
      <x:c r="T1107" t="n">
        <x:v>13.2</x:v>
      </x:c>
      <x:c r="U1107" t="n">
        <x:v>3360</x:v>
      </x:c>
      <x:c r="V1107" t="n">
        <x:v>1616</x:v>
      </x:c>
      <x:c r="W1107" t="n">
        <x:v>29</x:v>
      </x:c>
    </x:row>
    <x:row r="1108">
      <x:c r="A1108" t="str">
        <x:v>PJT_1107</x:v>
      </x:c>
      <x:c r="B1108" t="str">
        <x:v>Continental</x:v>
      </x:c>
      <x:c r="C1108" t="n">
        <x:v>8180</x:v>
      </x:c>
      <x:c r="D1108" t="n">
        <x:v>9</x:v>
      </x:c>
      <x:c r="E1108" t="str">
        <x:v>Low</x:v>
      </x:c>
      <x:c r="F1108" t="str">
        <x:v>Residential</x:v>
      </x:c>
      <x:c r="G1108" t="str">
        <x:v>RC Frame</x:v>
      </x:c>
      <x:c r="H1108" t="str">
        <x:v>Piles</x:v>
      </x:c>
      <x:c r="I1108" t="str">
        <x:v>Soft Clay</x:v>
      </x:c>
      <x:c r="J1108" t="str">
        <x:v>Low</x:v>
      </x:c>
      <x:c r="K1108" t="n">
        <x:v>11010280</x:v>
      </x:c>
      <x:c r="L1108" t="n">
        <x:v>265</x:v>
      </x:c>
      <x:c r="M1108" t="n">
        <x:v>225.8</x:v>
      </x:c>
      <x:c r="N1108" t="n">
        <x:v>19.8</x:v>
      </x:c>
      <x:c r="O1108" t="n">
        <x:v>59.2</x:v>
      </x:c>
      <x:c r="P1108" t="str">
        <x:v>Sunny</x:v>
      </x:c>
      <x:c r="Q1108" t="n">
        <x:v>70</x:v>
      </x:c>
      <x:c r="R1108" t="n">
        <x:v>67.9</x:v>
      </x:c>
      <x:c r="S1108" t="n">
        <x:v>0.0737</x:v>
      </x:c>
      <x:c r="T1108" t="n">
        <x:v>12.4</x:v>
      </x:c>
      <x:c r="U1108" t="n">
        <x:v>908.9</x:v>
      </x:c>
      <x:c r="V1108" t="n">
        <x:v>1346</x:v>
      </x:c>
      <x:c r="W1108" t="n">
        <x:v>32.4</x:v>
      </x:c>
    </x:row>
    <x:row r="1109">
      <x:c r="A1109" t="str">
        <x:v>PJT_1108</x:v>
      </x:c>
      <x:c r="B1109" t="str">
        <x:v>Humid Subtropical</x:v>
      </x:c>
      <x:c r="C1109" t="n">
        <x:v>28890</x:v>
      </x:c>
      <x:c r="D1109" t="n">
        <x:v>25</x:v>
      </x:c>
      <x:c r="E1109" t="str">
        <x:v>High</x:v>
      </x:c>
      <x:c r="F1109" t="str">
        <x:v>Mixed-use</x:v>
      </x:c>
      <x:c r="G1109" t="str">
        <x:v>Steel</x:v>
      </x:c>
      <x:c r="H1109" t="str">
        <x:v>Piles</x:v>
      </x:c>
      <x:c r="I1109" t="str">
        <x:v>Mixed</x:v>
      </x:c>
      <x:c r="J1109" t="str">
        <x:v>High</x:v>
      </x:c>
      <x:c r="K1109" t="n">
        <x:v>86005530</x:v>
      </x:c>
      <x:c r="L1109" t="n">
        <x:v>1676</x:v>
      </x:c>
      <x:c r="M1109" t="n">
        <x:v>413.3</x:v>
      </x:c>
      <x:c r="N1109" t="n">
        <x:v>24</x:v>
      </x:c>
      <x:c r="O1109" t="n">
        <x:v>83</x:v>
      </x:c>
      <x:c r="P1109" t="str">
        <x:v>Stormy</x:v>
      </x:c>
      <x:c r="Q1109" t="n">
        <x:v>106</x:v>
      </x:c>
      <x:c r="R1109" t="n">
        <x:v>92</x:v>
      </x:c>
      <x:c r="S1109" t="n">
        <x:v>0.1097</x:v>
      </x:c>
      <x:c r="T1109" t="n">
        <x:v>20.6</x:v>
      </x:c>
      <x:c r="U1109" t="n">
        <x:v>1155.6</x:v>
      </x:c>
      <x:c r="V1109" t="n">
        <x:v>2977</x:v>
      </x:c>
      <x:c r="W1109" t="n">
        <x:v>58</x:v>
      </x:c>
    </x:row>
    <x:row r="1110">
      <x:c r="A1110" t="str">
        <x:v>PJT_1109</x:v>
      </x:c>
      <x:c r="B1110" t="str">
        <x:v>Continental</x:v>
      </x:c>
      <x:c r="C1110" t="n">
        <x:v>25060</x:v>
      </x:c>
      <x:c r="D1110" t="n">
        <x:v>14</x:v>
      </x:c>
      <x:c r="E1110" t="str">
        <x:v>Medium</x:v>
      </x:c>
      <x:c r="F1110" t="str">
        <x:v>Mixed-use</x:v>
      </x:c>
      <x:c r="G1110" t="str">
        <x:v>Steel</x:v>
      </x:c>
      <x:c r="H1110" t="str">
        <x:v>Raft</x:v>
      </x:c>
      <x:c r="I1110" t="str">
        <x:v>Rock</x:v>
      </x:c>
      <x:c r="J1110" t="str">
        <x:v>Low</x:v>
      </x:c>
      <x:c r="K1110" t="n">
        <x:v>61021100</x:v>
      </x:c>
      <x:c r="L1110" t="n">
        <x:v>1178</x:v>
      </x:c>
      <x:c r="M1110" t="n">
        <x:v>617</x:v>
      </x:c>
      <x:c r="N1110" t="n">
        <x:v>10.9</x:v>
      </x:c>
      <x:c r="O1110" t="n">
        <x:v>56.1</x:v>
      </x:c>
      <x:c r="P1110" t="str">
        <x:v>Cloudy</x:v>
      </x:c>
      <x:c r="Q1110" t="n">
        <x:v>102</x:v>
      </x:c>
      <x:c r="R1110" t="n">
        <x:v>83.3</x:v>
      </x:c>
      <x:c r="S1110" t="n">
        <x:v>0.102</x:v>
      </x:c>
      <x:c r="T1110" t="n">
        <x:v>19.5</x:v>
      </x:c>
      <x:c r="U1110" t="n">
        <x:v>1790</x:v>
      </x:c>
      <x:c r="V1110" t="n">
        <x:v>2435</x:v>
      </x:c>
      <x:c r="W1110" t="n">
        <x:v>47</x:v>
      </x:c>
    </x:row>
    <x:row r="1111">
      <x:c r="A1111" t="str">
        <x:v>PJT_1110</x:v>
      </x:c>
      <x:c r="B1111" t="str">
        <x:v>Continental</x:v>
      </x:c>
      <x:c r="C1111" t="n">
        <x:v>16430</x:v>
      </x:c>
      <x:c r="D1111" t="n">
        <x:v>14</x:v>
      </x:c>
      <x:c r="E1111" t="str">
        <x:v>Medium</x:v>
      </x:c>
      <x:c r="F1111" t="str">
        <x:v>Commercial</x:v>
      </x:c>
      <x:c r="G1111" t="str">
        <x:v>Steel</x:v>
      </x:c>
      <x:c r="H1111" t="str">
        <x:v>Piles</x:v>
      </x:c>
      <x:c r="I1111" t="str">
        <x:v>Soft Clay</x:v>
      </x:c>
      <x:c r="J1111" t="str">
        <x:v>Medium</x:v>
      </x:c>
      <x:c r="K1111" t="n">
        <x:v>37969730</x:v>
      </x:c>
      <x:c r="L1111" t="n">
        <x:v>759</x:v>
      </x:c>
      <x:c r="M1111" t="n">
        <x:v>188.9</x:v>
      </x:c>
      <x:c r="N1111" t="n">
        <x:v>18.1</x:v>
      </x:c>
      <x:c r="O1111" t="n">
        <x:v>54.9</x:v>
      </x:c>
      <x:c r="P1111" t="str">
        <x:v>Cloudy</x:v>
      </x:c>
      <x:c r="Q1111" t="n">
        <x:v>78</x:v>
      </x:c>
      <x:c r="R1111" t="n">
        <x:v>78.1</x:v>
      </x:c>
      <x:c r="S1111" t="n">
        <x:v>0.0971</x:v>
      </x:c>
      <x:c r="T1111" t="n">
        <x:v>17.1</x:v>
      </x:c>
      <x:c r="U1111" t="n">
        <x:v>1173.6</x:v>
      </x:c>
      <x:c r="V1111" t="n">
        <x:v>2311</x:v>
      </x:c>
      <x:c r="W1111" t="n">
        <x:v>46.2</x:v>
      </x:c>
    </x:row>
    <x:row r="1112">
      <x:c r="A1112" t="str">
        <x:v>PJT_1111</x:v>
      </x:c>
      <x:c r="B1112" t="str">
        <x:v>Continental</x:v>
      </x:c>
      <x:c r="C1112" t="n">
        <x:v>20620</x:v>
      </x:c>
      <x:c r="D1112" t="n">
        <x:v>13</x:v>
      </x:c>
      <x:c r="E1112" t="str">
        <x:v>Medium</x:v>
      </x:c>
      <x:c r="F1112" t="str">
        <x:v>Commercial</x:v>
      </x:c>
      <x:c r="G1112" t="str">
        <x:v>Steel</x:v>
      </x:c>
      <x:c r="H1112" t="str">
        <x:v>Piles</x:v>
      </x:c>
      <x:c r="I1112" t="str">
        <x:v>Mixed</x:v>
      </x:c>
      <x:c r="J1112" t="str">
        <x:v>Low</x:v>
      </x:c>
      <x:c r="K1112" t="n">
        <x:v>48003360</x:v>
      </x:c>
      <x:c r="L1112" t="n">
        <x:v>953</x:v>
      </x:c>
      <x:c r="M1112" t="n">
        <x:v>327.4</x:v>
      </x:c>
      <x:c r="N1112" t="n">
        <x:v>7.9</x:v>
      </x:c>
      <x:c r="O1112" t="n">
        <x:v>67.8</x:v>
      </x:c>
      <x:c r="P1112" t="str">
        <x:v>Rainy</x:v>
      </x:c>
      <x:c r="Q1112" t="n">
        <x:v>90</x:v>
      </x:c>
      <x:c r="R1112" t="n">
        <x:v>75.4</x:v>
      </x:c>
      <x:c r="S1112" t="n">
        <x:v>0.0958</x:v>
      </x:c>
      <x:c r="T1112" t="n">
        <x:v>16.5</x:v>
      </x:c>
      <x:c r="U1112" t="n">
        <x:v>1586.2</x:v>
      </x:c>
      <x:c r="V1112" t="n">
        <x:v>2328</x:v>
      </x:c>
      <x:c r="W1112" t="n">
        <x:v>46.2</x:v>
      </x:c>
    </x:row>
    <x:row r="1113">
      <x:c r="A1113" t="str">
        <x:v>PJT_1112</x:v>
      </x:c>
      <x:c r="B1113" t="str">
        <x:v>Marine</x:v>
      </x:c>
      <x:c r="C1113" t="n">
        <x:v>33540</x:v>
      </x:c>
      <x:c r="D1113" t="n">
        <x:v>16</x:v>
      </x:c>
      <x:c r="E1113" t="str">
        <x:v>High</x:v>
      </x:c>
      <x:c r="F1113" t="str">
        <x:v>Hospital</x:v>
      </x:c>
      <x:c r="G1113" t="str">
        <x:v>Shear Wall</x:v>
      </x:c>
      <x:c r="H1113" t="str">
        <x:v>Piles</x:v>
      </x:c>
      <x:c r="I1113" t="str">
        <x:v>Mixed</x:v>
      </x:c>
      <x:c r="J1113" t="str">
        <x:v>Medium</x:v>
      </x:c>
      <x:c r="K1113" t="n">
        <x:v>111956520</x:v>
      </x:c>
      <x:c r="L1113" t="n">
        <x:v>1905</x:v>
      </x:c>
      <x:c r="M1113" t="n">
        <x:v>294.6</x:v>
      </x:c>
      <x:c r="N1113" t="n">
        <x:v>15.1</x:v>
      </x:c>
      <x:c r="O1113" t="n">
        <x:v>82.5</x:v>
      </x:c>
      <x:c r="P1113" t="str">
        <x:v>Rainy</x:v>
      </x:c>
      <x:c r="Q1113" t="n">
        <x:v>89</x:v>
      </x:c>
      <x:c r="R1113" t="n">
        <x:v>86</x:v>
      </x:c>
      <x:c r="S1113" t="n">
        <x:v>0.1103</x:v>
      </x:c>
      <x:c r="T1113" t="n">
        <x:v>23</x:v>
      </x:c>
      <x:c r="U1113" t="n">
        <x:v>2096.2</x:v>
      </x:c>
      <x:c r="V1113" t="n">
        <x:v>3338</x:v>
      </x:c>
      <x:c r="W1113" t="n">
        <x:v>56.8</x:v>
      </x:c>
    </x:row>
    <x:row r="1114">
      <x:c r="A1114" t="str">
        <x:v>PJT_1113</x:v>
      </x:c>
      <x:c r="B1114" t="str">
        <x:v>Continental</x:v>
      </x:c>
      <x:c r="C1114" t="n">
        <x:v>16310</x:v>
      </x:c>
      <x:c r="D1114" t="n">
        <x:v>11</x:v>
      </x:c>
      <x:c r="E1114" t="str">
        <x:v>Medium</x:v>
      </x:c>
      <x:c r="F1114" t="str">
        <x:v>Commercial</x:v>
      </x:c>
      <x:c r="G1114" t="str">
        <x:v>RC Frame</x:v>
      </x:c>
      <x:c r="H1114" t="str">
        <x:v>Raft</x:v>
      </x:c>
      <x:c r="I1114" t="str">
        <x:v>Mixed</x:v>
      </x:c>
      <x:c r="J1114" t="str">
        <x:v>Low</x:v>
      </x:c>
      <x:c r="K1114" t="n">
        <x:v>34332550</x:v>
      </x:c>
      <x:c r="L1114" t="n">
        <x:v>634</x:v>
      </x:c>
      <x:c r="M1114" t="n">
        <x:v>324.4</x:v>
      </x:c>
      <x:c r="N1114" t="n">
        <x:v>22.2</x:v>
      </x:c>
      <x:c r="O1114" t="n">
        <x:v>62.2</x:v>
      </x:c>
      <x:c r="P1114" t="str">
        <x:v>Sunny</x:v>
      </x:c>
      <x:c r="Q1114" t="n">
        <x:v>88</x:v>
      </x:c>
      <x:c r="R1114" t="n">
        <x:v>77.7</x:v>
      </x:c>
      <x:c r="S1114" t="n">
        <x:v>0.0872</x:v>
      </x:c>
      <x:c r="T1114" t="n">
        <x:v>16.9</x:v>
      </x:c>
      <x:c r="U1114" t="n">
        <x:v>1482.7</x:v>
      </x:c>
      <x:c r="V1114" t="n">
        <x:v>2105</x:v>
      </x:c>
      <x:c r="W1114" t="n">
        <x:v>38.9</x:v>
      </x:c>
    </x:row>
    <x:row r="1115">
      <x:c r="A1115" t="str">
        <x:v>PJT_1114</x:v>
      </x:c>
      <x:c r="B1115" t="str">
        <x:v>Mediterranean</x:v>
      </x:c>
      <x:c r="C1115" t="n">
        <x:v>23480</x:v>
      </x:c>
      <x:c r="D1115" t="n">
        <x:v>20</x:v>
      </x:c>
      <x:c r="E1115" t="str">
        <x:v>High</x:v>
      </x:c>
      <x:c r="F1115" t="str">
        <x:v>Mixed-use</x:v>
      </x:c>
      <x:c r="G1115" t="str">
        <x:v>Steel</x:v>
      </x:c>
      <x:c r="H1115" t="str">
        <x:v>Piles</x:v>
      </x:c>
      <x:c r="I1115" t="str">
        <x:v>Rock</x:v>
      </x:c>
      <x:c r="J1115" t="str">
        <x:v>Medium</x:v>
      </x:c>
      <x:c r="K1115" t="n">
        <x:v>66894520</x:v>
      </x:c>
      <x:c r="L1115" t="n">
        <x:v>1317</x:v>
      </x:c>
      <x:c r="M1115" t="n">
        <x:v>849.6</x:v>
      </x:c>
      <x:c r="N1115" t="n">
        <x:v>23.6</x:v>
      </x:c>
      <x:c r="O1115" t="n">
        <x:v>58.2</x:v>
      </x:c>
      <x:c r="P1115" t="str">
        <x:v>Cloudy</x:v>
      </x:c>
      <x:c r="Q1115" t="n">
        <x:v>78</x:v>
      </x:c>
      <x:c r="R1115" t="n">
        <x:v>90.9</x:v>
      </x:c>
      <x:c r="S1115" t="n">
        <x:v>0.1056</x:v>
      </x:c>
      <x:c r="T1115" t="n">
        <x:v>21.2</x:v>
      </x:c>
      <x:c r="U1115" t="n">
        <x:v>1174</x:v>
      </x:c>
      <x:c r="V1115" t="n">
        <x:v>2849</x:v>
      </x:c>
      <x:c r="W1115" t="n">
        <x:v>56.1</x:v>
      </x:c>
    </x:row>
    <x:row r="1116">
      <x:c r="A1116" t="str">
        <x:v>PJT_1115</x:v>
      </x:c>
      <x:c r="B1116" t="str">
        <x:v>Marine</x:v>
      </x:c>
      <x:c r="C1116" t="n">
        <x:v>8740</x:v>
      </x:c>
      <x:c r="D1116" t="n">
        <x:v>10</x:v>
      </x:c>
      <x:c r="E1116" t="str">
        <x:v>Low</x:v>
      </x:c>
      <x:c r="F1116" t="str">
        <x:v>Residential</x:v>
      </x:c>
      <x:c r="G1116" t="str">
        <x:v>RC Frame</x:v>
      </x:c>
      <x:c r="H1116" t="str">
        <x:v>Raft</x:v>
      </x:c>
      <x:c r="I1116" t="str">
        <x:v>Mixed</x:v>
      </x:c>
      <x:c r="J1116" t="str">
        <x:v>Medium</x:v>
      </x:c>
      <x:c r="K1116" t="n">
        <x:v>11641680</x:v>
      </x:c>
      <x:c r="L1116" t="n">
        <x:v>291</x:v>
      </x:c>
      <x:c r="M1116" t="n">
        <x:v>306</x:v>
      </x:c>
      <x:c r="N1116" t="n">
        <x:v>16.5</x:v>
      </x:c>
      <x:c r="O1116" t="n">
        <x:v>76.3</x:v>
      </x:c>
      <x:c r="P1116" t="str">
        <x:v>Cloudy</x:v>
      </x:c>
      <x:c r="Q1116" t="n">
        <x:v>58</x:v>
      </x:c>
      <x:c r="R1116" t="n">
        <x:v>65.3</x:v>
      </x:c>
      <x:c r="S1116" t="n">
        <x:v>0.0727</x:v>
      </x:c>
      <x:c r="T1116" t="n">
        <x:v>12.8</x:v>
      </x:c>
      <x:c r="U1116" t="n">
        <x:v>874</x:v>
      </x:c>
      <x:c r="V1116" t="n">
        <x:v>1332</x:v>
      </x:c>
      <x:c r="W1116" t="n">
        <x:v>33.3</x:v>
      </x:c>
    </x:row>
    <x:row r="1117">
      <x:c r="A1117" t="str">
        <x:v>PJT_1116</x:v>
      </x:c>
      <x:c r="B1117" t="str">
        <x:v>Continental</x:v>
      </x:c>
      <x:c r="C1117" t="n">
        <x:v>22490</x:v>
      </x:c>
      <x:c r="D1117" t="n">
        <x:v>20</x:v>
      </x:c>
      <x:c r="E1117" t="str">
        <x:v>High</x:v>
      </x:c>
      <x:c r="F1117" t="str">
        <x:v>Mixed-use</x:v>
      </x:c>
      <x:c r="G1117" t="str">
        <x:v>Steel</x:v>
      </x:c>
      <x:c r="H1117" t="str">
        <x:v>Piles</x:v>
      </x:c>
      <x:c r="I1117" t="str">
        <x:v>Soft Clay</x:v>
      </x:c>
      <x:c r="J1117" t="str">
        <x:v>Low</x:v>
      </x:c>
      <x:c r="K1117" t="n">
        <x:v>63196900</x:v>
      </x:c>
      <x:c r="L1117" t="n">
        <x:v>1286</x:v>
      </x:c>
      <x:c r="M1117" t="n">
        <x:v>234.5</x:v>
      </x:c>
      <x:c r="N1117" t="n">
        <x:v>-0.5</x:v>
      </x:c>
      <x:c r="O1117" t="n">
        <x:v>61.8</x:v>
      </x:c>
      <x:c r="P1117" t="str">
        <x:v>Snowy</x:v>
      </x:c>
      <x:c r="Q1117" t="n">
        <x:v>90</x:v>
      </x:c>
      <x:c r="R1117" t="n">
        <x:v>86.3</x:v>
      </x:c>
      <x:c r="S1117" t="n">
        <x:v>0.109</x:v>
      </x:c>
      <x:c r="T1117" t="n">
        <x:v>20.7</x:v>
      </x:c>
      <x:c r="U1117" t="n">
        <x:v>1124.5</x:v>
      </x:c>
      <x:c r="V1117" t="n">
        <x:v>2810</x:v>
      </x:c>
      <x:c r="W1117" t="n">
        <x:v>57.2</x:v>
      </x:c>
    </x:row>
    <x:row r="1118">
      <x:c r="A1118" t="str">
        <x:v>PJT_1117</x:v>
      </x:c>
      <x:c r="B1118" t="str">
        <x:v>Continental</x:v>
      </x:c>
      <x:c r="C1118" t="n">
        <x:v>33210</x:v>
      </x:c>
      <x:c r="D1118" t="n">
        <x:v>17</x:v>
      </x:c>
      <x:c r="E1118" t="str">
        <x:v>High</x:v>
      </x:c>
      <x:c r="F1118" t="str">
        <x:v>Mixed-use</x:v>
      </x:c>
      <x:c r="G1118" t="str">
        <x:v>Steel</x:v>
      </x:c>
      <x:c r="H1118" t="str">
        <x:v>Piles</x:v>
      </x:c>
      <x:c r="I1118" t="str">
        <x:v>Mixed</x:v>
      </x:c>
      <x:c r="J1118" t="str">
        <x:v>Low</x:v>
      </x:c>
      <x:c r="K1118" t="n">
        <x:v>94648500</x:v>
      </x:c>
      <x:c r="L1118" t="n">
        <x:v>1926</x:v>
      </x:c>
      <x:c r="M1118" t="n">
        <x:v>319.8</x:v>
      </x:c>
      <x:c r="N1118" t="n">
        <x:v>0.3</x:v>
      </x:c>
      <x:c r="O1118" t="n">
        <x:v>66.6</x:v>
      </x:c>
      <x:c r="P1118" t="str">
        <x:v>Snowy</x:v>
      </x:c>
      <x:c r="Q1118" t="n">
        <x:v>102</x:v>
      </x:c>
      <x:c r="R1118" t="n">
        <x:v>89.1</x:v>
      </x:c>
      <x:c r="S1118" t="n">
        <x:v>0.107</x:v>
      </x:c>
      <x:c r="T1118" t="n">
        <x:v>21</x:v>
      </x:c>
      <x:c r="U1118" t="n">
        <x:v>1953.5</x:v>
      </x:c>
      <x:c r="V1118" t="n">
        <x:v>2850</x:v>
      </x:c>
      <x:c r="W1118" t="n">
        <x:v>58</x:v>
      </x:c>
    </x:row>
    <x:row r="1119">
      <x:c r="A1119" t="str">
        <x:v>PJT_1118</x:v>
      </x:c>
      <x:c r="B1119" t="str">
        <x:v>Marine</x:v>
      </x:c>
      <x:c r="C1119" t="n">
        <x:v>11960</x:v>
      </x:c>
      <x:c r="D1119" t="n">
        <x:v>4</x:v>
      </x:c>
      <x:c r="E1119" t="str">
        <x:v>Medium</x:v>
      </x:c>
      <x:c r="F1119" t="str">
        <x:v>School</x:v>
      </x:c>
      <x:c r="G1119" t="str">
        <x:v>RC Frame</x:v>
      </x:c>
      <x:c r="H1119" t="str">
        <x:v>Raft</x:v>
      </x:c>
      <x:c r="I1119" t="str">
        <x:v>Mixed</x:v>
      </x:c>
      <x:c r="J1119" t="str">
        <x:v>High</x:v>
      </x:c>
      <x:c r="K1119" t="n">
        <x:v>22735960</x:v>
      </x:c>
      <x:c r="L1119" t="n">
        <x:v>422</x:v>
      </x:c>
      <x:c r="M1119" t="n">
        <x:v>331.1</x:v>
      </x:c>
      <x:c r="N1119" t="n">
        <x:v>7.4</x:v>
      </x:c>
      <x:c r="O1119" t="n">
        <x:v>80.7</x:v>
      </x:c>
      <x:c r="P1119" t="str">
        <x:v>Stormy</x:v>
      </x:c>
      <x:c r="Q1119" t="n">
        <x:v>70</x:v>
      </x:c>
      <x:c r="R1119" t="n">
        <x:v>66.2</x:v>
      </x:c>
      <x:c r="S1119" t="n">
        <x:v>0.0801</x:v>
      </x:c>
      <x:c r="T1119" t="n">
        <x:v>13.6</x:v>
      </x:c>
      <x:c r="U1119" t="n">
        <x:v>2990</x:v>
      </x:c>
      <x:c r="V1119" t="n">
        <x:v>1901</x:v>
      </x:c>
      <x:c r="W1119" t="n">
        <x:v>35.3</x:v>
      </x:c>
    </x:row>
    <x:row r="1120">
      <x:c r="A1120" t="str">
        <x:v>PJT_1119</x:v>
      </x:c>
      <x:c r="B1120" t="str">
        <x:v>Humid Subtropical</x:v>
      </x:c>
      <x:c r="C1120" t="n">
        <x:v>14150</x:v>
      </x:c>
      <x:c r="D1120" t="n">
        <x:v>8</x:v>
      </x:c>
      <x:c r="E1120" t="str">
        <x:v>Medium</x:v>
      </x:c>
      <x:c r="F1120" t="str">
        <x:v>Commercial</x:v>
      </x:c>
      <x:c r="G1120" t="str">
        <x:v>RC Frame</x:v>
      </x:c>
      <x:c r="H1120" t="str">
        <x:v>Raft</x:v>
      </x:c>
      <x:c r="I1120" t="str">
        <x:v>Sand</x:v>
      </x:c>
      <x:c r="J1120" t="str">
        <x:v>Medium</x:v>
      </x:c>
      <x:c r="K1120" t="n">
        <x:v>31554500</x:v>
      </x:c>
      <x:c r="L1120" t="n">
        <x:v>623</x:v>
      </x:c>
      <x:c r="M1120" t="n">
        <x:v>270.9</x:v>
      </x:c>
      <x:c r="N1120" t="n">
        <x:v>25.2</x:v>
      </x:c>
      <x:c r="O1120" t="n">
        <x:v>84.7</x:v>
      </x:c>
      <x:c r="P1120" t="str">
        <x:v>Stormy</x:v>
      </x:c>
      <x:c r="Q1120" t="n">
        <x:v>92</x:v>
      </x:c>
      <x:c r="R1120" t="n">
        <x:v>74.7</x:v>
      </x:c>
      <x:c r="S1120" t="n">
        <x:v>0.0924</x:v>
      </x:c>
      <x:c r="T1120" t="n">
        <x:v>15.9</x:v>
      </x:c>
      <x:c r="U1120" t="n">
        <x:v>1768.8</x:v>
      </x:c>
      <x:c r="V1120" t="n">
        <x:v>2230</x:v>
      </x:c>
      <x:c r="W1120" t="n">
        <x:v>44</x:v>
      </x:c>
    </x:row>
    <x:row r="1121">
      <x:c r="A1121" t="str">
        <x:v>PJT_1120</x:v>
      </x:c>
      <x:c r="B1121" t="str">
        <x:v>Marine</x:v>
      </x:c>
      <x:c r="C1121" t="n">
        <x:v>33750</x:v>
      </x:c>
      <x:c r="D1121" t="n">
        <x:v>23</x:v>
      </x:c>
      <x:c r="E1121" t="str">
        <x:v>High</x:v>
      </x:c>
      <x:c r="F1121" t="str">
        <x:v>Mixed-use</x:v>
      </x:c>
      <x:c r="G1121" t="str">
        <x:v>Steel</x:v>
      </x:c>
      <x:c r="H1121" t="str">
        <x:v>Piles</x:v>
      </x:c>
      <x:c r="I1121" t="str">
        <x:v>Mixed</x:v>
      </x:c>
      <x:c r="J1121" t="str">
        <x:v>High</x:v>
      </x:c>
      <x:c r="K1121" t="n">
        <x:v>101823750</x:v>
      </x:c>
      <x:c r="L1121" t="n">
        <x:v>1782</x:v>
      </x:c>
      <x:c r="M1121" t="n">
        <x:v>428.4</x:v>
      </x:c>
      <x:c r="N1121" t="n">
        <x:v>21.7</x:v>
      </x:c>
      <x:c r="O1121" t="n">
        <x:v>69.4</x:v>
      </x:c>
      <x:c r="P1121" t="str">
        <x:v>Sunny</x:v>
      </x:c>
      <x:c r="Q1121" t="n">
        <x:v>68</x:v>
      </x:c>
      <x:c r="R1121" t="n">
        <x:v>91</x:v>
      </x:c>
      <x:c r="S1121" t="n">
        <x:v>0.1058</x:v>
      </x:c>
      <x:c r="T1121" t="n">
        <x:v>20.1</x:v>
      </x:c>
      <x:c r="U1121" t="n">
        <x:v>1467.4</x:v>
      </x:c>
      <x:c r="V1121" t="n">
        <x:v>3017</x:v>
      </x:c>
      <x:c r="W1121" t="n">
        <x:v>52.8</x:v>
      </x:c>
    </x:row>
    <x:row r="1122">
      <x:c r="A1122" t="str">
        <x:v>PJT_1121</x:v>
      </x:c>
      <x:c r="B1122" t="str">
        <x:v>Continental</x:v>
      </x:c>
      <x:c r="C1122" t="n">
        <x:v>37880</x:v>
      </x:c>
      <x:c r="D1122" t="n">
        <x:v>22</x:v>
      </x:c>
      <x:c r="E1122" t="str">
        <x:v>High</x:v>
      </x:c>
      <x:c r="F1122" t="str">
        <x:v>Commercial</x:v>
      </x:c>
      <x:c r="G1122" t="str">
        <x:v>Steel</x:v>
      </x:c>
      <x:c r="H1122" t="str">
        <x:v>Piles</x:v>
      </x:c>
      <x:c r="I1122" t="str">
        <x:v>Soft Clay</x:v>
      </x:c>
      <x:c r="J1122" t="str">
        <x:v>Low</x:v>
      </x:c>
      <x:c r="K1122" t="n">
        <x:v>96669760</x:v>
      </x:c>
      <x:c r="L1122" t="n">
        <x:v>1966</x:v>
      </x:c>
      <x:c r="M1122" t="n">
        <x:v>206.5</x:v>
      </x:c>
      <x:c r="N1122" t="n">
        <x:v>7.3</x:v>
      </x:c>
      <x:c r="O1122" t="n">
        <x:v>84.6</x:v>
      </x:c>
      <x:c r="P1122" t="str">
        <x:v>Rainy</x:v>
      </x:c>
      <x:c r="Q1122" t="n">
        <x:v>111</x:v>
      </x:c>
      <x:c r="R1122" t="n">
        <x:v>90</x:v>
      </x:c>
      <x:c r="S1122" t="n">
        <x:v>0.1009</x:v>
      </x:c>
      <x:c r="T1122" t="n">
        <x:v>19.6</x:v>
      </x:c>
      <x:c r="U1122" t="n">
        <x:v>1721.8</x:v>
      </x:c>
      <x:c r="V1122" t="n">
        <x:v>2552</x:v>
      </x:c>
      <x:c r="W1122" t="n">
        <x:v>51.9</x:v>
      </x:c>
    </x:row>
    <x:row r="1123">
      <x:c r="A1123" t="str">
        <x:v>PJT_1122</x:v>
      </x:c>
      <x:c r="B1123" t="str">
        <x:v>Continental</x:v>
      </x:c>
      <x:c r="C1123" t="n">
        <x:v>15220</x:v>
      </x:c>
      <x:c r="D1123" t="n">
        <x:v>16</x:v>
      </x:c>
      <x:c r="E1123" t="str">
        <x:v>Medium</x:v>
      </x:c>
      <x:c r="F1123" t="str">
        <x:v>Residential</x:v>
      </x:c>
      <x:c r="G1123" t="str">
        <x:v>Shear Wall</x:v>
      </x:c>
      <x:c r="H1123" t="str">
        <x:v>Piles</x:v>
      </x:c>
      <x:c r="I1123" t="str">
        <x:v>Mixed</x:v>
      </x:c>
      <x:c r="J1123" t="str">
        <x:v>Medium</x:v>
      </x:c>
      <x:c r="K1123" t="n">
        <x:v>24960800</x:v>
      </x:c>
      <x:c r="L1123" t="n">
        <x:v>629</x:v>
      </x:c>
      <x:c r="M1123" t="n">
        <x:v>415.1</x:v>
      </x:c>
      <x:c r="N1123" t="n">
        <x:v>10.3</x:v>
      </x:c>
      <x:c r="O1123" t="n">
        <x:v>75.1</x:v>
      </x:c>
      <x:c r="P1123" t="str">
        <x:v>Rainy</x:v>
      </x:c>
      <x:c r="Q1123" t="n">
        <x:v>81</x:v>
      </x:c>
      <x:c r="R1123" t="n">
        <x:v>78.4</x:v>
      </x:c>
      <x:c r="S1123" t="n">
        <x:v>0.0815</x:v>
      </x:c>
      <x:c r="T1123" t="n">
        <x:v>13.4</x:v>
      </x:c>
      <x:c r="U1123" t="n">
        <x:v>951.2</x:v>
      </x:c>
      <x:c r="V1123" t="n">
        <x:v>1640</x:v>
      </x:c>
      <x:c r="W1123" t="n">
        <x:v>41.3</x:v>
      </x:c>
    </x:row>
    <x:row r="1124">
      <x:c r="A1124" t="str">
        <x:v>PJT_1123</x:v>
      </x:c>
      <x:c r="B1124" t="str">
        <x:v>Mediterranean</x:v>
      </x:c>
      <x:c r="C1124" t="n">
        <x:v>18190</x:v>
      </x:c>
      <x:c r="D1124" t="n">
        <x:v>18</x:v>
      </x:c>
      <x:c r="E1124" t="str">
        <x:v>Medium</x:v>
      </x:c>
      <x:c r="F1124" t="str">
        <x:v>Residential</x:v>
      </x:c>
      <x:c r="G1124" t="str">
        <x:v>RC Frame</x:v>
      </x:c>
      <x:c r="H1124" t="str">
        <x:v>Piles</x:v>
      </x:c>
      <x:c r="I1124" t="str">
        <x:v>Mixed</x:v>
      </x:c>
      <x:c r="J1124" t="str">
        <x:v>Low</x:v>
      </x:c>
      <x:c r="K1124" t="n">
        <x:v>28485540</x:v>
      </x:c>
      <x:c r="L1124" t="n">
        <x:v>673</x:v>
      </x:c>
      <x:c r="M1124" t="n">
        <x:v>311.1</x:v>
      </x:c>
      <x:c r="N1124" t="n">
        <x:v>25.4</x:v>
      </x:c>
      <x:c r="O1124" t="n">
        <x:v>55.7</x:v>
      </x:c>
      <x:c r="P1124" t="str">
        <x:v>Sunny</x:v>
      </x:c>
      <x:c r="Q1124" t="n">
        <x:v>73</x:v>
      </x:c>
      <x:c r="R1124" t="n">
        <x:v>71.7</x:v>
      </x:c>
      <x:c r="S1124" t="n">
        <x:v>0.0806</x:v>
      </x:c>
      <x:c r="T1124" t="n">
        <x:v>13.4</x:v>
      </x:c>
      <x:c r="U1124" t="n">
        <x:v>1010.6</x:v>
      </x:c>
      <x:c r="V1124" t="n">
        <x:v>1566</x:v>
      </x:c>
      <x:c r="W1124" t="n">
        <x:v>37</x:v>
      </x:c>
    </x:row>
    <x:row r="1125">
      <x:c r="A1125" t="str">
        <x:v>PJT_1124</x:v>
      </x:c>
      <x:c r="B1125" t="str">
        <x:v>Humid Subtropical</x:v>
      </x:c>
      <x:c r="C1125" t="n">
        <x:v>14240</x:v>
      </x:c>
      <x:c r="D1125" t="n">
        <x:v>14</x:v>
      </x:c>
      <x:c r="E1125" t="str">
        <x:v>Medium</x:v>
      </x:c>
      <x:c r="F1125" t="str">
        <x:v>Residential</x:v>
      </x:c>
      <x:c r="G1125" t="str">
        <x:v>Shear Wall</x:v>
      </x:c>
      <x:c r="H1125" t="str">
        <x:v>Raft</x:v>
      </x:c>
      <x:c r="I1125" t="str">
        <x:v>Mixed</x:v>
      </x:c>
      <x:c r="J1125" t="str">
        <x:v>Medium</x:v>
      </x:c>
      <x:c r="K1125" t="n">
        <x:v>22812480</x:v>
      </x:c>
      <x:c r="L1125" t="n">
        <x:v>490</x:v>
      </x:c>
      <x:c r="M1125" t="n">
        <x:v>269.9</x:v>
      </x:c>
      <x:c r="N1125" t="n">
        <x:v>25.2</x:v>
      </x:c>
      <x:c r="O1125" t="n">
        <x:v>68.7</x:v>
      </x:c>
      <x:c r="P1125" t="str">
        <x:v>Sunny</x:v>
      </x:c>
      <x:c r="Q1125" t="n">
        <x:v>67</x:v>
      </x:c>
      <x:c r="R1125" t="n">
        <x:v>69.3</x:v>
      </x:c>
      <x:c r="S1125" t="n">
        <x:v>0.0831</x:v>
      </x:c>
      <x:c r="T1125" t="n">
        <x:v>13</x:v>
      </x:c>
      <x:c r="U1125" t="n">
        <x:v>1017.1</x:v>
      </x:c>
      <x:c r="V1125" t="n">
        <x:v>1602</x:v>
      </x:c>
      <x:c r="W1125" t="n">
        <x:v>34.4</x:v>
      </x:c>
    </x:row>
    <x:row r="1126">
      <x:c r="A1126" t="str">
        <x:v>PJT_1125</x:v>
      </x:c>
      <x:c r="B1126" t="str">
        <x:v>Continental</x:v>
      </x:c>
      <x:c r="C1126" t="n">
        <x:v>11380</x:v>
      </x:c>
      <x:c r="D1126" t="n">
        <x:v>13</x:v>
      </x:c>
      <x:c r="E1126" t="str">
        <x:v>Low</x:v>
      </x:c>
      <x:c r="F1126" t="str">
        <x:v>Residential</x:v>
      </x:c>
      <x:c r="G1126" t="str">
        <x:v>RC Frame</x:v>
      </x:c>
      <x:c r="H1126" t="str">
        <x:v>Piles</x:v>
      </x:c>
      <x:c r="I1126" t="str">
        <x:v>Sand</x:v>
      </x:c>
      <x:c r="J1126" t="str">
        <x:v>Low</x:v>
      </x:c>
      <x:c r="K1126" t="n">
        <x:v>14987460</x:v>
      </x:c>
      <x:c r="L1126" t="n">
        <x:v>437</x:v>
      </x:c>
      <x:c r="M1126" t="n">
        <x:v>239.5</x:v>
      </x:c>
      <x:c r="N1126" t="n">
        <x:v>5.9</x:v>
      </x:c>
      <x:c r="O1126" t="n">
        <x:v>69.7</x:v>
      </x:c>
      <x:c r="P1126" t="str">
        <x:v>Stormy</x:v>
      </x:c>
      <x:c r="Q1126" t="n">
        <x:v>93</x:v>
      </x:c>
      <x:c r="R1126" t="n">
        <x:v>68.2</x:v>
      </x:c>
      <x:c r="S1126" t="n">
        <x:v>0.0738</x:v>
      </x:c>
      <x:c r="T1126" t="n">
        <x:v>11.6</x:v>
      </x:c>
      <x:c r="U1126" t="n">
        <x:v>875.4</x:v>
      </x:c>
      <x:c r="V1126" t="n">
        <x:v>1317</x:v>
      </x:c>
      <x:c r="W1126" t="n">
        <x:v>38.4</x:v>
      </x:c>
    </x:row>
    <x:row r="1127">
      <x:c r="A1127" t="str">
        <x:v>PJT_1126</x:v>
      </x:c>
      <x:c r="B1127" t="str">
        <x:v>Mediterranean</x:v>
      </x:c>
      <x:c r="C1127" t="n">
        <x:v>15140</x:v>
      </x:c>
      <x:c r="D1127" t="n">
        <x:v>9</x:v>
      </x:c>
      <x:c r="E1127" t="str">
        <x:v>Medium</x:v>
      </x:c>
      <x:c r="F1127" t="str">
        <x:v>Commercial</x:v>
      </x:c>
      <x:c r="G1127" t="str">
        <x:v>Steel</x:v>
      </x:c>
      <x:c r="H1127" t="str">
        <x:v>Raft</x:v>
      </x:c>
      <x:c r="I1127" t="str">
        <x:v>Sand</x:v>
      </x:c>
      <x:c r="J1127" t="str">
        <x:v>Medium</x:v>
      </x:c>
      <x:c r="K1127" t="n">
        <x:v>35700120</x:v>
      </x:c>
      <x:c r="L1127" t="n">
        <x:v>618</x:v>
      </x:c>
      <x:c r="M1127" t="n">
        <x:v>224.6</x:v>
      </x:c>
      <x:c r="N1127" t="n">
        <x:v>29.2</x:v>
      </x:c>
      <x:c r="O1127" t="n">
        <x:v>61.1</x:v>
      </x:c>
      <x:c r="P1127" t="str">
        <x:v>Sunny</x:v>
      </x:c>
      <x:c r="Q1127" t="n">
        <x:v>72</x:v>
      </x:c>
      <x:c r="R1127" t="n">
        <x:v>77.6</x:v>
      </x:c>
      <x:c r="S1127" t="n">
        <x:v>0.0964</x:v>
      </x:c>
      <x:c r="T1127" t="n">
        <x:v>17.4</x:v>
      </x:c>
      <x:c r="U1127" t="n">
        <x:v>1682.2</x:v>
      </x:c>
      <x:c r="V1127" t="n">
        <x:v>2358</x:v>
      </x:c>
      <x:c r="W1127" t="n">
        <x:v>40.8</x:v>
      </x:c>
    </x:row>
    <x:row r="1128">
      <x:c r="A1128" t="str">
        <x:v>PJT_1127</x:v>
      </x:c>
      <x:c r="B1128" t="str">
        <x:v>Continental</x:v>
      </x:c>
      <x:c r="C1128" t="n">
        <x:v>32230</x:v>
      </x:c>
      <x:c r="D1128" t="n">
        <x:v>15</x:v>
      </x:c>
      <x:c r="E1128" t="str">
        <x:v>High</x:v>
      </x:c>
      <x:c r="F1128" t="str">
        <x:v>Hospital</x:v>
      </x:c>
      <x:c r="G1128" t="str">
        <x:v>Steel</x:v>
      </x:c>
      <x:c r="H1128" t="str">
        <x:v>Raft</x:v>
      </x:c>
      <x:c r="I1128" t="str">
        <x:v>Rock</x:v>
      </x:c>
      <x:c r="J1128" t="str">
        <x:v>Low</x:v>
      </x:c>
      <x:c r="K1128" t="n">
        <x:v>103168230</x:v>
      </x:c>
      <x:c r="L1128" t="n">
        <x:v>1708</x:v>
      </x:c>
      <x:c r="M1128" t="n">
        <x:v>625.5</x:v>
      </x:c>
      <x:c r="N1128" t="n">
        <x:v>6.8</x:v>
      </x:c>
      <x:c r="O1128" t="n">
        <x:v>46</x:v>
      </x:c>
      <x:c r="P1128" t="str">
        <x:v>Sunny</x:v>
      </x:c>
      <x:c r="Q1128" t="n">
        <x:v>102</x:v>
      </x:c>
      <x:c r="R1128" t="n">
        <x:v>82.8</x:v>
      </x:c>
      <x:c r="S1128" t="n">
        <x:v>0.1175</x:v>
      </x:c>
      <x:c r="T1128" t="n">
        <x:v>22.8</x:v>
      </x:c>
      <x:c r="U1128" t="n">
        <x:v>2148.7</x:v>
      </x:c>
      <x:c r="V1128" t="n">
        <x:v>3201</x:v>
      </x:c>
      <x:c r="W1128" t="n">
        <x:v>53</x:v>
      </x:c>
    </x:row>
    <x:row r="1129">
      <x:c r="A1129" t="str">
        <x:v>PJT_1128</x:v>
      </x:c>
      <x:c r="B1129" t="str">
        <x:v>Humid Subtropical</x:v>
      </x:c>
      <x:c r="C1129" t="n">
        <x:v>8610</x:v>
      </x:c>
      <x:c r="D1129" t="n">
        <x:v>7</x:v>
      </x:c>
      <x:c r="E1129" t="str">
        <x:v>Medium</x:v>
      </x:c>
      <x:c r="F1129" t="str">
        <x:v>Mixed-use</x:v>
      </x:c>
      <x:c r="G1129" t="str">
        <x:v>RC Frame</x:v>
      </x:c>
      <x:c r="H1129" t="str">
        <x:v>Raft</x:v>
      </x:c>
      <x:c r="I1129" t="str">
        <x:v>Sand</x:v>
      </x:c>
      <x:c r="J1129" t="str">
        <x:v>High</x:v>
      </x:c>
      <x:c r="K1129" t="n">
        <x:v>22274070</x:v>
      </x:c>
      <x:c r="L1129" t="n">
        <x:v>393</x:v>
      </x:c>
      <x:c r="M1129" t="n">
        <x:v>248.5</x:v>
      </x:c>
      <x:c r="N1129" t="n">
        <x:v>24.9</x:v>
      </x:c>
      <x:c r="O1129" t="n">
        <x:v>73.6</x:v>
      </x:c>
      <x:c r="P1129" t="str">
        <x:v>Cloudy</x:v>
      </x:c>
      <x:c r="Q1129" t="n">
        <x:v>106</x:v>
      </x:c>
      <x:c r="R1129" t="n">
        <x:v>80.1</x:v>
      </x:c>
      <x:c r="S1129" t="n">
        <x:v>0.0964</x:v>
      </x:c>
      <x:c r="T1129" t="n">
        <x:v>18.1</x:v>
      </x:c>
      <x:c r="U1129" t="n">
        <x:v>1230</x:v>
      </x:c>
      <x:c r="V1129" t="n">
        <x:v>2587</x:v>
      </x:c>
      <x:c r="W1129" t="n">
        <x:v>45.7</x:v>
      </x:c>
    </x:row>
    <x:row r="1130">
      <x:c r="A1130" t="str">
        <x:v>PJT_1129</x:v>
      </x:c>
      <x:c r="B1130" t="str">
        <x:v>Marine</x:v>
      </x:c>
      <x:c r="C1130" t="n">
        <x:v>9440</x:v>
      </x:c>
      <x:c r="D1130" t="n">
        <x:v>6</x:v>
      </x:c>
      <x:c r="E1130" t="str">
        <x:v>Low</x:v>
      </x:c>
      <x:c r="F1130" t="str">
        <x:v>Commercial</x:v>
      </x:c>
      <x:c r="G1130" t="str">
        <x:v>RC Frame</x:v>
      </x:c>
      <x:c r="H1130" t="str">
        <x:v>Raft</x:v>
      </x:c>
      <x:c r="I1130" t="str">
        <x:v>Mixed</x:v>
      </x:c>
      <x:c r="J1130" t="str">
        <x:v>High</x:v>
      </x:c>
      <x:c r="K1130" t="n">
        <x:v>20635840</x:v>
      </x:c>
      <x:c r="L1130" t="n">
        <x:v>330</x:v>
      </x:c>
      <x:c r="M1130" t="n">
        <x:v>336.4</x:v>
      </x:c>
      <x:c r="N1130" t="n">
        <x:v>18.6</x:v>
      </x:c>
      <x:c r="O1130" t="n">
        <x:v>71.3</x:v>
      </x:c>
      <x:c r="P1130" t="str">
        <x:v>Sunny</x:v>
      </x:c>
      <x:c r="Q1130" t="n">
        <x:v>78</x:v>
      </x:c>
      <x:c r="R1130" t="n">
        <x:v>67.8</x:v>
      </x:c>
      <x:c r="S1130" t="n">
        <x:v>0.0855</x:v>
      </x:c>
      <x:c r="T1130" t="n">
        <x:v>14.7</x:v>
      </x:c>
      <x:c r="U1130" t="n">
        <x:v>1573.3</x:v>
      </x:c>
      <x:c r="V1130" t="n">
        <x:v>2186</x:v>
      </x:c>
      <x:c r="W1130" t="n">
        <x:v>35</x:v>
      </x:c>
    </x:row>
    <x:row r="1131">
      <x:c r="A1131" t="str">
        <x:v>PJT_1130</x:v>
      </x:c>
      <x:c r="B1131" t="str">
        <x:v>Continental</x:v>
      </x:c>
      <x:c r="C1131" t="n">
        <x:v>9710</x:v>
      </x:c>
      <x:c r="D1131" t="n">
        <x:v>3</x:v>
      </x:c>
      <x:c r="E1131" t="str">
        <x:v>Low</x:v>
      </x:c>
      <x:c r="F1131" t="str">
        <x:v>School</x:v>
      </x:c>
      <x:c r="G1131" t="str">
        <x:v>RC Frame</x:v>
      </x:c>
      <x:c r="H1131" t="str">
        <x:v>Raft</x:v>
      </x:c>
      <x:c r="I1131" t="str">
        <x:v>Sand</x:v>
      </x:c>
      <x:c r="J1131" t="str">
        <x:v>Low</x:v>
      </x:c>
      <x:c r="K1131" t="n">
        <x:v>15409770</x:v>
      </x:c>
      <x:c r="L1131" t="n">
        <x:v>324</x:v>
      </x:c>
      <x:c r="M1131" t="n">
        <x:v>220.5</x:v>
      </x:c>
      <x:c r="N1131" t="n">
        <x:v>-9.5</x:v>
      </x:c>
      <x:c r="O1131" t="n">
        <x:v>80.4</x:v>
      </x:c>
      <x:c r="P1131" t="str">
        <x:v>Snowy</x:v>
      </x:c>
      <x:c r="Q1131" t="n">
        <x:v>68</x:v>
      </x:c>
      <x:c r="R1131" t="n">
        <x:v>64</x:v>
      </x:c>
      <x:c r="S1131" t="n">
        <x:v>0.0768</x:v>
      </x:c>
      <x:c r="T1131" t="n">
        <x:v>13.7</x:v>
      </x:c>
      <x:c r="U1131" t="n">
        <x:v>3236.7</x:v>
      </x:c>
      <x:c r="V1131" t="n">
        <x:v>1587</x:v>
      </x:c>
      <x:c r="W1131" t="n">
        <x:v>33.4</x:v>
      </x:c>
    </x:row>
    <x:row r="1132">
      <x:c r="A1132" t="str">
        <x:v>PJT_1131</x:v>
      </x:c>
      <x:c r="B1132" t="str">
        <x:v>Continental</x:v>
      </x:c>
      <x:c r="C1132" t="n">
        <x:v>10870</x:v>
      </x:c>
      <x:c r="D1132" t="n">
        <x:v>15</x:v>
      </x:c>
      <x:c r="E1132" t="str">
        <x:v>Medium</x:v>
      </x:c>
      <x:c r="F1132" t="str">
        <x:v>Residential</x:v>
      </x:c>
      <x:c r="G1132" t="str">
        <x:v>RC Frame</x:v>
      </x:c>
      <x:c r="H1132" t="str">
        <x:v>Raft</x:v>
      </x:c>
      <x:c r="I1132" t="str">
        <x:v>Rock</x:v>
      </x:c>
      <x:c r="J1132" t="str">
        <x:v>Low</x:v>
      </x:c>
      <x:c r="K1132" t="n">
        <x:v>14913640</x:v>
      </x:c>
      <x:c r="L1132" t="n">
        <x:v>393</x:v>
      </x:c>
      <x:c r="M1132" t="n">
        <x:v>734</x:v>
      </x:c>
      <x:c r="N1132" t="n">
        <x:v>8.1</x:v>
      </x:c>
      <x:c r="O1132" t="n">
        <x:v>68.5</x:v>
      </x:c>
      <x:c r="P1132" t="str">
        <x:v>Cloudy</x:v>
      </x:c>
      <x:c r="Q1132" t="n">
        <x:v>86</x:v>
      </x:c>
      <x:c r="R1132" t="n">
        <x:v>71.7</x:v>
      </x:c>
      <x:c r="S1132" t="n">
        <x:v>0.0819</x:v>
      </x:c>
      <x:c r="T1132" t="n">
        <x:v>13</x:v>
      </x:c>
      <x:c r="U1132" t="n">
        <x:v>724.7</x:v>
      </x:c>
      <x:c r="V1132" t="n">
        <x:v>1372</x:v>
      </x:c>
      <x:c r="W1132" t="n">
        <x:v>36.2</x:v>
      </x:c>
    </x:row>
    <x:row r="1133">
      <x:c r="A1133" t="str">
        <x:v>PJT_1132</x:v>
      </x:c>
      <x:c r="B1133" t="str">
        <x:v>Marine</x:v>
      </x:c>
      <x:c r="C1133" t="n">
        <x:v>20640</x:v>
      </x:c>
      <x:c r="D1133" t="n">
        <x:v>24</x:v>
      </x:c>
      <x:c r="E1133" t="str">
        <x:v>High</x:v>
      </x:c>
      <x:c r="F1133" t="str">
        <x:v>Mixed-use</x:v>
      </x:c>
      <x:c r="G1133" t="str">
        <x:v>Steel</x:v>
      </x:c>
      <x:c r="H1133" t="str">
        <x:v>Piles</x:v>
      </x:c>
      <x:c r="I1133" t="str">
        <x:v>Soft Clay</x:v>
      </x:c>
      <x:c r="J1133" t="str">
        <x:v>High</x:v>
      </x:c>
      <x:c r="K1133" t="n">
        <x:v>62621760</x:v>
      </x:c>
      <x:c r="L1133" t="n">
        <x:v>1137</x:v>
      </x:c>
      <x:c r="M1133" t="n">
        <x:v>215.6</x:v>
      </x:c>
      <x:c r="N1133" t="n">
        <x:v>12.6</x:v>
      </x:c>
      <x:c r="O1133" t="n">
        <x:v>62.4</x:v>
      </x:c>
      <x:c r="P1133" t="str">
        <x:v>Cloudy</x:v>
      </x:c>
      <x:c r="Q1133" t="n">
        <x:v>97</x:v>
      </x:c>
      <x:c r="R1133" t="n">
        <x:v>88</x:v>
      </x:c>
      <x:c r="S1133" t="n">
        <x:v>0.1102</x:v>
      </x:c>
      <x:c r="T1133" t="n">
        <x:v>19.3</x:v>
      </x:c>
      <x:c r="U1133" t="n">
        <x:v>860</x:v>
      </x:c>
      <x:c r="V1133" t="n">
        <x:v>3034</x:v>
      </x:c>
      <x:c r="W1133" t="n">
        <x:v>55.1</x:v>
      </x:c>
    </x:row>
    <x:row r="1134">
      <x:c r="A1134" t="str">
        <x:v>PJT_1133</x:v>
      </x:c>
      <x:c r="B1134" t="str">
        <x:v>Humid Subtropical</x:v>
      </x:c>
      <x:c r="C1134" t="n">
        <x:v>11330</x:v>
      </x:c>
      <x:c r="D1134" t="n">
        <x:v>4</x:v>
      </x:c>
      <x:c r="E1134" t="str">
        <x:v>Low</x:v>
      </x:c>
      <x:c r="F1134" t="str">
        <x:v>School</x:v>
      </x:c>
      <x:c r="G1134" t="str">
        <x:v>RC Frame</x:v>
      </x:c>
      <x:c r="H1134" t="str">
        <x:v>Raft</x:v>
      </x:c>
      <x:c r="I1134" t="str">
        <x:v>Mixed</x:v>
      </x:c>
      <x:c r="J1134" t="str">
        <x:v>Low</x:v>
      </x:c>
      <x:c r="K1134" t="n">
        <x:v>18649180</x:v>
      </x:c>
      <x:c r="L1134" t="n">
        <x:v>344</x:v>
      </x:c>
      <x:c r="M1134" t="n">
        <x:v>319.9</x:v>
      </x:c>
      <x:c r="N1134" t="n">
        <x:v>25.2</x:v>
      </x:c>
      <x:c r="O1134" t="n">
        <x:v>80.8</x:v>
      </x:c>
      <x:c r="P1134" t="str">
        <x:v>Cloudy</x:v>
      </x:c>
      <x:c r="Q1134" t="n">
        <x:v>72</x:v>
      </x:c>
      <x:c r="R1134" t="n">
        <x:v>68.8</x:v>
      </x:c>
      <x:c r="S1134" t="n">
        <x:v>0.0771</x:v>
      </x:c>
      <x:c r="T1134" t="n">
        <x:v>13.6</x:v>
      </x:c>
      <x:c r="U1134" t="n">
        <x:v>2832.5</x:v>
      </x:c>
      <x:c r="V1134" t="n">
        <x:v>1646</x:v>
      </x:c>
      <x:c r="W1134" t="n">
        <x:v>30.4</x:v>
      </x:c>
    </x:row>
    <x:row r="1135">
      <x:c r="A1135" t="str">
        <x:v>PJT_1134</x:v>
      </x:c>
      <x:c r="B1135" t="str">
        <x:v>Mediterranean</x:v>
      </x:c>
      <x:c r="C1135" t="n">
        <x:v>16120</x:v>
      </x:c>
      <x:c r="D1135" t="n">
        <x:v>10</x:v>
      </x:c>
      <x:c r="E1135" t="str">
        <x:v>Medium</x:v>
      </x:c>
      <x:c r="F1135" t="str">
        <x:v>Hospital</x:v>
      </x:c>
      <x:c r="G1135" t="str">
        <x:v>Shear Wall</x:v>
      </x:c>
      <x:c r="H1135" t="str">
        <x:v>Raft</x:v>
      </x:c>
      <x:c r="I1135" t="str">
        <x:v>Mixed</x:v>
      </x:c>
      <x:c r="J1135" t="str">
        <x:v>High</x:v>
      </x:c>
      <x:c r="K1135" t="n">
        <x:v>52277160</x:v>
      </x:c>
      <x:c r="L1135" t="n">
        <x:v>858</x:v>
      </x:c>
      <x:c r="M1135" t="n">
        <x:v>363.1</x:v>
      </x:c>
      <x:c r="N1135" t="n">
        <x:v>9.9</x:v>
      </x:c>
      <x:c r="O1135" t="n">
        <x:v>83.4</x:v>
      </x:c>
      <x:c r="P1135" t="str">
        <x:v>Stormy</x:v>
      </x:c>
      <x:c r="Q1135" t="n">
        <x:v>89</x:v>
      </x:c>
      <x:c r="R1135" t="n">
        <x:v>79.8</x:v>
      </x:c>
      <x:c r="S1135" t="n">
        <x:v>0.1087</x:v>
      </x:c>
      <x:c r="T1135" t="n">
        <x:v>20.4</x:v>
      </x:c>
      <x:c r="U1135" t="n">
        <x:v>1612</x:v>
      </x:c>
      <x:c r="V1135" t="n">
        <x:v>3243</x:v>
      </x:c>
      <x:c r="W1135" t="n">
        <x:v>53.2</x:v>
      </x:c>
    </x:row>
    <x:row r="1136">
      <x:c r="A1136" t="str">
        <x:v>PJT_1135</x:v>
      </x:c>
      <x:c r="B1136" t="str">
        <x:v>Marine</x:v>
      </x:c>
      <x:c r="C1136" t="n">
        <x:v>16400</x:v>
      </x:c>
      <x:c r="D1136" t="n">
        <x:v>8</x:v>
      </x:c>
      <x:c r="E1136" t="str">
        <x:v>Medium</x:v>
      </x:c>
      <x:c r="F1136" t="str">
        <x:v>Commercial</x:v>
      </x:c>
      <x:c r="G1136" t="str">
        <x:v>Steel</x:v>
      </x:c>
      <x:c r="H1136" t="str">
        <x:v>Raft</x:v>
      </x:c>
      <x:c r="I1136" t="str">
        <x:v>Mixed</x:v>
      </x:c>
      <x:c r="J1136" t="str">
        <x:v>Medium</x:v>
      </x:c>
      <x:c r="K1136" t="n">
        <x:v>37752800</x:v>
      </x:c>
      <x:c r="L1136" t="n">
        <x:v>733</x:v>
      </x:c>
      <x:c r="M1136" t="n">
        <x:v>325.6</x:v>
      </x:c>
      <x:c r="N1136" t="n">
        <x:v>16.4</x:v>
      </x:c>
      <x:c r="O1136" t="n">
        <x:v>71.9</x:v>
      </x:c>
      <x:c r="P1136" t="str">
        <x:v>Cloudy</x:v>
      </x:c>
      <x:c r="Q1136" t="n">
        <x:v>95</x:v>
      </x:c>
      <x:c r="R1136" t="n">
        <x:v>79.4</x:v>
      </x:c>
      <x:c r="S1136" t="n">
        <x:v>0.0975</x:v>
      </x:c>
      <x:c r="T1136" t="n">
        <x:v>17.7</x:v>
      </x:c>
      <x:c r="U1136" t="n">
        <x:v>2050</x:v>
      </x:c>
      <x:c r="V1136" t="n">
        <x:v>2302</x:v>
      </x:c>
      <x:c r="W1136" t="n">
        <x:v>44.7</x:v>
      </x:c>
    </x:row>
    <x:row r="1137">
      <x:c r="A1137" t="str">
        <x:v>PJT_1136</x:v>
      </x:c>
      <x:c r="B1137" t="str">
        <x:v>Humid Subtropical</x:v>
      </x:c>
      <x:c r="C1137" t="n">
        <x:v>43270</x:v>
      </x:c>
      <x:c r="D1137" t="n">
        <x:v>26</x:v>
      </x:c>
      <x:c r="E1137" t="str">
        <x:v>High</x:v>
      </x:c>
      <x:c r="F1137" t="str">
        <x:v>Mixed-use</x:v>
      </x:c>
      <x:c r="G1137" t="str">
        <x:v>Steel</x:v>
      </x:c>
      <x:c r="H1137" t="str">
        <x:v>Piles</x:v>
      </x:c>
      <x:c r="I1137" t="str">
        <x:v>Sand</x:v>
      </x:c>
      <x:c r="J1137" t="str">
        <x:v>High</x:v>
      </x:c>
      <x:c r="K1137" t="n">
        <x:v>132536010</x:v>
      </x:c>
      <x:c r="L1137" t="n">
        <x:v>2423</x:v>
      </x:c>
      <x:c r="M1137" t="n">
        <x:v>338.2</x:v>
      </x:c>
      <x:c r="N1137" t="n">
        <x:v>24.8</x:v>
      </x:c>
      <x:c r="O1137" t="n">
        <x:v>73.5</x:v>
      </x:c>
      <x:c r="P1137" t="str">
        <x:v>Cloudy</x:v>
      </x:c>
      <x:c r="Q1137" t="n">
        <x:v>75</x:v>
      </x:c>
      <x:c r="R1137" t="n">
        <x:v>86.4</x:v>
      </x:c>
      <x:c r="S1137" t="n">
        <x:v>0.109</x:v>
      </x:c>
      <x:c r="T1137" t="n">
        <x:v>19.6</x:v>
      </x:c>
      <x:c r="U1137" t="n">
        <x:v>1664.2</x:v>
      </x:c>
      <x:c r="V1137" t="n">
        <x:v>3063</x:v>
      </x:c>
      <x:c r="W1137" t="n">
        <x:v>56</x:v>
      </x:c>
    </x:row>
    <x:row r="1138">
      <x:c r="A1138" t="str">
        <x:v>PJT_1137</x:v>
      </x:c>
      <x:c r="B1138" t="str">
        <x:v>Humid Subtropical</x:v>
      </x:c>
      <x:c r="C1138" t="n">
        <x:v>19500</x:v>
      </x:c>
      <x:c r="D1138" t="n">
        <x:v>13</x:v>
      </x:c>
      <x:c r="E1138" t="str">
        <x:v>Medium</x:v>
      </x:c>
      <x:c r="F1138" t="str">
        <x:v>Mixed-use</x:v>
      </x:c>
      <x:c r="G1138" t="str">
        <x:v>Steel</x:v>
      </x:c>
      <x:c r="H1138" t="str">
        <x:v>Piles</x:v>
      </x:c>
      <x:c r="I1138" t="str">
        <x:v>Soft Clay</x:v>
      </x:c>
      <x:c r="J1138" t="str">
        <x:v>Medium</x:v>
      </x:c>
      <x:c r="K1138" t="n">
        <x:v>50349000</x:v>
      </x:c>
      <x:c r="L1138" t="n">
        <x:v>1035</x:v>
      </x:c>
      <x:c r="M1138" t="n">
        <x:v>194</x:v>
      </x:c>
      <x:c r="N1138" t="n">
        <x:v>23.8</x:v>
      </x:c>
      <x:c r="O1138" t="n">
        <x:v>87.3</x:v>
      </x:c>
      <x:c r="P1138" t="str">
        <x:v>Stormy</x:v>
      </x:c>
      <x:c r="Q1138" t="n">
        <x:v>99</x:v>
      </x:c>
      <x:c r="R1138" t="n">
        <x:v>78.8</x:v>
      </x:c>
      <x:c r="S1138" t="n">
        <x:v>0.0999</x:v>
      </x:c>
      <x:c r="T1138" t="n">
        <x:v>17.5</x:v>
      </x:c>
      <x:c r="U1138" t="n">
        <x:v>1500</x:v>
      </x:c>
      <x:c r="V1138" t="n">
        <x:v>2582</x:v>
      </x:c>
      <x:c r="W1138" t="n">
        <x:v>53.1</x:v>
      </x:c>
    </x:row>
    <x:row r="1139">
      <x:c r="A1139" t="str">
        <x:v>PJT_1138</x:v>
      </x:c>
      <x:c r="B1139" t="str">
        <x:v>Continental</x:v>
      </x:c>
      <x:c r="C1139" t="n">
        <x:v>27970</x:v>
      </x:c>
      <x:c r="D1139" t="n">
        <x:v>18</x:v>
      </x:c>
      <x:c r="E1139" t="str">
        <x:v>High</x:v>
      </x:c>
      <x:c r="F1139" t="str">
        <x:v>Mixed-use</x:v>
      </x:c>
      <x:c r="G1139" t="str">
        <x:v>Steel</x:v>
      </x:c>
      <x:c r="H1139" t="str">
        <x:v>Piles</x:v>
      </x:c>
      <x:c r="I1139" t="str">
        <x:v>Soft Clay</x:v>
      </x:c>
      <x:c r="J1139" t="str">
        <x:v>Low</x:v>
      </x:c>
      <x:c r="K1139" t="n">
        <x:v>80721420</x:v>
      </x:c>
      <x:c r="L1139" t="n">
        <x:v>1494</x:v>
      </x:c>
      <x:c r="M1139" t="n">
        <x:v>198.3</x:v>
      </x:c>
      <x:c r="N1139" t="n">
        <x:v>18.7</x:v>
      </x:c>
      <x:c r="O1139" t="n">
        <x:v>51.7</x:v>
      </x:c>
      <x:c r="P1139" t="str">
        <x:v>Cloudy</x:v>
      </x:c>
      <x:c r="Q1139" t="n">
        <x:v>77</x:v>
      </x:c>
      <x:c r="R1139" t="n">
        <x:v>88.8</x:v>
      </x:c>
      <x:c r="S1139" t="n">
        <x:v>0.1065</x:v>
      </x:c>
      <x:c r="T1139" t="n">
        <x:v>19.7</x:v>
      </x:c>
      <x:c r="U1139" t="n">
        <x:v>1553.9</x:v>
      </x:c>
      <x:c r="V1139" t="n">
        <x:v>2886</x:v>
      </x:c>
      <x:c r="W1139" t="n">
        <x:v>53.4</x:v>
      </x:c>
    </x:row>
    <x:row r="1140">
      <x:c r="A1140" t="str">
        <x:v>PJT_1139</x:v>
      </x:c>
      <x:c r="B1140" t="str">
        <x:v>Marine</x:v>
      </x:c>
      <x:c r="C1140" t="n">
        <x:v>7480</x:v>
      </x:c>
      <x:c r="D1140" t="n">
        <x:v>3</x:v>
      </x:c>
      <x:c r="E1140" t="str">
        <x:v>Low</x:v>
      </x:c>
      <x:c r="F1140" t="str">
        <x:v>School</x:v>
      </x:c>
      <x:c r="G1140" t="str">
        <x:v>RC Frame</x:v>
      </x:c>
      <x:c r="H1140" t="str">
        <x:v>Raft</x:v>
      </x:c>
      <x:c r="I1140" t="str">
        <x:v>Soft Clay</x:v>
      </x:c>
      <x:c r="J1140" t="str">
        <x:v>Medium</x:v>
      </x:c>
      <x:c r="K1140" t="n">
        <x:v>13329360</x:v>
      </x:c>
      <x:c r="L1140" t="n">
        <x:v>226</x:v>
      </x:c>
      <x:c r="M1140" t="n">
        <x:v>204.7</x:v>
      </x:c>
      <x:c r="N1140" t="n">
        <x:v>12.4</x:v>
      </x:c>
      <x:c r="O1140" t="n">
        <x:v>81.9</x:v>
      </x:c>
      <x:c r="P1140" t="str">
        <x:v>Cloudy</x:v>
      </x:c>
      <x:c r="Q1140" t="n">
        <x:v>86</x:v>
      </x:c>
      <x:c r="R1140" t="n">
        <x:v>61</x:v>
      </x:c>
      <x:c r="S1140" t="n">
        <x:v>0.0793</x:v>
      </x:c>
      <x:c r="T1140" t="n">
        <x:v>13.5</x:v>
      </x:c>
      <x:c r="U1140" t="n">
        <x:v>2493.3</x:v>
      </x:c>
      <x:c r="V1140" t="n">
        <x:v>1782</x:v>
      </x:c>
      <x:c r="W1140" t="n">
        <x:v>30.2</x:v>
      </x:c>
    </x:row>
    <x:row r="1141">
      <x:c r="A1141" t="str">
        <x:v>PJT_1140</x:v>
      </x:c>
      <x:c r="B1141" t="str">
        <x:v>Mediterranean</x:v>
      </x:c>
      <x:c r="C1141" t="n">
        <x:v>13380</x:v>
      </x:c>
      <x:c r="D1141" t="n">
        <x:v>8</x:v>
      </x:c>
      <x:c r="E1141" t="str">
        <x:v>Medium</x:v>
      </x:c>
      <x:c r="F1141" t="str">
        <x:v>Mixed-use</x:v>
      </x:c>
      <x:c r="G1141" t="str">
        <x:v>Steel</x:v>
      </x:c>
      <x:c r="H1141" t="str">
        <x:v>Piles</x:v>
      </x:c>
      <x:c r="I1141" t="str">
        <x:v>Soft Clay</x:v>
      </x:c>
      <x:c r="J1141" t="str">
        <x:v>High</x:v>
      </x:c>
      <x:c r="K1141" t="n">
        <x:v>37075980</x:v>
      </x:c>
      <x:c r="L1141" t="n">
        <x:v>666</x:v>
      </x:c>
      <x:c r="M1141" t="n">
        <x:v>224.6</x:v>
      </x:c>
      <x:c r="N1141" t="n">
        <x:v>14.1</x:v>
      </x:c>
      <x:c r="O1141" t="n">
        <x:v>73.2</x:v>
      </x:c>
      <x:c r="P1141" t="str">
        <x:v>Rainy</x:v>
      </x:c>
      <x:c r="Q1141" t="n">
        <x:v>92</x:v>
      </x:c>
      <x:c r="R1141" t="n">
        <x:v>73.7</x:v>
      </x:c>
      <x:c r="S1141" t="n">
        <x:v>0.1005</x:v>
      </x:c>
      <x:c r="T1141" t="n">
        <x:v>18.9</x:v>
      </x:c>
      <x:c r="U1141" t="n">
        <x:v>1672.5</x:v>
      </x:c>
      <x:c r="V1141" t="n">
        <x:v>2771</x:v>
      </x:c>
      <x:c r="W1141" t="n">
        <x:v>49.8</x:v>
      </x:c>
    </x:row>
    <x:row r="1142">
      <x:c r="A1142" t="str">
        <x:v>PJT_1141</x:v>
      </x:c>
      <x:c r="B1142" t="str">
        <x:v>Humid Subtropical</x:v>
      </x:c>
      <x:c r="C1142" t="n">
        <x:v>19680</x:v>
      </x:c>
      <x:c r="D1142" t="n">
        <x:v>12</x:v>
      </x:c>
      <x:c r="E1142" t="str">
        <x:v>Medium</x:v>
      </x:c>
      <x:c r="F1142" t="str">
        <x:v>Commercial</x:v>
      </x:c>
      <x:c r="G1142" t="str">
        <x:v>RC Frame</x:v>
      </x:c>
      <x:c r="H1142" t="str">
        <x:v>Raft</x:v>
      </x:c>
      <x:c r="I1142" t="str">
        <x:v>Mixed</x:v>
      </x:c>
      <x:c r="J1142" t="str">
        <x:v>Medium</x:v>
      </x:c>
      <x:c r="K1142" t="n">
        <x:v>44102880</x:v>
      </x:c>
      <x:c r="L1142" t="n">
        <x:v>752</x:v>
      </x:c>
      <x:c r="M1142" t="n">
        <x:v>324.2</x:v>
      </x:c>
      <x:c r="N1142" t="n">
        <x:v>28.9</x:v>
      </x:c>
      <x:c r="O1142" t="n">
        <x:v>53.4</x:v>
      </x:c>
      <x:c r="P1142" t="str">
        <x:v>Sunny</x:v>
      </x:c>
      <x:c r="Q1142" t="n">
        <x:v>96</x:v>
      </x:c>
      <x:c r="R1142" t="n">
        <x:v>72.8</x:v>
      </x:c>
      <x:c r="S1142" t="n">
        <x:v>0.0878</x:v>
      </x:c>
      <x:c r="T1142" t="n">
        <x:v>16.6</x:v>
      </x:c>
      <x:c r="U1142" t="n">
        <x:v>1640</x:v>
      </x:c>
      <x:c r="V1142" t="n">
        <x:v>2241</x:v>
      </x:c>
      <x:c r="W1142" t="n">
        <x:v>38.2</x:v>
      </x:c>
    </x:row>
    <x:row r="1143">
      <x:c r="A1143" t="str">
        <x:v>PJT_1142</x:v>
      </x:c>
      <x:c r="B1143" t="str">
        <x:v>Mediterranean</x:v>
      </x:c>
      <x:c r="C1143" t="n">
        <x:v>10640</x:v>
      </x:c>
      <x:c r="D1143" t="n">
        <x:v>8</x:v>
      </x:c>
      <x:c r="E1143" t="str">
        <x:v>Medium</x:v>
      </x:c>
      <x:c r="F1143" t="str">
        <x:v>Commercial</x:v>
      </x:c>
      <x:c r="G1143" t="str">
        <x:v>RC Frame</x:v>
      </x:c>
      <x:c r="H1143" t="str">
        <x:v>Raft</x:v>
      </x:c>
      <x:c r="I1143" t="str">
        <x:v>Mixed</x:v>
      </x:c>
      <x:c r="J1143" t="str">
        <x:v>High</x:v>
      </x:c>
      <x:c r="K1143" t="n">
        <x:v>24620960</x:v>
      </x:c>
      <x:c r="L1143" t="n">
        <x:v>402</x:v>
      </x:c>
      <x:c r="M1143" t="n">
        <x:v>361.3</x:v>
      </x:c>
      <x:c r="N1143" t="n">
        <x:v>28.6</x:v>
      </x:c>
      <x:c r="O1143" t="n">
        <x:v>59.2</x:v>
      </x:c>
      <x:c r="P1143" t="str">
        <x:v>Sunny</x:v>
      </x:c>
      <x:c r="Q1143" t="n">
        <x:v>81</x:v>
      </x:c>
      <x:c r="R1143" t="n">
        <x:v>72</x:v>
      </x:c>
      <x:c r="S1143" t="n">
        <x:v>0.0873</x:v>
      </x:c>
      <x:c r="T1143" t="n">
        <x:v>17.3</x:v>
      </x:c>
      <x:c r="U1143" t="n">
        <x:v>1330</x:v>
      </x:c>
      <x:c r="V1143" t="n">
        <x:v>2314</x:v>
      </x:c>
      <x:c r="W1143" t="n">
        <x:v>37.8</x:v>
      </x:c>
    </x:row>
    <x:row r="1144">
      <x:c r="A1144" t="str">
        <x:v>PJT_1143</x:v>
      </x:c>
      <x:c r="B1144" t="str">
        <x:v>Continental</x:v>
      </x:c>
      <x:c r="C1144" t="n">
        <x:v>23500</x:v>
      </x:c>
      <x:c r="D1144" t="n">
        <x:v>19</x:v>
      </x:c>
      <x:c r="E1144" t="str">
        <x:v>Medium</x:v>
      </x:c>
      <x:c r="F1144" t="str">
        <x:v>Residential</x:v>
      </x:c>
      <x:c r="G1144" t="str">
        <x:v>Shear Wall</x:v>
      </x:c>
      <x:c r="H1144" t="str">
        <x:v>Piles</x:v>
      </x:c>
      <x:c r="I1144" t="str">
        <x:v>Sand</x:v>
      </x:c>
      <x:c r="J1144" t="str">
        <x:v>Medium</x:v>
      </x:c>
      <x:c r="K1144" t="n">
        <x:v>40114500</x:v>
      </x:c>
      <x:c r="L1144" t="n">
        <x:v>1048</x:v>
      </x:c>
      <x:c r="M1144" t="n">
        <x:v>313.1</x:v>
      </x:c>
      <x:c r="N1144" t="n">
        <x:v>-3.7</x:v>
      </x:c>
      <x:c r="O1144" t="n">
        <x:v>79.1</x:v>
      </x:c>
      <x:c r="P1144" t="str">
        <x:v>Snowy</x:v>
      </x:c>
      <x:c r="Q1144" t="n">
        <x:v>91</x:v>
      </x:c>
      <x:c r="R1144" t="n">
        <x:v>79.1</x:v>
      </x:c>
      <x:c r="S1144" t="n">
        <x:v>0.0783</x:v>
      </x:c>
      <x:c r="T1144" t="n">
        <x:v>13</x:v>
      </x:c>
      <x:c r="U1144" t="n">
        <x:v>1236.8</x:v>
      </x:c>
      <x:c r="V1144" t="n">
        <x:v>1707</x:v>
      </x:c>
      <x:c r="W1144" t="n">
        <x:v>44.6</x:v>
      </x:c>
    </x:row>
    <x:row r="1145">
      <x:c r="A1145" t="str">
        <x:v>PJT_1144</x:v>
      </x:c>
      <x:c r="B1145" t="str">
        <x:v>Continental</x:v>
      </x:c>
      <x:c r="C1145" t="n">
        <x:v>7360</x:v>
      </x:c>
      <x:c r="D1145" t="n">
        <x:v>3</x:v>
      </x:c>
      <x:c r="E1145" t="str">
        <x:v>Low</x:v>
      </x:c>
      <x:c r="F1145" t="str">
        <x:v>School</x:v>
      </x:c>
      <x:c r="G1145" t="str">
        <x:v>Steel</x:v>
      </x:c>
      <x:c r="H1145" t="str">
        <x:v>Piles</x:v>
      </x:c>
      <x:c r="I1145" t="str">
        <x:v>Soft Clay</x:v>
      </x:c>
      <x:c r="J1145" t="str">
        <x:v>High</x:v>
      </x:c>
      <x:c r="K1145" t="n">
        <x:v>15058560</x:v>
      </x:c>
      <x:c r="L1145" t="n">
        <x:v>236</x:v>
      </x:c>
      <x:c r="M1145" t="n">
        <x:v>181.6</x:v>
      </x:c>
      <x:c r="N1145" t="n">
        <x:v>3.1</x:v>
      </x:c>
      <x:c r="O1145" t="n">
        <x:v>48.8</x:v>
      </x:c>
      <x:c r="P1145" t="str">
        <x:v>Cloudy</x:v>
      </x:c>
      <x:c r="Q1145" t="n">
        <x:v>61</x:v>
      </x:c>
      <x:c r="R1145" t="n">
        <x:v>68.1</x:v>
      </x:c>
      <x:c r="S1145" t="n">
        <x:v>0.0875</x:v>
      </x:c>
      <x:c r="T1145" t="n">
        <x:v>13.9</x:v>
      </x:c>
      <x:c r="U1145" t="n">
        <x:v>2453.3</x:v>
      </x:c>
      <x:c r="V1145" t="n">
        <x:v>2046</x:v>
      </x:c>
      <x:c r="W1145" t="n">
        <x:v>32</x:v>
      </x:c>
    </x:row>
    <x:row r="1146">
      <x:c r="A1146" t="str">
        <x:v>PJT_1145</x:v>
      </x:c>
      <x:c r="B1146" t="str">
        <x:v>Humid Subtropical</x:v>
      </x:c>
      <x:c r="C1146" t="n">
        <x:v>18850</x:v>
      </x:c>
      <x:c r="D1146" t="n">
        <x:v>14</x:v>
      </x:c>
      <x:c r="E1146" t="str">
        <x:v>Medium</x:v>
      </x:c>
      <x:c r="F1146" t="str">
        <x:v>Commercial</x:v>
      </x:c>
      <x:c r="G1146" t="str">
        <x:v>Steel</x:v>
      </x:c>
      <x:c r="H1146" t="str">
        <x:v>Piles</x:v>
      </x:c>
      <x:c r="I1146" t="str">
        <x:v>Soft Clay</x:v>
      </x:c>
      <x:c r="J1146" t="str">
        <x:v>Low</x:v>
      </x:c>
      <x:c r="K1146" t="n">
        <x:v>46823400</x:v>
      </x:c>
      <x:c r="L1146" t="n">
        <x:v>914</x:v>
      </x:c>
      <x:c r="M1146" t="n">
        <x:v>159.2</x:v>
      </x:c>
      <x:c r="N1146" t="n">
        <x:v>21.3</x:v>
      </x:c>
      <x:c r="O1146" t="n">
        <x:v>81.2</x:v>
      </x:c>
      <x:c r="P1146" t="str">
        <x:v>Stormy</x:v>
      </x:c>
      <x:c r="Q1146" t="n">
        <x:v>111</x:v>
      </x:c>
      <x:c r="R1146" t="n">
        <x:v>81.7</x:v>
      </x:c>
      <x:c r="S1146" t="n">
        <x:v>0.0957</x:v>
      </x:c>
      <x:c r="T1146" t="n">
        <x:v>17.7</x:v>
      </x:c>
      <x:c r="U1146" t="n">
        <x:v>1346.4</x:v>
      </x:c>
      <x:c r="V1146" t="n">
        <x:v>2484</x:v>
      </x:c>
      <x:c r="W1146" t="n">
        <x:v>48.5</x:v>
      </x:c>
    </x:row>
    <x:row r="1147">
      <x:c r="A1147" t="str">
        <x:v>PJT_1146</x:v>
      </x:c>
      <x:c r="B1147" t="str">
        <x:v>Marine</x:v>
      </x:c>
      <x:c r="C1147" t="n">
        <x:v>10760</x:v>
      </x:c>
      <x:c r="D1147" t="n">
        <x:v>9</x:v>
      </x:c>
      <x:c r="E1147" t="str">
        <x:v>Medium</x:v>
      </x:c>
      <x:c r="F1147" t="str">
        <x:v>Commercial</x:v>
      </x:c>
      <x:c r="G1147" t="str">
        <x:v>Steel</x:v>
      </x:c>
      <x:c r="H1147" t="str">
        <x:v>Raft</x:v>
      </x:c>
      <x:c r="I1147" t="str">
        <x:v>Sand</x:v>
      </x:c>
      <x:c r="J1147" t="str">
        <x:v>High</x:v>
      </x:c>
      <x:c r="K1147" t="n">
        <x:v>27308880</x:v>
      </x:c>
      <x:c r="L1147" t="n">
        <x:v>496</x:v>
      </x:c>
      <x:c r="M1147" t="n">
        <x:v>261.5</x:v>
      </x:c>
      <x:c r="N1147" t="n">
        <x:v>15.4</x:v>
      </x:c>
      <x:c r="O1147" t="n">
        <x:v>76</x:v>
      </x:c>
      <x:c r="P1147" t="str">
        <x:v>Rainy</x:v>
      </x:c>
      <x:c r="Q1147" t="n">
        <x:v>75</x:v>
      </x:c>
      <x:c r="R1147" t="n">
        <x:v>78.7</x:v>
      </x:c>
      <x:c r="S1147" t="n">
        <x:v>0.0982</x:v>
      </x:c>
      <x:c r="T1147" t="n">
        <x:v>16.4</x:v>
      </x:c>
      <x:c r="U1147" t="n">
        <x:v>1195.6</x:v>
      </x:c>
      <x:c r="V1147" t="n">
        <x:v>2538</x:v>
      </x:c>
      <x:c r="W1147" t="n">
        <x:v>46.1</x:v>
      </x:c>
    </x:row>
    <x:row r="1148">
      <x:c r="A1148" t="str">
        <x:v>PJT_1147</x:v>
      </x:c>
      <x:c r="B1148" t="str">
        <x:v>Humid Subtropical</x:v>
      </x:c>
      <x:c r="C1148" t="n">
        <x:v>18640</x:v>
      </x:c>
      <x:c r="D1148" t="n">
        <x:v>11</x:v>
      </x:c>
      <x:c r="E1148" t="str">
        <x:v>Medium</x:v>
      </x:c>
      <x:c r="F1148" t="str">
        <x:v>Mixed-use</x:v>
      </x:c>
      <x:c r="G1148" t="str">
        <x:v>Steel</x:v>
      </x:c>
      <x:c r="H1148" t="str">
        <x:v>Piles</x:v>
      </x:c>
      <x:c r="I1148" t="str">
        <x:v>Soft Clay</x:v>
      </x:c>
      <x:c r="J1148" t="str">
        <x:v>Medium</x:v>
      </x:c>
      <x:c r="K1148" t="n">
        <x:v>49060480</x:v>
      </x:c>
      <x:c r="L1148" t="n">
        <x:v>908</x:v>
      </x:c>
      <x:c r="M1148" t="n">
        <x:v>205.4</x:v>
      </x:c>
      <x:c r="N1148" t="n">
        <x:v>31.1</x:v>
      </x:c>
      <x:c r="O1148" t="n">
        <x:v>70.1</x:v>
      </x:c>
      <x:c r="P1148" t="str">
        <x:v>Sunny</x:v>
      </x:c>
      <x:c r="Q1148" t="n">
        <x:v>94</x:v>
      </x:c>
      <x:c r="R1148" t="n">
        <x:v>80</x:v>
      </x:c>
      <x:c r="S1148" t="n">
        <x:v>0.1011</x:v>
      </x:c>
      <x:c r="T1148" t="n">
        <x:v>18.2</x:v>
      </x:c>
      <x:c r="U1148" t="n">
        <x:v>1694.5</x:v>
      </x:c>
      <x:c r="V1148" t="n">
        <x:v>2632</x:v>
      </x:c>
      <x:c r="W1148" t="n">
        <x:v>48.7</x:v>
      </x:c>
    </x:row>
    <x:row r="1149">
      <x:c r="A1149" t="str">
        <x:v>PJT_1148</x:v>
      </x:c>
      <x:c r="B1149" t="str">
        <x:v>Mediterranean</x:v>
      </x:c>
      <x:c r="C1149" t="n">
        <x:v>14230</x:v>
      </x:c>
      <x:c r="D1149" t="n">
        <x:v>16</x:v>
      </x:c>
      <x:c r="E1149" t="str">
        <x:v>Medium</x:v>
      </x:c>
      <x:c r="F1149" t="str">
        <x:v>Mixed-use</x:v>
      </x:c>
      <x:c r="G1149" t="str">
        <x:v>Steel</x:v>
      </x:c>
      <x:c r="H1149" t="str">
        <x:v>Piles</x:v>
      </x:c>
      <x:c r="I1149" t="str">
        <x:v>Sand</x:v>
      </x:c>
      <x:c r="J1149" t="str">
        <x:v>Medium</x:v>
      </x:c>
      <x:c r="K1149" t="n">
        <x:v>39758620</x:v>
      </x:c>
      <x:c r="L1149" t="n">
        <x:v>729</x:v>
      </x:c>
      <x:c r="M1149" t="n">
        <x:v>289.3</x:v>
      </x:c>
      <x:c r="N1149" t="n">
        <x:v>12.6</x:v>
      </x:c>
      <x:c r="O1149" t="n">
        <x:v>81.7</x:v>
      </x:c>
      <x:c r="P1149" t="str">
        <x:v>Rainy</x:v>
      </x:c>
      <x:c r="Q1149" t="n">
        <x:v>78</x:v>
      </x:c>
      <x:c r="R1149" t="n">
        <x:v>85.4</x:v>
      </x:c>
      <x:c r="S1149" t="n">
        <x:v>0.1051</x:v>
      </x:c>
      <x:c r="T1149" t="n">
        <x:v>19.4</x:v>
      </x:c>
      <x:c r="U1149" t="n">
        <x:v>889.4</x:v>
      </x:c>
      <x:c r="V1149" t="n">
        <x:v>2794</x:v>
      </x:c>
      <x:c r="W1149" t="n">
        <x:v>51.2</x:v>
      </x:c>
    </x:row>
    <x:row r="1150">
      <x:c r="A1150" t="str">
        <x:v>PJT_1149</x:v>
      </x:c>
      <x:c r="B1150" t="str">
        <x:v>Marine</x:v>
      </x:c>
      <x:c r="C1150" t="n">
        <x:v>19760</x:v>
      </x:c>
      <x:c r="D1150" t="n">
        <x:v>12</x:v>
      </x:c>
      <x:c r="E1150" t="str">
        <x:v>Medium</x:v>
      </x:c>
      <x:c r="F1150" t="str">
        <x:v>Hospital</x:v>
      </x:c>
      <x:c r="G1150" t="str">
        <x:v>Steel</x:v>
      </x:c>
      <x:c r="H1150" t="str">
        <x:v>Raft</x:v>
      </x:c>
      <x:c r="I1150" t="str">
        <x:v>Mixed</x:v>
      </x:c>
      <x:c r="J1150" t="str">
        <x:v>Low</x:v>
      </x:c>
      <x:c r="K1150" t="n">
        <x:v>59517120</x:v>
      </x:c>
      <x:c r="L1150" t="n">
        <x:v>1045</x:v>
      </x:c>
      <x:c r="M1150" t="n">
        <x:v>269.2</x:v>
      </x:c>
      <x:c r="N1150" t="n">
        <x:v>16.5</x:v>
      </x:c>
      <x:c r="O1150" t="n">
        <x:v>80.2</x:v>
      </x:c>
      <x:c r="P1150" t="str">
        <x:v>Rainy</x:v>
      </x:c>
      <x:c r="Q1150" t="n">
        <x:v>86</x:v>
      </x:c>
      <x:c r="R1150" t="n">
        <x:v>83.6</x:v>
      </x:c>
      <x:c r="S1150" t="n">
        <x:v>0.1139</x:v>
      </x:c>
      <x:c r="T1150" t="n">
        <x:v>22.2</x:v>
      </x:c>
      <x:c r="U1150" t="n">
        <x:v>1646.7</x:v>
      </x:c>
      <x:c r="V1150" t="n">
        <x:v>3012</x:v>
      </x:c>
      <x:c r="W1150" t="n">
        <x:v>52.9</x:v>
      </x:c>
    </x:row>
    <x:row r="1151">
      <x:c r="A1151" t="str">
        <x:v>PJT_1150</x:v>
      </x:c>
      <x:c r="B1151" t="str">
        <x:v>Mediterranean</x:v>
      </x:c>
      <x:c r="C1151" t="n">
        <x:v>23050</x:v>
      </x:c>
      <x:c r="D1151" t="n">
        <x:v>21</x:v>
      </x:c>
      <x:c r="E1151" t="str">
        <x:v>High</x:v>
      </x:c>
      <x:c r="F1151" t="str">
        <x:v>Mixed-use</x:v>
      </x:c>
      <x:c r="G1151" t="str">
        <x:v>Steel</x:v>
      </x:c>
      <x:c r="H1151" t="str">
        <x:v>Piles</x:v>
      </x:c>
      <x:c r="I1151" t="str">
        <x:v>Soft Clay</x:v>
      </x:c>
      <x:c r="J1151" t="str">
        <x:v>High</x:v>
      </x:c>
      <x:c r="K1151" t="n">
        <x:v>68135800</x:v>
      </x:c>
      <x:c r="L1151" t="n">
        <x:v>1233</x:v>
      </x:c>
      <x:c r="M1151" t="n">
        <x:v>176</x:v>
      </x:c>
      <x:c r="N1151" t="n">
        <x:v>19.6</x:v>
      </x:c>
      <x:c r="O1151" t="n">
        <x:v>45.6</x:v>
      </x:c>
      <x:c r="P1151" t="str">
        <x:v>Sunny</x:v>
      </x:c>
      <x:c r="Q1151" t="n">
        <x:v>86</x:v>
      </x:c>
      <x:c r="R1151" t="n">
        <x:v>91.2</x:v>
      </x:c>
      <x:c r="S1151" t="n">
        <x:v>0.1108</x:v>
      </x:c>
      <x:c r="T1151" t="n">
        <x:v>19.4</x:v>
      </x:c>
      <x:c r="U1151" t="n">
        <x:v>1097.6</x:v>
      </x:c>
      <x:c r="V1151" t="n">
        <x:v>2956</x:v>
      </x:c>
      <x:c r="W1151" t="n">
        <x:v>53.5</x:v>
      </x:c>
    </x:row>
    <x:row r="1152">
      <x:c r="A1152" t="str">
        <x:v>PJT_1151</x:v>
      </x:c>
      <x:c r="B1152" t="str">
        <x:v>Humid Subtropical</x:v>
      </x:c>
      <x:c r="C1152" t="n">
        <x:v>7020</x:v>
      </x:c>
      <x:c r="D1152" t="n">
        <x:v>4</x:v>
      </x:c>
      <x:c r="E1152" t="str">
        <x:v>Medium</x:v>
      </x:c>
      <x:c r="F1152" t="str">
        <x:v>Commercial</x:v>
      </x:c>
      <x:c r="G1152" t="str">
        <x:v>RC Frame</x:v>
      </x:c>
      <x:c r="H1152" t="str">
        <x:v>Raft</x:v>
      </x:c>
      <x:c r="I1152" t="str">
        <x:v>Mixed</x:v>
      </x:c>
      <x:c r="J1152" t="str">
        <x:v>High</x:v>
      </x:c>
      <x:c r="K1152" t="n">
        <x:v>16124940</x:v>
      </x:c>
      <x:c r="L1152" t="n">
        <x:v>298</x:v>
      </x:c>
      <x:c r="M1152" t="n">
        <x:v>313.4</x:v>
      </x:c>
      <x:c r="N1152" t="n">
        <x:v>20.6</x:v>
      </x:c>
      <x:c r="O1152" t="n">
        <x:v>77.6</x:v>
      </x:c>
      <x:c r="P1152" t="str">
        <x:v>Rainy</x:v>
      </x:c>
      <x:c r="Q1152" t="n">
        <x:v>97</x:v>
      </x:c>
      <x:c r="R1152" t="n">
        <x:v>74</x:v>
      </x:c>
      <x:c r="S1152" t="n">
        <x:v>0.0885</x:v>
      </x:c>
      <x:c r="T1152" t="n">
        <x:v>16.1</x:v>
      </x:c>
      <x:c r="U1152" t="n">
        <x:v>1755</x:v>
      </x:c>
      <x:c r="V1152" t="n">
        <x:v>2297</x:v>
      </x:c>
      <x:c r="W1152" t="n">
        <x:v>42.4</x:v>
      </x:c>
    </x:row>
    <x:row r="1153">
      <x:c r="A1153" t="str">
        <x:v>PJT_1152</x:v>
      </x:c>
      <x:c r="B1153" t="str">
        <x:v>Continental</x:v>
      </x:c>
      <x:c r="C1153" t="n">
        <x:v>11130</x:v>
      </x:c>
      <x:c r="D1153" t="n">
        <x:v>12</x:v>
      </x:c>
      <x:c r="E1153" t="str">
        <x:v>Low</x:v>
      </x:c>
      <x:c r="F1153" t="str">
        <x:v>Residential</x:v>
      </x:c>
      <x:c r="G1153" t="str">
        <x:v>RC Frame</x:v>
      </x:c>
      <x:c r="H1153" t="str">
        <x:v>Piles</x:v>
      </x:c>
      <x:c r="I1153" t="str">
        <x:v>Sand</x:v>
      </x:c>
      <x:c r="J1153" t="str">
        <x:v>Low</x:v>
      </x:c>
      <x:c r="K1153" t="n">
        <x:v>15626520</x:v>
      </x:c>
      <x:c r="L1153" t="n">
        <x:v>367</x:v>
      </x:c>
      <x:c r="M1153" t="n">
        <x:v>352.4</x:v>
      </x:c>
      <x:c r="N1153" t="n">
        <x:v>13.7</x:v>
      </x:c>
      <x:c r="O1153" t="n">
        <x:v>71.5</x:v>
      </x:c>
      <x:c r="P1153" t="str">
        <x:v>Cloudy</x:v>
      </x:c>
      <x:c r="Q1153" t="n">
        <x:v>61</x:v>
      </x:c>
      <x:c r="R1153" t="n">
        <x:v>70.7</x:v>
      </x:c>
      <x:c r="S1153" t="n">
        <x:v>0.0723</x:v>
      </x:c>
      <x:c r="T1153" t="n">
        <x:v>12.3</x:v>
      </x:c>
      <x:c r="U1153" t="n">
        <x:v>927.5</x:v>
      </x:c>
      <x:c r="V1153" t="n">
        <x:v>1404</x:v>
      </x:c>
      <x:c r="W1153" t="n">
        <x:v>33</x:v>
      </x:c>
    </x:row>
    <x:row r="1154">
      <x:c r="A1154" t="str">
        <x:v>PJT_1153</x:v>
      </x:c>
      <x:c r="B1154" t="str">
        <x:v>Continental</x:v>
      </x:c>
      <x:c r="C1154" t="n">
        <x:v>13960</x:v>
      </x:c>
      <x:c r="D1154" t="n">
        <x:v>15</x:v>
      </x:c>
      <x:c r="E1154" t="str">
        <x:v>Low</x:v>
      </x:c>
      <x:c r="F1154" t="str">
        <x:v>Residential</x:v>
      </x:c>
      <x:c r="G1154" t="str">
        <x:v>Shear Wall</x:v>
      </x:c>
      <x:c r="H1154" t="str">
        <x:v>Raft</x:v>
      </x:c>
      <x:c r="I1154" t="str">
        <x:v>Rock</x:v>
      </x:c>
      <x:c r="J1154" t="str">
        <x:v>Medium</x:v>
      </x:c>
      <x:c r="K1154" t="n">
        <x:v>19320640</x:v>
      </x:c>
      <x:c r="L1154" t="n">
        <x:v>486</x:v>
      </x:c>
      <x:c r="M1154" t="n">
        <x:v>706.5</x:v>
      </x:c>
      <x:c r="N1154" t="n">
        <x:v>12.9</x:v>
      </x:c>
      <x:c r="O1154" t="n">
        <x:v>71.8</x:v>
      </x:c>
      <x:c r="P1154" t="str">
        <x:v>Cloudy</x:v>
      </x:c>
      <x:c r="Q1154" t="n">
        <x:v>62</x:v>
      </x:c>
      <x:c r="R1154" t="n">
        <x:v>68</x:v>
      </x:c>
      <x:c r="S1154" t="n">
        <x:v>0.0817</x:v>
      </x:c>
      <x:c r="T1154" t="n">
        <x:v>12.5</x:v>
      </x:c>
      <x:c r="U1154" t="n">
        <x:v>930.7</x:v>
      </x:c>
      <x:c r="V1154" t="n">
        <x:v>1384</x:v>
      </x:c>
      <x:c r="W1154" t="n">
        <x:v>34.8</x:v>
      </x:c>
    </x:row>
    <x:row r="1155">
      <x:c r="A1155" t="str">
        <x:v>PJT_1154</x:v>
      </x:c>
      <x:c r="B1155" t="str">
        <x:v>Mediterranean</x:v>
      </x:c>
      <x:c r="C1155" t="n">
        <x:v>15980</x:v>
      </x:c>
      <x:c r="D1155" t="n">
        <x:v>18</x:v>
      </x:c>
      <x:c r="E1155" t="str">
        <x:v>Medium</x:v>
      </x:c>
      <x:c r="F1155" t="str">
        <x:v>Residential</x:v>
      </x:c>
      <x:c r="G1155" t="str">
        <x:v>Shear Wall</x:v>
      </x:c>
      <x:c r="H1155" t="str">
        <x:v>Piles</x:v>
      </x:c>
      <x:c r="I1155" t="str">
        <x:v>Soft Clay</x:v>
      </x:c>
      <x:c r="J1155" t="str">
        <x:v>High</x:v>
      </x:c>
      <x:c r="K1155" t="n">
        <x:v>27309820</x:v>
      </x:c>
      <x:c r="L1155" t="n">
        <x:v>591</x:v>
      </x:c>
      <x:c r="M1155" t="n">
        <x:v>171.5</x:v>
      </x:c>
      <x:c r="N1155" t="n">
        <x:v>27.8</x:v>
      </x:c>
      <x:c r="O1155" t="n">
        <x:v>49</x:v>
      </x:c>
      <x:c r="P1155" t="str">
        <x:v>Sunny</x:v>
      </x:c>
      <x:c r="Q1155" t="n">
        <x:v>58</x:v>
      </x:c>
      <x:c r="R1155" t="n">
        <x:v>71.4</x:v>
      </x:c>
      <x:c r="S1155" t="n">
        <x:v>0.0854</x:v>
      </x:c>
      <x:c r="T1155" t="n">
        <x:v>12.7</x:v>
      </x:c>
      <x:c r="U1155" t="n">
        <x:v>887.8</x:v>
      </x:c>
      <x:c r="V1155" t="n">
        <x:v>1709</x:v>
      </x:c>
      <x:c r="W1155" t="n">
        <x:v>37</x:v>
      </x:c>
    </x:row>
    <x:row r="1156">
      <x:c r="A1156" t="str">
        <x:v>PJT_1155</x:v>
      </x:c>
      <x:c r="B1156" t="str">
        <x:v>Humid Subtropical</x:v>
      </x:c>
      <x:c r="C1156" t="n">
        <x:v>10930</x:v>
      </x:c>
      <x:c r="D1156" t="n">
        <x:v>6</x:v>
      </x:c>
      <x:c r="E1156" t="str">
        <x:v>Medium</x:v>
      </x:c>
      <x:c r="F1156" t="str">
        <x:v>Hospital</x:v>
      </x:c>
      <x:c r="G1156" t="str">
        <x:v>RC Frame</x:v>
      </x:c>
      <x:c r="H1156" t="str">
        <x:v>Raft</x:v>
      </x:c>
      <x:c r="I1156" t="str">
        <x:v>Soft Clay</x:v>
      </x:c>
      <x:c r="J1156" t="str">
        <x:v>Low</x:v>
      </x:c>
      <x:c r="K1156" t="n">
        <x:v>31937460</x:v>
      </x:c>
      <x:c r="L1156" t="n">
        <x:v>508</x:v>
      </x:c>
      <x:c r="M1156" t="n">
        <x:v>188.6</x:v>
      </x:c>
      <x:c r="N1156" t="n">
        <x:v>22.1</x:v>
      </x:c>
      <x:c r="O1156" t="n">
        <x:v>77.2</x:v>
      </x:c>
      <x:c r="P1156" t="str">
        <x:v>Rainy</x:v>
      </x:c>
      <x:c r="Q1156" t="n">
        <x:v>109</x:v>
      </x:c>
      <x:c r="R1156" t="n">
        <x:v>75.6</x:v>
      </x:c>
      <x:c r="S1156" t="n">
        <x:v>0.1065</x:v>
      </x:c>
      <x:c r="T1156" t="n">
        <x:v>20.9</x:v>
      </x:c>
      <x:c r="U1156" t="n">
        <x:v>1821.7</x:v>
      </x:c>
      <x:c r="V1156" t="n">
        <x:v>2922</x:v>
      </x:c>
      <x:c r="W1156" t="n">
        <x:v>46.5</x:v>
      </x:c>
    </x:row>
    <x:row r="1157">
      <x:c r="A1157" t="str">
        <x:v>PJT_1156</x:v>
      </x:c>
      <x:c r="B1157" t="str">
        <x:v>Mediterranean</x:v>
      </x:c>
      <x:c r="C1157" t="n">
        <x:v>14860</x:v>
      </x:c>
      <x:c r="D1157" t="n">
        <x:v>18</x:v>
      </x:c>
      <x:c r="E1157" t="str">
        <x:v>Medium</x:v>
      </x:c>
      <x:c r="F1157" t="str">
        <x:v>Residential</x:v>
      </x:c>
      <x:c r="G1157" t="str">
        <x:v>RC Frame</x:v>
      </x:c>
      <x:c r="H1157" t="str">
        <x:v>Piles</x:v>
      </x:c>
      <x:c r="I1157" t="str">
        <x:v>Mixed</x:v>
      </x:c>
      <x:c r="J1157" t="str">
        <x:v>Low</x:v>
      </x:c>
      <x:c r="K1157" t="n">
        <x:v>22676360</x:v>
      </x:c>
      <x:c r="L1157" t="n">
        <x:v>559</x:v>
      </x:c>
      <x:c r="M1157" t="n">
        <x:v>380</x:v>
      </x:c>
      <x:c r="N1157" t="n">
        <x:v>29.3</x:v>
      </x:c>
      <x:c r="O1157" t="n">
        <x:v>53.6</x:v>
      </x:c>
      <x:c r="P1157" t="str">
        <x:v>Sunny</x:v>
      </x:c>
      <x:c r="Q1157" t="n">
        <x:v>63</x:v>
      </x:c>
      <x:c r="R1157" t="n">
        <x:v>73.6</x:v>
      </x:c>
      <x:c r="S1157" t="n">
        <x:v>0.0774</x:v>
      </x:c>
      <x:c r="T1157" t="n">
        <x:v>13</x:v>
      </x:c>
      <x:c r="U1157" t="n">
        <x:v>825.6</x:v>
      </x:c>
      <x:c r="V1157" t="n">
        <x:v>1526</x:v>
      </x:c>
      <x:c r="W1157" t="n">
        <x:v>37.6</x:v>
      </x:c>
    </x:row>
    <x:row r="1158">
      <x:c r="A1158" t="str">
        <x:v>PJT_1157</x:v>
      </x:c>
      <x:c r="B1158" t="str">
        <x:v>Marine</x:v>
      </x:c>
      <x:c r="C1158" t="n">
        <x:v>10680</x:v>
      </x:c>
      <x:c r="D1158" t="n">
        <x:v>10</x:v>
      </x:c>
      <x:c r="E1158" t="str">
        <x:v>Medium</x:v>
      </x:c>
      <x:c r="F1158" t="str">
        <x:v>Commercial</x:v>
      </x:c>
      <x:c r="G1158" t="str">
        <x:v>RC Frame</x:v>
      </x:c>
      <x:c r="H1158" t="str">
        <x:v>Piles</x:v>
      </x:c>
      <x:c r="I1158" t="str">
        <x:v>Soft Clay</x:v>
      </x:c>
      <x:c r="J1158" t="str">
        <x:v>High</x:v>
      </x:c>
      <x:c r="K1158" t="n">
        <x:v>24831000</x:v>
      </x:c>
      <x:c r="L1158" t="n">
        <x:v>497</x:v>
      </x:c>
      <x:c r="M1158" t="n">
        <x:v>218</x:v>
      </x:c>
      <x:c r="N1158" t="n">
        <x:v>8.3</x:v>
      </x:c>
      <x:c r="O1158" t="n">
        <x:v>79.8</x:v>
      </x:c>
      <x:c r="P1158" t="str">
        <x:v>Stormy</x:v>
      </x:c>
      <x:c r="Q1158" t="n">
        <x:v>96</x:v>
      </x:c>
      <x:c r="R1158" t="n">
        <x:v>78.1</x:v>
      </x:c>
      <x:c r="S1158" t="n">
        <x:v>0.088</x:v>
      </x:c>
      <x:c r="T1158" t="n">
        <x:v>15.9</x:v>
      </x:c>
      <x:c r="U1158" t="n">
        <x:v>1068</x:v>
      </x:c>
      <x:c r="V1158" t="n">
        <x:v>2325</x:v>
      </x:c>
      <x:c r="W1158" t="n">
        <x:v>46.5</x:v>
      </x:c>
    </x:row>
    <x:row r="1159">
      <x:c r="A1159" t="str">
        <x:v>PJT_1158</x:v>
      </x:c>
      <x:c r="B1159" t="str">
        <x:v>Mediterranean</x:v>
      </x:c>
      <x:c r="C1159" t="n">
        <x:v>25160</x:v>
      </x:c>
      <x:c r="D1159" t="n">
        <x:v>20</x:v>
      </x:c>
      <x:c r="E1159" t="str">
        <x:v>High</x:v>
      </x:c>
      <x:c r="F1159" t="str">
        <x:v>Commercial</x:v>
      </x:c>
      <x:c r="G1159" t="str">
        <x:v>Steel</x:v>
      </x:c>
      <x:c r="H1159" t="str">
        <x:v>Piles</x:v>
      </x:c>
      <x:c r="I1159" t="str">
        <x:v>Rock</x:v>
      </x:c>
      <x:c r="J1159" t="str">
        <x:v>Medium</x:v>
      </x:c>
      <x:c r="K1159" t="n">
        <x:v>66774640</x:v>
      </x:c>
      <x:c r="L1159" t="n">
        <x:v>1268</x:v>
      </x:c>
      <x:c r="M1159" t="n">
        <x:v>686.5</x:v>
      </x:c>
      <x:c r="N1159" t="n">
        <x:v>18</x:v>
      </x:c>
      <x:c r="O1159" t="n">
        <x:v>61.1</x:v>
      </x:c>
      <x:c r="P1159" t="str">
        <x:v>Cloudy</x:v>
      </x:c>
      <x:c r="Q1159" t="n">
        <x:v>69</x:v>
      </x:c>
      <x:c r="R1159" t="n">
        <x:v>84.9</x:v>
      </x:c>
      <x:c r="S1159" t="n">
        <x:v>0.1059</x:v>
      </x:c>
      <x:c r="T1159" t="n">
        <x:v>18.4</x:v>
      </x:c>
      <x:c r="U1159" t="n">
        <x:v>1258</x:v>
      </x:c>
      <x:c r="V1159" t="n">
        <x:v>2654</x:v>
      </x:c>
      <x:c r="W1159" t="n">
        <x:v>50.4</x:v>
      </x:c>
    </x:row>
    <x:row r="1160">
      <x:c r="A1160" t="str">
        <x:v>PJT_1159</x:v>
      </x:c>
      <x:c r="B1160" t="str">
        <x:v>Humid Subtropical</x:v>
      </x:c>
      <x:c r="C1160" t="n">
        <x:v>20600</x:v>
      </x:c>
      <x:c r="D1160" t="n">
        <x:v>13</x:v>
      </x:c>
      <x:c r="E1160" t="str">
        <x:v>Medium</x:v>
      </x:c>
      <x:c r="F1160" t="str">
        <x:v>Commercial</x:v>
      </x:c>
      <x:c r="G1160" t="str">
        <x:v>Steel</x:v>
      </x:c>
      <x:c r="H1160" t="str">
        <x:v>Piles</x:v>
      </x:c>
      <x:c r="I1160" t="str">
        <x:v>Mixed</x:v>
      </x:c>
      <x:c r="J1160" t="str">
        <x:v>High</x:v>
      </x:c>
      <x:c r="K1160" t="n">
        <x:v>53003800</x:v>
      </x:c>
      <x:c r="L1160" t="n">
        <x:v>972</x:v>
      </x:c>
      <x:c r="M1160" t="n">
        <x:v>288.3</x:v>
      </x:c>
      <x:c r="N1160" t="n">
        <x:v>19.6</x:v>
      </x:c>
      <x:c r="O1160" t="n">
        <x:v>78.9</x:v>
      </x:c>
      <x:c r="P1160" t="str">
        <x:v>Rainy</x:v>
      </x:c>
      <x:c r="Q1160" t="n">
        <x:v>85</x:v>
      </x:c>
      <x:c r="R1160" t="n">
        <x:v>75.1</x:v>
      </x:c>
      <x:c r="S1160" t="n">
        <x:v>0.0991</x:v>
      </x:c>
      <x:c r="T1160" t="n">
        <x:v>16.1</x:v>
      </x:c>
      <x:c r="U1160" t="n">
        <x:v>1584.6</x:v>
      </x:c>
      <x:c r="V1160" t="n">
        <x:v>2573</x:v>
      </x:c>
      <x:c r="W1160" t="n">
        <x:v>47.2</x:v>
      </x:c>
    </x:row>
    <x:row r="1161">
      <x:c r="A1161" t="str">
        <x:v>PJT_1160</x:v>
      </x:c>
      <x:c r="B1161" t="str">
        <x:v>Continental</x:v>
      </x:c>
      <x:c r="C1161" t="n">
        <x:v>22140</x:v>
      </x:c>
      <x:c r="D1161" t="n">
        <x:v>19</x:v>
      </x:c>
      <x:c r="E1161" t="str">
        <x:v>High</x:v>
      </x:c>
      <x:c r="F1161" t="str">
        <x:v>Mixed-use</x:v>
      </x:c>
      <x:c r="G1161" t="str">
        <x:v>Steel</x:v>
      </x:c>
      <x:c r="H1161" t="str">
        <x:v>Piles</x:v>
      </x:c>
      <x:c r="I1161" t="str">
        <x:v>Soft Clay</x:v>
      </x:c>
      <x:c r="J1161" t="str">
        <x:v>High</x:v>
      </x:c>
      <x:c r="K1161" t="n">
        <x:v>67217040</x:v>
      </x:c>
      <x:c r="L1161" t="n">
        <x:v>1180</x:v>
      </x:c>
      <x:c r="M1161" t="n">
        <x:v>232.8</x:v>
      </x:c>
      <x:c r="N1161" t="n">
        <x:v>23.8</x:v>
      </x:c>
      <x:c r="O1161" t="n">
        <x:v>40.5</x:v>
      </x:c>
      <x:c r="P1161" t="str">
        <x:v>Sunny</x:v>
      </x:c>
      <x:c r="Q1161" t="n">
        <x:v>71</x:v>
      </x:c>
      <x:c r="R1161" t="n">
        <x:v>85.2</x:v>
      </x:c>
      <x:c r="S1161" t="n">
        <x:v>0.1073</x:v>
      </x:c>
      <x:c r="T1161" t="n">
        <x:v>21</x:v>
      </x:c>
      <x:c r="U1161" t="n">
        <x:v>1165.3</x:v>
      </x:c>
      <x:c r="V1161" t="n">
        <x:v>3036</x:v>
      </x:c>
      <x:c r="W1161" t="n">
        <x:v>53.3</x:v>
      </x:c>
    </x:row>
    <x:row r="1162">
      <x:c r="A1162" t="str">
        <x:v>PJT_1161</x:v>
      </x:c>
      <x:c r="B1162" t="str">
        <x:v>Marine</x:v>
      </x:c>
      <x:c r="C1162" t="n">
        <x:v>16450</x:v>
      </x:c>
      <x:c r="D1162" t="n">
        <x:v>14</x:v>
      </x:c>
      <x:c r="E1162" t="str">
        <x:v>Medium</x:v>
      </x:c>
      <x:c r="F1162" t="str">
        <x:v>Residential</x:v>
      </x:c>
      <x:c r="G1162" t="str">
        <x:v>RC Frame</x:v>
      </x:c>
      <x:c r="H1162" t="str">
        <x:v>Raft</x:v>
      </x:c>
      <x:c r="I1162" t="str">
        <x:v>Mixed</x:v>
      </x:c>
      <x:c r="J1162" t="str">
        <x:v>Low</x:v>
      </x:c>
      <x:c r="K1162" t="n">
        <x:v>22964200</x:v>
      </x:c>
      <x:c r="L1162" t="n">
        <x:v>645</x:v>
      </x:c>
      <x:c r="M1162" t="n">
        <x:v>316.1</x:v>
      </x:c>
      <x:c r="N1162" t="n">
        <x:v>16</x:v>
      </x:c>
      <x:c r="O1162" t="n">
        <x:v>78.2</x:v>
      </x:c>
      <x:c r="P1162" t="str">
        <x:v>Stormy</x:v>
      </x:c>
      <x:c r="Q1162" t="n">
        <x:v>65</x:v>
      </x:c>
      <x:c r="R1162" t="n">
        <x:v>72.8</x:v>
      </x:c>
      <x:c r="S1162" t="n">
        <x:v>0.0784</x:v>
      </x:c>
      <x:c r="T1162" t="n">
        <x:v>12.7</x:v>
      </x:c>
      <x:c r="U1162" t="n">
        <x:v>1175</x:v>
      </x:c>
      <x:c r="V1162" t="n">
        <x:v>1396</x:v>
      </x:c>
      <x:c r="W1162" t="n">
        <x:v>39.2</x:v>
      </x:c>
    </x:row>
    <x:row r="1163">
      <x:c r="A1163" t="str">
        <x:v>PJT_1162</x:v>
      </x:c>
      <x:c r="B1163" t="str">
        <x:v>Mediterranean</x:v>
      </x:c>
      <x:c r="C1163" t="n">
        <x:v>17010</x:v>
      </x:c>
      <x:c r="D1163" t="n">
        <x:v>12</x:v>
      </x:c>
      <x:c r="E1163" t="str">
        <x:v>Medium</x:v>
      </x:c>
      <x:c r="F1163" t="str">
        <x:v>Mixed-use</x:v>
      </x:c>
      <x:c r="G1163" t="str">
        <x:v>Shear Wall</x:v>
      </x:c>
      <x:c r="H1163" t="str">
        <x:v>Piles</x:v>
      </x:c>
      <x:c r="I1163" t="str">
        <x:v>Sand</x:v>
      </x:c>
      <x:c r="J1163" t="str">
        <x:v>Low</x:v>
      </x:c>
      <x:c r="K1163" t="n">
        <x:v>42490980</x:v>
      </x:c>
      <x:c r="L1163" t="n">
        <x:v>828</x:v>
      </x:c>
      <x:c r="M1163" t="n">
        <x:v>358.9</x:v>
      </x:c>
      <x:c r="N1163" t="n">
        <x:v>23.3</x:v>
      </x:c>
      <x:c r="O1163" t="n">
        <x:v>53.4</x:v>
      </x:c>
      <x:c r="P1163" t="str">
        <x:v>Cloudy</x:v>
      </x:c>
      <x:c r="Q1163" t="n">
        <x:v>88</x:v>
      </x:c>
      <x:c r="R1163" t="n">
        <x:v>79.3</x:v>
      </x:c>
      <x:c r="S1163" t="n">
        <x:v>0.1002</x:v>
      </x:c>
      <x:c r="T1163" t="n">
        <x:v>18.9</x:v>
      </x:c>
      <x:c r="U1163" t="n">
        <x:v>1417.5</x:v>
      </x:c>
      <x:c r="V1163" t="n">
        <x:v>2498</x:v>
      </x:c>
      <x:c r="W1163" t="n">
        <x:v>48.7</x:v>
      </x:c>
    </x:row>
    <x:row r="1164">
      <x:c r="A1164" t="str">
        <x:v>PJT_1163</x:v>
      </x:c>
      <x:c r="B1164" t="str">
        <x:v>Continental</x:v>
      </x:c>
      <x:c r="C1164" t="n">
        <x:v>6960</x:v>
      </x:c>
      <x:c r="D1164" t="n">
        <x:v>2</x:v>
      </x:c>
      <x:c r="E1164" t="str">
        <x:v>Low</x:v>
      </x:c>
      <x:c r="F1164" t="str">
        <x:v>School</x:v>
      </x:c>
      <x:c r="G1164" t="str">
        <x:v>RC Frame</x:v>
      </x:c>
      <x:c r="H1164" t="str">
        <x:v>Raft</x:v>
      </x:c>
      <x:c r="I1164" t="str">
        <x:v>Sand</x:v>
      </x:c>
      <x:c r="J1164" t="str">
        <x:v>Medium</x:v>
      </x:c>
      <x:c r="K1164" t="n">
        <x:v>11943360</x:v>
      </x:c>
      <x:c r="L1164" t="n">
        <x:v>218</x:v>
      </x:c>
      <x:c r="M1164" t="n">
        <x:v>238.1</x:v>
      </x:c>
      <x:c r="N1164" t="n">
        <x:v>5.1</x:v>
      </x:c>
      <x:c r="O1164" t="n">
        <x:v>70.7</x:v>
      </x:c>
      <x:c r="P1164" t="str">
        <x:v>Stormy</x:v>
      </x:c>
      <x:c r="Q1164" t="n">
        <x:v>73</x:v>
      </x:c>
      <x:c r="R1164" t="n">
        <x:v>64.1</x:v>
      </x:c>
      <x:c r="S1164" t="n">
        <x:v>0.0768</x:v>
      </x:c>
      <x:c r="T1164" t="n">
        <x:v>13.6</x:v>
      </x:c>
      <x:c r="U1164" t="n">
        <x:v>3480</x:v>
      </x:c>
      <x:c r="V1164" t="n">
        <x:v>1716</x:v>
      </x:c>
      <x:c r="W1164" t="n">
        <x:v>31.3</x:v>
      </x:c>
    </x:row>
    <x:row r="1165">
      <x:c r="A1165" t="str">
        <x:v>PJT_1164</x:v>
      </x:c>
      <x:c r="B1165" t="str">
        <x:v>Continental</x:v>
      </x:c>
      <x:c r="C1165" t="n">
        <x:v>5820</x:v>
      </x:c>
      <x:c r="D1165" t="n">
        <x:v>6</x:v>
      </x:c>
      <x:c r="E1165" t="str">
        <x:v>Low</x:v>
      </x:c>
      <x:c r="F1165" t="str">
        <x:v>Residential</x:v>
      </x:c>
      <x:c r="G1165" t="str">
        <x:v>RC Frame</x:v>
      </x:c>
      <x:c r="H1165" t="str">
        <x:v>Raft</x:v>
      </x:c>
      <x:c r="I1165" t="str">
        <x:v>Soft Clay</x:v>
      </x:c>
      <x:c r="J1165" t="str">
        <x:v>Low</x:v>
      </x:c>
      <x:c r="K1165" t="n">
        <x:v>7624200</x:v>
      </x:c>
      <x:c r="L1165" t="n">
        <x:v>203</x:v>
      </x:c>
      <x:c r="M1165" t="n">
        <x:v>179.6</x:v>
      </x:c>
      <x:c r="N1165" t="n">
        <x:v>-5.9</x:v>
      </x:c>
      <x:c r="O1165" t="n">
        <x:v>78.6</x:v>
      </x:c>
      <x:c r="P1165" t="str">
        <x:v>Snowy</x:v>
      </x:c>
      <x:c r="Q1165" t="n">
        <x:v>87</x:v>
      </x:c>
      <x:c r="R1165" t="n">
        <x:v>63.7</x:v>
      </x:c>
      <x:c r="S1165" t="n">
        <x:v>0.074</x:v>
      </x:c>
      <x:c r="T1165" t="n">
        <x:v>12.9</x:v>
      </x:c>
      <x:c r="U1165" t="n">
        <x:v>970</x:v>
      </x:c>
      <x:c r="V1165" t="n">
        <x:v>1310</x:v>
      </x:c>
      <x:c r="W1165" t="n">
        <x:v>34.8</x:v>
      </x:c>
    </x:row>
    <x:row r="1166">
      <x:c r="A1166" t="str">
        <x:v>PJT_1165</x:v>
      </x:c>
      <x:c r="B1166" t="str">
        <x:v>Mediterranean</x:v>
      </x:c>
      <x:c r="C1166" t="n">
        <x:v>11130</x:v>
      </x:c>
      <x:c r="D1166" t="n">
        <x:v>12</x:v>
      </x:c>
      <x:c r="E1166" t="str">
        <x:v>Low</x:v>
      </x:c>
      <x:c r="F1166" t="str">
        <x:v>Residential</x:v>
      </x:c>
      <x:c r="G1166" t="str">
        <x:v>RC Frame</x:v>
      </x:c>
      <x:c r="H1166" t="str">
        <x:v>Raft</x:v>
      </x:c>
      <x:c r="I1166" t="str">
        <x:v>Mixed</x:v>
      </x:c>
      <x:c r="J1166" t="str">
        <x:v>Low</x:v>
      </x:c>
      <x:c r="K1166" t="n">
        <x:v>15114540</x:v>
      </x:c>
      <x:c r="L1166" t="n">
        <x:v>348</x:v>
      </x:c>
      <x:c r="M1166" t="n">
        <x:v>305.9</x:v>
      </x:c>
      <x:c r="N1166" t="n">
        <x:v>25.2</x:v>
      </x:c>
      <x:c r="O1166" t="n">
        <x:v>59.4</x:v>
      </x:c>
      <x:c r="P1166" t="str">
        <x:v>Sunny</x:v>
      </x:c>
      <x:c r="Q1166" t="n">
        <x:v>60</x:v>
      </x:c>
      <x:c r="R1166" t="n">
        <x:v>66.8</x:v>
      </x:c>
      <x:c r="S1166" t="n">
        <x:v>0.0713</x:v>
      </x:c>
      <x:c r="T1166" t="n">
        <x:v>11.2</x:v>
      </x:c>
      <x:c r="U1166" t="n">
        <x:v>927.5</x:v>
      </x:c>
      <x:c r="V1166" t="n">
        <x:v>1358</x:v>
      </x:c>
      <x:c r="W1166" t="n">
        <x:v>31.3</x:v>
      </x:c>
    </x:row>
    <x:row r="1167">
      <x:c r="A1167" t="str">
        <x:v>PJT_1166</x:v>
      </x:c>
      <x:c r="B1167" t="str">
        <x:v>Marine</x:v>
      </x:c>
      <x:c r="C1167" t="n">
        <x:v>30980</x:v>
      </x:c>
      <x:c r="D1167" t="n">
        <x:v>21</x:v>
      </x:c>
      <x:c r="E1167" t="str">
        <x:v>Medium</x:v>
      </x:c>
      <x:c r="F1167" t="str">
        <x:v>Commercial</x:v>
      </x:c>
      <x:c r="G1167" t="str">
        <x:v>Steel</x:v>
      </x:c>
      <x:c r="H1167" t="str">
        <x:v>Piles</x:v>
      </x:c>
      <x:c r="I1167" t="str">
        <x:v>Mixed</x:v>
      </x:c>
      <x:c r="J1167" t="str">
        <x:v>Medium</x:v>
      </x:c>
      <x:c r="K1167" t="n">
        <x:v>80455060</x:v>
      </x:c>
      <x:c r="L1167" t="n">
        <x:v>1490</x:v>
      </x:c>
      <x:c r="M1167" t="n">
        <x:v>402.5</x:v>
      </x:c>
      <x:c r="N1167" t="n">
        <x:v>16.8</x:v>
      </x:c>
      <x:c r="O1167" t="n">
        <x:v>86.6</x:v>
      </x:c>
      <x:c r="P1167" t="str">
        <x:v>Rainy</x:v>
      </x:c>
      <x:c r="Q1167" t="n">
        <x:v>85</x:v>
      </x:c>
      <x:c r="R1167" t="n">
        <x:v>83.5</x:v>
      </x:c>
      <x:c r="S1167" t="n">
        <x:v>0.0976</x:v>
      </x:c>
      <x:c r="T1167" t="n">
        <x:v>16.1</x:v>
      </x:c>
      <x:c r="U1167" t="n">
        <x:v>1475.2</x:v>
      </x:c>
      <x:c r="V1167" t="n">
        <x:v>2597</x:v>
      </x:c>
      <x:c r="W1167" t="n">
        <x:v>48.1</x:v>
      </x:c>
    </x:row>
    <x:row r="1168">
      <x:c r="A1168" t="str">
        <x:v>PJT_1167</x:v>
      </x:c>
      <x:c r="B1168" t="str">
        <x:v>Humid Subtropical</x:v>
      </x:c>
      <x:c r="C1168" t="n">
        <x:v>28930</x:v>
      </x:c>
      <x:c r="D1168" t="n">
        <x:v>22</x:v>
      </x:c>
      <x:c r="E1168" t="str">
        <x:v>High</x:v>
      </x:c>
      <x:c r="F1168" t="str">
        <x:v>Mixed-use</x:v>
      </x:c>
      <x:c r="G1168" t="str">
        <x:v>Steel</x:v>
      </x:c>
      <x:c r="H1168" t="str">
        <x:v>Piles</x:v>
      </x:c>
      <x:c r="I1168" t="str">
        <x:v>Sand</x:v>
      </x:c>
      <x:c r="J1168" t="str">
        <x:v>High</x:v>
      </x:c>
      <x:c r="K1168" t="n">
        <x:v>86876790</x:v>
      </x:c>
      <x:c r="L1168" t="n">
        <x:v>1519</x:v>
      </x:c>
      <x:c r="M1168" t="n">
        <x:v>356.9</x:v>
      </x:c>
      <x:c r="N1168" t="n">
        <x:v>31.3</x:v>
      </x:c>
      <x:c r="O1168" t="n">
        <x:v>70.5</x:v>
      </x:c>
      <x:c r="P1168" t="str">
        <x:v>Sunny</x:v>
      </x:c>
      <x:c r="Q1168" t="n">
        <x:v>91</x:v>
      </x:c>
      <x:c r="R1168" t="n">
        <x:v>92</x:v>
      </x:c>
      <x:c r="S1168" t="n">
        <x:v>0.1044</x:v>
      </x:c>
      <x:c r="T1168" t="n">
        <x:v>21.2</x:v>
      </x:c>
      <x:c r="U1168" t="n">
        <x:v>1315</x:v>
      </x:c>
      <x:c r="V1168" t="n">
        <x:v>3003</x:v>
      </x:c>
      <x:c r="W1168" t="n">
        <x:v>52.5</x:v>
      </x:c>
    </x:row>
    <x:row r="1169">
      <x:c r="A1169" t="str">
        <x:v>PJT_1168</x:v>
      </x:c>
      <x:c r="B1169" t="str">
        <x:v>Humid Subtropical</x:v>
      </x:c>
      <x:c r="C1169" t="n">
        <x:v>13960</x:v>
      </x:c>
      <x:c r="D1169" t="n">
        <x:v>12</x:v>
      </x:c>
      <x:c r="E1169" t="str">
        <x:v>Medium</x:v>
      </x:c>
      <x:c r="F1169" t="str">
        <x:v>Residential</x:v>
      </x:c>
      <x:c r="G1169" t="str">
        <x:v>RC Frame</x:v>
      </x:c>
      <x:c r="H1169" t="str">
        <x:v>Piles</x:v>
      </x:c>
      <x:c r="I1169" t="str">
        <x:v>Soft Clay</x:v>
      </x:c>
      <x:c r="J1169" t="str">
        <x:v>Medium</x:v>
      </x:c>
      <x:c r="K1169" t="n">
        <x:v>23299240</x:v>
      </x:c>
      <x:c r="L1169" t="n">
        <x:v>512</x:v>
      </x:c>
      <x:c r="M1169" t="n">
        <x:v>158.5</x:v>
      </x:c>
      <x:c r="N1169" t="n">
        <x:v>28</x:v>
      </x:c>
      <x:c r="O1169" t="n">
        <x:v>64.7</x:v>
      </x:c>
      <x:c r="P1169" t="str">
        <x:v>Sunny</x:v>
      </x:c>
      <x:c r="Q1169" t="n">
        <x:v>81</x:v>
      </x:c>
      <x:c r="R1169" t="n">
        <x:v>72.8</x:v>
      </x:c>
      <x:c r="S1169" t="n">
        <x:v>0.0775</x:v>
      </x:c>
      <x:c r="T1169" t="n">
        <x:v>13.4</x:v>
      </x:c>
      <x:c r="U1169" t="n">
        <x:v>1163.3</x:v>
      </x:c>
      <x:c r="V1169" t="n">
        <x:v>1669</x:v>
      </x:c>
      <x:c r="W1169" t="n">
        <x:v>36.7</x:v>
      </x:c>
    </x:row>
    <x:row r="1170">
      <x:c r="A1170" t="str">
        <x:v>PJT_1169</x:v>
      </x:c>
      <x:c r="B1170" t="str">
        <x:v>Marine</x:v>
      </x:c>
      <x:c r="C1170" t="n">
        <x:v>29810</x:v>
      </x:c>
      <x:c r="D1170" t="n">
        <x:v>20</x:v>
      </x:c>
      <x:c r="E1170" t="str">
        <x:v>Medium</x:v>
      </x:c>
      <x:c r="F1170" t="str">
        <x:v>Commercial</x:v>
      </x:c>
      <x:c r="G1170" t="str">
        <x:v>Steel</x:v>
      </x:c>
      <x:c r="H1170" t="str">
        <x:v>Piles</x:v>
      </x:c>
      <x:c r="I1170" t="str">
        <x:v>Mixed</x:v>
      </x:c>
      <x:c r="J1170" t="str">
        <x:v>High</x:v>
      </x:c>
      <x:c r="K1170" t="n">
        <x:v>80397570</x:v>
      </x:c>
      <x:c r="L1170" t="n">
        <x:v>1499</x:v>
      </x:c>
      <x:c r="M1170" t="n">
        <x:v>306.7</x:v>
      </x:c>
      <x:c r="N1170" t="n">
        <x:v>7</x:v>
      </x:c>
      <x:c r="O1170" t="n">
        <x:v>80.9</x:v>
      </x:c>
      <x:c r="P1170" t="str">
        <x:v>Rainy</x:v>
      </x:c>
      <x:c r="Q1170" t="n">
        <x:v>78</x:v>
      </x:c>
      <x:c r="R1170" t="n">
        <x:v>78.7</x:v>
      </x:c>
      <x:c r="S1170" t="n">
        <x:v>0.0961</x:v>
      </x:c>
      <x:c r="T1170" t="n">
        <x:v>16.5</x:v>
      </x:c>
      <x:c r="U1170" t="n">
        <x:v>1490.5</x:v>
      </x:c>
      <x:c r="V1170" t="n">
        <x:v>2697</x:v>
      </x:c>
      <x:c r="W1170" t="n">
        <x:v>50.3</x:v>
      </x:c>
    </x:row>
    <x:row r="1171">
      <x:c r="A1171" t="str">
        <x:v>PJT_1170</x:v>
      </x:c>
      <x:c r="B1171" t="str">
        <x:v>Marine</x:v>
      </x:c>
      <x:c r="C1171" t="n">
        <x:v>13160</x:v>
      </x:c>
      <x:c r="D1171" t="n">
        <x:v>16</x:v>
      </x:c>
      <x:c r="E1171" t="str">
        <x:v>Low</x:v>
      </x:c>
      <x:c r="F1171" t="str">
        <x:v>Residential</x:v>
      </x:c>
      <x:c r="G1171" t="str">
        <x:v>RC Frame</x:v>
      </x:c>
      <x:c r="H1171" t="str">
        <x:v>Piles</x:v>
      </x:c>
      <x:c r="I1171" t="str">
        <x:v>Mixed</x:v>
      </x:c>
      <x:c r="J1171" t="str">
        <x:v>Low</x:v>
      </x:c>
      <x:c r="K1171" t="n">
        <x:v>17634400</x:v>
      </x:c>
      <x:c r="L1171" t="n">
        <x:v>499</x:v>
      </x:c>
      <x:c r="M1171" t="n">
        <x:v>371.1</x:v>
      </x:c>
      <x:c r="N1171" t="n">
        <x:v>15.9</x:v>
      </x:c>
      <x:c r="O1171" t="n">
        <x:v>88.8</x:v>
      </x:c>
      <x:c r="P1171" t="str">
        <x:v>Rainy</x:v>
      </x:c>
      <x:c r="Q1171" t="n">
        <x:v>87</x:v>
      </x:c>
      <x:c r="R1171" t="n">
        <x:v>72.5</x:v>
      </x:c>
      <x:c r="S1171" t="n">
        <x:v>0.0776</x:v>
      </x:c>
      <x:c r="T1171" t="n">
        <x:v>12.5</x:v>
      </x:c>
      <x:c r="U1171" t="n">
        <x:v>822.5</x:v>
      </x:c>
      <x:c r="V1171" t="n">
        <x:v>1340</x:v>
      </x:c>
      <x:c r="W1171" t="n">
        <x:v>37.9</x:v>
      </x:c>
    </x:row>
    <x:row r="1172">
      <x:c r="A1172" t="str">
        <x:v>PJT_1171</x:v>
      </x:c>
      <x:c r="B1172" t="str">
        <x:v>Continental</x:v>
      </x:c>
      <x:c r="C1172" t="n">
        <x:v>29240</x:v>
      </x:c>
      <x:c r="D1172" t="n">
        <x:v>20</x:v>
      </x:c>
      <x:c r="E1172" t="str">
        <x:v>High</x:v>
      </x:c>
      <x:c r="F1172" t="str">
        <x:v>Mixed-use</x:v>
      </x:c>
      <x:c r="G1172" t="str">
        <x:v>Steel</x:v>
      </x:c>
      <x:c r="H1172" t="str">
        <x:v>Piles</x:v>
      </x:c>
      <x:c r="I1172" t="str">
        <x:v>Sand</x:v>
      </x:c>
      <x:c r="J1172" t="str">
        <x:v>Medium</x:v>
      </x:c>
      <x:c r="K1172" t="n">
        <x:v>84591320</x:v>
      </x:c>
      <x:c r="L1172" t="n">
        <x:v>1673</x:v>
      </x:c>
      <x:c r="M1172" t="n">
        <x:v>268</x:v>
      </x:c>
      <x:c r="N1172" t="n">
        <x:v>10.5</x:v>
      </x:c>
      <x:c r="O1172" t="n">
        <x:v>85.8</x:v>
      </x:c>
      <x:c r="P1172" t="str">
        <x:v>Rainy</x:v>
      </x:c>
      <x:c r="Q1172" t="n">
        <x:v>103</x:v>
      </x:c>
      <x:c r="R1172" t="n">
        <x:v>92</x:v>
      </x:c>
      <x:c r="S1172" t="n">
        <x:v>0.1038</x:v>
      </x:c>
      <x:c r="T1172" t="n">
        <x:v>20.7</x:v>
      </x:c>
      <x:c r="U1172" t="n">
        <x:v>1462</x:v>
      </x:c>
      <x:c r="V1172" t="n">
        <x:v>2893</x:v>
      </x:c>
      <x:c r="W1172" t="n">
        <x:v>57.2</x:v>
      </x:c>
    </x:row>
    <x:row r="1173">
      <x:c r="A1173" t="str">
        <x:v>PJT_1172</x:v>
      </x:c>
      <x:c r="B1173" t="str">
        <x:v>Humid Subtropical</x:v>
      </x:c>
      <x:c r="C1173" t="n">
        <x:v>23510</x:v>
      </x:c>
      <x:c r="D1173" t="n">
        <x:v>16</x:v>
      </x:c>
      <x:c r="E1173" t="str">
        <x:v>Medium</x:v>
      </x:c>
      <x:c r="F1173" t="str">
        <x:v>Commercial</x:v>
      </x:c>
      <x:c r="G1173" t="str">
        <x:v>Steel</x:v>
      </x:c>
      <x:c r="H1173" t="str">
        <x:v>Piles</x:v>
      </x:c>
      <x:c r="I1173" t="str">
        <x:v>Sand</x:v>
      </x:c>
      <x:c r="J1173" t="str">
        <x:v>High</x:v>
      </x:c>
      <x:c r="K1173" t="n">
        <x:v>60937920</x:v>
      </x:c>
      <x:c r="L1173" t="n">
        <x:v>1112</x:v>
      </x:c>
      <x:c r="M1173" t="n">
        <x:v>252</x:v>
      </x:c>
      <x:c r="N1173" t="n">
        <x:v>24.5</x:v>
      </x:c>
      <x:c r="O1173" t="n">
        <x:v>86.2</x:v>
      </x:c>
      <x:c r="P1173" t="str">
        <x:v>Rainy</x:v>
      </x:c>
      <x:c r="Q1173" t="n">
        <x:v>99</x:v>
      </x:c>
      <x:c r="R1173" t="n">
        <x:v>80.8</x:v>
      </x:c>
      <x:c r="S1173" t="n">
        <x:v>0.0995</x:v>
      </x:c>
      <x:c r="T1173" t="n">
        <x:v>16.4</x:v>
      </x:c>
      <x:c r="U1173" t="n">
        <x:v>1469.4</x:v>
      </x:c>
      <x:c r="V1173" t="n">
        <x:v>2592</x:v>
      </x:c>
      <x:c r="W1173" t="n">
        <x:v>47.3</x:v>
      </x:c>
    </x:row>
    <x:row r="1174">
      <x:c r="A1174" t="str">
        <x:v>PJT_1173</x:v>
      </x:c>
      <x:c r="B1174" t="str">
        <x:v>Mediterranean</x:v>
      </x:c>
      <x:c r="C1174" t="n">
        <x:v>25920</x:v>
      </x:c>
      <x:c r="D1174" t="n">
        <x:v>24</x:v>
      </x:c>
      <x:c r="E1174" t="str">
        <x:v>High</x:v>
      </x:c>
      <x:c r="F1174" t="str">
        <x:v>Mixed-use</x:v>
      </x:c>
      <x:c r="G1174" t="str">
        <x:v>Steel</x:v>
      </x:c>
      <x:c r="H1174" t="str">
        <x:v>Piles</x:v>
      </x:c>
      <x:c r="I1174" t="str">
        <x:v>Mixed</x:v>
      </x:c>
      <x:c r="J1174" t="str">
        <x:v>Low</x:v>
      </x:c>
      <x:c r="K1174" t="n">
        <x:v>71979840</x:v>
      </x:c>
      <x:c r="L1174" t="n">
        <x:v>1503</x:v>
      </x:c>
      <x:c r="M1174" t="n">
        <x:v>394.6</x:v>
      </x:c>
      <x:c r="N1174" t="n">
        <x:v>9.3</x:v>
      </x:c>
      <x:c r="O1174" t="n">
        <x:v>74.5</x:v>
      </x:c>
      <x:c r="P1174" t="str">
        <x:v>Stormy</x:v>
      </x:c>
      <x:c r="Q1174" t="n">
        <x:v>85</x:v>
      </x:c>
      <x:c r="R1174" t="n">
        <x:v>92</x:v>
      </x:c>
      <x:c r="S1174" t="n">
        <x:v>0.1084</x:v>
      </x:c>
      <x:c r="T1174" t="n">
        <x:v>20.8</x:v>
      </x:c>
      <x:c r="U1174" t="n">
        <x:v>1080</x:v>
      </x:c>
      <x:c r="V1174" t="n">
        <x:v>2777</x:v>
      </x:c>
      <x:c r="W1174" t="n">
        <x:v>58</x:v>
      </x:c>
    </x:row>
    <x:row r="1175">
      <x:c r="A1175" t="str">
        <x:v>PJT_1174</x:v>
      </x:c>
      <x:c r="B1175" t="str">
        <x:v>Mediterranean</x:v>
      </x:c>
      <x:c r="C1175" t="n">
        <x:v>20420</x:v>
      </x:c>
      <x:c r="D1175" t="n">
        <x:v>15</x:v>
      </x:c>
      <x:c r="E1175" t="str">
        <x:v>Medium</x:v>
      </x:c>
      <x:c r="F1175" t="str">
        <x:v>Commercial</x:v>
      </x:c>
      <x:c r="G1175" t="str">
        <x:v>Steel</x:v>
      </x:c>
      <x:c r="H1175" t="str">
        <x:v>Piles</x:v>
      </x:c>
      <x:c r="I1175" t="str">
        <x:v>Mixed</x:v>
      </x:c>
      <x:c r="J1175" t="str">
        <x:v>Medium</x:v>
      </x:c>
      <x:c r="K1175" t="n">
        <x:v>48027840</x:v>
      </x:c>
      <x:c r="L1175" t="n">
        <x:v>1011</x:v>
      </x:c>
      <x:c r="M1175" t="n">
        <x:v>368.1</x:v>
      </x:c>
      <x:c r="N1175" t="n">
        <x:v>11.2</x:v>
      </x:c>
      <x:c r="O1175" t="n">
        <x:v>71.6</x:v>
      </x:c>
      <x:c r="P1175" t="str">
        <x:v>Rainy</x:v>
      </x:c>
      <x:c r="Q1175" t="n">
        <x:v>76</x:v>
      </x:c>
      <x:c r="R1175" t="n">
        <x:v>80</x:v>
      </x:c>
      <x:c r="S1175" t="n">
        <x:v>0.0945</x:v>
      </x:c>
      <x:c r="T1175" t="n">
        <x:v>16.5</x:v>
      </x:c>
      <x:c r="U1175" t="n">
        <x:v>1361.3</x:v>
      </x:c>
      <x:c r="V1175" t="n">
        <x:v>2352</x:v>
      </x:c>
      <x:c r="W1175" t="n">
        <x:v>49.5</x:v>
      </x:c>
    </x:row>
    <x:row r="1176">
      <x:c r="A1176" t="str">
        <x:v>PJT_1175</x:v>
      </x:c>
      <x:c r="B1176" t="str">
        <x:v>Humid Subtropical</x:v>
      </x:c>
      <x:c r="C1176" t="n">
        <x:v>6680</x:v>
      </x:c>
      <x:c r="D1176" t="n">
        <x:v>10</x:v>
      </x:c>
      <x:c r="E1176" t="str">
        <x:v>Low</x:v>
      </x:c>
      <x:c r="F1176" t="str">
        <x:v>Residential</x:v>
      </x:c>
      <x:c r="G1176" t="str">
        <x:v>RC Frame</x:v>
      </x:c>
      <x:c r="H1176" t="str">
        <x:v>Raft</x:v>
      </x:c>
      <x:c r="I1176" t="str">
        <x:v>Mixed</x:v>
      </x:c>
      <x:c r="J1176" t="str">
        <x:v>Medium</x:v>
      </x:c>
      <x:c r="K1176" t="n">
        <x:v>9358680</x:v>
      </x:c>
      <x:c r="L1176" t="n">
        <x:v>217</x:v>
      </x:c>
      <x:c r="M1176" t="n">
        <x:v>332</x:v>
      </x:c>
      <x:c r="N1176" t="n">
        <x:v>24.7</x:v>
      </x:c>
      <x:c r="O1176" t="n">
        <x:v>87.9</x:v>
      </x:c>
      <x:c r="P1176" t="str">
        <x:v>Rainy</x:v>
      </x:c>
      <x:c r="Q1176" t="n">
        <x:v>72</x:v>
      </x:c>
      <x:c r="R1176" t="n">
        <x:v>64.5</x:v>
      </x:c>
      <x:c r="S1176" t="n">
        <x:v>0.0756</x:v>
      </x:c>
      <x:c r="T1176" t="n">
        <x:v>11.6</x:v>
      </x:c>
      <x:c r="U1176" t="n">
        <x:v>668</x:v>
      </x:c>
      <x:c r="V1176" t="n">
        <x:v>1401</x:v>
      </x:c>
      <x:c r="W1176" t="n">
        <x:v>32.5</x:v>
      </x:c>
    </x:row>
    <x:row r="1177">
      <x:c r="A1177" t="str">
        <x:v>PJT_1176</x:v>
      </x:c>
      <x:c r="B1177" t="str">
        <x:v>Marine</x:v>
      </x:c>
      <x:c r="C1177" t="n">
        <x:v>27690</x:v>
      </x:c>
      <x:c r="D1177" t="n">
        <x:v>18</x:v>
      </x:c>
      <x:c r="E1177" t="str">
        <x:v>Medium</x:v>
      </x:c>
      <x:c r="F1177" t="str">
        <x:v>Commercial</x:v>
      </x:c>
      <x:c r="G1177" t="str">
        <x:v>Steel</x:v>
      </x:c>
      <x:c r="H1177" t="str">
        <x:v>Piles</x:v>
      </x:c>
      <x:c r="I1177" t="str">
        <x:v>Mixed</x:v>
      </x:c>
      <x:c r="J1177" t="str">
        <x:v>Low</x:v>
      </x:c>
      <x:c r="K1177" t="n">
        <x:v>68781960</x:v>
      </x:c>
      <x:c r="L1177" t="n">
        <x:v>1376</x:v>
      </x:c>
      <x:c r="M1177" t="n">
        <x:v>354.5</x:v>
      </x:c>
      <x:c r="N1177" t="n">
        <x:v>9.8</x:v>
      </x:c>
      <x:c r="O1177" t="n">
        <x:v>75.8</x:v>
      </x:c>
      <x:c r="P1177" t="str">
        <x:v>Rainy</x:v>
      </x:c>
      <x:c r="Q1177" t="n">
        <x:v>72</x:v>
      </x:c>
      <x:c r="R1177" t="n">
        <x:v>75.4</x:v>
      </x:c>
      <x:c r="S1177" t="n">
        <x:v>0.0985</x:v>
      </x:c>
      <x:c r="T1177" t="n">
        <x:v>17.5</x:v>
      </x:c>
      <x:c r="U1177" t="n">
        <x:v>1538.3</x:v>
      </x:c>
      <x:c r="V1177" t="n">
        <x:v>2484</x:v>
      </x:c>
      <x:c r="W1177" t="n">
        <x:v>49.7</x:v>
      </x:c>
    </x:row>
    <x:row r="1178">
      <x:c r="A1178" t="str">
        <x:v>PJT_1177</x:v>
      </x:c>
      <x:c r="B1178" t="str">
        <x:v>Mediterranean</x:v>
      </x:c>
      <x:c r="C1178" t="n">
        <x:v>18990</x:v>
      </x:c>
      <x:c r="D1178" t="n">
        <x:v>10</x:v>
      </x:c>
      <x:c r="E1178" t="str">
        <x:v>Medium</x:v>
      </x:c>
      <x:c r="F1178" t="str">
        <x:v>Commercial</x:v>
      </x:c>
      <x:c r="G1178" t="str">
        <x:v>Steel</x:v>
      </x:c>
      <x:c r="H1178" t="str">
        <x:v>Raft</x:v>
      </x:c>
      <x:c r="I1178" t="str">
        <x:v>Mixed</x:v>
      </x:c>
      <x:c r="J1178" t="str">
        <x:v>Low</x:v>
      </x:c>
      <x:c r="K1178" t="n">
        <x:v>44322660</x:v>
      </x:c>
      <x:c r="L1178" t="n">
        <x:v>811</x:v>
      </x:c>
      <x:c r="M1178" t="n">
        <x:v>273.8</x:v>
      </x:c>
      <x:c r="N1178" t="n">
        <x:v>18.3</x:v>
      </x:c>
      <x:c r="O1178" t="n">
        <x:v>62.4</x:v>
      </x:c>
      <x:c r="P1178" t="str">
        <x:v>Cloudy</x:v>
      </x:c>
      <x:c r="Q1178" t="n">
        <x:v>69</x:v>
      </x:c>
      <x:c r="R1178" t="n">
        <x:v>81.2</x:v>
      </x:c>
      <x:c r="S1178" t="n">
        <x:v>0.0983</x:v>
      </x:c>
      <x:c r="T1178" t="n">
        <x:v>17.9</x:v>
      </x:c>
      <x:c r="U1178" t="n">
        <x:v>1899</x:v>
      </x:c>
      <x:c r="V1178" t="n">
        <x:v>2334</x:v>
      </x:c>
      <x:c r="W1178" t="n">
        <x:v>42.7</x:v>
      </x:c>
    </x:row>
    <x:row r="1179">
      <x:c r="A1179" t="str">
        <x:v>PJT_1178</x:v>
      </x:c>
      <x:c r="B1179" t="str">
        <x:v>Humid Subtropical</x:v>
      </x:c>
      <x:c r="C1179" t="n">
        <x:v>12760</x:v>
      </x:c>
      <x:c r="D1179" t="n">
        <x:v>12</x:v>
      </x:c>
      <x:c r="E1179" t="str">
        <x:v>Low</x:v>
      </x:c>
      <x:c r="F1179" t="str">
        <x:v>Residential</x:v>
      </x:c>
      <x:c r="G1179" t="str">
        <x:v>RC Frame</x:v>
      </x:c>
      <x:c r="H1179" t="str">
        <x:v>Piles</x:v>
      </x:c>
      <x:c r="I1179" t="str">
        <x:v>Sand</x:v>
      </x:c>
      <x:c r="J1179" t="str">
        <x:v>Medium</x:v>
      </x:c>
      <x:c r="K1179" t="n">
        <x:v>19816280</x:v>
      </x:c>
      <x:c r="L1179" t="n">
        <x:v>438</x:v>
      </x:c>
      <x:c r="M1179" t="n">
        <x:v>315.9</x:v>
      </x:c>
      <x:c r="N1179" t="n">
        <x:v>21.9</x:v>
      </x:c>
      <x:c r="O1179" t="n">
        <x:v>62.5</x:v>
      </x:c>
      <x:c r="P1179" t="str">
        <x:v>Cloudy</x:v>
      </x:c>
      <x:c r="Q1179" t="n">
        <x:v>71</x:v>
      </x:c>
      <x:c r="R1179" t="n">
        <x:v>61</x:v>
      </x:c>
      <x:c r="S1179" t="n">
        <x:v>0.0773</x:v>
      </x:c>
      <x:c r="T1179" t="n">
        <x:v>12.2</x:v>
      </x:c>
      <x:c r="U1179" t="n">
        <x:v>1063.3</x:v>
      </x:c>
      <x:c r="V1179" t="n">
        <x:v>1553</x:v>
      </x:c>
      <x:c r="W1179" t="n">
        <x:v>34.3</x:v>
      </x:c>
    </x:row>
    <x:row r="1180">
      <x:c r="A1180" t="str">
        <x:v>PJT_1179</x:v>
      </x:c>
      <x:c r="B1180" t="str">
        <x:v>Continental</x:v>
      </x:c>
      <x:c r="C1180" t="n">
        <x:v>17150</x:v>
      </x:c>
      <x:c r="D1180" t="n">
        <x:v>17</x:v>
      </x:c>
      <x:c r="E1180" t="str">
        <x:v>Medium</x:v>
      </x:c>
      <x:c r="F1180" t="str">
        <x:v>Residential</x:v>
      </x:c>
      <x:c r="G1180" t="str">
        <x:v>Shear Wall</x:v>
      </x:c>
      <x:c r="H1180" t="str">
        <x:v>Raft</x:v>
      </x:c>
      <x:c r="I1180" t="str">
        <x:v>Rock</x:v>
      </x:c>
      <x:c r="J1180" t="str">
        <x:v>Medium</x:v>
      </x:c>
      <x:c r="K1180" t="n">
        <x:v>25519200</x:v>
      </x:c>
      <x:c r="L1180" t="n">
        <x:v>691</x:v>
      </x:c>
      <x:c r="M1180" t="n">
        <x:v>636.9</x:v>
      </x:c>
      <x:c r="N1180" t="n">
        <x:v>14.4</x:v>
      </x:c>
      <x:c r="O1180" t="n">
        <x:v>78.3</x:v>
      </x:c>
      <x:c r="P1180" t="str">
        <x:v>Stormy</x:v>
      </x:c>
      <x:c r="Q1180" t="n">
        <x:v>75</x:v>
      </x:c>
      <x:c r="R1180" t="n">
        <x:v>69.6</x:v>
      </x:c>
      <x:c r="S1180" t="n">
        <x:v>0.0817</x:v>
      </x:c>
      <x:c r="T1180" t="n">
        <x:v>14</x:v>
      </x:c>
      <x:c r="U1180" t="n">
        <x:v>1008.8</x:v>
      </x:c>
      <x:c r="V1180" t="n">
        <x:v>1488</x:v>
      </x:c>
      <x:c r="W1180" t="n">
        <x:v>40.3</x:v>
      </x:c>
    </x:row>
    <x:row r="1181">
      <x:c r="A1181" t="str">
        <x:v>PJT_1180</x:v>
      </x:c>
      <x:c r="B1181" t="str">
        <x:v>Continental</x:v>
      </x:c>
      <x:c r="C1181" t="n">
        <x:v>33550</x:v>
      </x:c>
      <x:c r="D1181" t="n">
        <x:v>23</x:v>
      </x:c>
      <x:c r="E1181" t="str">
        <x:v>High</x:v>
      </x:c>
      <x:c r="F1181" t="str">
        <x:v>Mixed-use</x:v>
      </x:c>
      <x:c r="G1181" t="str">
        <x:v>Steel</x:v>
      </x:c>
      <x:c r="H1181" t="str">
        <x:v>Piles</x:v>
      </x:c>
      <x:c r="I1181" t="str">
        <x:v>Sand</x:v>
      </x:c>
      <x:c r="J1181" t="str">
        <x:v>Low</x:v>
      </x:c>
      <x:c r="K1181" t="n">
        <x:v>96758200</x:v>
      </x:c>
      <x:c r="L1181" t="n">
        <x:v>1943</x:v>
      </x:c>
      <x:c r="M1181" t="n">
        <x:v>251.9</x:v>
      </x:c>
      <x:c r="N1181" t="n">
        <x:v>1.1</x:v>
      </x:c>
      <x:c r="O1181" t="n">
        <x:v>61.8</x:v>
      </x:c>
      <x:c r="P1181" t="str">
        <x:v>Snowy</x:v>
      </x:c>
      <x:c r="Q1181" t="n">
        <x:v>83</x:v>
      </x:c>
      <x:c r="R1181" t="n">
        <x:v>92</x:v>
      </x:c>
      <x:c r="S1181" t="n">
        <x:v>0.1033</x:v>
      </x:c>
      <x:c r="T1181" t="n">
        <x:v>20.6</x:v>
      </x:c>
      <x:c r="U1181" t="n">
        <x:v>1458.7</x:v>
      </x:c>
      <x:c r="V1181" t="n">
        <x:v>2884</x:v>
      </x:c>
      <x:c r="W1181" t="n">
        <x:v>57.9</x:v>
      </x:c>
    </x:row>
    <x:row r="1182">
      <x:c r="A1182" t="str">
        <x:v>PJT_1181</x:v>
      </x:c>
      <x:c r="B1182" t="str">
        <x:v>Marine</x:v>
      </x:c>
      <x:c r="C1182" t="n">
        <x:v>9130</x:v>
      </x:c>
      <x:c r="D1182" t="n">
        <x:v>4</x:v>
      </x:c>
      <x:c r="E1182" t="str">
        <x:v>Low</x:v>
      </x:c>
      <x:c r="F1182" t="str">
        <x:v>School</x:v>
      </x:c>
      <x:c r="G1182" t="str">
        <x:v>RC Frame</x:v>
      </x:c>
      <x:c r="H1182" t="str">
        <x:v>Raft</x:v>
      </x:c>
      <x:c r="I1182" t="str">
        <x:v>Soft Clay</x:v>
      </x:c>
      <x:c r="J1182" t="str">
        <x:v>Low</x:v>
      </x:c>
      <x:c r="K1182" t="n">
        <x:v>15457090</x:v>
      </x:c>
      <x:c r="L1182" t="n">
        <x:v>262</x:v>
      </x:c>
      <x:c r="M1182" t="n">
        <x:v>201.3</x:v>
      </x:c>
      <x:c r="N1182" t="n">
        <x:v>13.5</x:v>
      </x:c>
      <x:c r="O1182" t="n">
        <x:v>81</x:v>
      </x:c>
      <x:c r="P1182" t="str">
        <x:v>Cloudy</x:v>
      </x:c>
      <x:c r="Q1182" t="n">
        <x:v>61</x:v>
      </x:c>
      <x:c r="R1182" t="n">
        <x:v>61.4</x:v>
      </x:c>
      <x:c r="S1182" t="n">
        <x:v>0.0781</x:v>
      </x:c>
      <x:c r="T1182" t="n">
        <x:v>12.9</x:v>
      </x:c>
      <x:c r="U1182" t="n">
        <x:v>2282.5</x:v>
      </x:c>
      <x:c r="V1182" t="n">
        <x:v>1693</x:v>
      </x:c>
      <x:c r="W1182" t="n">
        <x:v>28.7</x:v>
      </x:c>
    </x:row>
    <x:row r="1183">
      <x:c r="A1183" t="str">
        <x:v>PJT_1182</x:v>
      </x:c>
      <x:c r="B1183" t="str">
        <x:v>Continental</x:v>
      </x:c>
      <x:c r="C1183" t="n">
        <x:v>16580</x:v>
      </x:c>
      <x:c r="D1183" t="n">
        <x:v>5</x:v>
      </x:c>
      <x:c r="E1183" t="str">
        <x:v>Low</x:v>
      </x:c>
      <x:c r="F1183" t="str">
        <x:v>School</x:v>
      </x:c>
      <x:c r="G1183" t="str">
        <x:v>RC Frame</x:v>
      </x:c>
      <x:c r="H1183" t="str">
        <x:v>Raft</x:v>
      </x:c>
      <x:c r="I1183" t="str">
        <x:v>Mixed</x:v>
      </x:c>
      <x:c r="J1183" t="str">
        <x:v>Low</x:v>
      </x:c>
      <x:c r="K1183" t="n">
        <x:v>25980860</x:v>
      </x:c>
      <x:c r="L1183" t="n">
        <x:v>487</x:v>
      </x:c>
      <x:c r="M1183" t="n">
        <x:v>279.7</x:v>
      </x:c>
      <x:c r="N1183" t="n">
        <x:v>10.4</x:v>
      </x:c>
      <x:c r="O1183" t="n">
        <x:v>87.2</x:v>
      </x:c>
      <x:c r="P1183" t="str">
        <x:v>Rainy</x:v>
      </x:c>
      <x:c r="Q1183" t="n">
        <x:v>96</x:v>
      </x:c>
      <x:c r="R1183" t="n">
        <x:v>63.4</x:v>
      </x:c>
      <x:c r="S1183" t="n">
        <x:v>0.0786</x:v>
      </x:c>
      <x:c r="T1183" t="n">
        <x:v>13.9</x:v>
      </x:c>
      <x:c r="U1183" t="n">
        <x:v>3316</x:v>
      </x:c>
      <x:c r="V1183" t="n">
        <x:v>1567</x:v>
      </x:c>
      <x:c r="W1183" t="n">
        <x:v>29.4</x:v>
      </x:c>
    </x:row>
    <x:row r="1184">
      <x:c r="A1184" t="str">
        <x:v>PJT_1183</x:v>
      </x:c>
      <x:c r="B1184" t="str">
        <x:v>Marine</x:v>
      </x:c>
      <x:c r="C1184" t="n">
        <x:v>14950</x:v>
      </x:c>
      <x:c r="D1184" t="n">
        <x:v>10</x:v>
      </x:c>
      <x:c r="E1184" t="str">
        <x:v>Medium</x:v>
      </x:c>
      <x:c r="F1184" t="str">
        <x:v>Commercial</x:v>
      </x:c>
      <x:c r="G1184" t="str">
        <x:v>RC Frame</x:v>
      </x:c>
      <x:c r="H1184" t="str">
        <x:v>Raft</x:v>
      </x:c>
      <x:c r="I1184" t="str">
        <x:v>Mixed</x:v>
      </x:c>
      <x:c r="J1184" t="str">
        <x:v>Medium</x:v>
      </x:c>
      <x:c r="K1184" t="n">
        <x:v>31813600</x:v>
      </x:c>
      <x:c r="L1184" t="n">
        <x:v>620</x:v>
      </x:c>
      <x:c r="M1184" t="n">
        <x:v>311.8</x:v>
      </x:c>
      <x:c r="N1184" t="n">
        <x:v>10.5</x:v>
      </x:c>
      <x:c r="O1184" t="n">
        <x:v>86.3</x:v>
      </x:c>
      <x:c r="P1184" t="str">
        <x:v>Rainy</x:v>
      </x:c>
      <x:c r="Q1184" t="n">
        <x:v>78</x:v>
      </x:c>
      <x:c r="R1184" t="n">
        <x:v>72.5</x:v>
      </x:c>
      <x:c r="S1184" t="n">
        <x:v>0.0886</x:v>
      </x:c>
      <x:c r="T1184" t="n">
        <x:v>15.5</x:v>
      </x:c>
      <x:c r="U1184" t="n">
        <x:v>1495</x:v>
      </x:c>
      <x:c r="V1184" t="n">
        <x:v>2128</x:v>
      </x:c>
      <x:c r="W1184" t="n">
        <x:v>41.5</x:v>
      </x:c>
    </x:row>
    <x:row r="1185">
      <x:c r="A1185" t="str">
        <x:v>PJT_1184</x:v>
      </x:c>
      <x:c r="B1185" t="str">
        <x:v>Continental</x:v>
      </x:c>
      <x:c r="C1185" t="n">
        <x:v>33000</x:v>
      </x:c>
      <x:c r="D1185" t="n">
        <x:v>24</x:v>
      </x:c>
      <x:c r="E1185" t="str">
        <x:v>High</x:v>
      </x:c>
      <x:c r="F1185" t="str">
        <x:v>Mixed-use</x:v>
      </x:c>
      <x:c r="G1185" t="str">
        <x:v>Steel</x:v>
      </x:c>
      <x:c r="H1185" t="str">
        <x:v>Piles</x:v>
      </x:c>
      <x:c r="I1185" t="str">
        <x:v>Rock</x:v>
      </x:c>
      <x:c r="J1185" t="str">
        <x:v>Low</x:v>
      </x:c>
      <x:c r="K1185" t="n">
        <x:v>94281000</x:v>
      </x:c>
      <x:c r="L1185" t="n">
        <x:v>1795</x:v>
      </x:c>
      <x:c r="M1185" t="n">
        <x:v>634.6</x:v>
      </x:c>
      <x:c r="N1185" t="n">
        <x:v>11.7</x:v>
      </x:c>
      <x:c r="O1185" t="n">
        <x:v>51.6</x:v>
      </x:c>
      <x:c r="P1185" t="str">
        <x:v>Sunny</x:v>
      </x:c>
      <x:c r="Q1185" t="n">
        <x:v>93</x:v>
      </x:c>
      <x:c r="R1185" t="n">
        <x:v>88.9</x:v>
      </x:c>
      <x:c r="S1185" t="n">
        <x:v>0.108</x:v>
      </x:c>
      <x:c r="T1185" t="n">
        <x:v>20.9</x:v>
      </x:c>
      <x:c r="U1185" t="n">
        <x:v>1375</x:v>
      </x:c>
      <x:c r="V1185" t="n">
        <x:v>2857</x:v>
      </x:c>
      <x:c r="W1185" t="n">
        <x:v>54.4</x:v>
      </x:c>
    </x:row>
    <x:row r="1186">
      <x:c r="A1186" t="str">
        <x:v>PJT_1185</x:v>
      </x:c>
      <x:c r="B1186" t="str">
        <x:v>Continental</x:v>
      </x:c>
      <x:c r="C1186" t="n">
        <x:v>7090</x:v>
      </x:c>
      <x:c r="D1186" t="n">
        <x:v>4</x:v>
      </x:c>
      <x:c r="E1186" t="str">
        <x:v>Low</x:v>
      </x:c>
      <x:c r="F1186" t="str">
        <x:v>School</x:v>
      </x:c>
      <x:c r="G1186" t="str">
        <x:v>RC Frame</x:v>
      </x:c>
      <x:c r="H1186" t="str">
        <x:v>Raft</x:v>
      </x:c>
      <x:c r="I1186" t="str">
        <x:v>Soft Clay</x:v>
      </x:c>
      <x:c r="J1186" t="str">
        <x:v>Low</x:v>
      </x:c>
      <x:c r="K1186" t="n">
        <x:v>11251830</x:v>
      </x:c>
      <x:c r="L1186" t="n">
        <x:v>203</x:v>
      </x:c>
      <x:c r="M1186" t="n">
        <x:v>185.6</x:v>
      </x:c>
      <x:c r="N1186" t="n">
        <x:v>23.5</x:v>
      </x:c>
      <x:c r="O1186" t="n">
        <x:v>50.2</x:v>
      </x:c>
      <x:c r="P1186" t="str">
        <x:v>Sunny</x:v>
      </x:c>
      <x:c r="Q1186" t="n">
        <x:v>86</x:v>
      </x:c>
      <x:c r="R1186" t="n">
        <x:v>67.9</x:v>
      </x:c>
      <x:c r="S1186" t="n">
        <x:v>0.0756</x:v>
      </x:c>
      <x:c r="T1186" t="n">
        <x:v>13.1</x:v>
      </x:c>
      <x:c r="U1186" t="n">
        <x:v>1772.5</x:v>
      </x:c>
      <x:c r="V1186" t="n">
        <x:v>1587</x:v>
      </x:c>
      <x:c r="W1186" t="n">
        <x:v>28.7</x:v>
      </x:c>
    </x:row>
    <x:row r="1187">
      <x:c r="A1187" t="str">
        <x:v>PJT_1186</x:v>
      </x:c>
      <x:c r="B1187" t="str">
        <x:v>Continental</x:v>
      </x:c>
      <x:c r="C1187" t="n">
        <x:v>15600</x:v>
      </x:c>
      <x:c r="D1187" t="n">
        <x:v>12</x:v>
      </x:c>
      <x:c r="E1187" t="str">
        <x:v>Medium</x:v>
      </x:c>
      <x:c r="F1187" t="str">
        <x:v>Mixed-use</x:v>
      </x:c>
      <x:c r="G1187" t="str">
        <x:v>Steel</x:v>
      </x:c>
      <x:c r="H1187" t="str">
        <x:v>Piles</x:v>
      </x:c>
      <x:c r="I1187" t="str">
        <x:v>Sand</x:v>
      </x:c>
      <x:c r="J1187" t="str">
        <x:v>Medium</x:v>
      </x:c>
      <x:c r="K1187" t="n">
        <x:v>41761200</x:v>
      </x:c>
      <x:c r="L1187" t="n">
        <x:v>824</x:v>
      </x:c>
      <x:c r="M1187" t="n">
        <x:v>264.1</x:v>
      </x:c>
      <x:c r="N1187" t="n">
        <x:v>6.9</x:v>
      </x:c>
      <x:c r="O1187" t="n">
        <x:v>88.7</x:v>
      </x:c>
      <x:c r="P1187" t="str">
        <x:v>Stormy</x:v>
      </x:c>
      <x:c r="Q1187" t="n">
        <x:v>104</x:v>
      </x:c>
      <x:c r="R1187" t="n">
        <x:v>81.2</x:v>
      </x:c>
      <x:c r="S1187" t="n">
        <x:v>0.0998</x:v>
      </x:c>
      <x:c r="T1187" t="n">
        <x:v>18.6</x:v>
      </x:c>
      <x:c r="U1187" t="n">
        <x:v>1300</x:v>
      </x:c>
      <x:c r="V1187" t="n">
        <x:v>2677</x:v>
      </x:c>
      <x:c r="W1187" t="n">
        <x:v>52.8</x:v>
      </x:c>
    </x:row>
    <x:row r="1188">
      <x:c r="A1188" t="str">
        <x:v>PJT_1187</x:v>
      </x:c>
      <x:c r="B1188" t="str">
        <x:v>Marine</x:v>
      </x:c>
      <x:c r="C1188" t="n">
        <x:v>27660</x:v>
      </x:c>
      <x:c r="D1188" t="n">
        <x:v>20</x:v>
      </x:c>
      <x:c r="E1188" t="str">
        <x:v>Medium</x:v>
      </x:c>
      <x:c r="F1188" t="str">
        <x:v>Mixed-use</x:v>
      </x:c>
      <x:c r="G1188" t="str">
        <x:v>Steel</x:v>
      </x:c>
      <x:c r="H1188" t="str">
        <x:v>Piles</x:v>
      </x:c>
      <x:c r="I1188" t="str">
        <x:v>Sand</x:v>
      </x:c>
      <x:c r="J1188" t="str">
        <x:v>Low</x:v>
      </x:c>
      <x:c r="K1188" t="n">
        <x:v>74488380</x:v>
      </x:c>
      <x:c r="L1188" t="n">
        <x:v>1505</x:v>
      </x:c>
      <x:c r="M1188" t="n">
        <x:v>353.6</x:v>
      </x:c>
      <x:c r="N1188" t="n">
        <x:v>9</x:v>
      </x:c>
      <x:c r="O1188" t="n">
        <x:v>94</x:v>
      </x:c>
      <x:c r="P1188" t="str">
        <x:v>Stormy</x:v>
      </x:c>
      <x:c r="Q1188" t="n">
        <x:v>97</x:v>
      </x:c>
      <x:c r="R1188" t="n">
        <x:v>84.7</x:v>
      </x:c>
      <x:c r="S1188" t="n">
        <x:v>0.0999</x:v>
      </x:c>
      <x:c r="T1188" t="n">
        <x:v>17.7</x:v>
      </x:c>
      <x:c r="U1188" t="n">
        <x:v>1383</x:v>
      </x:c>
      <x:c r="V1188" t="n">
        <x:v>2693</x:v>
      </x:c>
      <x:c r="W1188" t="n">
        <x:v>54.4</x:v>
      </x:c>
    </x:row>
    <x:row r="1189">
      <x:c r="A1189" t="str">
        <x:v>PJT_1188</x:v>
      </x:c>
      <x:c r="B1189" t="str">
        <x:v>Continental</x:v>
      </x:c>
      <x:c r="C1189" t="n">
        <x:v>16470</x:v>
      </x:c>
      <x:c r="D1189" t="n">
        <x:v>17</x:v>
      </x:c>
      <x:c r="E1189" t="str">
        <x:v>Medium</x:v>
      </x:c>
      <x:c r="F1189" t="str">
        <x:v>Commercial</x:v>
      </x:c>
      <x:c r="G1189" t="str">
        <x:v>Steel</x:v>
      </x:c>
      <x:c r="H1189" t="str">
        <x:v>Raft</x:v>
      </x:c>
      <x:c r="I1189" t="str">
        <x:v>Rock</x:v>
      </x:c>
      <x:c r="J1189" t="str">
        <x:v>Low</x:v>
      </x:c>
      <x:c r="K1189" t="n">
        <x:v>39807990</x:v>
      </x:c>
      <x:c r="L1189" t="n">
        <x:v>786</x:v>
      </x:c>
      <x:c r="M1189" t="n">
        <x:v>699.3</x:v>
      </x:c>
      <x:c r="N1189" t="n">
        <x:v>14.8</x:v>
      </x:c>
      <x:c r="O1189" t="n">
        <x:v>72.9</x:v>
      </x:c>
      <x:c r="P1189" t="str">
        <x:v>Rainy</x:v>
      </x:c>
      <x:c r="Q1189" t="n">
        <x:v>111</x:v>
      </x:c>
      <x:c r="R1189" t="n">
        <x:v>78.5</x:v>
      </x:c>
      <x:c r="S1189" t="n">
        <x:v>0.0984</x:v>
      </x:c>
      <x:c r="T1189" t="n">
        <x:v>16.3</x:v>
      </x:c>
      <x:c r="U1189" t="n">
        <x:v>968.8</x:v>
      </x:c>
      <x:c r="V1189" t="n">
        <x:v>2417</x:v>
      </x:c>
      <x:c r="W1189" t="n">
        <x:v>47.7</x:v>
      </x:c>
    </x:row>
    <x:row r="1190">
      <x:c r="A1190" t="str">
        <x:v>PJT_1189</x:v>
      </x:c>
      <x:c r="B1190" t="str">
        <x:v>Continental</x:v>
      </x:c>
      <x:c r="C1190" t="n">
        <x:v>6530</x:v>
      </x:c>
      <x:c r="D1190" t="n">
        <x:v>3</x:v>
      </x:c>
      <x:c r="E1190" t="str">
        <x:v>Low</x:v>
      </x:c>
      <x:c r="F1190" t="str">
        <x:v>School</x:v>
      </x:c>
      <x:c r="G1190" t="str">
        <x:v>RC Frame</x:v>
      </x:c>
      <x:c r="H1190" t="str">
        <x:v>Raft</x:v>
      </x:c>
      <x:c r="I1190" t="str">
        <x:v>Soft Clay</x:v>
      </x:c>
      <x:c r="J1190" t="str">
        <x:v>Low</x:v>
      </x:c>
      <x:c r="K1190" t="n">
        <x:v>10160680</x:v>
      </x:c>
      <x:c r="L1190" t="n">
        <x:v>180</x:v>
      </x:c>
      <x:c r="M1190" t="n">
        <x:v>162.5</x:v>
      </x:c>
      <x:c r="N1190" t="n">
        <x:v>8.6</x:v>
      </x:c>
      <x:c r="O1190" t="n">
        <x:v>54.8</x:v>
      </x:c>
      <x:c r="P1190" t="str">
        <x:v>Sunny</x:v>
      </x:c>
      <x:c r="Q1190" t="n">
        <x:v>81</x:v>
      </x:c>
      <x:c r="R1190" t="n">
        <x:v>65.5</x:v>
      </x:c>
      <x:c r="S1190" t="n">
        <x:v>0.0777</x:v>
      </x:c>
      <x:c r="T1190" t="n">
        <x:v>14.3</x:v>
      </x:c>
      <x:c r="U1190" t="n">
        <x:v>2176.7</x:v>
      </x:c>
      <x:c r="V1190" t="n">
        <x:v>1556</x:v>
      </x:c>
      <x:c r="W1190" t="n">
        <x:v>26.2</x:v>
      </x:c>
    </x:row>
    <x:row r="1191">
      <x:c r="A1191" t="str">
        <x:v>PJT_1190</x:v>
      </x:c>
      <x:c r="B1191" t="str">
        <x:v>Mediterranean</x:v>
      </x:c>
      <x:c r="C1191" t="n">
        <x:v>17690</x:v>
      </x:c>
      <x:c r="D1191" t="n">
        <x:v>10</x:v>
      </x:c>
      <x:c r="E1191" t="str">
        <x:v>Medium</x:v>
      </x:c>
      <x:c r="F1191" t="str">
        <x:v>Commercial</x:v>
      </x:c>
      <x:c r="G1191" t="str">
        <x:v>RC Frame</x:v>
      </x:c>
      <x:c r="H1191" t="str">
        <x:v>Raft</x:v>
      </x:c>
      <x:c r="I1191" t="str">
        <x:v>Sand</x:v>
      </x:c>
      <x:c r="J1191" t="str">
        <x:v>High</x:v>
      </x:c>
      <x:c r="K1191" t="n">
        <x:v>40333200</x:v>
      </x:c>
      <x:c r="L1191" t="n">
        <x:v>699</x:v>
      </x:c>
      <x:c r="M1191" t="n">
        <x:v>304.7</x:v>
      </x:c>
      <x:c r="N1191" t="n">
        <x:v>23.9</x:v>
      </x:c>
      <x:c r="O1191" t="n">
        <x:v>54.2</x:v>
      </x:c>
      <x:c r="P1191" t="str">
        <x:v>Cloudy</x:v>
      </x:c>
      <x:c r="Q1191" t="n">
        <x:v>86</x:v>
      </x:c>
      <x:c r="R1191" t="n">
        <x:v>77.5</x:v>
      </x:c>
      <x:c r="S1191" t="n">
        <x:v>0.0944</x:v>
      </x:c>
      <x:c r="T1191" t="n">
        <x:v>16.6</x:v>
      </x:c>
      <x:c r="U1191" t="n">
        <x:v>1769</x:v>
      </x:c>
      <x:c r="V1191" t="n">
        <x:v>2280</x:v>
      </x:c>
      <x:c r="W1191" t="n">
        <x:v>39.5</x:v>
      </x:c>
    </x:row>
    <x:row r="1192">
      <x:c r="A1192" t="str">
        <x:v>PJT_1191</x:v>
      </x:c>
      <x:c r="B1192" t="str">
        <x:v>Marine</x:v>
      </x:c>
      <x:c r="C1192" t="n">
        <x:v>20540</x:v>
      </x:c>
      <x:c r="D1192" t="n">
        <x:v>18</x:v>
      </x:c>
      <x:c r="E1192" t="str">
        <x:v>Medium</x:v>
      </x:c>
      <x:c r="F1192" t="str">
        <x:v>Residential</x:v>
      </x:c>
      <x:c r="G1192" t="str">
        <x:v>Shear Wall</x:v>
      </x:c>
      <x:c r="H1192" t="str">
        <x:v>Piles</x:v>
      </x:c>
      <x:c r="I1192" t="str">
        <x:v>Mixed</x:v>
      </x:c>
      <x:c r="J1192" t="str">
        <x:v>Medium</x:v>
      </x:c>
      <x:c r="K1192" t="n">
        <x:v>35226100</x:v>
      </x:c>
      <x:c r="L1192" t="n">
        <x:v>838</x:v>
      </x:c>
      <x:c r="M1192" t="n">
        <x:v>402.6</x:v>
      </x:c>
      <x:c r="N1192" t="n">
        <x:v>8.2</x:v>
      </x:c>
      <x:c r="O1192" t="n">
        <x:v>65.5</x:v>
      </x:c>
      <x:c r="P1192" t="str">
        <x:v>Cloudy</x:v>
      </x:c>
      <x:c r="Q1192" t="n">
        <x:v>71</x:v>
      </x:c>
      <x:c r="R1192" t="n">
        <x:v>74.5</x:v>
      </x:c>
      <x:c r="S1192" t="n">
        <x:v>0.0807</x:v>
      </x:c>
      <x:c r="T1192" t="n">
        <x:v>13.8</x:v>
      </x:c>
      <x:c r="U1192" t="n">
        <x:v>1141.1</x:v>
      </x:c>
      <x:c r="V1192" t="n">
        <x:v>1715</x:v>
      </x:c>
      <x:c r="W1192" t="n">
        <x:v>40.8</x:v>
      </x:c>
    </x:row>
    <x:row r="1193">
      <x:c r="A1193" t="str">
        <x:v>PJT_1192</x:v>
      </x:c>
      <x:c r="B1193" t="str">
        <x:v>Continental</x:v>
      </x:c>
      <x:c r="C1193" t="n">
        <x:v>18420</x:v>
      </x:c>
      <x:c r="D1193" t="n">
        <x:v>20</x:v>
      </x:c>
      <x:c r="E1193" t="str">
        <x:v>Medium</x:v>
      </x:c>
      <x:c r="F1193" t="str">
        <x:v>Mixed-use</x:v>
      </x:c>
      <x:c r="G1193" t="str">
        <x:v>Steel</x:v>
      </x:c>
      <x:c r="H1193" t="str">
        <x:v>Piles</x:v>
      </x:c>
      <x:c r="I1193" t="str">
        <x:v>Sand</x:v>
      </x:c>
      <x:c r="J1193" t="str">
        <x:v>Low</x:v>
      </x:c>
      <x:c r="K1193" t="n">
        <x:v>49549800</x:v>
      </x:c>
      <x:c r="L1193" t="n">
        <x:v>995</x:v>
      </x:c>
      <x:c r="M1193" t="n">
        <x:v>291.5</x:v>
      </x:c>
      <x:c r="N1193" t="n">
        <x:v>-6.1</x:v>
      </x:c>
      <x:c r="O1193" t="n">
        <x:v>63</x:v>
      </x:c>
      <x:c r="P1193" t="str">
        <x:v>Snowy</x:v>
      </x:c>
      <x:c r="Q1193" t="n">
        <x:v>97</x:v>
      </x:c>
      <x:c r="R1193" t="n">
        <x:v>79.3</x:v>
      </x:c>
      <x:c r="S1193" t="n">
        <x:v>0.1053</x:v>
      </x:c>
      <x:c r="T1193" t="n">
        <x:v>18</x:v>
      </x:c>
      <x:c r="U1193" t="n">
        <x:v>921</x:v>
      </x:c>
      <x:c r="V1193" t="n">
        <x:v>2690</x:v>
      </x:c>
      <x:c r="W1193" t="n">
        <x:v>54</x:v>
      </x:c>
    </x:row>
    <x:row r="1194">
      <x:c r="A1194" t="str">
        <x:v>PJT_1193</x:v>
      </x:c>
      <x:c r="B1194" t="str">
        <x:v>Continental</x:v>
      </x:c>
      <x:c r="C1194" t="n">
        <x:v>11230</x:v>
      </x:c>
      <x:c r="D1194" t="n">
        <x:v>12</x:v>
      </x:c>
      <x:c r="E1194" t="str">
        <x:v>Medium</x:v>
      </x:c>
      <x:c r="F1194" t="str">
        <x:v>Residential</x:v>
      </x:c>
      <x:c r="G1194" t="str">
        <x:v>Shear Wall</x:v>
      </x:c>
      <x:c r="H1194" t="str">
        <x:v>Raft</x:v>
      </x:c>
      <x:c r="I1194" t="str">
        <x:v>Mixed</x:v>
      </x:c>
      <x:c r="J1194" t="str">
        <x:v>High</x:v>
      </x:c>
      <x:c r="K1194" t="n">
        <x:v>17900620</x:v>
      </x:c>
      <x:c r="L1194" t="n">
        <x:v>467</x:v>
      </x:c>
      <x:c r="M1194" t="n">
        <x:v>289.4</x:v>
      </x:c>
      <x:c r="N1194" t="n">
        <x:v>-3.4</x:v>
      </x:c>
      <x:c r="O1194" t="n">
        <x:v>63.4</x:v>
      </x:c>
      <x:c r="P1194" t="str">
        <x:v>Snowy</x:v>
      </x:c>
      <x:c r="Q1194" t="n">
        <x:v>81</x:v>
      </x:c>
      <x:c r="R1194" t="n">
        <x:v>71.2</x:v>
      </x:c>
      <x:c r="S1194" t="n">
        <x:v>0.0858</x:v>
      </x:c>
      <x:c r="T1194" t="n">
        <x:v>13.1</x:v>
      </x:c>
      <x:c r="U1194" t="n">
        <x:v>935.8</x:v>
      </x:c>
      <x:c r="V1194" t="n">
        <x:v>1594</x:v>
      </x:c>
      <x:c r="W1194" t="n">
        <x:v>41.6</x:v>
      </x:c>
    </x:row>
    <x:row r="1195">
      <x:c r="A1195" t="str">
        <x:v>PJT_1194</x:v>
      </x:c>
      <x:c r="B1195" t="str">
        <x:v>Marine</x:v>
      </x:c>
      <x:c r="C1195" t="n">
        <x:v>15870</x:v>
      </x:c>
      <x:c r="D1195" t="n">
        <x:v>17</x:v>
      </x:c>
      <x:c r="E1195" t="str">
        <x:v>Low</x:v>
      </x:c>
      <x:c r="F1195" t="str">
        <x:v>Residential</x:v>
      </x:c>
      <x:c r="G1195" t="str">
        <x:v>RC Frame</x:v>
      </x:c>
      <x:c r="H1195" t="str">
        <x:v>Piles</x:v>
      </x:c>
      <x:c r="I1195" t="str">
        <x:v>Mixed</x:v>
      </x:c>
      <x:c r="J1195" t="str">
        <x:v>Low</x:v>
      </x:c>
      <x:c r="K1195" t="n">
        <x:v>21487980</x:v>
      </x:c>
      <x:c r="L1195" t="n">
        <x:v>536</x:v>
      </x:c>
      <x:c r="M1195" t="n">
        <x:v>377.1</x:v>
      </x:c>
      <x:c r="N1195" t="n">
        <x:v>17.2</x:v>
      </x:c>
      <x:c r="O1195" t="n">
        <x:v>63.7</x:v>
      </x:c>
      <x:c r="P1195" t="str">
        <x:v>Cloudy</x:v>
      </x:c>
      <x:c r="Q1195" t="n">
        <x:v>79</x:v>
      </x:c>
      <x:c r="R1195" t="n">
        <x:v>66.6</x:v>
      </x:c>
      <x:c r="S1195" t="n">
        <x:v>0.0728</x:v>
      </x:c>
      <x:c r="T1195" t="n">
        <x:v>12.3</x:v>
      </x:c>
      <x:c r="U1195" t="n">
        <x:v>933.5</x:v>
      </x:c>
      <x:c r="V1195" t="n">
        <x:v>1354</x:v>
      </x:c>
      <x:c r="W1195" t="n">
        <x:v>33.8</x:v>
      </x:c>
    </x:row>
    <x:row r="1196">
      <x:c r="A1196" t="str">
        <x:v>PJT_1195</x:v>
      </x:c>
      <x:c r="B1196" t="str">
        <x:v>Continental</x:v>
      </x:c>
      <x:c r="C1196" t="n">
        <x:v>11280</x:v>
      </x:c>
      <x:c r="D1196" t="n">
        <x:v>12</x:v>
      </x:c>
      <x:c r="E1196" t="str">
        <x:v>Low</x:v>
      </x:c>
      <x:c r="F1196" t="str">
        <x:v>Residential</x:v>
      </x:c>
      <x:c r="G1196" t="str">
        <x:v>RC Frame</x:v>
      </x:c>
      <x:c r="H1196" t="str">
        <x:v>Piles</x:v>
      </x:c>
      <x:c r="I1196" t="str">
        <x:v>Soft Clay</x:v>
      </x:c>
      <x:c r="J1196" t="str">
        <x:v>Low</x:v>
      </x:c>
      <x:c r="K1196" t="n">
        <x:v>15600240</x:v>
      </x:c>
      <x:c r="L1196" t="n">
        <x:v>388</x:v>
      </x:c>
      <x:c r="M1196" t="n">
        <x:v>174.8</x:v>
      </x:c>
      <x:c r="N1196" t="n">
        <x:v>7</x:v>
      </x:c>
      <x:c r="O1196" t="n">
        <x:v>67.2</x:v>
      </x:c>
      <x:c r="P1196" t="str">
        <x:v>Rainy</x:v>
      </x:c>
      <x:c r="Q1196" t="n">
        <x:v>81</x:v>
      </x:c>
      <x:c r="R1196" t="n">
        <x:v>69.5</x:v>
      </x:c>
      <x:c r="S1196" t="n">
        <x:v>0.0703</x:v>
      </x:c>
      <x:c r="T1196" t="n">
        <x:v>12.7</x:v>
      </x:c>
      <x:c r="U1196" t="n">
        <x:v>940</x:v>
      </x:c>
      <x:c r="V1196" t="n">
        <x:v>1383</x:v>
      </x:c>
      <x:c r="W1196" t="n">
        <x:v>34.4</x:v>
      </x:c>
    </x:row>
    <x:row r="1197">
      <x:c r="A1197" t="str">
        <x:v>PJT_1196</x:v>
      </x:c>
      <x:c r="B1197" t="str">
        <x:v>Continental</x:v>
      </x:c>
      <x:c r="C1197" t="n">
        <x:v>22740</x:v>
      </x:c>
      <x:c r="D1197" t="n">
        <x:v>18</x:v>
      </x:c>
      <x:c r="E1197" t="str">
        <x:v>Medium</x:v>
      </x:c>
      <x:c r="F1197" t="str">
        <x:v>Mixed-use</x:v>
      </x:c>
      <x:c r="G1197" t="str">
        <x:v>Steel</x:v>
      </x:c>
      <x:c r="H1197" t="str">
        <x:v>Piles</x:v>
      </x:c>
      <x:c r="I1197" t="str">
        <x:v>Soft Clay</x:v>
      </x:c>
      <x:c r="J1197" t="str">
        <x:v>High</x:v>
      </x:c>
      <x:c r="K1197" t="n">
        <x:v>64968180</x:v>
      </x:c>
      <x:c r="L1197" t="n">
        <x:v>1153</x:v>
      </x:c>
      <x:c r="M1197" t="n">
        <x:v>207.9</x:v>
      </x:c>
      <x:c r="N1197" t="n">
        <x:v>9.2</x:v>
      </x:c>
      <x:c r="O1197" t="n">
        <x:v>52</x:v>
      </x:c>
      <x:c r="P1197" t="str">
        <x:v>Cloudy</x:v>
      </x:c>
      <x:c r="Q1197" t="n">
        <x:v>76</x:v>
      </x:c>
      <x:c r="R1197" t="n">
        <x:v>80.4</x:v>
      </x:c>
      <x:c r="S1197" t="n">
        <x:v>0.1003</x:v>
      </x:c>
      <x:c r="T1197" t="n">
        <x:v>17.6</x:v>
      </x:c>
      <x:c r="U1197" t="n">
        <x:v>1263.3</x:v>
      </x:c>
      <x:c r="V1197" t="n">
        <x:v>2857</x:v>
      </x:c>
      <x:c r="W1197" t="n">
        <x:v>50.7</x:v>
      </x:c>
    </x:row>
    <x:row r="1198">
      <x:c r="A1198" t="str">
        <x:v>PJT_1197</x:v>
      </x:c>
      <x:c r="B1198" t="str">
        <x:v>Continental</x:v>
      </x:c>
      <x:c r="C1198" t="n">
        <x:v>19560</x:v>
      </x:c>
      <x:c r="D1198" t="n">
        <x:v>18</x:v>
      </x:c>
      <x:c r="E1198" t="str">
        <x:v>Medium</x:v>
      </x:c>
      <x:c r="F1198" t="str">
        <x:v>Commercial</x:v>
      </x:c>
      <x:c r="G1198" t="str">
        <x:v>Steel</x:v>
      </x:c>
      <x:c r="H1198" t="str">
        <x:v>Piles</x:v>
      </x:c>
      <x:c r="I1198" t="str">
        <x:v>Sand</x:v>
      </x:c>
      <x:c r="J1198" t="str">
        <x:v>Low</x:v>
      </x:c>
      <x:c r="K1198" t="n">
        <x:v>47569920</x:v>
      </x:c>
      <x:c r="L1198" t="n">
        <x:v>902</x:v>
      </x:c>
      <x:c r="M1198" t="n">
        <x:v>281.1</x:v>
      </x:c>
      <x:c r="N1198" t="n">
        <x:v>2.2</x:v>
      </x:c>
      <x:c r="O1198" t="n">
        <x:v>59.1</x:v>
      </x:c>
      <x:c r="P1198" t="str">
        <x:v>Cloudy</x:v>
      </x:c>
      <x:c r="Q1198" t="n">
        <x:v>92</x:v>
      </x:c>
      <x:c r="R1198" t="n">
        <x:v>81.3</x:v>
      </x:c>
      <x:c r="S1198" t="n">
        <x:v>0.1005</x:v>
      </x:c>
      <x:c r="T1198" t="n">
        <x:v>16.9</x:v>
      </x:c>
      <x:c r="U1198" t="n">
        <x:v>1086.7</x:v>
      </x:c>
      <x:c r="V1198" t="n">
        <x:v>2432</x:v>
      </x:c>
      <x:c r="W1198" t="n">
        <x:v>46.1</x:v>
      </x:c>
    </x:row>
    <x:row r="1199">
      <x:c r="A1199" t="str">
        <x:v>PJT_1198</x:v>
      </x:c>
      <x:c r="B1199" t="str">
        <x:v>Continental</x:v>
      </x:c>
      <x:c r="C1199" t="n">
        <x:v>32420</x:v>
      </x:c>
      <x:c r="D1199" t="n">
        <x:v>23</x:v>
      </x:c>
      <x:c r="E1199" t="str">
        <x:v>High</x:v>
      </x:c>
      <x:c r="F1199" t="str">
        <x:v>Mixed-use</x:v>
      </x:c>
      <x:c r="G1199" t="str">
        <x:v>Steel</x:v>
      </x:c>
      <x:c r="H1199" t="str">
        <x:v>Piles</x:v>
      </x:c>
      <x:c r="I1199" t="str">
        <x:v>Mixed</x:v>
      </x:c>
      <x:c r="J1199" t="str">
        <x:v>High</x:v>
      </x:c>
      <x:c r="K1199" t="n">
        <x:v>95087860</x:v>
      </x:c>
      <x:c r="L1199" t="n">
        <x:v>1841</x:v>
      </x:c>
      <x:c r="M1199" t="n">
        <x:v>344.7</x:v>
      </x:c>
      <x:c r="N1199" t="n">
        <x:v>9.4</x:v>
      </x:c>
      <x:c r="O1199" t="n">
        <x:v>80.2</x:v>
      </x:c>
      <x:c r="P1199" t="str">
        <x:v>Rainy</x:v>
      </x:c>
      <x:c r="Q1199" t="n">
        <x:v>86</x:v>
      </x:c>
      <x:c r="R1199" t="n">
        <x:v>91.5</x:v>
      </x:c>
      <x:c r="S1199" t="n">
        <x:v>0.109</x:v>
      </x:c>
      <x:c r="T1199" t="n">
        <x:v>20.1</x:v>
      </x:c>
      <x:c r="U1199" t="n">
        <x:v>1409.6</x:v>
      </x:c>
      <x:c r="V1199" t="n">
        <x:v>2933</x:v>
      </x:c>
      <x:c r="W1199" t="n">
        <x:v>56.8</x:v>
      </x:c>
    </x:row>
    <x:row r="1200">
      <x:c r="A1200" t="str">
        <x:v>PJT_1199</x:v>
      </x:c>
      <x:c r="B1200" t="str">
        <x:v>Marine</x:v>
      </x:c>
      <x:c r="C1200" t="n">
        <x:v>33250</x:v>
      </x:c>
      <x:c r="D1200" t="n">
        <x:v>26</x:v>
      </x:c>
      <x:c r="E1200" t="str">
        <x:v>High</x:v>
      </x:c>
      <x:c r="F1200" t="str">
        <x:v>Mixed-use</x:v>
      </x:c>
      <x:c r="G1200" t="str">
        <x:v>Steel</x:v>
      </x:c>
      <x:c r="H1200" t="str">
        <x:v>Piles</x:v>
      </x:c>
      <x:c r="I1200" t="str">
        <x:v>Mixed</x:v>
      </x:c>
      <x:c r="J1200" t="str">
        <x:v>High</x:v>
      </x:c>
      <x:c r="K1200" t="n">
        <x:v>98453250</x:v>
      </x:c>
      <x:c r="L1200" t="n">
        <x:v>1889</x:v>
      </x:c>
      <x:c r="M1200" t="n">
        <x:v>288.9</x:v>
      </x:c>
      <x:c r="N1200" t="n">
        <x:v>7.8</x:v>
      </x:c>
      <x:c r="O1200" t="n">
        <x:v>76.5</x:v>
      </x:c>
      <x:c r="P1200" t="str">
        <x:v>Rainy</x:v>
      </x:c>
      <x:c r="Q1200" t="n">
        <x:v>92</x:v>
      </x:c>
      <x:c r="R1200" t="n">
        <x:v>92</x:v>
      </x:c>
      <x:c r="S1200" t="n">
        <x:v>0.1086</x:v>
      </x:c>
      <x:c r="T1200" t="n">
        <x:v>20</x:v>
      </x:c>
      <x:c r="U1200" t="n">
        <x:v>1278.8</x:v>
      </x:c>
      <x:c r="V1200" t="n">
        <x:v>2961</x:v>
      </x:c>
      <x:c r="W1200" t="n">
        <x:v>56.8</x:v>
      </x:c>
    </x:row>
    <x:row r="1201">
      <x:c r="A1201" t="str">
        <x:v>PJT_1200</x:v>
      </x:c>
      <x:c r="B1201" t="str">
        <x:v>Humid Subtropical</x:v>
      </x:c>
      <x:c r="C1201" t="n">
        <x:v>20060</x:v>
      </x:c>
      <x:c r="D1201" t="n">
        <x:v>12</x:v>
      </x:c>
      <x:c r="E1201" t="str">
        <x:v>Medium</x:v>
      </x:c>
      <x:c r="F1201" t="str">
        <x:v>Commercial</x:v>
      </x:c>
      <x:c r="G1201" t="str">
        <x:v>Steel</x:v>
      </x:c>
      <x:c r="H1201" t="str">
        <x:v>Piles</x:v>
      </x:c>
      <x:c r="I1201" t="str">
        <x:v>Sand</x:v>
      </x:c>
      <x:c r="J1201" t="str">
        <x:v>Low</x:v>
      </x:c>
      <x:c r="K1201" t="n">
        <x:v>46358660</x:v>
      </x:c>
      <x:c r="L1201" t="n">
        <x:v>947</x:v>
      </x:c>
      <x:c r="M1201" t="n">
        <x:v>258.7</x:v>
      </x:c>
      <x:c r="N1201" t="n">
        <x:v>26.6</x:v>
      </x:c>
      <x:c r="O1201" t="n">
        <x:v>83.7</x:v>
      </x:c>
      <x:c r="P1201" t="str">
        <x:v>Rainy</x:v>
      </x:c>
      <x:c r="Q1201" t="n">
        <x:v>93</x:v>
      </x:c>
      <x:c r="R1201" t="n">
        <x:v>80.4</x:v>
      </x:c>
      <x:c r="S1201" t="n">
        <x:v>0.0956</x:v>
      </x:c>
      <x:c r="T1201" t="n">
        <x:v>18</x:v>
      </x:c>
      <x:c r="U1201" t="n">
        <x:v>1671.7</x:v>
      </x:c>
      <x:c r="V1201" t="n">
        <x:v>2311</x:v>
      </x:c>
      <x:c r="W1201" t="n">
        <x:v>47.2</x:v>
      </x:c>
    </x:row>
    <x:row r="1202">
      <x:c r="A1202" t="str">
        <x:v>PJT_1201</x:v>
      </x:c>
      <x:c r="B1202" t="str">
        <x:v>Continental</x:v>
      </x:c>
      <x:c r="C1202" t="n">
        <x:v>22730</x:v>
      </x:c>
      <x:c r="D1202" t="n">
        <x:v>12</x:v>
      </x:c>
      <x:c r="E1202" t="str">
        <x:v>Medium</x:v>
      </x:c>
      <x:c r="F1202" t="str">
        <x:v>Mixed-use</x:v>
      </x:c>
      <x:c r="G1202" t="str">
        <x:v>Steel</x:v>
      </x:c>
      <x:c r="H1202" t="str">
        <x:v>Raft</x:v>
      </x:c>
      <x:c r="I1202" t="str">
        <x:v>Rock</x:v>
      </x:c>
      <x:c r="J1202" t="str">
        <x:v>Medium</x:v>
      </x:c>
      <x:c r="K1202" t="n">
        <x:v>58484290</x:v>
      </x:c>
      <x:c r="L1202" t="n">
        <x:v>1134</x:v>
      </x:c>
      <x:c r="M1202" t="n">
        <x:v>640.2</x:v>
      </x:c>
      <x:c r="N1202" t="n">
        <x:v>-8</x:v>
      </x:c>
      <x:c r="O1202" t="n">
        <x:v>64.3</x:v>
      </x:c>
      <x:c r="P1202" t="str">
        <x:v>Snowy</x:v>
      </x:c>
      <x:c r="Q1202" t="n">
        <x:v>86</x:v>
      </x:c>
      <x:c r="R1202" t="n">
        <x:v>79.1</x:v>
      </x:c>
      <x:c r="S1202" t="n">
        <x:v>0.1003</x:v>
      </x:c>
      <x:c r="T1202" t="n">
        <x:v>18.3</x:v>
      </x:c>
      <x:c r="U1202" t="n">
        <x:v>1894.2</x:v>
      </x:c>
      <x:c r="V1202" t="n">
        <x:v>2573</x:v>
      </x:c>
      <x:c r="W1202" t="n">
        <x:v>49.9</x:v>
      </x:c>
    </x:row>
    <x:row r="1203">
      <x:c r="A1203" t="str">
        <x:v>PJT_1202</x:v>
      </x:c>
      <x:c r="B1203" t="str">
        <x:v>Continental</x:v>
      </x:c>
      <x:c r="C1203" t="n">
        <x:v>17950</x:v>
      </x:c>
      <x:c r="D1203" t="n">
        <x:v>14</x:v>
      </x:c>
      <x:c r="E1203" t="str">
        <x:v>Medium</x:v>
      </x:c>
      <x:c r="F1203" t="str">
        <x:v>Commercial</x:v>
      </x:c>
      <x:c r="G1203" t="str">
        <x:v>Steel</x:v>
      </x:c>
      <x:c r="H1203" t="str">
        <x:v>Piles</x:v>
      </x:c>
      <x:c r="I1203" t="str">
        <x:v>Soft Clay</x:v>
      </x:c>
      <x:c r="J1203" t="str">
        <x:v>Medium</x:v>
      </x:c>
      <x:c r="K1203" t="n">
        <x:v>42954350</x:v>
      </x:c>
      <x:c r="L1203" t="n">
        <x:v>865</x:v>
      </x:c>
      <x:c r="M1203" t="n">
        <x:v>221.2</x:v>
      </x:c>
      <x:c r="N1203" t="n">
        <x:v>-9.5</x:v>
      </x:c>
      <x:c r="O1203" t="n">
        <x:v>82.8</x:v>
      </x:c>
      <x:c r="P1203" t="str">
        <x:v>Snowy</x:v>
      </x:c>
      <x:c r="Q1203" t="n">
        <x:v>78</x:v>
      </x:c>
      <x:c r="R1203" t="n">
        <x:v>81.7</x:v>
      </x:c>
      <x:c r="S1203" t="n">
        <x:v>0.0992</x:v>
      </x:c>
      <x:c r="T1203" t="n">
        <x:v>16.7</x:v>
      </x:c>
      <x:c r="U1203" t="n">
        <x:v>1282.1</x:v>
      </x:c>
      <x:c r="V1203" t="n">
        <x:v>2393</x:v>
      </x:c>
      <x:c r="W1203" t="n">
        <x:v>48.2</x:v>
      </x:c>
    </x:row>
    <x:row r="1204">
      <x:c r="A1204" t="str">
        <x:v>PJT_1203</x:v>
      </x:c>
      <x:c r="B1204" t="str">
        <x:v>Continental</x:v>
      </x:c>
      <x:c r="C1204" t="n">
        <x:v>20480</x:v>
      </x:c>
      <x:c r="D1204" t="n">
        <x:v>15</x:v>
      </x:c>
      <x:c r="E1204" t="str">
        <x:v>Medium</x:v>
      </x:c>
      <x:c r="F1204" t="str">
        <x:v>Mixed-use</x:v>
      </x:c>
      <x:c r="G1204" t="str">
        <x:v>Steel</x:v>
      </x:c>
      <x:c r="H1204" t="str">
        <x:v>Piles</x:v>
      </x:c>
      <x:c r="I1204" t="str">
        <x:v>Sand</x:v>
      </x:c>
      <x:c r="J1204" t="str">
        <x:v>Low</x:v>
      </x:c>
      <x:c r="K1204" t="n">
        <x:v>52490240</x:v>
      </x:c>
      <x:c r="L1204" t="n">
        <x:v>997</x:v>
      </x:c>
      <x:c r="M1204" t="n">
        <x:v>329.2</x:v>
      </x:c>
      <x:c r="N1204" t="n">
        <x:v>3.7</x:v>
      </x:c>
      <x:c r="O1204" t="n">
        <x:v>51.9</x:v>
      </x:c>
      <x:c r="P1204" t="str">
        <x:v>Cloudy</x:v>
      </x:c>
      <x:c r="Q1204" t="n">
        <x:v>98</x:v>
      </x:c>
      <x:c r="R1204" t="n">
        <x:v>86.2</x:v>
      </x:c>
      <x:c r="S1204" t="n">
        <x:v>0.1047</x:v>
      </x:c>
      <x:c r="T1204" t="n">
        <x:v>18.5</x:v>
      </x:c>
      <x:c r="U1204" t="n">
        <x:v>1365.3</x:v>
      </x:c>
      <x:c r="V1204" t="n">
        <x:v>2563</x:v>
      </x:c>
      <x:c r="W1204" t="n">
        <x:v>48.7</x:v>
      </x:c>
    </x:row>
    <x:row r="1205">
      <x:c r="A1205" t="str">
        <x:v>PJT_1204</x:v>
      </x:c>
      <x:c r="B1205" t="str">
        <x:v>Mediterranean</x:v>
      </x:c>
      <x:c r="C1205" t="n">
        <x:v>32570</x:v>
      </x:c>
      <x:c r="D1205" t="n">
        <x:v>16</x:v>
      </x:c>
      <x:c r="E1205" t="str">
        <x:v>Medium</x:v>
      </x:c>
      <x:c r="F1205" t="str">
        <x:v>Commercial</x:v>
      </x:c>
      <x:c r="G1205" t="str">
        <x:v>Steel</x:v>
      </x:c>
      <x:c r="H1205" t="str">
        <x:v>Piles</x:v>
      </x:c>
      <x:c r="I1205" t="str">
        <x:v>Sand</x:v>
      </x:c>
      <x:c r="J1205" t="str">
        <x:v>High</x:v>
      </x:c>
      <x:c r="K1205" t="n">
        <x:v>87971570</x:v>
      </x:c>
      <x:c r="L1205" t="n">
        <x:v>1401</x:v>
      </x:c>
      <x:c r="M1205" t="n">
        <x:v>251.6</x:v>
      </x:c>
      <x:c r="N1205" t="n">
        <x:v>22.1</x:v>
      </x:c>
      <x:c r="O1205" t="n">
        <x:v>43</x:v>
      </x:c>
      <x:c r="P1205" t="str">
        <x:v>Sunny</x:v>
      </x:c>
      <x:c r="Q1205" t="n">
        <x:v>74</x:v>
      </x:c>
      <x:c r="R1205" t="n">
        <x:v>74.9</x:v>
      </x:c>
      <x:c r="S1205" t="n">
        <x:v>0.0947</x:v>
      </x:c>
      <x:c r="T1205" t="n">
        <x:v>16.2</x:v>
      </x:c>
      <x:c r="U1205" t="n">
        <x:v>2035.6</x:v>
      </x:c>
      <x:c r="V1205" t="n">
        <x:v>2701</x:v>
      </x:c>
      <x:c r="W1205" t="n">
        <x:v>43</x:v>
      </x:c>
    </x:row>
    <x:row r="1206">
      <x:c r="A1206" t="str">
        <x:v>PJT_1205</x:v>
      </x:c>
      <x:c r="B1206" t="str">
        <x:v>Humid Subtropical</x:v>
      </x:c>
      <x:c r="C1206" t="n">
        <x:v>11190</x:v>
      </x:c>
      <x:c r="D1206" t="n">
        <x:v>10</x:v>
      </x:c>
      <x:c r="E1206" t="str">
        <x:v>Medium</x:v>
      </x:c>
      <x:c r="F1206" t="str">
        <x:v>Commercial</x:v>
      </x:c>
      <x:c r="G1206" t="str">
        <x:v>Steel</x:v>
      </x:c>
      <x:c r="H1206" t="str">
        <x:v>Piles</x:v>
      </x:c>
      <x:c r="I1206" t="str">
        <x:v>Soft Clay</x:v>
      </x:c>
      <x:c r="J1206" t="str">
        <x:v>Low</x:v>
      </x:c>
      <x:c r="K1206" t="n">
        <x:v>27337170</x:v>
      </x:c>
      <x:c r="L1206" t="n">
        <x:v>486</x:v>
      </x:c>
      <x:c r="M1206" t="n">
        <x:v>163.5</x:v>
      </x:c>
      <x:c r="N1206" t="n">
        <x:v>32.2</x:v>
      </x:c>
      <x:c r="O1206" t="n">
        <x:v>66.8</x:v>
      </x:c>
      <x:c r="P1206" t="str">
        <x:v>Sunny</x:v>
      </x:c>
      <x:c r="Q1206" t="n">
        <x:v>86</x:v>
      </x:c>
      <x:c r="R1206" t="n">
        <x:v>71.7</x:v>
      </x:c>
      <x:c r="S1206" t="n">
        <x:v>0.0991</x:v>
      </x:c>
      <x:c r="T1206" t="n">
        <x:v>17.7</x:v>
      </x:c>
      <x:c r="U1206" t="n">
        <x:v>1119</x:v>
      </x:c>
      <x:c r="V1206" t="n">
        <x:v>2443</x:v>
      </x:c>
      <x:c r="W1206" t="n">
        <x:v>43.4</x:v>
      </x:c>
    </x:row>
    <x:row r="1207">
      <x:c r="A1207" t="str">
        <x:v>PJT_1206</x:v>
      </x:c>
      <x:c r="B1207" t="str">
        <x:v>Continental</x:v>
      </x:c>
      <x:c r="C1207" t="n">
        <x:v>10040</x:v>
      </x:c>
      <x:c r="D1207" t="n">
        <x:v>14</x:v>
      </x:c>
      <x:c r="E1207" t="str">
        <x:v>Low</x:v>
      </x:c>
      <x:c r="F1207" t="str">
        <x:v>Residential</x:v>
      </x:c>
      <x:c r="G1207" t="str">
        <x:v>RC Frame</x:v>
      </x:c>
      <x:c r="H1207" t="str">
        <x:v>Raft</x:v>
      </x:c>
      <x:c r="I1207" t="str">
        <x:v>Mixed</x:v>
      </x:c>
      <x:c r="J1207" t="str">
        <x:v>Low</x:v>
      </x:c>
      <x:c r="K1207" t="n">
        <x:v>12700600</x:v>
      </x:c>
      <x:c r="L1207" t="n">
        <x:v>353</x:v>
      </x:c>
      <x:c r="M1207" t="n">
        <x:v>366.9</x:v>
      </x:c>
      <x:c r="N1207" t="n">
        <x:v>6.5</x:v>
      </x:c>
      <x:c r="O1207" t="n">
        <x:v>71.3</x:v>
      </x:c>
      <x:c r="P1207" t="str">
        <x:v>Stormy</x:v>
      </x:c>
      <x:c r="Q1207" t="n">
        <x:v>69</x:v>
      </x:c>
      <x:c r="R1207" t="n">
        <x:v>63</x:v>
      </x:c>
      <x:c r="S1207" t="n">
        <x:v>0.0706</x:v>
      </x:c>
      <x:c r="T1207" t="n">
        <x:v>12.7</x:v>
      </x:c>
      <x:c r="U1207" t="n">
        <x:v>717.1</x:v>
      </x:c>
      <x:c r="V1207" t="n">
        <x:v>1265</x:v>
      </x:c>
      <x:c r="W1207" t="n">
        <x:v>35.2</x:v>
      </x:c>
    </x:row>
    <x:row r="1208">
      <x:c r="A1208" t="str">
        <x:v>PJT_1207</x:v>
      </x:c>
      <x:c r="B1208" t="str">
        <x:v>Continental</x:v>
      </x:c>
      <x:c r="C1208" t="n">
        <x:v>18880</x:v>
      </x:c>
      <x:c r="D1208" t="n">
        <x:v>9</x:v>
      </x:c>
      <x:c r="E1208" t="str">
        <x:v>Medium</x:v>
      </x:c>
      <x:c r="F1208" t="str">
        <x:v>Hospital</x:v>
      </x:c>
      <x:c r="G1208" t="str">
        <x:v>Steel</x:v>
      </x:c>
      <x:c r="H1208" t="str">
        <x:v>Raft</x:v>
      </x:c>
      <x:c r="I1208" t="str">
        <x:v>Rock</x:v>
      </x:c>
      <x:c r="J1208" t="str">
        <x:v>Low</x:v>
      </x:c>
      <x:c r="K1208" t="n">
        <x:v>57489600</x:v>
      </x:c>
      <x:c r="L1208" t="n">
        <x:v>984</x:v>
      </x:c>
      <x:c r="M1208" t="n">
        <x:v>627.2</x:v>
      </x:c>
      <x:c r="N1208" t="n">
        <x:v>7.1</x:v>
      </x:c>
      <x:c r="O1208" t="n">
        <x:v>75.3</x:v>
      </x:c>
      <x:c r="P1208" t="str">
        <x:v>Rainy</x:v>
      </x:c>
      <x:c r="Q1208" t="n">
        <x:v>99</x:v>
      </x:c>
      <x:c r="R1208" t="n">
        <x:v>85.2</x:v>
      </x:c>
      <x:c r="S1208" t="n">
        <x:v>0.1093</x:v>
      </x:c>
      <x:c r="T1208" t="n">
        <x:v>20.5</x:v>
      </x:c>
      <x:c r="U1208" t="n">
        <x:v>2097.8</x:v>
      </x:c>
      <x:c r="V1208" t="n">
        <x:v>3045</x:v>
      </x:c>
      <x:c r="W1208" t="n">
        <x:v>52.1</x:v>
      </x:c>
    </x:row>
    <x:row r="1209">
      <x:c r="A1209" t="str">
        <x:v>PJT_1208</x:v>
      </x:c>
      <x:c r="B1209" t="str">
        <x:v>Continental</x:v>
      </x:c>
      <x:c r="C1209" t="n">
        <x:v>17590</x:v>
      </x:c>
      <x:c r="D1209" t="n">
        <x:v>15</x:v>
      </x:c>
      <x:c r="E1209" t="str">
        <x:v>Medium</x:v>
      </x:c>
      <x:c r="F1209" t="str">
        <x:v>Mixed-use</x:v>
      </x:c>
      <x:c r="G1209" t="str">
        <x:v>Steel</x:v>
      </x:c>
      <x:c r="H1209" t="str">
        <x:v>Raft</x:v>
      </x:c>
      <x:c r="I1209" t="str">
        <x:v>Rock</x:v>
      </x:c>
      <x:c r="J1209" t="str">
        <x:v>High</x:v>
      </x:c>
      <x:c r="K1209" t="n">
        <x:v>45980260</x:v>
      </x:c>
      <x:c r="L1209" t="n">
        <x:v>800</x:v>
      </x:c>
      <x:c r="M1209" t="n">
        <x:v>767.9</x:v>
      </x:c>
      <x:c r="N1209" t="n">
        <x:v>6.1</x:v>
      </x:c>
      <x:c r="O1209" t="n">
        <x:v>58.8</x:v>
      </x:c>
      <x:c r="P1209" t="str">
        <x:v>Sunny</x:v>
      </x:c>
      <x:c r="Q1209" t="n">
        <x:v>86</x:v>
      </x:c>
      <x:c r="R1209" t="n">
        <x:v>86</x:v>
      </x:c>
      <x:c r="S1209" t="n">
        <x:v>0.1052</x:v>
      </x:c>
      <x:c r="T1209" t="n">
        <x:v>18</x:v>
      </x:c>
      <x:c r="U1209" t="n">
        <x:v>1172.7</x:v>
      </x:c>
      <x:c r="V1209" t="n">
        <x:v>2614</x:v>
      </x:c>
      <x:c r="W1209" t="n">
        <x:v>45.5</x:v>
      </x:c>
    </x:row>
    <x:row r="1210">
      <x:c r="A1210" t="str">
        <x:v>PJT_1209</x:v>
      </x:c>
      <x:c r="B1210" t="str">
        <x:v>Mediterranean</x:v>
      </x:c>
      <x:c r="C1210" t="n">
        <x:v>7870</x:v>
      </x:c>
      <x:c r="D1210" t="n">
        <x:v>7</x:v>
      </x:c>
      <x:c r="E1210" t="str">
        <x:v>Low</x:v>
      </x:c>
      <x:c r="F1210" t="str">
        <x:v>Residential</x:v>
      </x:c>
      <x:c r="G1210" t="str">
        <x:v>RC Frame</x:v>
      </x:c>
      <x:c r="H1210" t="str">
        <x:v>Raft</x:v>
      </x:c>
      <x:c r="I1210" t="str">
        <x:v>Soft Clay</x:v>
      </x:c>
      <x:c r="J1210" t="str">
        <x:v>Medium</x:v>
      </x:c>
      <x:c r="K1210" t="n">
        <x:v>11537420</x:v>
      </x:c>
      <x:c r="L1210" t="n">
        <x:v>268</x:v>
      </x:c>
      <x:c r="M1210" t="n">
        <x:v>182.7</x:v>
      </x:c>
      <x:c r="N1210" t="n">
        <x:v>14.9</x:v>
      </x:c>
      <x:c r="O1210" t="n">
        <x:v>83.2</x:v>
      </x:c>
      <x:c r="P1210" t="str">
        <x:v>Stormy</x:v>
      </x:c>
      <x:c r="Q1210" t="n">
        <x:v>69</x:v>
      </x:c>
      <x:c r="R1210" t="n">
        <x:v>64.3</x:v>
      </x:c>
      <x:c r="S1210" t="n">
        <x:v>0.0763</x:v>
      </x:c>
      <x:c r="T1210" t="n">
        <x:v>12.2</x:v>
      </x:c>
      <x:c r="U1210" t="n">
        <x:v>1124.3</x:v>
      </x:c>
      <x:c r="V1210" t="n">
        <x:v>1466</x:v>
      </x:c>
      <x:c r="W1210" t="n">
        <x:v>34</x:v>
      </x:c>
    </x:row>
    <x:row r="1211">
      <x:c r="A1211" t="str">
        <x:v>PJT_1210</x:v>
      </x:c>
      <x:c r="B1211" t="str">
        <x:v>Marine</x:v>
      </x:c>
      <x:c r="C1211" t="n">
        <x:v>16910</x:v>
      </x:c>
      <x:c r="D1211" t="n">
        <x:v>15</x:v>
      </x:c>
      <x:c r="E1211" t="str">
        <x:v>Low</x:v>
      </x:c>
      <x:c r="F1211" t="str">
        <x:v>Residential</x:v>
      </x:c>
      <x:c r="G1211" t="str">
        <x:v>Shear Wall</x:v>
      </x:c>
      <x:c r="H1211" t="str">
        <x:v>Piles</x:v>
      </x:c>
      <x:c r="I1211" t="str">
        <x:v>Sand</x:v>
      </x:c>
      <x:c r="J1211" t="str">
        <x:v>Medium</x:v>
      </x:c>
      <x:c r="K1211" t="n">
        <x:v>26328870</x:v>
      </x:c>
      <x:c r="L1211" t="n">
        <x:v>619</x:v>
      </x:c>
      <x:c r="M1211" t="n">
        <x:v>257.6</x:v>
      </x:c>
      <x:c r="N1211" t="n">
        <x:v>16.8</x:v>
      </x:c>
      <x:c r="O1211" t="n">
        <x:v>77.4</x:v>
      </x:c>
      <x:c r="P1211" t="str">
        <x:v>Rainy</x:v>
      </x:c>
      <x:c r="Q1211" t="n">
        <x:v>71</x:v>
      </x:c>
      <x:c r="R1211" t="n">
        <x:v>70.4</x:v>
      </x:c>
      <x:c r="S1211" t="n">
        <x:v>0.0758</x:v>
      </x:c>
      <x:c r="T1211" t="n">
        <x:v>12.7</x:v>
      </x:c>
      <x:c r="U1211" t="n">
        <x:v>1127.3</x:v>
      </x:c>
      <x:c r="V1211" t="n">
        <x:v>1557</x:v>
      </x:c>
      <x:c r="W1211" t="n">
        <x:v>36.6</x:v>
      </x:c>
    </x:row>
    <x:row r="1212">
      <x:c r="A1212" t="str">
        <x:v>PJT_1211</x:v>
      </x:c>
      <x:c r="B1212" t="str">
        <x:v>Marine</x:v>
      </x:c>
      <x:c r="C1212" t="n">
        <x:v>11950</x:v>
      </x:c>
      <x:c r="D1212" t="n">
        <x:v>9</x:v>
      </x:c>
      <x:c r="E1212" t="str">
        <x:v>Low</x:v>
      </x:c>
      <x:c r="F1212" t="str">
        <x:v>Residential</x:v>
      </x:c>
      <x:c r="G1212" t="str">
        <x:v>RC Frame</x:v>
      </x:c>
      <x:c r="H1212" t="str">
        <x:v>Raft</x:v>
      </x:c>
      <x:c r="I1212" t="str">
        <x:v>Mixed</x:v>
      </x:c>
      <x:c r="J1212" t="str">
        <x:v>Low</x:v>
      </x:c>
      <x:c r="K1212" t="n">
        <x:v>15128700</x:v>
      </x:c>
      <x:c r="L1212" t="n">
        <x:v>370</x:v>
      </x:c>
      <x:c r="M1212" t="n">
        <x:v>332.8</x:v>
      </x:c>
      <x:c r="N1212" t="n">
        <x:v>9.6</x:v>
      </x:c>
      <x:c r="O1212" t="n">
        <x:v>81.6</x:v>
      </x:c>
      <x:c r="P1212" t="str">
        <x:v>Cloudy</x:v>
      </x:c>
      <x:c r="Q1212" t="n">
        <x:v>83</x:v>
      </x:c>
      <x:c r="R1212" t="n">
        <x:v>67.4</x:v>
      </x:c>
      <x:c r="S1212" t="n">
        <x:v>0.0705</x:v>
      </x:c>
      <x:c r="T1212" t="n">
        <x:v>11.2</x:v>
      </x:c>
      <x:c r="U1212" t="n">
        <x:v>1327.8</x:v>
      </x:c>
      <x:c r="V1212" t="n">
        <x:v>1266</x:v>
      </x:c>
      <x:c r="W1212" t="n">
        <x:v>31</x:v>
      </x:c>
    </x:row>
    <x:row r="1213">
      <x:c r="A1213" t="str">
        <x:v>PJT_1212</x:v>
      </x:c>
      <x:c r="B1213" t="str">
        <x:v>Humid Subtropical</x:v>
      </x:c>
      <x:c r="C1213" t="n">
        <x:v>29630</x:v>
      </x:c>
      <x:c r="D1213" t="n">
        <x:v>14</x:v>
      </x:c>
      <x:c r="E1213" t="str">
        <x:v>Medium</x:v>
      </x:c>
      <x:c r="F1213" t="str">
        <x:v>Commercial</x:v>
      </x:c>
      <x:c r="G1213" t="str">
        <x:v>Steel</x:v>
      </x:c>
      <x:c r="H1213" t="str">
        <x:v>Piles</x:v>
      </x:c>
      <x:c r="I1213" t="str">
        <x:v>Mixed</x:v>
      </x:c>
      <x:c r="J1213" t="str">
        <x:v>High</x:v>
      </x:c>
      <x:c r="K1213" t="n">
        <x:v>73630550</x:v>
      </x:c>
      <x:c r="L1213" t="n">
        <x:v>1523</x:v>
      </x:c>
      <x:c r="M1213" t="n">
        <x:v>363.1</x:v>
      </x:c>
      <x:c r="N1213" t="n">
        <x:v>21.7</x:v>
      </x:c>
      <x:c r="O1213" t="n">
        <x:v>90</x:v>
      </x:c>
      <x:c r="P1213" t="str">
        <x:v>Stormy</x:v>
      </x:c>
      <x:c r="Q1213" t="n">
        <x:v>81</x:v>
      </x:c>
      <x:c r="R1213" t="n">
        <x:v>76.1</x:v>
      </x:c>
      <x:c r="S1213" t="n">
        <x:v>0.0996</x:v>
      </x:c>
      <x:c r="T1213" t="n">
        <x:v>17.6</x:v>
      </x:c>
      <x:c r="U1213" t="n">
        <x:v>2116.4</x:v>
      </x:c>
      <x:c r="V1213" t="n">
        <x:v>2485</x:v>
      </x:c>
      <x:c r="W1213" t="n">
        <x:v>51.4</x:v>
      </x:c>
    </x:row>
    <x:row r="1214">
      <x:c r="A1214" t="str">
        <x:v>PJT_1213</x:v>
      </x:c>
      <x:c r="B1214" t="str">
        <x:v>Mediterranean</x:v>
      </x:c>
      <x:c r="C1214" t="n">
        <x:v>21740</x:v>
      </x:c>
      <x:c r="D1214" t="n">
        <x:v>18</x:v>
      </x:c>
      <x:c r="E1214" t="str">
        <x:v>Medium</x:v>
      </x:c>
      <x:c r="F1214" t="str">
        <x:v>Mixed-use</x:v>
      </x:c>
      <x:c r="G1214" t="str">
        <x:v>Steel</x:v>
      </x:c>
      <x:c r="H1214" t="str">
        <x:v>Piles</x:v>
      </x:c>
      <x:c r="I1214" t="str">
        <x:v>Soft Clay</x:v>
      </x:c>
      <x:c r="J1214" t="str">
        <x:v>Medium</x:v>
      </x:c>
      <x:c r="K1214" t="n">
        <x:v>58111020</x:v>
      </x:c>
      <x:c r="L1214" t="n">
        <x:v>1100</x:v>
      </x:c>
      <x:c r="M1214" t="n">
        <x:v>234.1</x:v>
      </x:c>
      <x:c r="N1214" t="n">
        <x:v>23.4</x:v>
      </x:c>
      <x:c r="O1214" t="n">
        <x:v>52.5</x:v>
      </x:c>
      <x:c r="P1214" t="str">
        <x:v>Sunny</x:v>
      </x:c>
      <x:c r="Q1214" t="n">
        <x:v>76</x:v>
      </x:c>
      <x:c r="R1214" t="n">
        <x:v>79.3</x:v>
      </x:c>
      <x:c r="S1214" t="n">
        <x:v>0.103</x:v>
      </x:c>
      <x:c r="T1214" t="n">
        <x:v>17.8</x:v>
      </x:c>
      <x:c r="U1214" t="n">
        <x:v>1207.8</x:v>
      </x:c>
      <x:c r="V1214" t="n">
        <x:v>2673</x:v>
      </x:c>
      <x:c r="W1214" t="n">
        <x:v>50.6</x:v>
      </x:c>
    </x:row>
    <x:row r="1215">
      <x:c r="A1215" t="str">
        <x:v>PJT_1214</x:v>
      </x:c>
      <x:c r="B1215" t="str">
        <x:v>Humid Subtropical</x:v>
      </x:c>
      <x:c r="C1215" t="n">
        <x:v>4110</x:v>
      </x:c>
      <x:c r="D1215" t="n">
        <x:v>5</x:v>
      </x:c>
      <x:c r="E1215" t="str">
        <x:v>Low</x:v>
      </x:c>
      <x:c r="F1215" t="str">
        <x:v>Residential</x:v>
      </x:c>
      <x:c r="G1215" t="str">
        <x:v>RC Frame</x:v>
      </x:c>
      <x:c r="H1215" t="str">
        <x:v>Raft</x:v>
      </x:c>
      <x:c r="I1215" t="str">
        <x:v>Soft Clay</x:v>
      </x:c>
      <x:c r="J1215" t="str">
        <x:v>Low</x:v>
      </x:c>
      <x:c r="K1215" t="n">
        <x:v>5351220</x:v>
      </x:c>
      <x:c r="L1215" t="n">
        <x:v>180</x:v>
      </x:c>
      <x:c r="M1215" t="n">
        <x:v>146</x:v>
      </x:c>
      <x:c r="N1215" t="n">
        <x:v>31.9</x:v>
      </x:c>
      <x:c r="O1215" t="n">
        <x:v>57.2</x:v>
      </x:c>
      <x:c r="P1215" t="str">
        <x:v>Sunny</x:v>
      </x:c>
      <x:c r="Q1215" t="n">
        <x:v>61</x:v>
      </x:c>
      <x:c r="R1215" t="n">
        <x:v>58</x:v>
      </x:c>
      <x:c r="S1215" t="n">
        <x:v>0.0772</x:v>
      </x:c>
      <x:c r="T1215" t="n">
        <x:v>12</x:v>
      </x:c>
      <x:c r="U1215" t="n">
        <x:v>822</x:v>
      </x:c>
      <x:c r="V1215" t="n">
        <x:v>1302</x:v>
      </x:c>
      <x:c r="W1215" t="n">
        <x:v>30.9</x:v>
      </x:c>
    </x:row>
    <x:row r="1216">
      <x:c r="A1216" t="str">
        <x:v>PJT_1215</x:v>
      </x:c>
      <x:c r="B1216" t="str">
        <x:v>Continental</x:v>
      </x:c>
      <x:c r="C1216" t="n">
        <x:v>28770</x:v>
      </x:c>
      <x:c r="D1216" t="n">
        <x:v>25</x:v>
      </x:c>
      <x:c r="E1216" t="str">
        <x:v>High</x:v>
      </x:c>
      <x:c r="F1216" t="str">
        <x:v>Mixed-use</x:v>
      </x:c>
      <x:c r="G1216" t="str">
        <x:v>Steel</x:v>
      </x:c>
      <x:c r="H1216" t="str">
        <x:v>Piles</x:v>
      </x:c>
      <x:c r="I1216" t="str">
        <x:v>Sand</x:v>
      </x:c>
      <x:c r="J1216" t="str">
        <x:v>Medium</x:v>
      </x:c>
      <x:c r="K1216" t="n">
        <x:v>83231610</x:v>
      </x:c>
      <x:c r="L1216" t="n">
        <x:v>1669</x:v>
      </x:c>
      <x:c r="M1216" t="n">
        <x:v>252.4</x:v>
      </x:c>
      <x:c r="N1216" t="n">
        <x:v>-2.2</x:v>
      </x:c>
      <x:c r="O1216" t="n">
        <x:v>77.7</x:v>
      </x:c>
      <x:c r="P1216" t="str">
        <x:v>Snowy</x:v>
      </x:c>
      <x:c r="Q1216" t="n">
        <x:v>75</x:v>
      </x:c>
      <x:c r="R1216" t="n">
        <x:v>89</x:v>
      </x:c>
      <x:c r="S1216" t="n">
        <x:v>0.1073</x:v>
      </x:c>
      <x:c r="T1216" t="n">
        <x:v>20.4</x:v>
      </x:c>
      <x:c r="U1216" t="n">
        <x:v>1150.8</x:v>
      </x:c>
      <x:c r="V1216" t="n">
        <x:v>2893</x:v>
      </x:c>
      <x:c r="W1216" t="n">
        <x:v>58</x:v>
      </x:c>
    </x:row>
    <x:row r="1217">
      <x:c r="A1217" t="str">
        <x:v>PJT_1216</x:v>
      </x:c>
      <x:c r="B1217" t="str">
        <x:v>Humid Subtropical</x:v>
      </x:c>
      <x:c r="C1217" t="n">
        <x:v>11930</x:v>
      </x:c>
      <x:c r="D1217" t="n">
        <x:v>6</x:v>
      </x:c>
      <x:c r="E1217" t="str">
        <x:v>Medium</x:v>
      </x:c>
      <x:c r="F1217" t="str">
        <x:v>School</x:v>
      </x:c>
      <x:c r="G1217" t="str">
        <x:v>Steel</x:v>
      </x:c>
      <x:c r="H1217" t="str">
        <x:v>Raft</x:v>
      </x:c>
      <x:c r="I1217" t="str">
        <x:v>Mixed</x:v>
      </x:c>
      <x:c r="J1217" t="str">
        <x:v>High</x:v>
      </x:c>
      <x:c r="K1217" t="n">
        <x:v>24361060</x:v>
      </x:c>
      <x:c r="L1217" t="n">
        <x:v>427</x:v>
      </x:c>
      <x:c r="M1217" t="n">
        <x:v>376</x:v>
      </x:c>
      <x:c r="N1217" t="n">
        <x:v>21</x:v>
      </x:c>
      <x:c r="O1217" t="n">
        <x:v>65.2</x:v>
      </x:c>
      <x:c r="P1217" t="str">
        <x:v>Cloudy</x:v>
      </x:c>
      <x:c r="Q1217" t="n">
        <x:v>71</x:v>
      </x:c>
      <x:c r="R1217" t="n">
        <x:v>72.8</x:v>
      </x:c>
      <x:c r="S1217" t="n">
        <x:v>0.0875</x:v>
      </x:c>
      <x:c r="T1217" t="n">
        <x:v>15.5</x:v>
      </x:c>
      <x:c r="U1217" t="n">
        <x:v>1988.3</x:v>
      </x:c>
      <x:c r="V1217" t="n">
        <x:v>2042</x:v>
      </x:c>
      <x:c r="W1217" t="n">
        <x:v>35.8</x:v>
      </x:c>
    </x:row>
    <x:row r="1218">
      <x:c r="A1218" t="str">
        <x:v>PJT_1217</x:v>
      </x:c>
      <x:c r="B1218" t="str">
        <x:v>Humid Subtropical</x:v>
      </x:c>
      <x:c r="C1218" t="n">
        <x:v>15020</x:v>
      </x:c>
      <x:c r="D1218" t="n">
        <x:v>18</x:v>
      </x:c>
      <x:c r="E1218" t="str">
        <x:v>Medium</x:v>
      </x:c>
      <x:c r="F1218" t="str">
        <x:v>Residential</x:v>
      </x:c>
      <x:c r="G1218" t="str">
        <x:v>RC Frame</x:v>
      </x:c>
      <x:c r="H1218" t="str">
        <x:v>Piles</x:v>
      </x:c>
      <x:c r="I1218" t="str">
        <x:v>Rock</x:v>
      </x:c>
      <x:c r="J1218" t="str">
        <x:v>Low</x:v>
      </x:c>
      <x:c r="K1218" t="n">
        <x:v>23806700</x:v>
      </x:c>
      <x:c r="L1218" t="n">
        <x:v>617</x:v>
      </x:c>
      <x:c r="M1218" t="n">
        <x:v>705.7</x:v>
      </x:c>
      <x:c r="N1218" t="n">
        <x:v>20.3</x:v>
      </x:c>
      <x:c r="O1218" t="n">
        <x:v>81.5</x:v>
      </x:c>
      <x:c r="P1218" t="str">
        <x:v>Rainy</x:v>
      </x:c>
      <x:c r="Q1218" t="n">
        <x:v>90</x:v>
      </x:c>
      <x:c r="R1218" t="n">
        <x:v>76</x:v>
      </x:c>
      <x:c r="S1218" t="n">
        <x:v>0.0818</x:v>
      </x:c>
      <x:c r="T1218" t="n">
        <x:v>13.5</x:v>
      </x:c>
      <x:c r="U1218" t="n">
        <x:v>834.4</x:v>
      </x:c>
      <x:c r="V1218" t="n">
        <x:v>1585</x:v>
      </x:c>
      <x:c r="W1218" t="n">
        <x:v>41.1</x:v>
      </x:c>
    </x:row>
    <x:row r="1219">
      <x:c r="A1219" t="str">
        <x:v>PJT_1218</x:v>
      </x:c>
      <x:c r="B1219" t="str">
        <x:v>Continental</x:v>
      </x:c>
      <x:c r="C1219" t="n">
        <x:v>10880</x:v>
      </x:c>
      <x:c r="D1219" t="n">
        <x:v>17</x:v>
      </x:c>
      <x:c r="E1219" t="str">
        <x:v>Medium</x:v>
      </x:c>
      <x:c r="F1219" t="str">
        <x:v>Residential</x:v>
      </x:c>
      <x:c r="G1219" t="str">
        <x:v>RC Frame</x:v>
      </x:c>
      <x:c r="H1219" t="str">
        <x:v>Raft</x:v>
      </x:c>
      <x:c r="I1219" t="str">
        <x:v>Rock</x:v>
      </x:c>
      <x:c r="J1219" t="str">
        <x:v>Low</x:v>
      </x:c>
      <x:c r="K1219" t="n">
        <x:v>15210240</x:v>
      </x:c>
      <x:c r="L1219" t="n">
        <x:v>401</x:v>
      </x:c>
      <x:c r="M1219" t="n">
        <x:v>721.8</x:v>
      </x:c>
      <x:c r="N1219" t="n">
        <x:v>12.7</x:v>
      </x:c>
      <x:c r="O1219" t="n">
        <x:v>83.5</x:v>
      </x:c>
      <x:c r="P1219" t="str">
        <x:v>Rainy</x:v>
      </x:c>
      <x:c r="Q1219" t="n">
        <x:v>66</x:v>
      </x:c>
      <x:c r="R1219" t="n">
        <x:v>74.3</x:v>
      </x:c>
      <x:c r="S1219" t="n">
        <x:v>0.0757</x:v>
      </x:c>
      <x:c r="T1219" t="n">
        <x:v>13.1</x:v>
      </x:c>
      <x:c r="U1219" t="n">
        <x:v>640</x:v>
      </x:c>
      <x:c r="V1219" t="n">
        <x:v>1398</x:v>
      </x:c>
      <x:c r="W1219" t="n">
        <x:v>36.9</x:v>
      </x:c>
    </x:row>
    <x:row r="1220">
      <x:c r="A1220" t="str">
        <x:v>PJT_1219</x:v>
      </x:c>
      <x:c r="B1220" t="str">
        <x:v>Mediterranean</x:v>
      </x:c>
      <x:c r="C1220" t="n">
        <x:v>15880</x:v>
      </x:c>
      <x:c r="D1220" t="n">
        <x:v>23</x:v>
      </x:c>
      <x:c r="E1220" t="str">
        <x:v>Medium</x:v>
      </x:c>
      <x:c r="F1220" t="str">
        <x:v>Residential</x:v>
      </x:c>
      <x:c r="G1220" t="str">
        <x:v>RC Frame</x:v>
      </x:c>
      <x:c r="H1220" t="str">
        <x:v>Piles</x:v>
      </x:c>
      <x:c r="I1220" t="str">
        <x:v>Mixed</x:v>
      </x:c>
      <x:c r="J1220" t="str">
        <x:v>Low</x:v>
      </x:c>
      <x:c r="K1220" t="n">
        <x:v>22613120</x:v>
      </x:c>
      <x:c r="L1220" t="n">
        <x:v>581</x:v>
      </x:c>
      <x:c r="M1220" t="n">
        <x:v>372.8</x:v>
      </x:c>
      <x:c r="N1220" t="n">
        <x:v>21.4</x:v>
      </x:c>
      <x:c r="O1220" t="n">
        <x:v>57.1</x:v>
      </x:c>
      <x:c r="P1220" t="str">
        <x:v>Sunny</x:v>
      </x:c>
      <x:c r="Q1220" t="n">
        <x:v>68</x:v>
      </x:c>
      <x:c r="R1220" t="n">
        <x:v>80.6</x:v>
      </x:c>
      <x:c r="S1220" t="n">
        <x:v>0.0787</x:v>
      </x:c>
      <x:c r="T1220" t="n">
        <x:v>13.3</x:v>
      </x:c>
      <x:c r="U1220" t="n">
        <x:v>690.4</x:v>
      </x:c>
      <x:c r="V1220" t="n">
        <x:v>1424</x:v>
      </x:c>
      <x:c r="W1220" t="n">
        <x:v>36.6</x:v>
      </x:c>
    </x:row>
    <x:row r="1221">
      <x:c r="A1221" t="str">
        <x:v>PJT_1220</x:v>
      </x:c>
      <x:c r="B1221" t="str">
        <x:v>Humid Subtropical</x:v>
      </x:c>
      <x:c r="C1221" t="n">
        <x:v>27270</x:v>
      </x:c>
      <x:c r="D1221" t="n">
        <x:v>13</x:v>
      </x:c>
      <x:c r="E1221" t="str">
        <x:v>Medium</x:v>
      </x:c>
      <x:c r="F1221" t="str">
        <x:v>Commercial</x:v>
      </x:c>
      <x:c r="G1221" t="str">
        <x:v>Steel</x:v>
      </x:c>
      <x:c r="H1221" t="str">
        <x:v>Piles</x:v>
      </x:c>
      <x:c r="I1221" t="str">
        <x:v>Mixed</x:v>
      </x:c>
      <x:c r="J1221" t="str">
        <x:v>Low</x:v>
      </x:c>
      <x:c r="K1221" t="n">
        <x:v>67711410</x:v>
      </x:c>
      <x:c r="L1221" t="n">
        <x:v>1293</x:v>
      </x:c>
      <x:c r="M1221" t="n">
        <x:v>337.6</x:v>
      </x:c>
      <x:c r="N1221" t="n">
        <x:v>23.5</x:v>
      </x:c>
      <x:c r="O1221" t="n">
        <x:v>70.3</x:v>
      </x:c>
      <x:c r="P1221" t="str">
        <x:v>Cloudy</x:v>
      </x:c>
      <x:c r="Q1221" t="n">
        <x:v>75</x:v>
      </x:c>
      <x:c r="R1221" t="n">
        <x:v>77</x:v>
      </x:c>
      <x:c r="S1221" t="n">
        <x:v>0.0999</x:v>
      </x:c>
      <x:c r="T1221" t="n">
        <x:v>17</x:v>
      </x:c>
      <x:c r="U1221" t="n">
        <x:v>2097.7</x:v>
      </x:c>
      <x:c r="V1221" t="n">
        <x:v>2483</x:v>
      </x:c>
      <x:c r="W1221" t="n">
        <x:v>47.4</x:v>
      </x:c>
    </x:row>
    <x:row r="1222">
      <x:c r="A1222" t="str">
        <x:v>PJT_1221</x:v>
      </x:c>
      <x:c r="B1222" t="str">
        <x:v>Mediterranean</x:v>
      </x:c>
      <x:c r="C1222" t="n">
        <x:v>17860</x:v>
      </x:c>
      <x:c r="D1222" t="n">
        <x:v>18</x:v>
      </x:c>
      <x:c r="E1222" t="str">
        <x:v>Medium</x:v>
      </x:c>
      <x:c r="F1222" t="str">
        <x:v>Residential</x:v>
      </x:c>
      <x:c r="G1222" t="str">
        <x:v>RC Frame</x:v>
      </x:c>
      <x:c r="H1222" t="str">
        <x:v>Piles</x:v>
      </x:c>
      <x:c r="I1222" t="str">
        <x:v>Sand</x:v>
      </x:c>
      <x:c r="J1222" t="str">
        <x:v>Low</x:v>
      </x:c>
      <x:c r="K1222" t="n">
        <x:v>27986620</x:v>
      </x:c>
      <x:c r="L1222" t="n">
        <x:v>729</x:v>
      </x:c>
      <x:c r="M1222" t="n">
        <x:v>295.6</x:v>
      </x:c>
      <x:c r="N1222" t="n">
        <x:v>16.3</x:v>
      </x:c>
      <x:c r="O1222" t="n">
        <x:v>75.5</x:v>
      </x:c>
      <x:c r="P1222" t="str">
        <x:v>Stormy</x:v>
      </x:c>
      <x:c r="Q1222" t="n">
        <x:v>61</x:v>
      </x:c>
      <x:c r="R1222" t="n">
        <x:v>73.9</x:v>
      </x:c>
      <x:c r="S1222" t="n">
        <x:v>0.0766</x:v>
      </x:c>
      <x:c r="T1222" t="n">
        <x:v>13.1</x:v>
      </x:c>
      <x:c r="U1222" t="n">
        <x:v>992.2</x:v>
      </x:c>
      <x:c r="V1222" t="n">
        <x:v>1567</x:v>
      </x:c>
      <x:c r="W1222" t="n">
        <x:v>40.8</x:v>
      </x:c>
    </x:row>
    <x:row r="1223">
      <x:c r="A1223" t="str">
        <x:v>PJT_1222</x:v>
      </x:c>
      <x:c r="B1223" t="str">
        <x:v>Mediterranean</x:v>
      </x:c>
      <x:c r="C1223" t="n">
        <x:v>13490</x:v>
      </x:c>
      <x:c r="D1223" t="n">
        <x:v>15</x:v>
      </x:c>
      <x:c r="E1223" t="str">
        <x:v>Medium</x:v>
      </x:c>
      <x:c r="F1223" t="str">
        <x:v>Residential</x:v>
      </x:c>
      <x:c r="G1223" t="str">
        <x:v>Shear Wall</x:v>
      </x:c>
      <x:c r="H1223" t="str">
        <x:v>Raft</x:v>
      </x:c>
      <x:c r="I1223" t="str">
        <x:v>Rock</x:v>
      </x:c>
      <x:c r="J1223" t="str">
        <x:v>Medium</x:v>
      </x:c>
      <x:c r="K1223" t="n">
        <x:v>20707150</x:v>
      </x:c>
      <x:c r="L1223" t="n">
        <x:v>495</x:v>
      </x:c>
      <x:c r="M1223" t="n">
        <x:v>685.7</x:v>
      </x:c>
      <x:c r="N1223" t="n">
        <x:v>23.3</x:v>
      </x:c>
      <x:c r="O1223" t="n">
        <x:v>57.2</x:v>
      </x:c>
      <x:c r="P1223" t="str">
        <x:v>Cloudy</x:v>
      </x:c>
      <x:c r="Q1223" t="n">
        <x:v>61</x:v>
      </x:c>
      <x:c r="R1223" t="n">
        <x:v>77.3</x:v>
      </x:c>
      <x:c r="S1223" t="n">
        <x:v>0.0817</x:v>
      </x:c>
      <x:c r="T1223" t="n">
        <x:v>13.1</x:v>
      </x:c>
      <x:c r="U1223" t="n">
        <x:v>899.3</x:v>
      </x:c>
      <x:c r="V1223" t="n">
        <x:v>1535</x:v>
      </x:c>
      <x:c r="W1223" t="n">
        <x:v>36.7</x:v>
      </x:c>
    </x:row>
    <x:row r="1224">
      <x:c r="A1224" t="str">
        <x:v>PJT_1223</x:v>
      </x:c>
      <x:c r="B1224" t="str">
        <x:v>Mediterranean</x:v>
      </x:c>
      <x:c r="C1224" t="n">
        <x:v>13290</x:v>
      </x:c>
      <x:c r="D1224" t="n">
        <x:v>10</x:v>
      </x:c>
      <x:c r="E1224" t="str">
        <x:v>Medium</x:v>
      </x:c>
      <x:c r="F1224" t="str">
        <x:v>Mixed-use</x:v>
      </x:c>
      <x:c r="G1224" t="str">
        <x:v>Shear Wall</x:v>
      </x:c>
      <x:c r="H1224" t="str">
        <x:v>Raft</x:v>
      </x:c>
      <x:c r="I1224" t="str">
        <x:v>Sand</x:v>
      </x:c>
      <x:c r="J1224" t="str">
        <x:v>Low</x:v>
      </x:c>
      <x:c r="K1224" t="n">
        <x:v>31763100</x:v>
      </x:c>
      <x:c r="L1224" t="n">
        <x:v>570</x:v>
      </x:c>
      <x:c r="M1224" t="n">
        <x:v>253.3</x:v>
      </x:c>
      <x:c r="N1224" t="n">
        <x:v>27.6</x:v>
      </x:c>
      <x:c r="O1224" t="n">
        <x:v>45.7</x:v>
      </x:c>
      <x:c r="P1224" t="str">
        <x:v>Sunny</x:v>
      </x:c>
      <x:c r="Q1224" t="n">
        <x:v>87</x:v>
      </x:c>
      <x:c r="R1224" t="n">
        <x:v>81.4</x:v>
      </x:c>
      <x:c r="S1224" t="n">
        <x:v>0.1029</x:v>
      </x:c>
      <x:c r="T1224" t="n">
        <x:v>19</x:v>
      </x:c>
      <x:c r="U1224" t="n">
        <x:v>1329</x:v>
      </x:c>
      <x:c r="V1224" t="n">
        <x:v>2390</x:v>
      </x:c>
      <x:c r="W1224" t="n">
        <x:v>42.9</x:v>
      </x:c>
    </x:row>
    <x:row r="1225">
      <x:c r="A1225" t="str">
        <x:v>PJT_1224</x:v>
      </x:c>
      <x:c r="B1225" t="str">
        <x:v>Mediterranean</x:v>
      </x:c>
      <x:c r="C1225" t="n">
        <x:v>4900</x:v>
      </x:c>
      <x:c r="D1225" t="n">
        <x:v>6</x:v>
      </x:c>
      <x:c r="E1225" t="str">
        <x:v>Low</x:v>
      </x:c>
      <x:c r="F1225" t="str">
        <x:v>Residential</x:v>
      </x:c>
      <x:c r="G1225" t="str">
        <x:v>RC Frame</x:v>
      </x:c>
      <x:c r="H1225" t="str">
        <x:v>Raft</x:v>
      </x:c>
      <x:c r="I1225" t="str">
        <x:v>Mixed</x:v>
      </x:c>
      <x:c r="J1225" t="str">
        <x:v>High</x:v>
      </x:c>
      <x:c r="K1225" t="n">
        <x:v>7242200</x:v>
      </x:c>
      <x:c r="L1225" t="n">
        <x:v>180</x:v>
      </x:c>
      <x:c r="M1225" t="n">
        <x:v>305.6</x:v>
      </x:c>
      <x:c r="N1225" t="n">
        <x:v>25.6</x:v>
      </x:c>
      <x:c r="O1225" t="n">
        <x:v>48</x:v>
      </x:c>
      <x:c r="P1225" t="str">
        <x:v>Sunny</x:v>
      </x:c>
      <x:c r="Q1225" t="n">
        <x:v>69</x:v>
      </x:c>
      <x:c r="R1225" t="n">
        <x:v>61.9</x:v>
      </x:c>
      <x:c r="S1225" t="n">
        <x:v>0.0722</x:v>
      </x:c>
      <x:c r="T1225" t="n">
        <x:v>12.5</x:v>
      </x:c>
      <x:c r="U1225" t="n">
        <x:v>816.7</x:v>
      </x:c>
      <x:c r="V1225" t="n">
        <x:v>1478</x:v>
      </x:c>
      <x:c r="W1225" t="n">
        <x:v>28.8</x:v>
      </x:c>
    </x:row>
    <x:row r="1226">
      <x:c r="A1226" t="str">
        <x:v>PJT_1225</x:v>
      </x:c>
      <x:c r="B1226" t="str">
        <x:v>Humid Subtropical</x:v>
      </x:c>
      <x:c r="C1226" t="n">
        <x:v>14520</x:v>
      </x:c>
      <x:c r="D1226" t="n">
        <x:v>8</x:v>
      </x:c>
      <x:c r="E1226" t="str">
        <x:v>Medium</x:v>
      </x:c>
      <x:c r="F1226" t="str">
        <x:v>Mixed-use</x:v>
      </x:c>
      <x:c r="G1226" t="str">
        <x:v>RC Frame</x:v>
      </x:c>
      <x:c r="H1226" t="str">
        <x:v>Raft</x:v>
      </x:c>
      <x:c r="I1226" t="str">
        <x:v>Sand</x:v>
      </x:c>
      <x:c r="J1226" t="str">
        <x:v>Low</x:v>
      </x:c>
      <x:c r="K1226" t="n">
        <x:v>33802560</x:v>
      </x:c>
      <x:c r="L1226" t="n">
        <x:v>616</x:v>
      </x:c>
      <x:c r="M1226" t="n">
        <x:v>302.6</x:v>
      </x:c>
      <x:c r="N1226" t="n">
        <x:v>27.2</x:v>
      </x:c>
      <x:c r="O1226" t="n">
        <x:v>69.2</x:v>
      </x:c>
      <x:c r="P1226" t="str">
        <x:v>Sunny</x:v>
      </x:c>
      <x:c r="Q1226" t="n">
        <x:v>87</x:v>
      </x:c>
      <x:c r="R1226" t="n">
        <x:v>73.9</x:v>
      </x:c>
      <x:c r="S1226" t="n">
        <x:v>0.0985</x:v>
      </x:c>
      <x:c r="T1226" t="n">
        <x:v>17.1</x:v>
      </x:c>
      <x:c r="U1226" t="n">
        <x:v>1815</x:v>
      </x:c>
      <x:c r="V1226" t="n">
        <x:v>2328</x:v>
      </x:c>
      <x:c r="W1226" t="n">
        <x:v>42.4</x:v>
      </x:c>
    </x:row>
    <x:row r="1227">
      <x:c r="A1227" t="str">
        <x:v>PJT_1226</x:v>
      </x:c>
      <x:c r="B1227" t="str">
        <x:v>Continental</x:v>
      </x:c>
      <x:c r="C1227" t="n">
        <x:v>21130</x:v>
      </x:c>
      <x:c r="D1227" t="n">
        <x:v>11</x:v>
      </x:c>
      <x:c r="E1227" t="str">
        <x:v>Medium</x:v>
      </x:c>
      <x:c r="F1227" t="str">
        <x:v>Commercial</x:v>
      </x:c>
      <x:c r="G1227" t="str">
        <x:v>RC Frame</x:v>
      </x:c>
      <x:c r="H1227" t="str">
        <x:v>Piles</x:v>
      </x:c>
      <x:c r="I1227" t="str">
        <x:v>Mixed</x:v>
      </x:c>
      <x:c r="J1227" t="str">
        <x:v>High</x:v>
      </x:c>
      <x:c r="K1227" t="n">
        <x:v>50838780</x:v>
      </x:c>
      <x:c r="L1227" t="n">
        <x:v>892</x:v>
      </x:c>
      <x:c r="M1227" t="n">
        <x:v>292.7</x:v>
      </x:c>
      <x:c r="N1227" t="n">
        <x:v>6.3</x:v>
      </x:c>
      <x:c r="O1227" t="n">
        <x:v>70.5</x:v>
      </x:c>
      <x:c r="P1227" t="str">
        <x:v>Cloudy</x:v>
      </x:c>
      <x:c r="Q1227" t="n">
        <x:v>83</x:v>
      </x:c>
      <x:c r="R1227" t="n">
        <x:v>78.8</x:v>
      </x:c>
      <x:c r="S1227" t="n">
        <x:v>0.0913</x:v>
      </x:c>
      <x:c r="T1227" t="n">
        <x:v>16.6</x:v>
      </x:c>
      <x:c r="U1227" t="n">
        <x:v>1920.9</x:v>
      </x:c>
      <x:c r="V1227" t="n">
        <x:v>2406</x:v>
      </x:c>
      <x:c r="W1227" t="n">
        <x:v>42.2</x:v>
      </x:c>
    </x:row>
    <x:row r="1228">
      <x:c r="A1228" t="str">
        <x:v>PJT_1227</x:v>
      </x:c>
      <x:c r="B1228" t="str">
        <x:v>Mediterranean</x:v>
      </x:c>
      <x:c r="C1228" t="n">
        <x:v>26710</x:v>
      </x:c>
      <x:c r="D1228" t="n">
        <x:v>25</x:v>
      </x:c>
      <x:c r="E1228" t="str">
        <x:v>High</x:v>
      </x:c>
      <x:c r="F1228" t="str">
        <x:v>Mixed-use</x:v>
      </x:c>
      <x:c r="G1228" t="str">
        <x:v>Steel</x:v>
      </x:c>
      <x:c r="H1228" t="str">
        <x:v>Piles</x:v>
      </x:c>
      <x:c r="I1228" t="str">
        <x:v>Sand</x:v>
      </x:c>
      <x:c r="J1228" t="str">
        <x:v>Medium</x:v>
      </x:c>
      <x:c r="K1228" t="n">
        <x:v>78393850</x:v>
      </x:c>
      <x:c r="L1228" t="n">
        <x:v>1549</x:v>
      </x:c>
      <x:c r="M1228" t="n">
        <x:v>311</x:v>
      </x:c>
      <x:c r="N1228" t="n">
        <x:v>0.5</x:v>
      </x:c>
      <x:c r="O1228" t="n">
        <x:v>74.2</x:v>
      </x:c>
      <x:c r="P1228" t="str">
        <x:v>Snowy</x:v>
      </x:c>
      <x:c r="Q1228" t="n">
        <x:v>80</x:v>
      </x:c>
      <x:c r="R1228" t="n">
        <x:v>92</x:v>
      </x:c>
      <x:c r="S1228" t="n">
        <x:v>0.1098</x:v>
      </x:c>
      <x:c r="T1228" t="n">
        <x:v>19.3</x:v>
      </x:c>
      <x:c r="U1228" t="n">
        <x:v>1068.4</x:v>
      </x:c>
      <x:c r="V1228" t="n">
        <x:v>2935</x:v>
      </x:c>
      <x:c r="W1228" t="n">
        <x:v>58</x:v>
      </x:c>
    </x:row>
    <x:row r="1229">
      <x:c r="A1229" t="str">
        <x:v>PJT_1228</x:v>
      </x:c>
      <x:c r="B1229" t="str">
        <x:v>Mediterranean</x:v>
      </x:c>
      <x:c r="C1229" t="n">
        <x:v>7960</x:v>
      </x:c>
      <x:c r="D1229" t="n">
        <x:v>7</x:v>
      </x:c>
      <x:c r="E1229" t="str">
        <x:v>Low</x:v>
      </x:c>
      <x:c r="F1229" t="str">
        <x:v>Residential</x:v>
      </x:c>
      <x:c r="G1229" t="str">
        <x:v>RC Frame</x:v>
      </x:c>
      <x:c r="H1229" t="str">
        <x:v>Raft</x:v>
      </x:c>
      <x:c r="I1229" t="str">
        <x:v>Mixed</x:v>
      </x:c>
      <x:c r="J1229" t="str">
        <x:v>High</x:v>
      </x:c>
      <x:c r="K1229" t="n">
        <x:v>11685280</x:v>
      </x:c>
      <x:c r="L1229" t="n">
        <x:v>275</x:v>
      </x:c>
      <x:c r="M1229" t="n">
        <x:v>336</x:v>
      </x:c>
      <x:c r="N1229" t="n">
        <x:v>10.5</x:v>
      </x:c>
      <x:c r="O1229" t="n">
        <x:v>74.5</x:v>
      </x:c>
      <x:c r="P1229" t="str">
        <x:v>Stormy</x:v>
      </x:c>
      <x:c r="Q1229" t="n">
        <x:v>75</x:v>
      </x:c>
      <x:c r="R1229" t="n">
        <x:v>65.3</x:v>
      </x:c>
      <x:c r="S1229" t="n">
        <x:v>0.0716</x:v>
      </x:c>
      <x:c r="T1229" t="n">
        <x:v>11.4</x:v>
      </x:c>
      <x:c r="U1229" t="n">
        <x:v>1137.1</x:v>
      </x:c>
      <x:c r="V1229" t="n">
        <x:v>1468</x:v>
      </x:c>
      <x:c r="W1229" t="n">
        <x:v>34.6</x:v>
      </x:c>
    </x:row>
    <x:row r="1230">
      <x:c r="A1230" t="str">
        <x:v>PJT_1229</x:v>
      </x:c>
      <x:c r="B1230" t="str">
        <x:v>Continental</x:v>
      </x:c>
      <x:c r="C1230" t="n">
        <x:v>8470</x:v>
      </x:c>
      <x:c r="D1230" t="n">
        <x:v>12</x:v>
      </x:c>
      <x:c r="E1230" t="str">
        <x:v>Low</x:v>
      </x:c>
      <x:c r="F1230" t="str">
        <x:v>Residential</x:v>
      </x:c>
      <x:c r="G1230" t="str">
        <x:v>RC Frame</x:v>
      </x:c>
      <x:c r="H1230" t="str">
        <x:v>Piles</x:v>
      </x:c>
      <x:c r="I1230" t="str">
        <x:v>Sand</x:v>
      </x:c>
      <x:c r="J1230" t="str">
        <x:v>Low</x:v>
      </x:c>
      <x:c r="K1230" t="n">
        <x:v>11070290</x:v>
      </x:c>
      <x:c r="L1230" t="n">
        <x:v>291</x:v>
      </x:c>
      <x:c r="M1230" t="n">
        <x:v>347.5</x:v>
      </x:c>
      <x:c r="N1230" t="n">
        <x:v>7.2</x:v>
      </x:c>
      <x:c r="O1230" t="n">
        <x:v>76.2</x:v>
      </x:c>
      <x:c r="P1230" t="str">
        <x:v>Rainy</x:v>
      </x:c>
      <x:c r="Q1230" t="n">
        <x:v>86</x:v>
      </x:c>
      <x:c r="R1230" t="n">
        <x:v>64.9</x:v>
      </x:c>
      <x:c r="S1230" t="n">
        <x:v>0.0703</x:v>
      </x:c>
      <x:c r="T1230" t="n">
        <x:v>11.1</x:v>
      </x:c>
      <x:c r="U1230" t="n">
        <x:v>705.8</x:v>
      </x:c>
      <x:c r="V1230" t="n">
        <x:v>1307</x:v>
      </x:c>
      <x:c r="W1230" t="n">
        <x:v>34.4</x:v>
      </x:c>
    </x:row>
    <x:row r="1231">
      <x:c r="A1231" t="str">
        <x:v>PJT_1230</x:v>
      </x:c>
      <x:c r="B1231" t="str">
        <x:v>Humid Subtropical</x:v>
      </x:c>
      <x:c r="C1231" t="n">
        <x:v>16430</x:v>
      </x:c>
      <x:c r="D1231" t="n">
        <x:v>11</x:v>
      </x:c>
      <x:c r="E1231" t="str">
        <x:v>Medium</x:v>
      </x:c>
      <x:c r="F1231" t="str">
        <x:v>Hospital</x:v>
      </x:c>
      <x:c r="G1231" t="str">
        <x:v>Steel</x:v>
      </x:c>
      <x:c r="H1231" t="str">
        <x:v>Raft</x:v>
      </x:c>
      <x:c r="I1231" t="str">
        <x:v>Rock</x:v>
      </x:c>
      <x:c r="J1231" t="str">
        <x:v>Low</x:v>
      </x:c>
      <x:c r="K1231" t="n">
        <x:v>50916570</x:v>
      </x:c>
      <x:c r="L1231" t="n">
        <x:v>797</x:v>
      </x:c>
      <x:c r="M1231" t="n">
        <x:v>742.3</x:v>
      </x:c>
      <x:c r="N1231" t="n">
        <x:v>29.2</x:v>
      </x:c>
      <x:c r="O1231" t="n">
        <x:v>68.1</x:v>
      </x:c>
      <x:c r="P1231" t="str">
        <x:v>Sunny</x:v>
      </x:c>
      <x:c r="Q1231" t="n">
        <x:v>107</x:v>
      </x:c>
      <x:c r="R1231" t="n">
        <x:v>79.5</x:v>
      </x:c>
      <x:c r="S1231" t="n">
        <x:v>0.1074</x:v>
      </x:c>
      <x:c r="T1231" t="n">
        <x:v>21.6</x:v>
      </x:c>
      <x:c r="U1231" t="n">
        <x:v>1493.6</x:v>
      </x:c>
      <x:c r="V1231" t="n">
        <x:v>3099</x:v>
      </x:c>
      <x:c r="W1231" t="n">
        <x:v>48.5</x:v>
      </x:c>
    </x:row>
    <x:row r="1232">
      <x:c r="A1232" t="str">
        <x:v>PJT_1231</x:v>
      </x:c>
      <x:c r="B1232" t="str">
        <x:v>Marine</x:v>
      </x:c>
      <x:c r="C1232" t="n">
        <x:v>15090</x:v>
      </x:c>
      <x:c r="D1232" t="n">
        <x:v>14</x:v>
      </x:c>
      <x:c r="E1232" t="str">
        <x:v>Medium</x:v>
      </x:c>
      <x:c r="F1232" t="str">
        <x:v>Residential</x:v>
      </x:c>
      <x:c r="G1232" t="str">
        <x:v>Shear Wall</x:v>
      </x:c>
      <x:c r="H1232" t="str">
        <x:v>Raft</x:v>
      </x:c>
      <x:c r="I1232" t="str">
        <x:v>Rock</x:v>
      </x:c>
      <x:c r="J1232" t="str">
        <x:v>Medium</x:v>
      </x:c>
      <x:c r="K1232" t="n">
        <x:v>23751660</x:v>
      </x:c>
      <x:c r="L1232" t="n">
        <x:v>611</x:v>
      </x:c>
      <x:c r="M1232" t="n">
        <x:v>668.6</x:v>
      </x:c>
      <x:c r="N1232" t="n">
        <x:v>13.3</x:v>
      </x:c>
      <x:c r="O1232" t="n">
        <x:v>78.5</x:v>
      </x:c>
      <x:c r="P1232" t="str">
        <x:v>Stormy</x:v>
      </x:c>
      <x:c r="Q1232" t="n">
        <x:v>64</x:v>
      </x:c>
      <x:c r="R1232" t="n">
        <x:v>76</x:v>
      </x:c>
      <x:c r="S1232" t="n">
        <x:v>0.0804</x:v>
      </x:c>
      <x:c r="T1232" t="n">
        <x:v>12.6</x:v>
      </x:c>
      <x:c r="U1232" t="n">
        <x:v>1077.9</x:v>
      </x:c>
      <x:c r="V1232" t="n">
        <x:v>1574</x:v>
      </x:c>
      <x:c r="W1232" t="n">
        <x:v>40.5</x:v>
      </x:c>
    </x:row>
    <x:row r="1233">
      <x:c r="A1233" t="str">
        <x:v>PJT_1232</x:v>
      </x:c>
      <x:c r="B1233" t="str">
        <x:v>Continental</x:v>
      </x:c>
      <x:c r="C1233" t="n">
        <x:v>4170</x:v>
      </x:c>
      <x:c r="D1233" t="n">
        <x:v>2</x:v>
      </x:c>
      <x:c r="E1233" t="str">
        <x:v>Low</x:v>
      </x:c>
      <x:c r="F1233" t="str">
        <x:v>School</x:v>
      </x:c>
      <x:c r="G1233" t="str">
        <x:v>RC Frame</x:v>
      </x:c>
      <x:c r="H1233" t="str">
        <x:v>Strip</x:v>
      </x:c>
      <x:c r="I1233" t="str">
        <x:v>Sand</x:v>
      </x:c>
      <x:c r="J1233" t="str">
        <x:v>Medium</x:v>
      </x:c>
      <x:c r="K1233" t="n">
        <x:v>6184110</x:v>
      </x:c>
      <x:c r="L1233" t="n">
        <x:v>180</x:v>
      </x:c>
      <x:c r="M1233" t="n">
        <x:v>255.8</x:v>
      </x:c>
      <x:c r="N1233" t="n">
        <x:v>9.8</x:v>
      </x:c>
      <x:c r="O1233" t="n">
        <x:v>49.9</x:v>
      </x:c>
      <x:c r="P1233" t="str">
        <x:v>Cloudy</x:v>
      </x:c>
      <x:c r="Q1233" t="n">
        <x:v>84</x:v>
      </x:c>
      <x:c r="R1233" t="n">
        <x:v>65.1</x:v>
      </x:c>
      <x:c r="S1233" t="n">
        <x:v>0.0782</x:v>
      </x:c>
      <x:c r="T1233" t="n">
        <x:v>13.5</x:v>
      </x:c>
      <x:c r="U1233" t="n">
        <x:v>2085</x:v>
      </x:c>
      <x:c r="V1233" t="n">
        <x:v>1483</x:v>
      </x:c>
      <x:c r="W1233" t="n">
        <x:v>27.2</x:v>
      </x:c>
    </x:row>
    <x:row r="1234">
      <x:c r="A1234" t="str">
        <x:v>PJT_1233</x:v>
      </x:c>
      <x:c r="B1234" t="str">
        <x:v>Humid Subtropical</x:v>
      </x:c>
      <x:c r="C1234" t="n">
        <x:v>21890</x:v>
      </x:c>
      <x:c r="D1234" t="n">
        <x:v>13</x:v>
      </x:c>
      <x:c r="E1234" t="str">
        <x:v>Medium</x:v>
      </x:c>
      <x:c r="F1234" t="str">
        <x:v>Commercial</x:v>
      </x:c>
      <x:c r="G1234" t="str">
        <x:v>Steel</x:v>
      </x:c>
      <x:c r="H1234" t="str">
        <x:v>Piles</x:v>
      </x:c>
      <x:c r="I1234" t="str">
        <x:v>Soft Clay</x:v>
      </x:c>
      <x:c r="J1234" t="str">
        <x:v>High</x:v>
      </x:c>
      <x:c r="K1234" t="n">
        <x:v>55228470</x:v>
      </x:c>
      <x:c r="L1234" t="n">
        <x:v>987</x:v>
      </x:c>
      <x:c r="M1234" t="n">
        <x:v>202.4</x:v>
      </x:c>
      <x:c r="N1234" t="n">
        <x:v>28</x:v>
      </x:c>
      <x:c r="O1234" t="n">
        <x:v>64.4</x:v>
      </x:c>
      <x:c r="P1234" t="str">
        <x:v>Cloudy</x:v>
      </x:c>
      <x:c r="Q1234" t="n">
        <x:v>85</x:v>
      </x:c>
      <x:c r="R1234" t="n">
        <x:v>75.4</x:v>
      </x:c>
      <x:c r="S1234" t="n">
        <x:v>0.0945</x:v>
      </x:c>
      <x:c r="T1234" t="n">
        <x:v>17</x:v>
      </x:c>
      <x:c r="U1234" t="n">
        <x:v>1683.8</x:v>
      </x:c>
      <x:c r="V1234" t="n">
        <x:v>2523</x:v>
      </x:c>
      <x:c r="W1234" t="n">
        <x:v>45.1</x:v>
      </x:c>
    </x:row>
    <x:row r="1235">
      <x:c r="A1235" t="str">
        <x:v>PJT_1234</x:v>
      </x:c>
      <x:c r="B1235" t="str">
        <x:v>Humid Subtropical</x:v>
      </x:c>
      <x:c r="C1235" t="n">
        <x:v>11760</x:v>
      </x:c>
      <x:c r="D1235" t="n">
        <x:v>9</x:v>
      </x:c>
      <x:c r="E1235" t="str">
        <x:v>Medium</x:v>
      </x:c>
      <x:c r="F1235" t="str">
        <x:v>Commercial</x:v>
      </x:c>
      <x:c r="G1235" t="str">
        <x:v>RC Frame</x:v>
      </x:c>
      <x:c r="H1235" t="str">
        <x:v>Piles</x:v>
      </x:c>
      <x:c r="I1235" t="str">
        <x:v>Soft Clay</x:v>
      </x:c>
      <x:c r="J1235" t="str">
        <x:v>Medium</x:v>
      </x:c>
      <x:c r="K1235" t="n">
        <x:v>26706960</x:v>
      </x:c>
      <x:c r="L1235" t="n">
        <x:v>474</x:v>
      </x:c>
      <x:c r="M1235" t="n">
        <x:v>207.1</x:v>
      </x:c>
      <x:c r="N1235" t="n">
        <x:v>28.8</x:v>
      </x:c>
      <x:c r="O1235" t="n">
        <x:v>67.3</x:v>
      </x:c>
      <x:c r="P1235" t="str">
        <x:v>Sunny</x:v>
      </x:c>
      <x:c r="Q1235" t="n">
        <x:v>104</x:v>
      </x:c>
      <x:c r="R1235" t="n">
        <x:v>79.5</x:v>
      </x:c>
      <x:c r="S1235" t="n">
        <x:v>0.0927</x:v>
      </x:c>
      <x:c r="T1235" t="n">
        <x:v>16.6</x:v>
      </x:c>
      <x:c r="U1235" t="n">
        <x:v>1306.7</x:v>
      </x:c>
      <x:c r="V1235" t="n">
        <x:v>2271</x:v>
      </x:c>
      <x:c r="W1235" t="n">
        <x:v>40.3</x:v>
      </x:c>
    </x:row>
    <x:row r="1236">
      <x:c r="A1236" t="str">
        <x:v>PJT_1235</x:v>
      </x:c>
      <x:c r="B1236" t="str">
        <x:v>Humid Subtropical</x:v>
      </x:c>
      <x:c r="C1236" t="n">
        <x:v>12300</x:v>
      </x:c>
      <x:c r="D1236" t="n">
        <x:v>10</x:v>
      </x:c>
      <x:c r="E1236" t="str">
        <x:v>Medium</x:v>
      </x:c>
      <x:c r="F1236" t="str">
        <x:v>Commercial</x:v>
      </x:c>
      <x:c r="G1236" t="str">
        <x:v>RC Frame</x:v>
      </x:c>
      <x:c r="H1236" t="str">
        <x:v>Piles</x:v>
      </x:c>
      <x:c r="I1236" t="str">
        <x:v>Soft Clay</x:v>
      </x:c>
      <x:c r="J1236" t="str">
        <x:v>Low</x:v>
      </x:c>
      <x:c r="K1236" t="n">
        <x:v>26703300</x:v>
      </x:c>
      <x:c r="L1236" t="n">
        <x:v>566</x:v>
      </x:c>
      <x:c r="M1236" t="n">
        <x:v>171.5</x:v>
      </x:c>
      <x:c r="N1236" t="n">
        <x:v>25</x:v>
      </x:c>
      <x:c r="O1236" t="n">
        <x:v>84.3</x:v>
      </x:c>
      <x:c r="P1236" t="str">
        <x:v>Rainy</x:v>
      </x:c>
      <x:c r="Q1236" t="n">
        <x:v>96</x:v>
      </x:c>
      <x:c r="R1236" t="n">
        <x:v>81</x:v>
      </x:c>
      <x:c r="S1236" t="n">
        <x:v>0.0941</x:v>
      </x:c>
      <x:c r="T1236" t="n">
        <x:v>15.6</x:v>
      </x:c>
      <x:c r="U1236" t="n">
        <x:v>1230</x:v>
      </x:c>
      <x:c r="V1236" t="n">
        <x:v>2171</x:v>
      </x:c>
      <x:c r="W1236" t="n">
        <x:v>46</x:v>
      </x:c>
    </x:row>
    <x:row r="1237">
      <x:c r="A1237" t="str">
        <x:v>PJT_1236</x:v>
      </x:c>
      <x:c r="B1237" t="str">
        <x:v>Humid Subtropical</x:v>
      </x:c>
      <x:c r="C1237" t="n">
        <x:v>33880</x:v>
      </x:c>
      <x:c r="D1237" t="n">
        <x:v>18</x:v>
      </x:c>
      <x:c r="E1237" t="str">
        <x:v>Medium</x:v>
      </x:c>
      <x:c r="F1237" t="str">
        <x:v>Mixed-use</x:v>
      </x:c>
      <x:c r="G1237" t="str">
        <x:v>Steel</x:v>
      </x:c>
      <x:c r="H1237" t="str">
        <x:v>Piles</x:v>
      </x:c>
      <x:c r="I1237" t="str">
        <x:v>Mixed</x:v>
      </x:c>
      <x:c r="J1237" t="str">
        <x:v>Medium</x:v>
      </x:c>
      <x:c r="K1237" t="n">
        <x:v>92763440</x:v>
      </x:c>
      <x:c r="L1237" t="n">
        <x:v>1819</x:v>
      </x:c>
      <x:c r="M1237" t="n">
        <x:v>382.3</x:v>
      </x:c>
      <x:c r="N1237" t="n">
        <x:v>23</x:v>
      </x:c>
      <x:c r="O1237" t="n">
        <x:v>79.3</x:v>
      </x:c>
      <x:c r="P1237" t="str">
        <x:v>Rainy</x:v>
      </x:c>
      <x:c r="Q1237" t="n">
        <x:v>85</x:v>
      </x:c>
      <x:c r="R1237" t="n">
        <x:v>80.2</x:v>
      </x:c>
      <x:c r="S1237" t="n">
        <x:v>0.0987</x:v>
      </x:c>
      <x:c r="T1237" t="n">
        <x:v>18.9</x:v>
      </x:c>
      <x:c r="U1237" t="n">
        <x:v>1882.2</x:v>
      </x:c>
      <x:c r="V1237" t="n">
        <x:v>2738</x:v>
      </x:c>
      <x:c r="W1237" t="n">
        <x:v>53.7</x:v>
      </x:c>
    </x:row>
    <x:row r="1238">
      <x:c r="A1238" t="str">
        <x:v>PJT_1237</x:v>
      </x:c>
      <x:c r="B1238" t="str">
        <x:v>Mediterranean</x:v>
      </x:c>
      <x:c r="C1238" t="n">
        <x:v>21000</x:v>
      </x:c>
      <x:c r="D1238" t="n">
        <x:v>16</x:v>
      </x:c>
      <x:c r="E1238" t="str">
        <x:v>Medium</x:v>
      </x:c>
      <x:c r="F1238" t="str">
        <x:v>Mixed-use</x:v>
      </x:c>
      <x:c r="G1238" t="str">
        <x:v>Shear Wall</x:v>
      </x:c>
      <x:c r="H1238" t="str">
        <x:v>Piles</x:v>
      </x:c>
      <x:c r="I1238" t="str">
        <x:v>Mixed</x:v>
      </x:c>
      <x:c r="J1238" t="str">
        <x:v>Medium</x:v>
      </x:c>
      <x:c r="K1238" t="n">
        <x:v>56259000</x:v>
      </x:c>
      <x:c r="L1238" t="n">
        <x:v>972</x:v>
      </x:c>
      <x:c r="M1238" t="n">
        <x:v>330.1</x:v>
      </x:c>
      <x:c r="N1238" t="n">
        <x:v>27</x:v>
      </x:c>
      <x:c r="O1238" t="n">
        <x:v>57.6</x:v>
      </x:c>
      <x:c r="P1238" t="str">
        <x:v>Sunny</x:v>
      </x:c>
      <x:c r="Q1238" t="n">
        <x:v>66</x:v>
      </x:c>
      <x:c r="R1238" t="n">
        <x:v>78.7</x:v>
      </x:c>
      <x:c r="S1238" t="n">
        <x:v>0.0972</x:v>
      </x:c>
      <x:c r="T1238" t="n">
        <x:v>17.8</x:v>
      </x:c>
      <x:c r="U1238" t="n">
        <x:v>1312.5</x:v>
      </x:c>
      <x:c r="V1238" t="n">
        <x:v>2679</x:v>
      </x:c>
      <x:c r="W1238" t="n">
        <x:v>46.3</x:v>
      </x:c>
    </x:row>
    <x:row r="1239">
      <x:c r="A1239" t="str">
        <x:v>PJT_1238</x:v>
      </x:c>
      <x:c r="B1239" t="str">
        <x:v>Continental</x:v>
      </x:c>
      <x:c r="C1239" t="n">
        <x:v>16970</x:v>
      </x:c>
      <x:c r="D1239" t="n">
        <x:v>11</x:v>
      </x:c>
      <x:c r="E1239" t="str">
        <x:v>Medium</x:v>
      </x:c>
      <x:c r="F1239" t="str">
        <x:v>Commercial</x:v>
      </x:c>
      <x:c r="G1239" t="str">
        <x:v>Steel</x:v>
      </x:c>
      <x:c r="H1239" t="str">
        <x:v>Raft</x:v>
      </x:c>
      <x:c r="I1239" t="str">
        <x:v>Sand</x:v>
      </x:c>
      <x:c r="J1239" t="str">
        <x:v>Medium</x:v>
      </x:c>
      <x:c r="K1239" t="n">
        <x:v>39064940</x:v>
      </x:c>
      <x:c r="L1239" t="n">
        <x:v>796</x:v>
      </x:c>
      <x:c r="M1239" t="n">
        <x:v>217.1</x:v>
      </x:c>
      <x:c r="N1239" t="n">
        <x:v>18.4</x:v>
      </x:c>
      <x:c r="O1239" t="n">
        <x:v>71.4</x:v>
      </x:c>
      <x:c r="P1239" t="str">
        <x:v>Stormy</x:v>
      </x:c>
      <x:c r="Q1239" t="n">
        <x:v>108</x:v>
      </x:c>
      <x:c r="R1239" t="n">
        <x:v>79.4</x:v>
      </x:c>
      <x:c r="S1239" t="n">
        <x:v>0.0988</x:v>
      </x:c>
      <x:c r="T1239" t="n">
        <x:v>17.3</x:v>
      </x:c>
      <x:c r="U1239" t="n">
        <x:v>1542.7</x:v>
      </x:c>
      <x:c r="V1239" t="n">
        <x:v>2302</x:v>
      </x:c>
      <x:c r="W1239" t="n">
        <x:v>46.9</x:v>
      </x:c>
    </x:row>
    <x:row r="1240">
      <x:c r="A1240" t="str">
        <x:v>PJT_1239</x:v>
      </x:c>
      <x:c r="B1240" t="str">
        <x:v>Humid Subtropical</x:v>
      </x:c>
      <x:c r="C1240" t="n">
        <x:v>22570</x:v>
      </x:c>
      <x:c r="D1240" t="n">
        <x:v>13</x:v>
      </x:c>
      <x:c r="E1240" t="str">
        <x:v>Medium</x:v>
      </x:c>
      <x:c r="F1240" t="str">
        <x:v>Commercial</x:v>
      </x:c>
      <x:c r="G1240" t="str">
        <x:v>Steel</x:v>
      </x:c>
      <x:c r="H1240" t="str">
        <x:v>Raft</x:v>
      </x:c>
      <x:c r="I1240" t="str">
        <x:v>Rock</x:v>
      </x:c>
      <x:c r="J1240" t="str">
        <x:v>Medium</x:v>
      </x:c>
      <x:c r="K1240" t="n">
        <x:v>55138510</x:v>
      </x:c>
      <x:c r="L1240" t="n">
        <x:v>912</x:v>
      </x:c>
      <x:c r="M1240" t="n">
        <x:v>743.7</x:v>
      </x:c>
      <x:c r="N1240" t="n">
        <x:v>25.6</x:v>
      </x:c>
      <x:c r="O1240" t="n">
        <x:v>54.3</x:v>
      </x:c>
      <x:c r="P1240" t="str">
        <x:v>Sunny</x:v>
      </x:c>
      <x:c r="Q1240" t="n">
        <x:v>108</x:v>
      </x:c>
      <x:c r="R1240" t="n">
        <x:v>76</x:v>
      </x:c>
      <x:c r="S1240" t="n">
        <x:v>0.0971</x:v>
      </x:c>
      <x:c r="T1240" t="n">
        <x:v>17.9</x:v>
      </x:c>
      <x:c r="U1240" t="n">
        <x:v>1736.2</x:v>
      </x:c>
      <x:c r="V1240" t="n">
        <x:v>2443</x:v>
      </x:c>
      <x:c r="W1240" t="n">
        <x:v>40.4</x:v>
      </x:c>
    </x:row>
    <x:row r="1241">
      <x:c r="A1241" t="str">
        <x:v>PJT_1240</x:v>
      </x:c>
      <x:c r="B1241" t="str">
        <x:v>Mediterranean</x:v>
      </x:c>
      <x:c r="C1241" t="n">
        <x:v>14810</x:v>
      </x:c>
      <x:c r="D1241" t="n">
        <x:v>10</x:v>
      </x:c>
      <x:c r="E1241" t="str">
        <x:v>Medium</x:v>
      </x:c>
      <x:c r="F1241" t="str">
        <x:v>Hospital</x:v>
      </x:c>
      <x:c r="G1241" t="str">
        <x:v>Steel</x:v>
      </x:c>
      <x:c r="H1241" t="str">
        <x:v>Raft</x:v>
      </x:c>
      <x:c r="I1241" t="str">
        <x:v>Sand</x:v>
      </x:c>
      <x:c r="J1241" t="str">
        <x:v>Low</x:v>
      </x:c>
      <x:c r="K1241" t="n">
        <x:v>45807330</x:v>
      </x:c>
      <x:c r="L1241" t="n">
        <x:v>729</x:v>
      </x:c>
      <x:c r="M1241" t="n">
        <x:v>291.3</x:v>
      </x:c>
      <x:c r="N1241" t="n">
        <x:v>31.7</x:v>
      </x:c>
      <x:c r="O1241" t="n">
        <x:v>52.2</x:v>
      </x:c>
      <x:c r="P1241" t="str">
        <x:v>Sunny</x:v>
      </x:c>
      <x:c r="Q1241" t="n">
        <x:v>81</x:v>
      </x:c>
      <x:c r="R1241" t="n">
        <x:v>78.1</x:v>
      </x:c>
      <x:c r="S1241" t="n">
        <x:v>0.1143</x:v>
      </x:c>
      <x:c r="T1241" t="n">
        <x:v>22.3</x:v>
      </x:c>
      <x:c r="U1241" t="n">
        <x:v>1481</x:v>
      </x:c>
      <x:c r="V1241" t="n">
        <x:v>3093</x:v>
      </x:c>
      <x:c r="W1241" t="n">
        <x:v>49.2</x:v>
      </x:c>
    </x:row>
    <x:row r="1242">
      <x:c r="A1242" t="str">
        <x:v>PJT_1241</x:v>
      </x:c>
      <x:c r="B1242" t="str">
        <x:v>Continental</x:v>
      </x:c>
      <x:c r="C1242" t="n">
        <x:v>16130</x:v>
      </x:c>
      <x:c r="D1242" t="n">
        <x:v>13</x:v>
      </x:c>
      <x:c r="E1242" t="str">
        <x:v>Medium</x:v>
      </x:c>
      <x:c r="F1242" t="str">
        <x:v>Commercial</x:v>
      </x:c>
      <x:c r="G1242" t="str">
        <x:v>Steel</x:v>
      </x:c>
      <x:c r="H1242" t="str">
        <x:v>Raft</x:v>
      </x:c>
      <x:c r="I1242" t="str">
        <x:v>Rock</x:v>
      </x:c>
      <x:c r="J1242" t="str">
        <x:v>High</x:v>
      </x:c>
      <x:c r="K1242" t="n">
        <x:v>39195900</x:v>
      </x:c>
      <x:c r="L1242" t="n">
        <x:v>776</x:v>
      </x:c>
      <x:c r="M1242" t="n">
        <x:v>596.7</x:v>
      </x:c>
      <x:c r="N1242" t="n">
        <x:v>12.9</x:v>
      </x:c>
      <x:c r="O1242" t="n">
        <x:v>68.2</x:v>
      </x:c>
      <x:c r="P1242" t="str">
        <x:v>Stormy</x:v>
      </x:c>
      <x:c r="Q1242" t="n">
        <x:v>87</x:v>
      </x:c>
      <x:c r="R1242" t="n">
        <x:v>78.1</x:v>
      </x:c>
      <x:c r="S1242" t="n">
        <x:v>0.1004</x:v>
      </x:c>
      <x:c r="T1242" t="n">
        <x:v>17.3</x:v>
      </x:c>
      <x:c r="U1242" t="n">
        <x:v>1240.8</x:v>
      </x:c>
      <x:c r="V1242" t="n">
        <x:v>2430</x:v>
      </x:c>
      <x:c r="W1242" t="n">
        <x:v>48.1</x:v>
      </x:c>
    </x:row>
    <x:row r="1243">
      <x:c r="A1243" t="str">
        <x:v>PJT_1242</x:v>
      </x:c>
      <x:c r="B1243" t="str">
        <x:v>Continental</x:v>
      </x:c>
      <x:c r="C1243" t="n">
        <x:v>15370</x:v>
      </x:c>
      <x:c r="D1243" t="n">
        <x:v>8</x:v>
      </x:c>
      <x:c r="E1243" t="str">
        <x:v>Medium</x:v>
      </x:c>
      <x:c r="F1243" t="str">
        <x:v>Hospital</x:v>
      </x:c>
      <x:c r="G1243" t="str">
        <x:v>RC Frame</x:v>
      </x:c>
      <x:c r="H1243" t="str">
        <x:v>Raft</x:v>
      </x:c>
      <x:c r="I1243" t="str">
        <x:v>Sand</x:v>
      </x:c>
      <x:c r="J1243" t="str">
        <x:v>Medium</x:v>
      </x:c>
      <x:c r="K1243" t="n">
        <x:v>44081160</x:v>
      </x:c>
      <x:c r="L1243" t="n">
        <x:v>718</x:v>
      </x:c>
      <x:c r="M1243" t="n">
        <x:v>283.8</x:v>
      </x:c>
      <x:c r="N1243" t="n">
        <x:v>11.9</x:v>
      </x:c>
      <x:c r="O1243" t="n">
        <x:v>57.3</x:v>
      </x:c>
      <x:c r="P1243" t="str">
        <x:v>Cloudy</x:v>
      </x:c>
      <x:c r="Q1243" t="n">
        <x:v>82</x:v>
      </x:c>
      <x:c r="R1243" t="n">
        <x:v>77.8</x:v>
      </x:c>
      <x:c r="S1243" t="n">
        <x:v>0.1087</x:v>
      </x:c>
      <x:c r="T1243" t="n">
        <x:v>20.2</x:v>
      </x:c>
      <x:c r="U1243" t="n">
        <x:v>1921.2</x:v>
      </x:c>
      <x:c r="V1243" t="n">
        <x:v>2868</x:v>
      </x:c>
      <x:c r="W1243" t="n">
        <x:v>46.7</x:v>
      </x:c>
    </x:row>
    <x:row r="1244">
      <x:c r="A1244" t="str">
        <x:v>PJT_1243</x:v>
      </x:c>
      <x:c r="B1244" t="str">
        <x:v>Continental</x:v>
      </x:c>
      <x:c r="C1244" t="n">
        <x:v>15970</x:v>
      </x:c>
      <x:c r="D1244" t="n">
        <x:v>21</x:v>
      </x:c>
      <x:c r="E1244" t="str">
        <x:v>Medium</x:v>
      </x:c>
      <x:c r="F1244" t="str">
        <x:v>Residential</x:v>
      </x:c>
      <x:c r="G1244" t="str">
        <x:v>Shear Wall</x:v>
      </x:c>
      <x:c r="H1244" t="str">
        <x:v>Piles</x:v>
      </x:c>
      <x:c r="I1244" t="str">
        <x:v>Soft Clay</x:v>
      </x:c>
      <x:c r="J1244" t="str">
        <x:v>High</x:v>
      </x:c>
      <x:c r="K1244" t="n">
        <x:v>27644070</x:v>
      </x:c>
      <x:c r="L1244" t="n">
        <x:v>709</x:v>
      </x:c>
      <x:c r="M1244" t="n">
        <x:v>234.7</x:v>
      </x:c>
      <x:c r="N1244" t="n">
        <x:v>-0.2</x:v>
      </x:c>
      <x:c r="O1244" t="n">
        <x:v>60.3</x:v>
      </x:c>
      <x:c r="P1244" t="str">
        <x:v>Snowy</x:v>
      </x:c>
      <x:c r="Q1244" t="n">
        <x:v>62</x:v>
      </x:c>
      <x:c r="R1244" t="n">
        <x:v>76.5</x:v>
      </x:c>
      <x:c r="S1244" t="n">
        <x:v>0.0804</x:v>
      </x:c>
      <x:c r="T1244" t="n">
        <x:v>13.4</x:v>
      </x:c>
      <x:c r="U1244" t="n">
        <x:v>760.5</x:v>
      </x:c>
      <x:c r="V1244" t="n">
        <x:v>1731</x:v>
      </x:c>
      <x:c r="W1244" t="n">
        <x:v>44.4</x:v>
      </x:c>
    </x:row>
    <x:row r="1245">
      <x:c r="A1245" t="str">
        <x:v>PJT_1244</x:v>
      </x:c>
      <x:c r="B1245" t="str">
        <x:v>Mediterranean</x:v>
      </x:c>
      <x:c r="C1245" t="n">
        <x:v>15410</x:v>
      </x:c>
      <x:c r="D1245" t="n">
        <x:v>9</x:v>
      </x:c>
      <x:c r="E1245" t="str">
        <x:v>Medium</x:v>
      </x:c>
      <x:c r="F1245" t="str">
        <x:v>Commercial</x:v>
      </x:c>
      <x:c r="G1245" t="str">
        <x:v>Steel</x:v>
      </x:c>
      <x:c r="H1245" t="str">
        <x:v>Raft</x:v>
      </x:c>
      <x:c r="I1245" t="str">
        <x:v>Mixed</x:v>
      </x:c>
      <x:c r="J1245" t="str">
        <x:v>Medium</x:v>
      </x:c>
      <x:c r="K1245" t="n">
        <x:v>36352190</x:v>
      </x:c>
      <x:c r="L1245" t="n">
        <x:v>630</x:v>
      </x:c>
      <x:c r="M1245" t="n">
        <x:v>375.7</x:v>
      </x:c>
      <x:c r="N1245" t="n">
        <x:v>23.7</x:v>
      </x:c>
      <x:c r="O1245" t="n">
        <x:v>43.3</x:v>
      </x:c>
      <x:c r="P1245" t="str">
        <x:v>Sunny</x:v>
      </x:c>
      <x:c r="Q1245" t="n">
        <x:v>69</x:v>
      </x:c>
      <x:c r="R1245" t="n">
        <x:v>71.2</x:v>
      </x:c>
      <x:c r="S1245" t="n">
        <x:v>0.0997</x:v>
      </x:c>
      <x:c r="T1245" t="n">
        <x:v>18</x:v>
      </x:c>
      <x:c r="U1245" t="n">
        <x:v>1712.2</x:v>
      </x:c>
      <x:c r="V1245" t="n">
        <x:v>2359</x:v>
      </x:c>
      <x:c r="W1245" t="n">
        <x:v>40.9</x:v>
      </x:c>
    </x:row>
    <x:row r="1246">
      <x:c r="A1246" t="str">
        <x:v>PJT_1245</x:v>
      </x:c>
      <x:c r="B1246" t="str">
        <x:v>Humid Subtropical</x:v>
      </x:c>
      <x:c r="C1246" t="n">
        <x:v>11360</x:v>
      </x:c>
      <x:c r="D1246" t="n">
        <x:v>4</x:v>
      </x:c>
      <x:c r="E1246" t="str">
        <x:v>Low</x:v>
      </x:c>
      <x:c r="F1246" t="str">
        <x:v>School</x:v>
      </x:c>
      <x:c r="G1246" t="str">
        <x:v>RC Frame</x:v>
      </x:c>
      <x:c r="H1246" t="str">
        <x:v>Raft</x:v>
      </x:c>
      <x:c r="I1246" t="str">
        <x:v>Soft Clay</x:v>
      </x:c>
      <x:c r="J1246" t="str">
        <x:v>Medium</x:v>
      </x:c>
      <x:c r="K1246" t="n">
        <x:v>20277600</x:v>
      </x:c>
      <x:c r="L1246" t="n">
        <x:v>342</x:v>
      </x:c>
      <x:c r="M1246" t="n">
        <x:v>199.9</x:v>
      </x:c>
      <x:c r="N1246" t="n">
        <x:v>20</x:v>
      </x:c>
      <x:c r="O1246" t="n">
        <x:v>86</x:v>
      </x:c>
      <x:c r="P1246" t="str">
        <x:v>Rainy</x:v>
      </x:c>
      <x:c r="Q1246" t="n">
        <x:v>92</x:v>
      </x:c>
      <x:c r="R1246" t="n">
        <x:v>64.8</x:v>
      </x:c>
      <x:c r="S1246" t="n">
        <x:v>0.0807</x:v>
      </x:c>
      <x:c r="T1246" t="n">
        <x:v>13.5</x:v>
      </x:c>
      <x:c r="U1246" t="n">
        <x:v>2840</x:v>
      </x:c>
      <x:c r="V1246" t="n">
        <x:v>1785</x:v>
      </x:c>
      <x:c r="W1246" t="n">
        <x:v>30.1</x:v>
      </x:c>
    </x:row>
    <x:row r="1247">
      <x:c r="A1247" t="str">
        <x:v>PJT_1246</x:v>
      </x:c>
      <x:c r="B1247" t="str">
        <x:v>Continental</x:v>
      </x:c>
      <x:c r="C1247" t="n">
        <x:v>5450</x:v>
      </x:c>
      <x:c r="D1247" t="n">
        <x:v>2</x:v>
      </x:c>
      <x:c r="E1247" t="str">
        <x:v>Low</x:v>
      </x:c>
      <x:c r="F1247" t="str">
        <x:v>School</x:v>
      </x:c>
      <x:c r="G1247" t="str">
        <x:v>RC Frame</x:v>
      </x:c>
      <x:c r="H1247" t="str">
        <x:v>Raft</x:v>
      </x:c>
      <x:c r="I1247" t="str">
        <x:v>Soft Clay</x:v>
      </x:c>
      <x:c r="J1247" t="str">
        <x:v>Low</x:v>
      </x:c>
      <x:c r="K1247" t="n">
        <x:v>8322150</x:v>
      </x:c>
      <x:c r="L1247" t="n">
        <x:v>180</x:v>
      </x:c>
      <x:c r="M1247" t="n">
        <x:v>189.5</x:v>
      </x:c>
      <x:c r="N1247" t="n">
        <x:v>14.2</x:v>
      </x:c>
      <x:c r="O1247" t="n">
        <x:v>58.9</x:v>
      </x:c>
      <x:c r="P1247" t="str">
        <x:v>Cloudy</x:v>
      </x:c>
      <x:c r="Q1247" t="n">
        <x:v>66</x:v>
      </x:c>
      <x:c r="R1247" t="n">
        <x:v>64.3</x:v>
      </x:c>
      <x:c r="S1247" t="n">
        <x:v>0.0765</x:v>
      </x:c>
      <x:c r="T1247" t="n">
        <x:v>13.1</x:v>
      </x:c>
      <x:c r="U1247" t="n">
        <x:v>2725</x:v>
      </x:c>
      <x:c r="V1247" t="n">
        <x:v>1527</x:v>
      </x:c>
      <x:c r="W1247" t="n">
        <x:v>29.4</x:v>
      </x:c>
    </x:row>
    <x:row r="1248">
      <x:c r="A1248" t="str">
        <x:v>PJT_1247</x:v>
      </x:c>
      <x:c r="B1248" t="str">
        <x:v>Humid Subtropical</x:v>
      </x:c>
      <x:c r="C1248" t="n">
        <x:v>6230</x:v>
      </x:c>
      <x:c r="D1248" t="n">
        <x:v>2</x:v>
      </x:c>
      <x:c r="E1248" t="str">
        <x:v>Low</x:v>
      </x:c>
      <x:c r="F1248" t="str">
        <x:v>School</x:v>
      </x:c>
      <x:c r="G1248" t="str">
        <x:v>RC Frame</x:v>
      </x:c>
      <x:c r="H1248" t="str">
        <x:v>Raft</x:v>
      </x:c>
      <x:c r="I1248" t="str">
        <x:v>Soft Clay</x:v>
      </x:c>
      <x:c r="J1248" t="str">
        <x:v>Medium</x:v>
      </x:c>
      <x:c r="K1248" t="n">
        <x:v>11008410</x:v>
      </x:c>
      <x:c r="L1248" t="n">
        <x:v>195</x:v>
      </x:c>
      <x:c r="M1248" t="n">
        <x:v>178.1</x:v>
      </x:c>
      <x:c r="N1248" t="n">
        <x:v>23</x:v>
      </x:c>
      <x:c r="O1248" t="n">
        <x:v>85.6</x:v>
      </x:c>
      <x:c r="P1248" t="str">
        <x:v>Rainy</x:v>
      </x:c>
      <x:c r="Q1248" t="n">
        <x:v>94</x:v>
      </x:c>
      <x:c r="R1248" t="n">
        <x:v>64.9</x:v>
      </x:c>
      <x:c r="S1248" t="n">
        <x:v>0.076</x:v>
      </x:c>
      <x:c r="T1248" t="n">
        <x:v>12.7</x:v>
      </x:c>
      <x:c r="U1248" t="n">
        <x:v>3115</x:v>
      </x:c>
      <x:c r="V1248" t="n">
        <x:v>1767</x:v>
      </x:c>
      <x:c r="W1248" t="n">
        <x:v>31.3</x:v>
      </x:c>
    </x:row>
    <x:row r="1249">
      <x:c r="A1249" t="str">
        <x:v>PJT_1248</x:v>
      </x:c>
      <x:c r="B1249" t="str">
        <x:v>Continental</x:v>
      </x:c>
      <x:c r="C1249" t="n">
        <x:v>20480</x:v>
      </x:c>
      <x:c r="D1249" t="n">
        <x:v>10</x:v>
      </x:c>
      <x:c r="E1249" t="str">
        <x:v>Medium</x:v>
      </x:c>
      <x:c r="F1249" t="str">
        <x:v>Hospital</x:v>
      </x:c>
      <x:c r="G1249" t="str">
        <x:v>Shear Wall</x:v>
      </x:c>
      <x:c r="H1249" t="str">
        <x:v>Piles</x:v>
      </x:c>
      <x:c r="I1249" t="str">
        <x:v>Soft Clay</x:v>
      </x:c>
      <x:c r="J1249" t="str">
        <x:v>Medium</x:v>
      </x:c>
      <x:c r="K1249" t="n">
        <x:v>65925120</x:v>
      </x:c>
      <x:c r="L1249" t="n">
        <x:v>1087</x:v>
      </x:c>
      <x:c r="M1249" t="n">
        <x:v>224</x:v>
      </x:c>
      <x:c r="N1249" t="n">
        <x:v>-1.9</x:v>
      </x:c>
      <x:c r="O1249" t="n">
        <x:v>80.1</x:v>
      </x:c>
      <x:c r="P1249" t="str">
        <x:v>Snowy</x:v>
      </x:c>
      <x:c r="Q1249" t="n">
        <x:v>96</x:v>
      </x:c>
      <x:c r="R1249" t="n">
        <x:v>84.3</x:v>
      </x:c>
      <x:c r="S1249" t="n">
        <x:v>0.1123</x:v>
      </x:c>
      <x:c r="T1249" t="n">
        <x:v>21.2</x:v>
      </x:c>
      <x:c r="U1249" t="n">
        <x:v>2048</x:v>
      </x:c>
      <x:c r="V1249" t="n">
        <x:v>3219</x:v>
      </x:c>
      <x:c r="W1249" t="n">
        <x:v>53.1</x:v>
      </x:c>
    </x:row>
    <x:row r="1250">
      <x:c r="A1250" t="str">
        <x:v>PJT_1249</x:v>
      </x:c>
      <x:c r="B1250" t="str">
        <x:v>Mediterranean</x:v>
      </x:c>
      <x:c r="C1250" t="n">
        <x:v>13840</x:v>
      </x:c>
      <x:c r="D1250" t="n">
        <x:v>10</x:v>
      </x:c>
      <x:c r="E1250" t="str">
        <x:v>Medium</x:v>
      </x:c>
      <x:c r="F1250" t="str">
        <x:v>Mixed-use</x:v>
      </x:c>
      <x:c r="G1250" t="str">
        <x:v>Shear Wall</x:v>
      </x:c>
      <x:c r="H1250" t="str">
        <x:v>Raft</x:v>
      </x:c>
      <x:c r="I1250" t="str">
        <x:v>Mixed</x:v>
      </x:c>
      <x:c r="J1250" t="str">
        <x:v>High</x:v>
      </x:c>
      <x:c r="K1250" t="n">
        <x:v>36509920</x:v>
      </x:c>
      <x:c r="L1250" t="n">
        <x:v>597</x:v>
      </x:c>
      <x:c r="M1250" t="n">
        <x:v>283.5</x:v>
      </x:c>
      <x:c r="N1250" t="n">
        <x:v>23.4</x:v>
      </x:c>
      <x:c r="O1250" t="n">
        <x:v>54.4</x:v>
      </x:c>
      <x:c r="P1250" t="str">
        <x:v>Sunny</x:v>
      </x:c>
      <x:c r="Q1250" t="n">
        <x:v>80</x:v>
      </x:c>
      <x:c r="R1250" t="n">
        <x:v>83.8</x:v>
      </x:c>
      <x:c r="S1250" t="n">
        <x:v>0.1012</x:v>
      </x:c>
      <x:c r="T1250" t="n">
        <x:v>17.4</x:v>
      </x:c>
      <x:c r="U1250" t="n">
        <x:v>1384</x:v>
      </x:c>
      <x:c r="V1250" t="n">
        <x:v>2638</x:v>
      </x:c>
      <x:c r="W1250" t="n">
        <x:v>43.1</x:v>
      </x:c>
    </x:row>
    <x:row r="1251">
      <x:c r="A1251" t="str">
        <x:v>PJT_1250</x:v>
      </x:c>
      <x:c r="B1251" t="str">
        <x:v>Continental</x:v>
      </x:c>
      <x:c r="C1251" t="n">
        <x:v>13950</x:v>
      </x:c>
      <x:c r="D1251" t="n">
        <x:v>8</x:v>
      </x:c>
      <x:c r="E1251" t="str">
        <x:v>Medium</x:v>
      </x:c>
      <x:c r="F1251" t="str">
        <x:v>Hospital</x:v>
      </x:c>
      <x:c r="G1251" t="str">
        <x:v>RC Frame</x:v>
      </x:c>
      <x:c r="H1251" t="str">
        <x:v>Raft</x:v>
      </x:c>
      <x:c r="I1251" t="str">
        <x:v>Rock</x:v>
      </x:c>
      <x:c r="J1251" t="str">
        <x:v>Medium</x:v>
      </x:c>
      <x:c r="K1251" t="n">
        <x:v>41863950</x:v>
      </x:c>
      <x:c r="L1251" t="n">
        <x:v>675</x:v>
      </x:c>
      <x:c r="M1251" t="n">
        <x:v>664.1</x:v>
      </x:c>
      <x:c r="N1251" t="n">
        <x:v>-7</x:v>
      </x:c>
      <x:c r="O1251" t="n">
        <x:v>76.4</x:v>
      </x:c>
      <x:c r="P1251" t="str">
        <x:v>Snowy</x:v>
      </x:c>
      <x:c r="Q1251" t="n">
        <x:v>68</x:v>
      </x:c>
      <x:c r="R1251" t="n">
        <x:v>84.1</x:v>
      </x:c>
      <x:c r="S1251" t="n">
        <x:v>0.103</x:v>
      </x:c>
      <x:c r="T1251" t="n">
        <x:v>21</x:v>
      </x:c>
      <x:c r="U1251" t="n">
        <x:v>1743.8</x:v>
      </x:c>
      <x:c r="V1251" t="n">
        <x:v>3001</x:v>
      </x:c>
      <x:c r="W1251" t="n">
        <x:v>48.4</x:v>
      </x:c>
    </x:row>
    <x:row r="1252">
      <x:c r="A1252" t="str">
        <x:v>PJT_1251</x:v>
      </x:c>
      <x:c r="B1252" t="str">
        <x:v>Marine</x:v>
      </x:c>
      <x:c r="C1252" t="n">
        <x:v>11090</x:v>
      </x:c>
      <x:c r="D1252" t="n">
        <x:v>6</x:v>
      </x:c>
      <x:c r="E1252" t="str">
        <x:v>Low</x:v>
      </x:c>
      <x:c r="F1252" t="str">
        <x:v>Commercial</x:v>
      </x:c>
      <x:c r="G1252" t="str">
        <x:v>RC Frame</x:v>
      </x:c>
      <x:c r="H1252" t="str">
        <x:v>Raft</x:v>
      </x:c>
      <x:c r="I1252" t="str">
        <x:v>Soft Clay</x:v>
      </x:c>
      <x:c r="J1252" t="str">
        <x:v>Low</x:v>
      </x:c>
      <x:c r="K1252" t="n">
        <x:v>21969290</x:v>
      </x:c>
      <x:c r="L1252" t="n">
        <x:v>455</x:v>
      </x:c>
      <x:c r="M1252" t="n">
        <x:v>179</x:v>
      </x:c>
      <x:c r="N1252" t="n">
        <x:v>11.6</x:v>
      </x:c>
      <x:c r="O1252" t="n">
        <x:v>92.1</x:v>
      </x:c>
      <x:c r="P1252" t="str">
        <x:v>Stormy</x:v>
      </x:c>
      <x:c r="Q1252" t="n">
        <x:v>101</x:v>
      </x:c>
      <x:c r="R1252" t="n">
        <x:v>70.1</x:v>
      </x:c>
      <x:c r="S1252" t="n">
        <x:v>0.0879</x:v>
      </x:c>
      <x:c r="T1252" t="n">
        <x:v>14.8</x:v>
      </x:c>
      <x:c r="U1252" t="n">
        <x:v>1848.3</x:v>
      </x:c>
      <x:c r="V1252" t="n">
        <x:v>1981</x:v>
      </x:c>
      <x:c r="W1252" t="n">
        <x:v>41</x:v>
      </x:c>
    </x:row>
    <x:row r="1253">
      <x:c r="A1253" t="str">
        <x:v>PJT_1252</x:v>
      </x:c>
      <x:c r="B1253" t="str">
        <x:v>Mediterranean</x:v>
      </x:c>
      <x:c r="C1253" t="n">
        <x:v>18070</x:v>
      </x:c>
      <x:c r="D1253" t="n">
        <x:v>22</x:v>
      </x:c>
      <x:c r="E1253" t="str">
        <x:v>Medium</x:v>
      </x:c>
      <x:c r="F1253" t="str">
        <x:v>Residential</x:v>
      </x:c>
      <x:c r="G1253" t="str">
        <x:v>Shear Wall</x:v>
      </x:c>
      <x:c r="H1253" t="str">
        <x:v>Piles</x:v>
      </x:c>
      <x:c r="I1253" t="str">
        <x:v>Mixed</x:v>
      </x:c>
      <x:c r="J1253" t="str">
        <x:v>High</x:v>
      </x:c>
      <x:c r="K1253" t="n">
        <x:v>32327230</x:v>
      </x:c>
      <x:c r="L1253" t="n">
        <x:v>777</x:v>
      </x:c>
      <x:c r="M1253" t="n">
        <x:v>321.4</x:v>
      </x:c>
      <x:c r="N1253" t="n">
        <x:v>15.4</x:v>
      </x:c>
      <x:c r="O1253" t="n">
        <x:v>87</x:v>
      </x:c>
      <x:c r="P1253" t="str">
        <x:v>Stormy</x:v>
      </x:c>
      <x:c r="Q1253" t="n">
        <x:v>64</x:v>
      </x:c>
      <x:c r="R1253" t="n">
        <x:v>75.9</x:v>
      </x:c>
      <x:c r="S1253" t="n">
        <x:v>0.0804</x:v>
      </x:c>
      <x:c r="T1253" t="n">
        <x:v>13.2</x:v>
      </x:c>
      <x:c r="U1253" t="n">
        <x:v>821.4</x:v>
      </x:c>
      <x:c r="V1253" t="n">
        <x:v>1789</x:v>
      </x:c>
      <x:c r="W1253" t="n">
        <x:v>43</x:v>
      </x:c>
    </x:row>
    <x:row r="1254">
      <x:c r="A1254" t="str">
        <x:v>PJT_1253</x:v>
      </x:c>
      <x:c r="B1254" t="str">
        <x:v>Mediterranean</x:v>
      </x:c>
      <x:c r="C1254" t="n">
        <x:v>14220</x:v>
      </x:c>
      <x:c r="D1254" t="n">
        <x:v>12</x:v>
      </x:c>
      <x:c r="E1254" t="str">
        <x:v>Medium</x:v>
      </x:c>
      <x:c r="F1254" t="str">
        <x:v>Commercial</x:v>
      </x:c>
      <x:c r="G1254" t="str">
        <x:v>Steel</x:v>
      </x:c>
      <x:c r="H1254" t="str">
        <x:v>Piles</x:v>
      </x:c>
      <x:c r="I1254" t="str">
        <x:v>Soft Clay</x:v>
      </x:c>
      <x:c r="J1254" t="str">
        <x:v>High</x:v>
      </x:c>
      <x:c r="K1254" t="n">
        <x:v>35094960</x:v>
      </x:c>
      <x:c r="L1254" t="n">
        <x:v>674</x:v>
      </x:c>
      <x:c r="M1254" t="n">
        <x:v>217.6</x:v>
      </x:c>
      <x:c r="N1254" t="n">
        <x:v>15.4</x:v>
      </x:c>
      <x:c r="O1254" t="n">
        <x:v>52.2</x:v>
      </x:c>
      <x:c r="P1254" t="str">
        <x:v>Cloudy</x:v>
      </x:c>
      <x:c r="Q1254" t="n">
        <x:v>64</x:v>
      </x:c>
      <x:c r="R1254" t="n">
        <x:v>81.7</x:v>
      </x:c>
      <x:c r="S1254" t="n">
        <x:v>0.0981</x:v>
      </x:c>
      <x:c r="T1254" t="n">
        <x:v>17.5</x:v>
      </x:c>
      <x:c r="U1254" t="n">
        <x:v>1185</x:v>
      </x:c>
      <x:c r="V1254" t="n">
        <x:v>2468</x:v>
      </x:c>
      <x:c r="W1254" t="n">
        <x:v>47.4</x:v>
      </x:c>
    </x:row>
    <x:row r="1255">
      <x:c r="A1255" t="str">
        <x:v>PJT_1254</x:v>
      </x:c>
      <x:c r="B1255" t="str">
        <x:v>Humid Subtropical</x:v>
      </x:c>
      <x:c r="C1255" t="n">
        <x:v>12390</x:v>
      </x:c>
      <x:c r="D1255" t="n">
        <x:v>9</x:v>
      </x:c>
      <x:c r="E1255" t="str">
        <x:v>Medium</x:v>
      </x:c>
      <x:c r="F1255" t="str">
        <x:v>Residential</x:v>
      </x:c>
      <x:c r="G1255" t="str">
        <x:v>Shear Wall</x:v>
      </x:c>
      <x:c r="H1255" t="str">
        <x:v>Raft</x:v>
      </x:c>
      <x:c r="I1255" t="str">
        <x:v>Mixed</x:v>
      </x:c>
      <x:c r="J1255" t="str">
        <x:v>High</x:v>
      </x:c>
      <x:c r="K1255" t="n">
        <x:v>19960290</x:v>
      </x:c>
      <x:c r="L1255" t="n">
        <x:v>494</x:v>
      </x:c>
      <x:c r="M1255" t="n">
        <x:v>316.3</x:v>
      </x:c>
      <x:c r="N1255" t="n">
        <x:v>21.4</x:v>
      </x:c>
      <x:c r="O1255" t="n">
        <x:v>80.7</x:v>
      </x:c>
      <x:c r="P1255" t="str">
        <x:v>Rainy</x:v>
      </x:c>
      <x:c r="Q1255" t="n">
        <x:v>87</x:v>
      </x:c>
      <x:c r="R1255" t="n">
        <x:v>73</x:v>
      </x:c>
      <x:c r="S1255" t="n">
        <x:v>0.0802</x:v>
      </x:c>
      <x:c r="T1255" t="n">
        <x:v>13.1</x:v>
      </x:c>
      <x:c r="U1255" t="n">
        <x:v>1376.7</x:v>
      </x:c>
      <x:c r="V1255" t="n">
        <x:v>1611</x:v>
      </x:c>
      <x:c r="W1255" t="n">
        <x:v>39.9</x:v>
      </x:c>
    </x:row>
    <x:row r="1256">
      <x:c r="A1256" t="str">
        <x:v>PJT_1255</x:v>
      </x:c>
      <x:c r="B1256" t="str">
        <x:v>Continental</x:v>
      </x:c>
      <x:c r="C1256" t="n">
        <x:v>21600</x:v>
      </x:c>
      <x:c r="D1256" t="n">
        <x:v>18</x:v>
      </x:c>
      <x:c r="E1256" t="str">
        <x:v>Medium</x:v>
      </x:c>
      <x:c r="F1256" t="str">
        <x:v>Residential</x:v>
      </x:c>
      <x:c r="G1256" t="str">
        <x:v>RC Frame</x:v>
      </x:c>
      <x:c r="H1256" t="str">
        <x:v>Piles</x:v>
      </x:c>
      <x:c r="I1256" t="str">
        <x:v>Mixed</x:v>
      </x:c>
      <x:c r="J1256" t="str">
        <x:v>Low</x:v>
      </x:c>
      <x:c r="K1256" t="n">
        <x:v>31536000</x:v>
      </x:c>
      <x:c r="L1256" t="n">
        <x:v>806</x:v>
      </x:c>
      <x:c r="M1256" t="n">
        <x:v>382.8</x:v>
      </x:c>
      <x:c r="N1256" t="n">
        <x:v>15.1</x:v>
      </x:c>
      <x:c r="O1256" t="n">
        <x:v>57.8</x:v>
      </x:c>
      <x:c r="P1256" t="str">
        <x:v>Sunny</x:v>
      </x:c>
      <x:c r="Q1256" t="n">
        <x:v>62</x:v>
      </x:c>
      <x:c r="R1256" t="n">
        <x:v>72.2</x:v>
      </x:c>
      <x:c r="S1256" t="n">
        <x:v>0.0814</x:v>
      </x:c>
      <x:c r="T1256" t="n">
        <x:v>13.8</x:v>
      </x:c>
      <x:c r="U1256" t="n">
        <x:v>1200</x:v>
      </x:c>
      <x:c r="V1256" t="n">
        <x:v>1460</x:v>
      </x:c>
      <x:c r="W1256" t="n">
        <x:v>37.3</x:v>
      </x:c>
    </x:row>
    <x:row r="1257">
      <x:c r="A1257" t="str">
        <x:v>PJT_1256</x:v>
      </x:c>
      <x:c r="B1257" t="str">
        <x:v>Continental</x:v>
      </x:c>
      <x:c r="C1257" t="n">
        <x:v>13020</x:v>
      </x:c>
      <x:c r="D1257" t="n">
        <x:v>4</x:v>
      </x:c>
      <x:c r="E1257" t="str">
        <x:v>Medium</x:v>
      </x:c>
      <x:c r="F1257" t="str">
        <x:v>School</x:v>
      </x:c>
      <x:c r="G1257" t="str">
        <x:v>RC Frame</x:v>
      </x:c>
      <x:c r="H1257" t="str">
        <x:v>Raft</x:v>
      </x:c>
      <x:c r="I1257" t="str">
        <x:v>Sand</x:v>
      </x:c>
      <x:c r="J1257" t="str">
        <x:v>High</x:v>
      </x:c>
      <x:c r="K1257" t="n">
        <x:v>22863120</x:v>
      </x:c>
      <x:c r="L1257" t="n">
        <x:v>370</x:v>
      </x:c>
      <x:c r="M1257" t="n">
        <x:v>232.6</x:v>
      </x:c>
      <x:c r="N1257" t="n">
        <x:v>27.1</x:v>
      </x:c>
      <x:c r="O1257" t="n">
        <x:v>54.6</x:v>
      </x:c>
      <x:c r="P1257" t="str">
        <x:v>Sunny</x:v>
      </x:c>
      <x:c r="Q1257" t="n">
        <x:v>71</x:v>
      </x:c>
      <x:c r="R1257" t="n">
        <x:v>74.2</x:v>
      </x:c>
      <x:c r="S1257" t="n">
        <x:v>0.0785</x:v>
      </x:c>
      <x:c r="T1257" t="n">
        <x:v>15.5</x:v>
      </x:c>
      <x:c r="U1257" t="n">
        <x:v>3255</x:v>
      </x:c>
      <x:c r="V1257" t="n">
        <x:v>1756</x:v>
      </x:c>
      <x:c r="W1257" t="n">
        <x:v>28.4</x:v>
      </x:c>
    </x:row>
    <x:row r="1258">
      <x:c r="A1258" t="str">
        <x:v>PJT_1257</x:v>
      </x:c>
      <x:c r="B1258" t="str">
        <x:v>Continental</x:v>
      </x:c>
      <x:c r="C1258" t="n">
        <x:v>26200</x:v>
      </x:c>
      <x:c r="D1258" t="n">
        <x:v>19</x:v>
      </x:c>
      <x:c r="E1258" t="str">
        <x:v>High</x:v>
      </x:c>
      <x:c r="F1258" t="str">
        <x:v>Mixed-use</x:v>
      </x:c>
      <x:c r="G1258" t="str">
        <x:v>Steel</x:v>
      </x:c>
      <x:c r="H1258" t="str">
        <x:v>Piles</x:v>
      </x:c>
      <x:c r="I1258" t="str">
        <x:v>Soft Clay</x:v>
      </x:c>
      <x:c r="J1258" t="str">
        <x:v>High</x:v>
      </x:c>
      <x:c r="K1258" t="n">
        <x:v>76870800</x:v>
      </x:c>
      <x:c r="L1258" t="n">
        <x:v>1360</x:v>
      </x:c>
      <x:c r="M1258" t="n">
        <x:v>162.9</x:v>
      </x:c>
      <x:c r="N1258" t="n">
        <x:v>20.2</x:v>
      </x:c>
      <x:c r="O1258" t="n">
        <x:v>52.1</x:v>
      </x:c>
      <x:c r="P1258" t="str">
        <x:v>Sunny</x:v>
      </x:c>
      <x:c r="Q1258" t="n">
        <x:v>88</x:v>
      </x:c>
      <x:c r="R1258" t="n">
        <x:v>85.5</x:v>
      </x:c>
      <x:c r="S1258" t="n">
        <x:v>0.1055</x:v>
      </x:c>
      <x:c r="T1258" t="n">
        <x:v>20.8</x:v>
      </x:c>
      <x:c r="U1258" t="n">
        <x:v>1378.9</x:v>
      </x:c>
      <x:c r="V1258" t="n">
        <x:v>2934</x:v>
      </x:c>
      <x:c r="W1258" t="n">
        <x:v>51.9</x:v>
      </x:c>
    </x:row>
    <x:row r="1259">
      <x:c r="A1259" t="str">
        <x:v>PJT_1258</x:v>
      </x:c>
      <x:c r="B1259" t="str">
        <x:v>Mediterranean</x:v>
      </x:c>
      <x:c r="C1259" t="n">
        <x:v>20800</x:v>
      </x:c>
      <x:c r="D1259" t="n">
        <x:v>25</x:v>
      </x:c>
      <x:c r="E1259" t="str">
        <x:v>High</x:v>
      </x:c>
      <x:c r="F1259" t="str">
        <x:v>Mixed-use</x:v>
      </x:c>
      <x:c r="G1259" t="str">
        <x:v>Steel</x:v>
      </x:c>
      <x:c r="H1259" t="str">
        <x:v>Piles</x:v>
      </x:c>
      <x:c r="I1259" t="str">
        <x:v>Soft Clay</x:v>
      </x:c>
      <x:c r="J1259" t="str">
        <x:v>Low</x:v>
      </x:c>
      <x:c r="K1259" t="n">
        <x:v>58510400</x:v>
      </x:c>
      <x:c r="L1259" t="n">
        <x:v>1100</x:v>
      </x:c>
      <x:c r="M1259" t="n">
        <x:v>165.2</x:v>
      </x:c>
      <x:c r="N1259" t="n">
        <x:v>27.4</x:v>
      </x:c>
      <x:c r="O1259" t="n">
        <x:v>54.5</x:v>
      </x:c>
      <x:c r="P1259" t="str">
        <x:v>Sunny</x:v>
      </x:c>
      <x:c r="Q1259" t="n">
        <x:v>81</x:v>
      </x:c>
      <x:c r="R1259" t="n">
        <x:v>92</x:v>
      </x:c>
      <x:c r="S1259" t="n">
        <x:v>0.108</x:v>
      </x:c>
      <x:c r="T1259" t="n">
        <x:v>20</x:v>
      </x:c>
      <x:c r="U1259" t="n">
        <x:v>832</x:v>
      </x:c>
      <x:c r="V1259" t="n">
        <x:v>2813</x:v>
      </x:c>
      <x:c r="W1259" t="n">
        <x:v>52.9</x:v>
      </x:c>
    </x:row>
    <x:row r="1260">
      <x:c r="A1260" t="str">
        <x:v>PJT_1259</x:v>
      </x:c>
      <x:c r="B1260" t="str">
        <x:v>Mediterranean</x:v>
      </x:c>
      <x:c r="C1260" t="n">
        <x:v>14450</x:v>
      </x:c>
      <x:c r="D1260" t="n">
        <x:v>4</x:v>
      </x:c>
      <x:c r="E1260" t="str">
        <x:v>Low</x:v>
      </x:c>
      <x:c r="F1260" t="str">
        <x:v>School</x:v>
      </x:c>
      <x:c r="G1260" t="str">
        <x:v>RC Frame</x:v>
      </x:c>
      <x:c r="H1260" t="str">
        <x:v>Raft</x:v>
      </x:c>
      <x:c r="I1260" t="str">
        <x:v>Mixed</x:v>
      </x:c>
      <x:c r="J1260" t="str">
        <x:v>Medium</x:v>
      </x:c>
      <x:c r="K1260" t="n">
        <x:v>23120000</x:v>
      </x:c>
      <x:c r="L1260" t="n">
        <x:v>426</x:v>
      </x:c>
      <x:c r="M1260" t="n">
        <x:v>316.4</x:v>
      </x:c>
      <x:c r="N1260" t="n">
        <x:v>19.7</x:v>
      </x:c>
      <x:c r="O1260" t="n">
        <x:v>62</x:v>
      </x:c>
      <x:c r="P1260" t="str">
        <x:v>Cloudy</x:v>
      </x:c>
      <x:c r="Q1260" t="n">
        <x:v>74</x:v>
      </x:c>
      <x:c r="R1260" t="n">
        <x:v>67.2</x:v>
      </x:c>
      <x:c r="S1260" t="n">
        <x:v>0.0789</x:v>
      </x:c>
      <x:c r="T1260" t="n">
        <x:v>12.6</x:v>
      </x:c>
      <x:c r="U1260" t="n">
        <x:v>3612.5</x:v>
      </x:c>
      <x:c r="V1260" t="n">
        <x:v>1600</x:v>
      </x:c>
      <x:c r="W1260" t="n">
        <x:v>29.5</x:v>
      </x:c>
    </x:row>
    <x:row r="1261">
      <x:c r="A1261" t="str">
        <x:v>PJT_1260</x:v>
      </x:c>
      <x:c r="B1261" t="str">
        <x:v>Humid Subtropical</x:v>
      </x:c>
      <x:c r="C1261" t="n">
        <x:v>17080</x:v>
      </x:c>
      <x:c r="D1261" t="n">
        <x:v>16</x:v>
      </x:c>
      <x:c r="E1261" t="str">
        <x:v>Medium</x:v>
      </x:c>
      <x:c r="F1261" t="str">
        <x:v>Mixed-use</x:v>
      </x:c>
      <x:c r="G1261" t="str">
        <x:v>Shear Wall</x:v>
      </x:c>
      <x:c r="H1261" t="str">
        <x:v>Piles</x:v>
      </x:c>
      <x:c r="I1261" t="str">
        <x:v>Soft Clay</x:v>
      </x:c>
      <x:c r="J1261" t="str">
        <x:v>High</x:v>
      </x:c>
      <x:c r="K1261" t="n">
        <x:v>46918760</x:v>
      </x:c>
      <x:c r="L1261" t="n">
        <x:v>934</x:v>
      </x:c>
      <x:c r="M1261" t="n">
        <x:v>169.4</x:v>
      </x:c>
      <x:c r="N1261" t="n">
        <x:v>27</x:v>
      </x:c>
      <x:c r="O1261" t="n">
        <x:v>94.6</x:v>
      </x:c>
      <x:c r="P1261" t="str">
        <x:v>Stormy</x:v>
      </x:c>
      <x:c r="Q1261" t="n">
        <x:v>109</x:v>
      </x:c>
      <x:c r="R1261" t="n">
        <x:v>82.5</x:v>
      </x:c>
      <x:c r="S1261" t="n">
        <x:v>0.1004</x:v>
      </x:c>
      <x:c r="T1261" t="n">
        <x:v>19</x:v>
      </x:c>
      <x:c r="U1261" t="n">
        <x:v>1067.5</x:v>
      </x:c>
      <x:c r="V1261" t="n">
        <x:v>2747</x:v>
      </x:c>
      <x:c r="W1261" t="n">
        <x:v>54.7</x:v>
      </x:c>
    </x:row>
    <x:row r="1262">
      <x:c r="A1262" t="str">
        <x:v>PJT_1261</x:v>
      </x:c>
      <x:c r="B1262" t="str">
        <x:v>Mediterranean</x:v>
      </x:c>
      <x:c r="C1262" t="n">
        <x:v>16160</x:v>
      </x:c>
      <x:c r="D1262" t="n">
        <x:v>13</x:v>
      </x:c>
      <x:c r="E1262" t="str">
        <x:v>Medium</x:v>
      </x:c>
      <x:c r="F1262" t="str">
        <x:v>Commercial</x:v>
      </x:c>
      <x:c r="G1262" t="str">
        <x:v>Steel</x:v>
      </x:c>
      <x:c r="H1262" t="str">
        <x:v>Raft</x:v>
      </x:c>
      <x:c r="I1262" t="str">
        <x:v>Mixed</x:v>
      </x:c>
      <x:c r="J1262" t="str">
        <x:v>High</x:v>
      </x:c>
      <x:c r="K1262" t="n">
        <x:v>39430400</x:v>
      </x:c>
      <x:c r="L1262" t="n">
        <x:v>709</x:v>
      </x:c>
      <x:c r="M1262" t="n">
        <x:v>279.7</x:v>
      </x:c>
      <x:c r="N1262" t="n">
        <x:v>14.8</x:v>
      </x:c>
      <x:c r="O1262" t="n">
        <x:v>77.7</x:v>
      </x:c>
      <x:c r="P1262" t="str">
        <x:v>Rainy</x:v>
      </x:c>
      <x:c r="Q1262" t="n">
        <x:v>91</x:v>
      </x:c>
      <x:c r="R1262" t="n">
        <x:v>74</x:v>
      </x:c>
      <x:c r="S1262" t="n">
        <x:v>0.0981</x:v>
      </x:c>
      <x:c r="T1262" t="n">
        <x:v>17.3</x:v>
      </x:c>
      <x:c r="U1262" t="n">
        <x:v>1243.1</x:v>
      </x:c>
      <x:c r="V1262" t="n">
        <x:v>2440</x:v>
      </x:c>
      <x:c r="W1262" t="n">
        <x:v>43.9</x:v>
      </x:c>
    </x:row>
    <x:row r="1263">
      <x:c r="A1263" t="str">
        <x:v>PJT_1262</x:v>
      </x:c>
      <x:c r="B1263" t="str">
        <x:v>Humid Subtropical</x:v>
      </x:c>
      <x:c r="C1263" t="n">
        <x:v>14220</x:v>
      </x:c>
      <x:c r="D1263" t="n">
        <x:v>14</x:v>
      </x:c>
      <x:c r="E1263" t="str">
        <x:v>Medium</x:v>
      </x:c>
      <x:c r="F1263" t="str">
        <x:v>Commercial</x:v>
      </x:c>
      <x:c r="G1263" t="str">
        <x:v>Steel</x:v>
      </x:c>
      <x:c r="H1263" t="str">
        <x:v>Raft</x:v>
      </x:c>
      <x:c r="I1263" t="str">
        <x:v>Mixed</x:v>
      </x:c>
      <x:c r="J1263" t="str">
        <x:v>Medium</x:v>
      </x:c>
      <x:c r="K1263" t="n">
        <x:v>33729840</x:v>
      </x:c>
      <x:c r="L1263" t="n">
        <x:v>579</x:v>
      </x:c>
      <x:c r="M1263" t="n">
        <x:v>346.3</x:v>
      </x:c>
      <x:c r="N1263" t="n">
        <x:v>34.8</x:v>
      </x:c>
      <x:c r="O1263" t="n">
        <x:v>63</x:v>
      </x:c>
      <x:c r="P1263" t="str">
        <x:v>Sunny</x:v>
      </x:c>
      <x:c r="Q1263" t="n">
        <x:v>80</x:v>
      </x:c>
      <x:c r="R1263" t="n">
        <x:v>76.6</x:v>
      </x:c>
      <x:c r="S1263" t="n">
        <x:v>0.0978</x:v>
      </x:c>
      <x:c r="T1263" t="n">
        <x:v>17.3</x:v>
      </x:c>
      <x:c r="U1263" t="n">
        <x:v>1015.7</x:v>
      </x:c>
      <x:c r="V1263" t="n">
        <x:v>2372</x:v>
      </x:c>
      <x:c r="W1263" t="n">
        <x:v>40.7</x:v>
      </x:c>
    </x:row>
    <x:row r="1264">
      <x:c r="A1264" t="str">
        <x:v>PJT_1263</x:v>
      </x:c>
      <x:c r="B1264" t="str">
        <x:v>Continental</x:v>
      </x:c>
      <x:c r="C1264" t="n">
        <x:v>24410</x:v>
      </x:c>
      <x:c r="D1264" t="n">
        <x:v>22</x:v>
      </x:c>
      <x:c r="E1264" t="str">
        <x:v>Medium</x:v>
      </x:c>
      <x:c r="F1264" t="str">
        <x:v>Mixed-use</x:v>
      </x:c>
      <x:c r="G1264" t="str">
        <x:v>Steel</x:v>
      </x:c>
      <x:c r="H1264" t="str">
        <x:v>Piles</x:v>
      </x:c>
      <x:c r="I1264" t="str">
        <x:v>Mixed</x:v>
      </x:c>
      <x:c r="J1264" t="str">
        <x:v>Medium</x:v>
      </x:c>
      <x:c r="K1264" t="n">
        <x:v>65223520</x:v>
      </x:c>
      <x:c r="L1264" t="n">
        <x:v>1325</x:v>
      </x:c>
      <x:c r="M1264" t="n">
        <x:v>413.9</x:v>
      </x:c>
      <x:c r="N1264" t="n">
        <x:v>1.6</x:v>
      </x:c>
      <x:c r="O1264" t="n">
        <x:v>75.1</x:v>
      </x:c>
      <x:c r="P1264" t="str">
        <x:v>Snowy</x:v>
      </x:c>
      <x:c r="Q1264" t="n">
        <x:v>98</x:v>
      </x:c>
      <x:c r="R1264" t="n">
        <x:v>84.4</x:v>
      </x:c>
      <x:c r="S1264" t="n">
        <x:v>0.1019</x:v>
      </x:c>
      <x:c r="T1264" t="n">
        <x:v>18.6</x:v>
      </x:c>
      <x:c r="U1264" t="n">
        <x:v>1109.5</x:v>
      </x:c>
      <x:c r="V1264" t="n">
        <x:v>2672</x:v>
      </x:c>
      <x:c r="W1264" t="n">
        <x:v>54.3</x:v>
      </x:c>
    </x:row>
    <x:row r="1265">
      <x:c r="A1265" t="str">
        <x:v>PJT_1264</x:v>
      </x:c>
      <x:c r="B1265" t="str">
        <x:v>Continental</x:v>
      </x:c>
      <x:c r="C1265" t="n">
        <x:v>27020</x:v>
      </x:c>
      <x:c r="D1265" t="n">
        <x:v>16</x:v>
      </x:c>
      <x:c r="E1265" t="str">
        <x:v>High</x:v>
      </x:c>
      <x:c r="F1265" t="str">
        <x:v>Hospital</x:v>
      </x:c>
      <x:c r="G1265" t="str">
        <x:v>Shear Wall</x:v>
      </x:c>
      <x:c r="H1265" t="str">
        <x:v>Piles</x:v>
      </x:c>
      <x:c r="I1265" t="str">
        <x:v>Soft Clay</x:v>
      </x:c>
      <x:c r="J1265" t="str">
        <x:v>Medium</x:v>
      </x:c>
      <x:c r="K1265" t="n">
        <x:v>88706660</x:v>
      </x:c>
      <x:c r="L1265" t="n">
        <x:v>1529</x:v>
      </x:c>
      <x:c r="M1265" t="n">
        <x:v>221.1</x:v>
      </x:c>
      <x:c r="N1265" t="n">
        <x:v>19.3</x:v>
      </x:c>
      <x:c r="O1265" t="n">
        <x:v>69.2</x:v>
      </x:c>
      <x:c r="P1265" t="str">
        <x:v>Cloudy</x:v>
      </x:c>
      <x:c r="Q1265" t="n">
        <x:v>87</x:v>
      </x:c>
      <x:c r="R1265" t="n">
        <x:v>86.5</x:v>
      </x:c>
      <x:c r="S1265" t="n">
        <x:v>0.1116</x:v>
      </x:c>
      <x:c r="T1265" t="n">
        <x:v>23</x:v>
      </x:c>
      <x:c r="U1265" t="n">
        <x:v>1688.8</x:v>
      </x:c>
      <x:c r="V1265" t="n">
        <x:v>3283</x:v>
      </x:c>
      <x:c r="W1265" t="n">
        <x:v>56.6</x:v>
      </x:c>
    </x:row>
    <x:row r="1266">
      <x:c r="A1266" t="str">
        <x:v>PJT_1265</x:v>
      </x:c>
      <x:c r="B1266" t="str">
        <x:v>Continental</x:v>
      </x:c>
      <x:c r="C1266" t="n">
        <x:v>13130</x:v>
      </x:c>
      <x:c r="D1266" t="n">
        <x:v>8</x:v>
      </x:c>
      <x:c r="E1266" t="str">
        <x:v>Low</x:v>
      </x:c>
      <x:c r="F1266" t="str">
        <x:v>Commercial</x:v>
      </x:c>
      <x:c r="G1266" t="str">
        <x:v>RC Frame</x:v>
      </x:c>
      <x:c r="H1266" t="str">
        <x:v>Raft</x:v>
      </x:c>
      <x:c r="I1266" t="str">
        <x:v>Mixed</x:v>
      </x:c>
      <x:c r="J1266" t="str">
        <x:v>Low</x:v>
      </x:c>
      <x:c r="K1266" t="n">
        <x:v>25866100</x:v>
      </x:c>
      <x:c r="L1266" t="n">
        <x:v>500</x:v>
      </x:c>
      <x:c r="M1266" t="n">
        <x:v>377</x:v>
      </x:c>
      <x:c r="N1266" t="n">
        <x:v>7.5</x:v>
      </x:c>
      <x:c r="O1266" t="n">
        <x:v>70.6</x:v>
      </x:c>
      <x:c r="P1266" t="str">
        <x:v>Rainy</x:v>
      </x:c>
      <x:c r="Q1266" t="n">
        <x:v>89</x:v>
      </x:c>
      <x:c r="R1266" t="n">
        <x:v>69.6</x:v>
      </x:c>
      <x:c r="S1266" t="n">
        <x:v>0.0855</x:v>
      </x:c>
      <x:c r="T1266" t="n">
        <x:v>15</x:v>
      </x:c>
      <x:c r="U1266" t="n">
        <x:v>1641.2</x:v>
      </x:c>
      <x:c r="V1266" t="n">
        <x:v>1970</x:v>
      </x:c>
      <x:c r="W1266" t="n">
        <x:v>38.1</x:v>
      </x:c>
    </x:row>
    <x:row r="1267">
      <x:c r="A1267" t="str">
        <x:v>PJT_1266</x:v>
      </x:c>
      <x:c r="B1267" t="str">
        <x:v>Mediterranean</x:v>
      </x:c>
      <x:c r="C1267" t="n">
        <x:v>17670</x:v>
      </x:c>
      <x:c r="D1267" t="n">
        <x:v>20</x:v>
      </x:c>
      <x:c r="E1267" t="str">
        <x:v>Medium</x:v>
      </x:c>
      <x:c r="F1267" t="str">
        <x:v>Residential</x:v>
      </x:c>
      <x:c r="G1267" t="str">
        <x:v>Shear Wall</x:v>
      </x:c>
      <x:c r="H1267" t="str">
        <x:v>Piles</x:v>
      </x:c>
      <x:c r="I1267" t="str">
        <x:v>Soft Clay</x:v>
      </x:c>
      <x:c r="J1267" t="str">
        <x:v>High</x:v>
      </x:c>
      <x:c r="K1267" t="n">
        <x:v>31788330</x:v>
      </x:c>
      <x:c r="L1267" t="n">
        <x:v>716</x:v>
      </x:c>
      <x:c r="M1267" t="n">
        <x:v>157.5</x:v>
      </x:c>
      <x:c r="N1267" t="n">
        <x:v>20.7</x:v>
      </x:c>
      <x:c r="O1267" t="n">
        <x:v>56.9</x:v>
      </x:c>
      <x:c r="P1267" t="str">
        <x:v>Cloudy</x:v>
      </x:c>
      <x:c r="Q1267" t="n">
        <x:v>51</x:v>
      </x:c>
      <x:c r="R1267" t="n">
        <x:v>74.5</x:v>
      </x:c>
      <x:c r="S1267" t="n">
        <x:v>0.0816</x:v>
      </x:c>
      <x:c r="T1267" t="n">
        <x:v>14.3</x:v>
      </x:c>
      <x:c r="U1267" t="n">
        <x:v>883.5</x:v>
      </x:c>
      <x:c r="V1267" t="n">
        <x:v>1799</x:v>
      </x:c>
      <x:c r="W1267" t="n">
        <x:v>40.5</x:v>
      </x:c>
    </x:row>
    <x:row r="1268">
      <x:c r="A1268" t="str">
        <x:v>PJT_1267</x:v>
      </x:c>
      <x:c r="B1268" t="str">
        <x:v>Continental</x:v>
      </x:c>
      <x:c r="C1268" t="n">
        <x:v>30350</x:v>
      </x:c>
      <x:c r="D1268" t="n">
        <x:v>18</x:v>
      </x:c>
      <x:c r="E1268" t="str">
        <x:v>Medium</x:v>
      </x:c>
      <x:c r="F1268" t="str">
        <x:v>Mixed-use</x:v>
      </x:c>
      <x:c r="G1268" t="str">
        <x:v>Steel</x:v>
      </x:c>
      <x:c r="H1268" t="str">
        <x:v>Piles</x:v>
      </x:c>
      <x:c r="I1268" t="str">
        <x:v>Sand</x:v>
      </x:c>
      <x:c r="J1268" t="str">
        <x:v>Low</x:v>
      </x:c>
      <x:c r="K1268" t="n">
        <x:v>79638400</x:v>
      </x:c>
      <x:c r="L1268" t="n">
        <x:v>1518</x:v>
      </x:c>
      <x:c r="M1268" t="n">
        <x:v>339.3</x:v>
      </x:c>
      <x:c r="N1268" t="n">
        <x:v>13.4</x:v>
      </x:c>
      <x:c r="O1268" t="n">
        <x:v>54.6</x:v>
      </x:c>
      <x:c r="P1268" t="str">
        <x:v>Cloudy</x:v>
      </x:c>
      <x:c r="Q1268" t="n">
        <x:v>89</x:v>
      </x:c>
      <x:c r="R1268" t="n">
        <x:v>83.1</x:v>
      </x:c>
      <x:c r="S1268" t="n">
        <x:v>0.098</x:v>
      </x:c>
      <x:c r="T1268" t="n">
        <x:v>19.5</x:v>
      </x:c>
      <x:c r="U1268" t="n">
        <x:v>1686.1</x:v>
      </x:c>
      <x:c r="V1268" t="n">
        <x:v>2624</x:v>
      </x:c>
      <x:c r="W1268" t="n">
        <x:v>50</x:v>
      </x:c>
    </x:row>
    <x:row r="1269">
      <x:c r="A1269" t="str">
        <x:v>PJT_1268</x:v>
      </x:c>
      <x:c r="B1269" t="str">
        <x:v>Continental</x:v>
      </x:c>
      <x:c r="C1269" t="n">
        <x:v>16550</x:v>
      </x:c>
      <x:c r="D1269" t="n">
        <x:v>21</x:v>
      </x:c>
      <x:c r="E1269" t="str">
        <x:v>Medium</x:v>
      </x:c>
      <x:c r="F1269" t="str">
        <x:v>Residential</x:v>
      </x:c>
      <x:c r="G1269" t="str">
        <x:v>Shear Wall</x:v>
      </x:c>
      <x:c r="H1269" t="str">
        <x:v>Piles</x:v>
      </x:c>
      <x:c r="I1269" t="str">
        <x:v>Mixed</x:v>
      </x:c>
      <x:c r="J1269" t="str">
        <x:v>High</x:v>
      </x:c>
      <x:c r="K1269" t="n">
        <x:v>28350150</x:v>
      </x:c>
      <x:c r="L1269" t="n">
        <x:v>640</x:v>
      </x:c>
      <x:c r="M1269" t="n">
        <x:v>330.7</x:v>
      </x:c>
      <x:c r="N1269" t="n">
        <x:v>24.9</x:v>
      </x:c>
      <x:c r="O1269" t="n">
        <x:v>54.7</x:v>
      </x:c>
      <x:c r="P1269" t="str">
        <x:v>Sunny</x:v>
      </x:c>
      <x:c r="Q1269" t="n">
        <x:v>65</x:v>
      </x:c>
      <x:c r="R1269" t="n">
        <x:v>80.8</x:v>
      </x:c>
      <x:c r="S1269" t="n">
        <x:v>0.0792</x:v>
      </x:c>
      <x:c r="T1269" t="n">
        <x:v>13.3</x:v>
      </x:c>
      <x:c r="U1269" t="n">
        <x:v>788.1</x:v>
      </x:c>
      <x:c r="V1269" t="n">
        <x:v>1713</x:v>
      </x:c>
      <x:c r="W1269" t="n">
        <x:v>38.7</x:v>
      </x:c>
    </x:row>
    <x:row r="1270">
      <x:c r="A1270" t="str">
        <x:v>PJT_1269</x:v>
      </x:c>
      <x:c r="B1270" t="str">
        <x:v>Humid Subtropical</x:v>
      </x:c>
      <x:c r="C1270" t="n">
        <x:v>7980</x:v>
      </x:c>
      <x:c r="D1270" t="n">
        <x:v>8</x:v>
      </x:c>
      <x:c r="E1270" t="str">
        <x:v>Low</x:v>
      </x:c>
      <x:c r="F1270" t="str">
        <x:v>Residential</x:v>
      </x:c>
      <x:c r="G1270" t="str">
        <x:v>RC Frame</x:v>
      </x:c>
      <x:c r="H1270" t="str">
        <x:v>Piles</x:v>
      </x:c>
      <x:c r="I1270" t="str">
        <x:v>Soft Clay</x:v>
      </x:c>
      <x:c r="J1270" t="str">
        <x:v>Low</x:v>
      </x:c>
      <x:c r="K1270" t="n">
        <x:v>11148060</x:v>
      </x:c>
      <x:c r="L1270" t="n">
        <x:v>286</x:v>
      </x:c>
      <x:c r="M1270" t="n">
        <x:v>181.7</x:v>
      </x:c>
      <x:c r="N1270" t="n">
        <x:v>20.8</x:v>
      </x:c>
      <x:c r="O1270" t="n">
        <x:v>86.9</x:v>
      </x:c>
      <x:c r="P1270" t="str">
        <x:v>Rainy</x:v>
      </x:c>
      <x:c r="Q1270" t="n">
        <x:v>85</x:v>
      </x:c>
      <x:c r="R1270" t="n">
        <x:v>61</x:v>
      </x:c>
      <x:c r="S1270" t="n">
        <x:v>0.0716</x:v>
      </x:c>
      <x:c r="T1270" t="n">
        <x:v>12.6</x:v>
      </x:c>
      <x:c r="U1270" t="n">
        <x:v>997.5</x:v>
      </x:c>
      <x:c r="V1270" t="n">
        <x:v>1397</x:v>
      </x:c>
      <x:c r="W1270" t="n">
        <x:v>35.9</x:v>
      </x:c>
    </x:row>
    <x:row r="1271">
      <x:c r="A1271" t="str">
        <x:v>PJT_1270</x:v>
      </x:c>
      <x:c r="B1271" t="str">
        <x:v>Continental</x:v>
      </x:c>
      <x:c r="C1271" t="n">
        <x:v>22690</x:v>
      </x:c>
      <x:c r="D1271" t="n">
        <x:v>21</x:v>
      </x:c>
      <x:c r="E1271" t="str">
        <x:v>Medium</x:v>
      </x:c>
      <x:c r="F1271" t="str">
        <x:v>Residential</x:v>
      </x:c>
      <x:c r="G1271" t="str">
        <x:v>Shear Wall</x:v>
      </x:c>
      <x:c r="H1271" t="str">
        <x:v>Piles</x:v>
      </x:c>
      <x:c r="I1271" t="str">
        <x:v>Mixed</x:v>
      </x:c>
      <x:c r="J1271" t="str">
        <x:v>Medium</x:v>
      </x:c>
      <x:c r="K1271" t="n">
        <x:v>38164580</x:v>
      </x:c>
      <x:c r="L1271" t="n">
        <x:v>887</x:v>
      </x:c>
      <x:c r="M1271" t="n">
        <x:v>312.4</x:v>
      </x:c>
      <x:c r="N1271" t="n">
        <x:v>7.3</x:v>
      </x:c>
      <x:c r="O1271" t="n">
        <x:v>60</x:v>
      </x:c>
      <x:c r="P1271" t="str">
        <x:v>Cloudy</x:v>
      </x:c>
      <x:c r="Q1271" t="n">
        <x:v>82</x:v>
      </x:c>
      <x:c r="R1271" t="n">
        <x:v>72.9</x:v>
      </x:c>
      <x:c r="S1271" t="n">
        <x:v>0.0795</x:v>
      </x:c>
      <x:c r="T1271" t="n">
        <x:v>13.1</x:v>
      </x:c>
      <x:c r="U1271" t="n">
        <x:v>1080.5</x:v>
      </x:c>
      <x:c r="V1271" t="n">
        <x:v>1682</x:v>
      </x:c>
      <x:c r="W1271" t="n">
        <x:v>39.1</x:v>
      </x:c>
    </x:row>
    <x:row r="1272">
      <x:c r="A1272" t="str">
        <x:v>PJT_1271</x:v>
      </x:c>
      <x:c r="B1272" t="str">
        <x:v>Marine</x:v>
      </x:c>
      <x:c r="C1272" t="n">
        <x:v>7420</x:v>
      </x:c>
      <x:c r="D1272" t="n">
        <x:v>2</x:v>
      </x:c>
      <x:c r="E1272" t="str">
        <x:v>Low</x:v>
      </x:c>
      <x:c r="F1272" t="str">
        <x:v>School</x:v>
      </x:c>
      <x:c r="G1272" t="str">
        <x:v>RC Frame</x:v>
      </x:c>
      <x:c r="H1272" t="str">
        <x:v>Raft</x:v>
      </x:c>
      <x:c r="I1272" t="str">
        <x:v>Mixed</x:v>
      </x:c>
      <x:c r="J1272" t="str">
        <x:v>Low</x:v>
      </x:c>
      <x:c r="K1272" t="n">
        <x:v>11909100</x:v>
      </x:c>
      <x:c r="L1272" t="n">
        <x:v>214</x:v>
      </x:c>
      <x:c r="M1272" t="n">
        <x:v>313.8</x:v>
      </x:c>
      <x:c r="N1272" t="n">
        <x:v>17.2</x:v>
      </x:c>
      <x:c r="O1272" t="n">
        <x:v>73.3</x:v>
      </x:c>
      <x:c r="P1272" t="str">
        <x:v>Cloudy</x:v>
      </x:c>
      <x:c r="Q1272" t="n">
        <x:v>81</x:v>
      </x:c>
      <x:c r="R1272" t="n">
        <x:v>61.9</x:v>
      </x:c>
      <x:c r="S1272" t="n">
        <x:v>0.0766</x:v>
      </x:c>
      <x:c r="T1272" t="n">
        <x:v>12.7</x:v>
      </x:c>
      <x:c r="U1272" t="n">
        <x:v>3710</x:v>
      </x:c>
      <x:c r="V1272" t="n">
        <x:v>1605</x:v>
      </x:c>
      <x:c r="W1272" t="n">
        <x:v>28.8</x:v>
      </x:c>
    </x:row>
    <x:row r="1273">
      <x:c r="A1273" t="str">
        <x:v>PJT_1272</x:v>
      </x:c>
      <x:c r="B1273" t="str">
        <x:v>Continental</x:v>
      </x:c>
      <x:c r="C1273" t="n">
        <x:v>24470</x:v>
      </x:c>
      <x:c r="D1273" t="n">
        <x:v>19</x:v>
      </x:c>
      <x:c r="E1273" t="str">
        <x:v>High</x:v>
      </x:c>
      <x:c r="F1273" t="str">
        <x:v>Mixed-use</x:v>
      </x:c>
      <x:c r="G1273" t="str">
        <x:v>Steel</x:v>
      </x:c>
      <x:c r="H1273" t="str">
        <x:v>Piles</x:v>
      </x:c>
      <x:c r="I1273" t="str">
        <x:v>Mixed</x:v>
      </x:c>
      <x:c r="J1273" t="str">
        <x:v>Medium</x:v>
      </x:c>
      <x:c r="K1273" t="n">
        <x:v>70106550</x:v>
      </x:c>
      <x:c r="L1273" t="n">
        <x:v>1326</x:v>
      </x:c>
      <x:c r="M1273" t="n">
        <x:v>383.4</x:v>
      </x:c>
      <x:c r="N1273" t="n">
        <x:v>14.8</x:v>
      </x:c>
      <x:c r="O1273" t="n">
        <x:v>65.7</x:v>
      </x:c>
      <x:c r="P1273" t="str">
        <x:v>Cloudy</x:v>
      </x:c>
      <x:c r="Q1273" t="n">
        <x:v>80</x:v>
      </x:c>
      <x:c r="R1273" t="n">
        <x:v>84.8</x:v>
      </x:c>
      <x:c r="S1273" t="n">
        <x:v>0.104</x:v>
      </x:c>
      <x:c r="T1273" t="n">
        <x:v>19.9</x:v>
      </x:c>
      <x:c r="U1273" t="n">
        <x:v>1287.9</x:v>
      </x:c>
      <x:c r="V1273" t="n">
        <x:v>2865</x:v>
      </x:c>
      <x:c r="W1273" t="n">
        <x:v>54.2</x:v>
      </x:c>
    </x:row>
    <x:row r="1274">
      <x:c r="A1274" t="str">
        <x:v>PJT_1273</x:v>
      </x:c>
      <x:c r="B1274" t="str">
        <x:v>Marine</x:v>
      </x:c>
      <x:c r="C1274" t="n">
        <x:v>23380</x:v>
      </x:c>
      <x:c r="D1274" t="n">
        <x:v>15</x:v>
      </x:c>
      <x:c r="E1274" t="str">
        <x:v>High</x:v>
      </x:c>
      <x:c r="F1274" t="str">
        <x:v>Hospital</x:v>
      </x:c>
      <x:c r="G1274" t="str">
        <x:v>Shear Wall</x:v>
      </x:c>
      <x:c r="H1274" t="str">
        <x:v>Piles</x:v>
      </x:c>
      <x:c r="I1274" t="str">
        <x:v>Mixed</x:v>
      </x:c>
      <x:c r="J1274" t="str">
        <x:v>Medium</x:v>
      </x:c>
      <x:c r="K1274" t="n">
        <x:v>76546120</x:v>
      </x:c>
      <x:c r="L1274" t="n">
        <x:v>1356</x:v>
      </x:c>
      <x:c r="M1274" t="n">
        <x:v>294.8</x:v>
      </x:c>
      <x:c r="N1274" t="n">
        <x:v>7.5</x:v>
      </x:c>
      <x:c r="O1274" t="n">
        <x:v>84.1</x:v>
      </x:c>
      <x:c r="P1274" t="str">
        <x:v>Stormy</x:v>
      </x:c>
      <x:c r="Q1274" t="n">
        <x:v>100</x:v>
      </x:c>
      <x:c r="R1274" t="n">
        <x:v>91.3</x:v>
      </x:c>
      <x:c r="S1274" t="n">
        <x:v>0.113</x:v>
      </x:c>
      <x:c r="T1274" t="n">
        <x:v>23.3</x:v>
      </x:c>
      <x:c r="U1274" t="n">
        <x:v>1558.7</x:v>
      </x:c>
      <x:c r="V1274" t="n">
        <x:v>3274</x:v>
      </x:c>
      <x:c r="W1274" t="n">
        <x:v>58</x:v>
      </x:c>
    </x:row>
    <x:row r="1275">
      <x:c r="A1275" t="str">
        <x:v>PJT_1274</x:v>
      </x:c>
      <x:c r="B1275" t="str">
        <x:v>Continental</x:v>
      </x:c>
      <x:c r="C1275" t="n">
        <x:v>13650</x:v>
      </x:c>
      <x:c r="D1275" t="n">
        <x:v>8</x:v>
      </x:c>
      <x:c r="E1275" t="str">
        <x:v>Medium</x:v>
      </x:c>
      <x:c r="F1275" t="str">
        <x:v>Commercial</x:v>
      </x:c>
      <x:c r="G1275" t="str">
        <x:v>Steel</x:v>
      </x:c>
      <x:c r="H1275" t="str">
        <x:v>Raft</x:v>
      </x:c>
      <x:c r="I1275" t="str">
        <x:v>Mixed</x:v>
      </x:c>
      <x:c r="J1275" t="str">
        <x:v>Low</x:v>
      </x:c>
      <x:c r="K1275" t="n">
        <x:v>30521400</x:v>
      </x:c>
      <x:c r="L1275" t="n">
        <x:v>648</x:v>
      </x:c>
      <x:c r="M1275" t="n">
        <x:v>289</x:v>
      </x:c>
      <x:c r="N1275" t="n">
        <x:v>7.1</x:v>
      </x:c>
      <x:c r="O1275" t="n">
        <x:v>83.9</x:v>
      </x:c>
      <x:c r="P1275" t="str">
        <x:v>Stormy</x:v>
      </x:c>
      <x:c r="Q1275" t="n">
        <x:v>77</x:v>
      </x:c>
      <x:c r="R1275" t="n">
        <x:v>72</x:v>
      </x:c>
      <x:c r="S1275" t="n">
        <x:v>0.0965</x:v>
      </x:c>
      <x:c r="T1275" t="n">
        <x:v>17.2</x:v>
      </x:c>
      <x:c r="U1275" t="n">
        <x:v>1706.2</x:v>
      </x:c>
      <x:c r="V1275" t="n">
        <x:v>2236</x:v>
      </x:c>
      <x:c r="W1275" t="n">
        <x:v>47.5</x:v>
      </x:c>
    </x:row>
    <x:row r="1276">
      <x:c r="A1276" t="str">
        <x:v>PJT_1275</x:v>
      </x:c>
      <x:c r="B1276" t="str">
        <x:v>Humid Subtropical</x:v>
      </x:c>
      <x:c r="C1276" t="n">
        <x:v>4220</x:v>
      </x:c>
      <x:c r="D1276" t="n">
        <x:v>2</x:v>
      </x:c>
      <x:c r="E1276" t="str">
        <x:v>Low</x:v>
      </x:c>
      <x:c r="F1276" t="str">
        <x:v>School</x:v>
      </x:c>
      <x:c r="G1276" t="str">
        <x:v>RC Frame</x:v>
      </x:c>
      <x:c r="H1276" t="str">
        <x:v>Strip</x:v>
      </x:c>
      <x:c r="I1276" t="str">
        <x:v>Rock</x:v>
      </x:c>
      <x:c r="J1276" t="str">
        <x:v>Medium</x:v>
      </x:c>
      <x:c r="K1276" t="n">
        <x:v>6553660</x:v>
      </x:c>
      <x:c r="L1276" t="n">
        <x:v>180</x:v>
      </x:c>
      <x:c r="M1276" t="n">
        <x:v>630.4</x:v>
      </x:c>
      <x:c r="N1276" t="n">
        <x:v>28</x:v>
      </x:c>
      <x:c r="O1276" t="n">
        <x:v>73.2</x:v>
      </x:c>
      <x:c r="P1276" t="str">
        <x:v>Cloudy</x:v>
      </x:c>
      <x:c r="Q1276" t="n">
        <x:v>76</x:v>
      </x:c>
      <x:c r="R1276" t="n">
        <x:v>67.3</x:v>
      </x:c>
      <x:c r="S1276" t="n">
        <x:v>0.0779</x:v>
      </x:c>
      <x:c r="T1276" t="n">
        <x:v>12.6</x:v>
      </x:c>
      <x:c r="U1276" t="n">
        <x:v>2110</x:v>
      </x:c>
      <x:c r="V1276" t="n">
        <x:v>1553</x:v>
      </x:c>
      <x:c r="W1276" t="n">
        <x:v>25.5</x:v>
      </x:c>
    </x:row>
    <x:row r="1277">
      <x:c r="A1277" t="str">
        <x:v>PJT_1276</x:v>
      </x:c>
      <x:c r="B1277" t="str">
        <x:v>Humid Subtropical</x:v>
      </x:c>
      <x:c r="C1277" t="n">
        <x:v>7370</x:v>
      </x:c>
      <x:c r="D1277" t="n">
        <x:v>3</x:v>
      </x:c>
      <x:c r="E1277" t="str">
        <x:v>Low</x:v>
      </x:c>
      <x:c r="F1277" t="str">
        <x:v>School</x:v>
      </x:c>
      <x:c r="G1277" t="str">
        <x:v>RC Frame</x:v>
      </x:c>
      <x:c r="H1277" t="str">
        <x:v>Raft</x:v>
      </x:c>
      <x:c r="I1277" t="str">
        <x:v>Sand</x:v>
      </x:c>
      <x:c r="J1277" t="str">
        <x:v>Low</x:v>
      </x:c>
      <x:c r="K1277" t="n">
        <x:v>12610070</x:v>
      </x:c>
      <x:c r="L1277" t="n">
        <x:v>215</x:v>
      </x:c>
      <x:c r="M1277" t="n">
        <x:v>245.8</x:v>
      </x:c>
      <x:c r="N1277" t="n">
        <x:v>21.3</x:v>
      </x:c>
      <x:c r="O1277" t="n">
        <x:v>62.2</x:v>
      </x:c>
      <x:c r="P1277" t="str">
        <x:v>Cloudy</x:v>
      </x:c>
      <x:c r="Q1277" t="n">
        <x:v>79</x:v>
      </x:c>
      <x:c r="R1277" t="n">
        <x:v>62</x:v>
      </x:c>
      <x:c r="S1277" t="n">
        <x:v>0.0758</x:v>
      </x:c>
      <x:c r="T1277" t="n">
        <x:v>13.7</x:v>
      </x:c>
      <x:c r="U1277" t="n">
        <x:v>2456.7</x:v>
      </x:c>
      <x:c r="V1277" t="n">
        <x:v>1711</x:v>
      </x:c>
      <x:c r="W1277" t="n">
        <x:v>29.2</x:v>
      </x:c>
    </x:row>
    <x:row r="1278">
      <x:c r="A1278" t="str">
        <x:v>PJT_1277</x:v>
      </x:c>
      <x:c r="B1278" t="str">
        <x:v>Continental</x:v>
      </x:c>
      <x:c r="C1278" t="n">
        <x:v>10690</x:v>
      </x:c>
      <x:c r="D1278" t="n">
        <x:v>7</x:v>
      </x:c>
      <x:c r="E1278" t="str">
        <x:v>Medium</x:v>
      </x:c>
      <x:c r="F1278" t="str">
        <x:v>Commercial</x:v>
      </x:c>
      <x:c r="G1278" t="str">
        <x:v>RC Frame</x:v>
      </x:c>
      <x:c r="H1278" t="str">
        <x:v>Raft</x:v>
      </x:c>
      <x:c r="I1278" t="str">
        <x:v>Soft Clay</x:v>
      </x:c>
      <x:c r="J1278" t="str">
        <x:v>High</x:v>
      </x:c>
      <x:c r="K1278" t="n">
        <x:v>24298370</x:v>
      </x:c>
      <x:c r="L1278" t="n">
        <x:v>453</x:v>
      </x:c>
      <x:c r="M1278" t="n">
        <x:v>165.4</x:v>
      </x:c>
      <x:c r="N1278" t="n">
        <x:v>-9.3</x:v>
      </x:c>
      <x:c r="O1278" t="n">
        <x:v>71.4</x:v>
      </x:c>
      <x:c r="P1278" t="str">
        <x:v>Snowy</x:v>
      </x:c>
      <x:c r="Q1278" t="n">
        <x:v>90</x:v>
      </x:c>
      <x:c r="R1278" t="n">
        <x:v>76.4</x:v>
      </x:c>
      <x:c r="S1278" t="n">
        <x:v>0.091</x:v>
      </x:c>
      <x:c r="T1278" t="n">
        <x:v>15.4</x:v>
      </x:c>
      <x:c r="U1278" t="n">
        <x:v>1527.1</x:v>
      </x:c>
      <x:c r="V1278" t="n">
        <x:v>2273</x:v>
      </x:c>
      <x:c r="W1278" t="n">
        <x:v>42.4</x:v>
      </x:c>
    </x:row>
    <x:row r="1279">
      <x:c r="A1279" t="str">
        <x:v>PJT_1278</x:v>
      </x:c>
      <x:c r="B1279" t="str">
        <x:v>Continental</x:v>
      </x:c>
      <x:c r="C1279" t="n">
        <x:v>15750</x:v>
      </x:c>
      <x:c r="D1279" t="n">
        <x:v>12</x:v>
      </x:c>
      <x:c r="E1279" t="str">
        <x:v>Medium</x:v>
      </x:c>
      <x:c r="F1279" t="str">
        <x:v>Commercial</x:v>
      </x:c>
      <x:c r="G1279" t="str">
        <x:v>RC Frame</x:v>
      </x:c>
      <x:c r="H1279" t="str">
        <x:v>Piles</x:v>
      </x:c>
      <x:c r="I1279" t="str">
        <x:v>Soft Clay</x:v>
      </x:c>
      <x:c r="J1279" t="str">
        <x:v>High</x:v>
      </x:c>
      <x:c r="K1279" t="n">
        <x:v>37957500</x:v>
      </x:c>
      <x:c r="L1279" t="n">
        <x:v>723</x:v>
      </x:c>
      <x:c r="M1279" t="n">
        <x:v>184.9</x:v>
      </x:c>
      <x:c r="N1279" t="n">
        <x:v>9.9</x:v>
      </x:c>
      <x:c r="O1279" t="n">
        <x:v>79.6</x:v>
      </x:c>
      <x:c r="P1279" t="str">
        <x:v>Rainy</x:v>
      </x:c>
      <x:c r="Q1279" t="n">
        <x:v>87</x:v>
      </x:c>
      <x:c r="R1279" t="n">
        <x:v>77.2</x:v>
      </x:c>
      <x:c r="S1279" t="n">
        <x:v>0.0915</x:v>
      </x:c>
      <x:c r="T1279" t="n">
        <x:v>16.6</x:v>
      </x:c>
      <x:c r="U1279" t="n">
        <x:v>1312.5</x:v>
      </x:c>
      <x:c r="V1279" t="n">
        <x:v>2410</x:v>
      </x:c>
      <x:c r="W1279" t="n">
        <x:v>45.9</x:v>
      </x:c>
    </x:row>
    <x:row r="1280">
      <x:c r="A1280" t="str">
        <x:v>PJT_1279</x:v>
      </x:c>
      <x:c r="B1280" t="str">
        <x:v>Mediterranean</x:v>
      </x:c>
      <x:c r="C1280" t="n">
        <x:v>25680</x:v>
      </x:c>
      <x:c r="D1280" t="n">
        <x:v>17</x:v>
      </x:c>
      <x:c r="E1280" t="str">
        <x:v>Medium</x:v>
      </x:c>
      <x:c r="F1280" t="str">
        <x:v>Commercial</x:v>
      </x:c>
      <x:c r="G1280" t="str">
        <x:v>Steel</x:v>
      </x:c>
      <x:c r="H1280" t="str">
        <x:v>Raft</x:v>
      </x:c>
      <x:c r="I1280" t="str">
        <x:v>Rock</x:v>
      </x:c>
      <x:c r="J1280" t="str">
        <x:v>Medium</x:v>
      </x:c>
      <x:c r="K1280" t="n">
        <x:v>65535360</x:v>
      </x:c>
      <x:c r="L1280" t="n">
        <x:v>1176</x:v>
      </x:c>
      <x:c r="M1280" t="n">
        <x:v>681.2</x:v>
      </x:c>
      <x:c r="N1280" t="n">
        <x:v>10.8</x:v>
      </x:c>
      <x:c r="O1280" t="n">
        <x:v>76.5</x:v>
      </x:c>
      <x:c r="P1280" t="str">
        <x:v>Rainy</x:v>
      </x:c>
      <x:c r="Q1280" t="n">
        <x:v>95</x:v>
      </x:c>
      <x:c r="R1280" t="n">
        <x:v>81.6</x:v>
      </x:c>
      <x:c r="S1280" t="n">
        <x:v>0.0988</x:v>
      </x:c>
      <x:c r="T1280" t="n">
        <x:v>17.7</x:v>
      </x:c>
      <x:c r="U1280" t="n">
        <x:v>1510.6</x:v>
      </x:c>
      <x:c r="V1280" t="n">
        <x:v>2552</x:v>
      </x:c>
      <x:c r="W1280" t="n">
        <x:v>45.8</x:v>
      </x:c>
    </x:row>
    <x:row r="1281">
      <x:c r="A1281" t="str">
        <x:v>PJT_1280</x:v>
      </x:c>
      <x:c r="B1281" t="str">
        <x:v>Mediterranean</x:v>
      </x:c>
      <x:c r="C1281" t="n">
        <x:v>8740</x:v>
      </x:c>
      <x:c r="D1281" t="n">
        <x:v>3</x:v>
      </x:c>
      <x:c r="E1281" t="str">
        <x:v>Medium</x:v>
      </x:c>
      <x:c r="F1281" t="str">
        <x:v>School</x:v>
      </x:c>
      <x:c r="G1281" t="str">
        <x:v>Steel</x:v>
      </x:c>
      <x:c r="H1281" t="str">
        <x:v>Piles</x:v>
      </x:c>
      <x:c r="I1281" t="str">
        <x:v>Soft Clay</x:v>
      </x:c>
      <x:c r="J1281" t="str">
        <x:v>High</x:v>
      </x:c>
      <x:c r="K1281" t="n">
        <x:v>17812120</x:v>
      </x:c>
      <x:c r="L1281" t="n">
        <x:v>312</x:v>
      </x:c>
      <x:c r="M1281" t="n">
        <x:v>164.4</x:v>
      </x:c>
      <x:c r="N1281" t="n">
        <x:v>15.9</x:v>
      </x:c>
      <x:c r="O1281" t="n">
        <x:v>60.4</x:v>
      </x:c>
      <x:c r="P1281" t="str">
        <x:v>Cloudy</x:v>
      </x:c>
      <x:c r="Q1281" t="n">
        <x:v>62</x:v>
      </x:c>
      <x:c r="R1281" t="n">
        <x:v>71.5</x:v>
      </x:c>
      <x:c r="S1281" t="n">
        <x:v>0.0861</x:v>
      </x:c>
      <x:c r="T1281" t="n">
        <x:v>15.3</x:v>
      </x:c>
      <x:c r="U1281" t="n">
        <x:v>2913.3</x:v>
      </x:c>
      <x:c r="V1281" t="n">
        <x:v>2038</x:v>
      </x:c>
      <x:c r="W1281" t="n">
        <x:v>35.7</x:v>
      </x:c>
    </x:row>
    <x:row r="1282">
      <x:c r="A1282" t="str">
        <x:v>PJT_1281</x:v>
      </x:c>
      <x:c r="B1282" t="str">
        <x:v>Continental</x:v>
      </x:c>
      <x:c r="C1282" t="n">
        <x:v>16260</x:v>
      </x:c>
      <x:c r="D1282" t="n">
        <x:v>14</x:v>
      </x:c>
      <x:c r="E1282" t="str">
        <x:v>Medium</x:v>
      </x:c>
      <x:c r="F1282" t="str">
        <x:v>Mixed-use</x:v>
      </x:c>
      <x:c r="G1282" t="str">
        <x:v>Steel</x:v>
      </x:c>
      <x:c r="H1282" t="str">
        <x:v>Raft</x:v>
      </x:c>
      <x:c r="I1282" t="str">
        <x:v>Mixed</x:v>
      </x:c>
      <x:c r="J1282" t="str">
        <x:v>Medium</x:v>
      </x:c>
      <x:c r="K1282" t="n">
        <x:v>39918300</x:v>
      </x:c>
      <x:c r="L1282" t="n">
        <x:v>793</x:v>
      </x:c>
      <x:c r="M1282" t="n">
        <x:v>350.1</x:v>
      </x:c>
      <x:c r="N1282" t="n">
        <x:v>15.3</x:v>
      </x:c>
      <x:c r="O1282" t="n">
        <x:v>67.5</x:v>
      </x:c>
      <x:c r="P1282" t="str">
        <x:v>Cloudy</x:v>
      </x:c>
      <x:c r="Q1282" t="n">
        <x:v>87</x:v>
      </x:c>
      <x:c r="R1282" t="n">
        <x:v>77.7</x:v>
      </x:c>
      <x:c r="S1282" t="n">
        <x:v>0.1052</x:v>
      </x:c>
      <x:c r="T1282" t="n">
        <x:v>19.4</x:v>
      </x:c>
      <x:c r="U1282" t="n">
        <x:v>1161.4</x:v>
      </x:c>
      <x:c r="V1282" t="n">
        <x:v>2455</x:v>
      </x:c>
      <x:c r="W1282" t="n">
        <x:v>48.8</x:v>
      </x:c>
    </x:row>
    <x:row r="1283">
      <x:c r="A1283" t="str">
        <x:v>PJT_1282</x:v>
      </x:c>
      <x:c r="B1283" t="str">
        <x:v>Continental</x:v>
      </x:c>
      <x:c r="C1283" t="n">
        <x:v>10410</x:v>
      </x:c>
      <x:c r="D1283" t="n">
        <x:v>5</x:v>
      </x:c>
      <x:c r="E1283" t="str">
        <x:v>Medium</x:v>
      </x:c>
      <x:c r="F1283" t="str">
        <x:v>School</x:v>
      </x:c>
      <x:c r="G1283" t="str">
        <x:v>RC Frame</x:v>
      </x:c>
      <x:c r="H1283" t="str">
        <x:v>Raft</x:v>
      </x:c>
      <x:c r="I1283" t="str">
        <x:v>Sand</x:v>
      </x:c>
      <x:c r="J1283" t="str">
        <x:v>High</x:v>
      </x:c>
      <x:c r="K1283" t="n">
        <x:v>19331370</x:v>
      </x:c>
      <x:c r="L1283" t="n">
        <x:v>306</x:v>
      </x:c>
      <x:c r="M1283" t="n">
        <x:v>272</x:v>
      </x:c>
      <x:c r="N1283" t="n">
        <x:v>19.1</x:v>
      </x:c>
      <x:c r="O1283" t="n">
        <x:v>48.4</x:v>
      </x:c>
      <x:c r="P1283" t="str">
        <x:v>Sunny</x:v>
      </x:c>
      <x:c r="Q1283" t="n">
        <x:v>62</x:v>
      </x:c>
      <x:c r="R1283" t="n">
        <x:v>69.8</x:v>
      </x:c>
      <x:c r="S1283" t="n">
        <x:v>0.081</x:v>
      </x:c>
      <x:c r="T1283" t="n">
        <x:v>13.8</x:v>
      </x:c>
      <x:c r="U1283" t="n">
        <x:v>2082</x:v>
      </x:c>
      <x:c r="V1283" t="n">
        <x:v>1857</x:v>
      </x:c>
      <x:c r="W1283" t="n">
        <x:v>29.4</x:v>
      </x:c>
    </x:row>
    <x:row r="1284">
      <x:c r="A1284" t="str">
        <x:v>PJT_1283</x:v>
      </x:c>
      <x:c r="B1284" t="str">
        <x:v>Continental</x:v>
      </x:c>
      <x:c r="C1284" t="n">
        <x:v>15400</x:v>
      </x:c>
      <x:c r="D1284" t="n">
        <x:v>12</x:v>
      </x:c>
      <x:c r="E1284" t="str">
        <x:v>Low</x:v>
      </x:c>
      <x:c r="F1284" t="str">
        <x:v>Residential</x:v>
      </x:c>
      <x:c r="G1284" t="str">
        <x:v>RC Frame</x:v>
      </x:c>
      <x:c r="H1284" t="str">
        <x:v>Piles</x:v>
      </x:c>
      <x:c r="I1284" t="str">
        <x:v>Sand</x:v>
      </x:c>
      <x:c r="J1284" t="str">
        <x:v>Low</x:v>
      </x:c>
      <x:c r="K1284" t="n">
        <x:v>20235600</x:v>
      </x:c>
      <x:c r="L1284" t="n">
        <x:v>545</x:v>
      </x:c>
      <x:c r="M1284" t="n">
        <x:v>339.5</x:v>
      </x:c>
      <x:c r="N1284" t="n">
        <x:v>14.9</x:v>
      </x:c>
      <x:c r="O1284" t="n">
        <x:v>49.9</x:v>
      </x:c>
      <x:c r="P1284" t="str">
        <x:v>Cloudy</x:v>
      </x:c>
      <x:c r="Q1284" t="n">
        <x:v>65</x:v>
      </x:c>
      <x:c r="R1284" t="n">
        <x:v>61.9</x:v>
      </x:c>
      <x:c r="S1284" t="n">
        <x:v>0.0741</x:v>
      </x:c>
      <x:c r="T1284" t="n">
        <x:v>12.1</x:v>
      </x:c>
      <x:c r="U1284" t="n">
        <x:v>1283.3</x:v>
      </x:c>
      <x:c r="V1284" t="n">
        <x:v>1314</x:v>
      </x:c>
      <x:c r="W1284" t="n">
        <x:v>35.4</x:v>
      </x:c>
    </x:row>
    <x:row r="1285">
      <x:c r="A1285" t="str">
        <x:v>PJT_1284</x:v>
      </x:c>
      <x:c r="B1285" t="str">
        <x:v>Continental</x:v>
      </x:c>
      <x:c r="C1285" t="n">
        <x:v>12380</x:v>
      </x:c>
      <x:c r="D1285" t="n">
        <x:v>7</x:v>
      </x:c>
      <x:c r="E1285" t="str">
        <x:v>Medium</x:v>
      </x:c>
      <x:c r="F1285" t="str">
        <x:v>Commercial</x:v>
      </x:c>
      <x:c r="G1285" t="str">
        <x:v>RC Frame</x:v>
      </x:c>
      <x:c r="H1285" t="str">
        <x:v>Raft</x:v>
      </x:c>
      <x:c r="I1285" t="str">
        <x:v>Rock</x:v>
      </x:c>
      <x:c r="J1285" t="str">
        <x:v>Medium</x:v>
      </x:c>
      <x:c r="K1285" t="n">
        <x:v>25898960</x:v>
      </x:c>
      <x:c r="L1285" t="n">
        <x:v>551</x:v>
      </x:c>
      <x:c r="M1285" t="n">
        <x:v>774.6</x:v>
      </x:c>
      <x:c r="N1285" t="n">
        <x:v>10.8</x:v>
      </x:c>
      <x:c r="O1285" t="n">
        <x:v>74.8</x:v>
      </x:c>
      <x:c r="P1285" t="str">
        <x:v>Stormy</x:v>
      </x:c>
      <x:c r="Q1285" t="n">
        <x:v>93</x:v>
      </x:c>
      <x:c r="R1285" t="n">
        <x:v>75.7</x:v>
      </x:c>
      <x:c r="S1285" t="n">
        <x:v>0.0892</x:v>
      </x:c>
      <x:c r="T1285" t="n">
        <x:v>17.3</x:v>
      </x:c>
      <x:c r="U1285" t="n">
        <x:v>1768.6</x:v>
      </x:c>
      <x:c r="V1285" t="n">
        <x:v>2092</x:v>
      </x:c>
      <x:c r="W1285" t="n">
        <x:v>44.5</x:v>
      </x:c>
    </x:row>
    <x:row r="1286">
      <x:c r="A1286" t="str">
        <x:v>PJT_1285</x:v>
      </x:c>
      <x:c r="B1286" t="str">
        <x:v>Humid Subtropical</x:v>
      </x:c>
      <x:c r="C1286" t="n">
        <x:v>24810</x:v>
      </x:c>
      <x:c r="D1286" t="n">
        <x:v>14</x:v>
      </x:c>
      <x:c r="E1286" t="str">
        <x:v>Medium</x:v>
      </x:c>
      <x:c r="F1286" t="str">
        <x:v>Mixed-use</x:v>
      </x:c>
      <x:c r="G1286" t="str">
        <x:v>Steel</x:v>
      </x:c>
      <x:c r="H1286" t="str">
        <x:v>Piles</x:v>
      </x:c>
      <x:c r="I1286" t="str">
        <x:v>Mixed</x:v>
      </x:c>
      <x:c r="J1286" t="str">
        <x:v>Medium</x:v>
      </x:c>
      <x:c r="K1286" t="n">
        <x:v>66143460</x:v>
      </x:c>
      <x:c r="L1286" t="n">
        <x:v>1315</x:v>
      </x:c>
      <x:c r="M1286" t="n">
        <x:v>310.3</x:v>
      </x:c>
      <x:c r="N1286" t="n">
        <x:v>27.4</x:v>
      </x:c>
      <x:c r="O1286" t="n">
        <x:v>75.4</x:v>
      </x:c>
      <x:c r="P1286" t="str">
        <x:v>Rainy</x:v>
      </x:c>
      <x:c r="Q1286" t="n">
        <x:v>87</x:v>
      </x:c>
      <x:c r="R1286" t="n">
        <x:v>77</x:v>
      </x:c>
      <x:c r="S1286" t="n">
        <x:v>0.1006</x:v>
      </x:c>
      <x:c r="T1286" t="n">
        <x:v>17.9</x:v>
      </x:c>
      <x:c r="U1286" t="n">
        <x:v>1772.1</x:v>
      </x:c>
      <x:c r="V1286" t="n">
        <x:v>2666</x:v>
      </x:c>
      <x:c r="W1286" t="n">
        <x:v>53</x:v>
      </x:c>
    </x:row>
    <x:row r="1287">
      <x:c r="A1287" t="str">
        <x:v>PJT_1286</x:v>
      </x:c>
      <x:c r="B1287" t="str">
        <x:v>Humid Subtropical</x:v>
      </x:c>
      <x:c r="C1287" t="n">
        <x:v>12490</x:v>
      </x:c>
      <x:c r="D1287" t="n">
        <x:v>12</x:v>
      </x:c>
      <x:c r="E1287" t="str">
        <x:v>Low</x:v>
      </x:c>
      <x:c r="F1287" t="str">
        <x:v>Residential</x:v>
      </x:c>
      <x:c r="G1287" t="str">
        <x:v>RC Frame</x:v>
      </x:c>
      <x:c r="H1287" t="str">
        <x:v>Raft</x:v>
      </x:c>
      <x:c r="I1287" t="str">
        <x:v>Rock</x:v>
      </x:c>
      <x:c r="J1287" t="str">
        <x:v>Medium</x:v>
      </x:c>
      <x:c r="K1287" t="n">
        <x:v>16961420</x:v>
      </x:c>
      <x:c r="L1287" t="n">
        <x:v>446</x:v>
      </x:c>
      <x:c r="M1287" t="n">
        <x:v>667.3</x:v>
      </x:c>
      <x:c r="N1287" t="n">
        <x:v>28.6</x:v>
      </x:c>
      <x:c r="O1287" t="n">
        <x:v>86.7</x:v>
      </x:c>
      <x:c r="P1287" t="str">
        <x:v>Stormy</x:v>
      </x:c>
      <x:c r="Q1287" t="n">
        <x:v>86</x:v>
      </x:c>
      <x:c r="R1287" t="n">
        <x:v>63</x:v>
      </x:c>
      <x:c r="S1287" t="n">
        <x:v>0.0749</x:v>
      </x:c>
      <x:c r="T1287" t="n">
        <x:v>12.7</x:v>
      </x:c>
      <x:c r="U1287" t="n">
        <x:v>1040.8</x:v>
      </x:c>
      <x:c r="V1287" t="n">
        <x:v>1358</x:v>
      </x:c>
      <x:c r="W1287" t="n">
        <x:v>35.7</x:v>
      </x:c>
    </x:row>
    <x:row r="1288">
      <x:c r="A1288" t="str">
        <x:v>PJT_1287</x:v>
      </x:c>
      <x:c r="B1288" t="str">
        <x:v>Humid Subtropical</x:v>
      </x:c>
      <x:c r="C1288" t="n">
        <x:v>29960</x:v>
      </x:c>
      <x:c r="D1288" t="n">
        <x:v>25</x:v>
      </x:c>
      <x:c r="E1288" t="str">
        <x:v>High</x:v>
      </x:c>
      <x:c r="F1288" t="str">
        <x:v>Mixed-use</x:v>
      </x:c>
      <x:c r="G1288" t="str">
        <x:v>Steel</x:v>
      </x:c>
      <x:c r="H1288" t="str">
        <x:v>Piles</x:v>
      </x:c>
      <x:c r="I1288" t="str">
        <x:v>Mixed</x:v>
      </x:c>
      <x:c r="J1288" t="str">
        <x:v>Medium</x:v>
      </x:c>
      <x:c r="K1288" t="n">
        <x:v>87782800</x:v>
      </x:c>
      <x:c r="L1288" t="n">
        <x:v>1621</x:v>
      </x:c>
      <x:c r="M1288" t="n">
        <x:v>343.3</x:v>
      </x:c>
      <x:c r="N1288" t="n">
        <x:v>28.6</x:v>
      </x:c>
      <x:c r="O1288" t="n">
        <x:v>62.8</x:v>
      </x:c>
      <x:c r="P1288" t="str">
        <x:v>Sunny</x:v>
      </x:c>
      <x:c r="Q1288" t="n">
        <x:v>100</x:v>
      </x:c>
      <x:c r="R1288" t="n">
        <x:v>89</x:v>
      </x:c>
      <x:c r="S1288" t="n">
        <x:v>0.1046</x:v>
      </x:c>
      <x:c r="T1288" t="n">
        <x:v>20.8</x:v>
      </x:c>
      <x:c r="U1288" t="n">
        <x:v>1198.4</x:v>
      </x:c>
      <x:c r="V1288" t="n">
        <x:v>2930</x:v>
      </x:c>
      <x:c r="W1288" t="n">
        <x:v>54.1</x:v>
      </x:c>
    </x:row>
    <x:row r="1289">
      <x:c r="A1289" t="str">
        <x:v>PJT_1288</x:v>
      </x:c>
      <x:c r="B1289" t="str">
        <x:v>Mediterranean</x:v>
      </x:c>
      <x:c r="C1289" t="n">
        <x:v>26860</x:v>
      </x:c>
      <x:c r="D1289" t="n">
        <x:v>12</x:v>
      </x:c>
      <x:c r="E1289" t="str">
        <x:v>Medium</x:v>
      </x:c>
      <x:c r="F1289" t="str">
        <x:v>Hospital</x:v>
      </x:c>
      <x:c r="G1289" t="str">
        <x:v>Shear Wall</x:v>
      </x:c>
      <x:c r="H1289" t="str">
        <x:v>Piles</x:v>
      </x:c>
      <x:c r="I1289" t="str">
        <x:v>Mixed</x:v>
      </x:c>
      <x:c r="J1289" t="str">
        <x:v>Medium</x:v>
      </x:c>
      <x:c r="K1289" t="n">
        <x:v>84904460</x:v>
      </x:c>
      <x:c r="L1289" t="n">
        <x:v>1432</x:v>
      </x:c>
      <x:c r="M1289" t="n">
        <x:v>368.5</x:v>
      </x:c>
      <x:c r="N1289" t="n">
        <x:v>13.4</x:v>
      </x:c>
      <x:c r="O1289" t="n">
        <x:v>77.9</x:v>
      </x:c>
      <x:c r="P1289" t="str">
        <x:v>Stormy</x:v>
      </x:c>
      <x:c r="Q1289" t="n">
        <x:v>86</x:v>
      </x:c>
      <x:c r="R1289" t="n">
        <x:v>78.8</x:v>
      </x:c>
      <x:c r="S1289" t="n">
        <x:v>0.1089</x:v>
      </x:c>
      <x:c r="T1289" t="n">
        <x:v>21.4</x:v>
      </x:c>
      <x:c r="U1289" t="n">
        <x:v>2238.3</x:v>
      </x:c>
      <x:c r="V1289" t="n">
        <x:v>3161</x:v>
      </x:c>
      <x:c r="W1289" t="n">
        <x:v>53.3</x:v>
      </x:c>
    </x:row>
    <x:row r="1290">
      <x:c r="A1290" t="str">
        <x:v>PJT_1289</x:v>
      </x:c>
      <x:c r="B1290" t="str">
        <x:v>Humid Subtropical</x:v>
      </x:c>
      <x:c r="C1290" t="n">
        <x:v>33560</x:v>
      </x:c>
      <x:c r="D1290" t="n">
        <x:v>20</x:v>
      </x:c>
      <x:c r="E1290" t="str">
        <x:v>High</x:v>
      </x:c>
      <x:c r="F1290" t="str">
        <x:v>Mixed-use</x:v>
      </x:c>
      <x:c r="G1290" t="str">
        <x:v>Steel</x:v>
      </x:c>
      <x:c r="H1290" t="str">
        <x:v>Piles</x:v>
      </x:c>
      <x:c r="I1290" t="str">
        <x:v>Rock</x:v>
      </x:c>
      <x:c r="J1290" t="str">
        <x:v>High</x:v>
      </x:c>
      <x:c r="K1290" t="n">
        <x:v>103398360</x:v>
      </x:c>
      <x:c r="L1290" t="n">
        <x:v>1903</x:v>
      </x:c>
      <x:c r="M1290" t="n">
        <x:v>859.4</x:v>
      </x:c>
      <x:c r="N1290" t="n">
        <x:v>22.5</x:v>
      </x:c>
      <x:c r="O1290" t="n">
        <x:v>63.3</x:v>
      </x:c>
      <x:c r="P1290" t="str">
        <x:v>Cloudy</x:v>
      </x:c>
      <x:c r="Q1290" t="n">
        <x:v>106</x:v>
      </x:c>
      <x:c r="R1290" t="n">
        <x:v>92</x:v>
      </x:c>
      <x:c r="S1290" t="n">
        <x:v>0.1059</x:v>
      </x:c>
      <x:c r="T1290" t="n">
        <x:v>20.7</x:v>
      </x:c>
      <x:c r="U1290" t="n">
        <x:v>1678</x:v>
      </x:c>
      <x:c r="V1290" t="n">
        <x:v>3081</x:v>
      </x:c>
      <x:c r="W1290" t="n">
        <x:v>56.7</x:v>
      </x:c>
    </x:row>
    <x:row r="1291">
      <x:c r="A1291" t="str">
        <x:v>PJT_1290</x:v>
      </x:c>
      <x:c r="B1291" t="str">
        <x:v>Humid Subtropical</x:v>
      </x:c>
      <x:c r="C1291" t="n">
        <x:v>22740</x:v>
      </x:c>
      <x:c r="D1291" t="n">
        <x:v>11</x:v>
      </x:c>
      <x:c r="E1291" t="str">
        <x:v>Medium</x:v>
      </x:c>
      <x:c r="F1291" t="str">
        <x:v>Hospital</x:v>
      </x:c>
      <x:c r="G1291" t="str">
        <x:v>Shear Wall</x:v>
      </x:c>
      <x:c r="H1291" t="str">
        <x:v>Raft</x:v>
      </x:c>
      <x:c r="I1291" t="str">
        <x:v>Rock</x:v>
      </x:c>
      <x:c r="J1291" t="str">
        <x:v>Medium</x:v>
      </x:c>
      <x:c r="K1291" t="n">
        <x:v>70494000</x:v>
      </x:c>
      <x:c r="L1291" t="n">
        <x:v>1069</x:v>
      </x:c>
      <x:c r="M1291" t="n">
        <x:v>702.8</x:v>
      </x:c>
      <x:c r="N1291" t="n">
        <x:v>24.9</x:v>
      </x:c>
      <x:c r="O1291" t="n">
        <x:v>80.2</x:v>
      </x:c>
      <x:c r="P1291" t="str">
        <x:v>Cloudy</x:v>
      </x:c>
      <x:c r="Q1291" t="n">
        <x:v>108</x:v>
      </x:c>
      <x:c r="R1291" t="n">
        <x:v>86.1</x:v>
      </x:c>
      <x:c r="S1291" t="n">
        <x:v>0.1102</x:v>
      </x:c>
      <x:c r="T1291" t="n">
        <x:v>20.7</x:v>
      </x:c>
      <x:c r="U1291" t="n">
        <x:v>2067.3</x:v>
      </x:c>
      <x:c r="V1291" t="n">
        <x:v>3100</x:v>
      </x:c>
      <x:c r="W1291" t="n">
        <x:v>47</x:v>
      </x:c>
    </x:row>
    <x:row r="1292">
      <x:c r="A1292" t="str">
        <x:v>PJT_1291</x:v>
      </x:c>
      <x:c r="B1292" t="str">
        <x:v>Mediterranean</x:v>
      </x:c>
      <x:c r="C1292" t="n">
        <x:v>18020</x:v>
      </x:c>
      <x:c r="D1292" t="n">
        <x:v>12</x:v>
      </x:c>
      <x:c r="E1292" t="str">
        <x:v>Medium</x:v>
      </x:c>
      <x:c r="F1292" t="str">
        <x:v>Commercial</x:v>
      </x:c>
      <x:c r="G1292" t="str">
        <x:v>Steel</x:v>
      </x:c>
      <x:c r="H1292" t="str">
        <x:v>Piles</x:v>
      </x:c>
      <x:c r="I1292" t="str">
        <x:v>Sand</x:v>
      </x:c>
      <x:c r="J1292" t="str">
        <x:v>High</x:v>
      </x:c>
      <x:c r="K1292" t="n">
        <x:v>43932760</x:v>
      </x:c>
      <x:c r="L1292" t="n">
        <x:v>840</x:v>
      </x:c>
      <x:c r="M1292" t="n">
        <x:v>292.7</x:v>
      </x:c>
      <x:c r="N1292" t="n">
        <x:v>15.3</x:v>
      </x:c>
      <x:c r="O1292" t="n">
        <x:v>72.8</x:v>
      </x:c>
      <x:c r="P1292" t="str">
        <x:v>Rainy</x:v>
      </x:c>
      <x:c r="Q1292" t="n">
        <x:v>80</x:v>
      </x:c>
      <x:c r="R1292" t="n">
        <x:v>75.5</x:v>
      </x:c>
      <x:c r="S1292" t="n">
        <x:v>0.0989</x:v>
      </x:c>
      <x:c r="T1292" t="n">
        <x:v>17.1</x:v>
      </x:c>
      <x:c r="U1292" t="n">
        <x:v>1501.7</x:v>
      </x:c>
      <x:c r="V1292" t="n">
        <x:v>2438</x:v>
      </x:c>
      <x:c r="W1292" t="n">
        <x:v>46.6</x:v>
      </x:c>
    </x:row>
    <x:row r="1293">
      <x:c r="A1293" t="str">
        <x:v>PJT_1292</x:v>
      </x:c>
      <x:c r="B1293" t="str">
        <x:v>Marine</x:v>
      </x:c>
      <x:c r="C1293" t="n">
        <x:v>16680</x:v>
      </x:c>
      <x:c r="D1293" t="n">
        <x:v>5</x:v>
      </x:c>
      <x:c r="E1293" t="str">
        <x:v>Low</x:v>
      </x:c>
      <x:c r="F1293" t="str">
        <x:v>School</x:v>
      </x:c>
      <x:c r="G1293" t="str">
        <x:v>RC Frame</x:v>
      </x:c>
      <x:c r="H1293" t="str">
        <x:v>Raft</x:v>
      </x:c>
      <x:c r="I1293" t="str">
        <x:v>Soft Clay</x:v>
      </x:c>
      <x:c r="J1293" t="str">
        <x:v>Medium</x:v>
      </x:c>
      <x:c r="K1293" t="n">
        <x:v>27004920</x:v>
      </x:c>
      <x:c r="L1293" t="n">
        <x:v>570</x:v>
      </x:c>
      <x:c r="M1293" t="n">
        <x:v>186.2</x:v>
      </x:c>
      <x:c r="N1293" t="n">
        <x:v>12.1</x:v>
      </x:c>
      <x:c r="O1293" t="n">
        <x:v>85.9</x:v>
      </x:c>
      <x:c r="P1293" t="str">
        <x:v>Stormy</x:v>
      </x:c>
      <x:c r="Q1293" t="n">
        <x:v>74</x:v>
      </x:c>
      <x:c r="R1293" t="n">
        <x:v>65.3</x:v>
      </x:c>
      <x:c r="S1293" t="n">
        <x:v>0.0811</x:v>
      </x:c>
      <x:c r="T1293" t="n">
        <x:v>13.1</x:v>
      </x:c>
      <x:c r="U1293" t="n">
        <x:v>3336</x:v>
      </x:c>
      <x:c r="V1293" t="n">
        <x:v>1619</x:v>
      </x:c>
      <x:c r="W1293" t="n">
        <x:v>34.2</x:v>
      </x:c>
    </x:row>
    <x:row r="1294">
      <x:c r="A1294" t="str">
        <x:v>PJT_1293</x:v>
      </x:c>
      <x:c r="B1294" t="str">
        <x:v>Humid Subtropical</x:v>
      </x:c>
      <x:c r="C1294" t="n">
        <x:v>14760</x:v>
      </x:c>
      <x:c r="D1294" t="n">
        <x:v>17</x:v>
      </x:c>
      <x:c r="E1294" t="str">
        <x:v>Medium</x:v>
      </x:c>
      <x:c r="F1294" t="str">
        <x:v>Residential</x:v>
      </x:c>
      <x:c r="G1294" t="str">
        <x:v>RC Frame</x:v>
      </x:c>
      <x:c r="H1294" t="str">
        <x:v>Piles</x:v>
      </x:c>
      <x:c r="I1294" t="str">
        <x:v>Soft Clay</x:v>
      </x:c>
      <x:c r="J1294" t="str">
        <x:v>Low</x:v>
      </x:c>
      <x:c r="K1294" t="n">
        <x:v>22612320</x:v>
      </x:c>
      <x:c r="L1294" t="n">
        <x:v>561</x:v>
      </x:c>
      <x:c r="M1294" t="n">
        <x:v>171.4</x:v>
      </x:c>
      <x:c r="N1294" t="n">
        <x:v>29.6</x:v>
      </x:c>
      <x:c r="O1294" t="n">
        <x:v>74.7</x:v>
      </x:c>
      <x:c r="P1294" t="str">
        <x:v>Cloudy</x:v>
      </x:c>
      <x:c r="Q1294" t="n">
        <x:v>91</x:v>
      </x:c>
      <x:c r="R1294" t="n">
        <x:v>69.9</x:v>
      </x:c>
      <x:c r="S1294" t="n">
        <x:v>0.0787</x:v>
      </x:c>
      <x:c r="T1294" t="n">
        <x:v>12.8</x:v>
      </x:c>
      <x:c r="U1294" t="n">
        <x:v>868.2</x:v>
      </x:c>
      <x:c r="V1294" t="n">
        <x:v>1532</x:v>
      </x:c>
      <x:c r="W1294" t="n">
        <x:v>38</x:v>
      </x:c>
    </x:row>
    <x:row r="1295">
      <x:c r="A1295" t="str">
        <x:v>PJT_1294</x:v>
      </x:c>
      <x:c r="B1295" t="str">
        <x:v>Humid Subtropical</x:v>
      </x:c>
      <x:c r="C1295" t="n">
        <x:v>11050</x:v>
      </x:c>
      <x:c r="D1295" t="n">
        <x:v>12</x:v>
      </x:c>
      <x:c r="E1295" t="str">
        <x:v>Low</x:v>
      </x:c>
      <x:c r="F1295" t="str">
        <x:v>Residential</x:v>
      </x:c>
      <x:c r="G1295" t="str">
        <x:v>RC Frame</x:v>
      </x:c>
      <x:c r="H1295" t="str">
        <x:v>Raft</x:v>
      </x:c>
      <x:c r="I1295" t="str">
        <x:v>Mixed</x:v>
      </x:c>
      <x:c r="J1295" t="str">
        <x:v>Low</x:v>
      </x:c>
      <x:c r="K1295" t="n">
        <x:v>15005900</x:v>
      </x:c>
      <x:c r="L1295" t="n">
        <x:v>389</x:v>
      </x:c>
      <x:c r="M1295" t="n">
        <x:v>309.5</x:v>
      </x:c>
      <x:c r="N1295" t="n">
        <x:v>19.7</x:v>
      </x:c>
      <x:c r="O1295" t="n">
        <x:v>78.4</x:v>
      </x:c>
      <x:c r="P1295" t="str">
        <x:v>Rainy</x:v>
      </x:c>
      <x:c r="Q1295" t="n">
        <x:v>85</x:v>
      </x:c>
      <x:c r="R1295" t="n">
        <x:v>70.5</x:v>
      </x:c>
      <x:c r="S1295" t="n">
        <x:v>0.0703</x:v>
      </x:c>
      <x:c r="T1295" t="n">
        <x:v>12.9</x:v>
      </x:c>
      <x:c r="U1295" t="n">
        <x:v>920.8</x:v>
      </x:c>
      <x:c r="V1295" t="n">
        <x:v>1358</x:v>
      </x:c>
      <x:c r="W1295" t="n">
        <x:v>35.2</x:v>
      </x:c>
    </x:row>
    <x:row r="1296">
      <x:c r="A1296" t="str">
        <x:v>PJT_1295</x:v>
      </x:c>
      <x:c r="B1296" t="str">
        <x:v>Mediterranean</x:v>
      </x:c>
      <x:c r="C1296" t="n">
        <x:v>9560</x:v>
      </x:c>
      <x:c r="D1296" t="n">
        <x:v>11</x:v>
      </x:c>
      <x:c r="E1296" t="str">
        <x:v>Low</x:v>
      </x:c>
      <x:c r="F1296" t="str">
        <x:v>Residential</x:v>
      </x:c>
      <x:c r="G1296" t="str">
        <x:v>RC Frame</x:v>
      </x:c>
      <x:c r="H1296" t="str">
        <x:v>Raft</x:v>
      </x:c>
      <x:c r="I1296" t="str">
        <x:v>Mixed</x:v>
      </x:c>
      <x:c r="J1296" t="str">
        <x:v>Low</x:v>
      </x:c>
      <x:c r="K1296" t="n">
        <x:v>13307520</x:v>
      </x:c>
      <x:c r="L1296" t="n">
        <x:v>278</x:v>
      </x:c>
      <x:c r="M1296" t="n">
        <x:v>268.8</x:v>
      </x:c>
      <x:c r="N1296" t="n">
        <x:v>25.1</x:v>
      </x:c>
      <x:c r="O1296" t="n">
        <x:v>50.3</x:v>
      </x:c>
      <x:c r="P1296" t="str">
        <x:v>Sunny</x:v>
      </x:c>
      <x:c r="Q1296" t="n">
        <x:v>54</x:v>
      </x:c>
      <x:c r="R1296" t="n">
        <x:v>65.5</x:v>
      </x:c>
      <x:c r="S1296" t="n">
        <x:v>0.0751</x:v>
      </x:c>
      <x:c r="T1296" t="n">
        <x:v>11.2</x:v>
      </x:c>
      <x:c r="U1296" t="n">
        <x:v>869.1</x:v>
      </x:c>
      <x:c r="V1296" t="n">
        <x:v>1392</x:v>
      </x:c>
      <x:c r="W1296" t="n">
        <x:v>29.1</x:v>
      </x:c>
    </x:row>
    <x:row r="1297">
      <x:c r="A1297" t="str">
        <x:v>PJT_1296</x:v>
      </x:c>
      <x:c r="B1297" t="str">
        <x:v>Humid Subtropical</x:v>
      </x:c>
      <x:c r="C1297" t="n">
        <x:v>29580</x:v>
      </x:c>
      <x:c r="D1297" t="n">
        <x:v>18</x:v>
      </x:c>
      <x:c r="E1297" t="str">
        <x:v>Medium</x:v>
      </x:c>
      <x:c r="F1297" t="str">
        <x:v>Commercial</x:v>
      </x:c>
      <x:c r="G1297" t="str">
        <x:v>Steel</x:v>
      </x:c>
      <x:c r="H1297" t="str">
        <x:v>Piles</x:v>
      </x:c>
      <x:c r="I1297" t="str">
        <x:v>Sand</x:v>
      </x:c>
      <x:c r="J1297" t="str">
        <x:v>Medium</x:v>
      </x:c>
      <x:c r="K1297" t="n">
        <x:v>77529180</x:v>
      </x:c>
      <x:c r="L1297" t="n">
        <x:v>1337</x:v>
      </x:c>
      <x:c r="M1297" t="n">
        <x:v>333.2</x:v>
      </x:c>
      <x:c r="N1297" t="n">
        <x:v>25.4</x:v>
      </x:c>
      <x:c r="O1297" t="n">
        <x:v>74.1</x:v>
      </x:c>
      <x:c r="P1297" t="str">
        <x:v>Cloudy</x:v>
      </x:c>
      <x:c r="Q1297" t="n">
        <x:v>91</x:v>
      </x:c>
      <x:c r="R1297" t="n">
        <x:v>77.2</x:v>
      </x:c>
      <x:c r="S1297" t="n">
        <x:v>0.0956</x:v>
      </x:c>
      <x:c r="T1297" t="n">
        <x:v>17.8</x:v>
      </x:c>
      <x:c r="U1297" t="n">
        <x:v>1643.3</x:v>
      </x:c>
      <x:c r="V1297" t="n">
        <x:v>2621</x:v>
      </x:c>
      <x:c r="W1297" t="n">
        <x:v>45.2</x:v>
      </x:c>
    </x:row>
    <x:row r="1298">
      <x:c r="A1298" t="str">
        <x:v>PJT_1297</x:v>
      </x:c>
      <x:c r="B1298" t="str">
        <x:v>Mediterranean</x:v>
      </x:c>
      <x:c r="C1298" t="n">
        <x:v>29520</x:v>
      </x:c>
      <x:c r="D1298" t="n">
        <x:v>17</x:v>
      </x:c>
      <x:c r="E1298" t="str">
        <x:v>Medium</x:v>
      </x:c>
      <x:c r="F1298" t="str">
        <x:v>Mixed-use</x:v>
      </x:c>
      <x:c r="G1298" t="str">
        <x:v>Steel</x:v>
      </x:c>
      <x:c r="H1298" t="str">
        <x:v>Piles</x:v>
      </x:c>
      <x:c r="I1298" t="str">
        <x:v>Soft Clay</x:v>
      </x:c>
      <x:c r="J1298" t="str">
        <x:v>High</x:v>
      </x:c>
      <x:c r="K1298" t="n">
        <x:v>81239040</x:v>
      </x:c>
      <x:c r="L1298" t="n">
        <x:v>1511</x:v>
      </x:c>
      <x:c r="M1298" t="n">
        <x:v>174.3</x:v>
      </x:c>
      <x:c r="N1298" t="n">
        <x:v>21.5</x:v>
      </x:c>
      <x:c r="O1298" t="n">
        <x:v>63.8</x:v>
      </x:c>
      <x:c r="P1298" t="str">
        <x:v>Cloudy</x:v>
      </x:c>
      <x:c r="Q1298" t="n">
        <x:v>91</x:v>
      </x:c>
      <x:c r="R1298" t="n">
        <x:v>82.1</x:v>
      </x:c>
      <x:c r="S1298" t="n">
        <x:v>0.1041</x:v>
      </x:c>
      <x:c r="T1298" t="n">
        <x:v>17.8</x:v>
      </x:c>
      <x:c r="U1298" t="n">
        <x:v>1736.5</x:v>
      </x:c>
      <x:c r="V1298" t="n">
        <x:v>2752</x:v>
      </x:c>
      <x:c r="W1298" t="n">
        <x:v>51.2</x:v>
      </x:c>
    </x:row>
    <x:row r="1299">
      <x:c r="A1299" t="str">
        <x:v>PJT_1298</x:v>
      </x:c>
      <x:c r="B1299" t="str">
        <x:v>Continental</x:v>
      </x:c>
      <x:c r="C1299" t="n">
        <x:v>21550</x:v>
      </x:c>
      <x:c r="D1299" t="n">
        <x:v>17</x:v>
      </x:c>
      <x:c r="E1299" t="str">
        <x:v>Medium</x:v>
      </x:c>
      <x:c r="F1299" t="str">
        <x:v>Mixed-use</x:v>
      </x:c>
      <x:c r="G1299" t="str">
        <x:v>Steel</x:v>
      </x:c>
      <x:c r="H1299" t="str">
        <x:v>Piles</x:v>
      </x:c>
      <x:c r="I1299" t="str">
        <x:v>Soft Clay</x:v>
      </x:c>
      <x:c r="J1299" t="str">
        <x:v>Low</x:v>
      </x:c>
      <x:c r="K1299" t="n">
        <x:v>55146450</x:v>
      </x:c>
      <x:c r="L1299" t="n">
        <x:v>1118</x:v>
      </x:c>
      <x:c r="M1299" t="n">
        <x:v>218.5</x:v>
      </x:c>
      <x:c r="N1299" t="n">
        <x:v>5.4</x:v>
      </x:c>
      <x:c r="O1299" t="n">
        <x:v>59.4</x:v>
      </x:c>
      <x:c r="P1299" t="str">
        <x:v>Cloudy</x:v>
      </x:c>
      <x:c r="Q1299" t="n">
        <x:v>78</x:v>
      </x:c>
      <x:c r="R1299" t="n">
        <x:v>81.3</x:v>
      </x:c>
      <x:c r="S1299" t="n">
        <x:v>0.1052</x:v>
      </x:c>
      <x:c r="T1299" t="n">
        <x:v>19.3</x:v>
      </x:c>
      <x:c r="U1299" t="n">
        <x:v>1267.6</x:v>
      </x:c>
      <x:c r="V1299" t="n">
        <x:v>2559</x:v>
      </x:c>
      <x:c r="W1299" t="n">
        <x:v>51.9</x:v>
      </x:c>
    </x:row>
    <x:row r="1300">
      <x:c r="A1300" t="str">
        <x:v>PJT_1299</x:v>
      </x:c>
      <x:c r="B1300" t="str">
        <x:v>Humid Subtropical</x:v>
      </x:c>
      <x:c r="C1300" t="n">
        <x:v>9120</x:v>
      </x:c>
      <x:c r="D1300" t="n">
        <x:v>4</x:v>
      </x:c>
      <x:c r="E1300" t="str">
        <x:v>Low</x:v>
      </x:c>
      <x:c r="F1300" t="str">
        <x:v>School</x:v>
      </x:c>
      <x:c r="G1300" t="str">
        <x:v>RC Frame</x:v>
      </x:c>
      <x:c r="H1300" t="str">
        <x:v>Raft</x:v>
      </x:c>
      <x:c r="I1300" t="str">
        <x:v>Rock</x:v>
      </x:c>
      <x:c r="J1300" t="str">
        <x:v>Medium</x:v>
      </x:c>
      <x:c r="K1300" t="n">
        <x:v>15549600</x:v>
      </x:c>
      <x:c r="L1300" t="n">
        <x:v>278</x:v>
      </x:c>
      <x:c r="M1300" t="n">
        <x:v>592.1</x:v>
      </x:c>
      <x:c r="N1300" t="n">
        <x:v>21</x:v>
      </x:c>
      <x:c r="O1300" t="n">
        <x:v>87.2</x:v>
      </x:c>
      <x:c r="P1300" t="str">
        <x:v>Rainy</x:v>
      </x:c>
      <x:c r="Q1300" t="n">
        <x:v>83</x:v>
      </x:c>
      <x:c r="R1300" t="n">
        <x:v>62.9</x:v>
      </x:c>
      <x:c r="S1300" t="n">
        <x:v>0.0785</x:v>
      </x:c>
      <x:c r="T1300" t="n">
        <x:v>14.4</x:v>
      </x:c>
      <x:c r="U1300" t="n">
        <x:v>2280</x:v>
      </x:c>
      <x:c r="V1300" t="n">
        <x:v>1705</x:v>
      </x:c>
      <x:c r="W1300" t="n">
        <x:v>30.5</x:v>
      </x:c>
    </x:row>
    <x:row r="1301">
      <x:c r="A1301" t="str">
        <x:v>PJT_1300</x:v>
      </x:c>
      <x:c r="B1301" t="str">
        <x:v>Marine</x:v>
      </x:c>
      <x:c r="C1301" t="n">
        <x:v>8160</x:v>
      </x:c>
      <x:c r="D1301" t="n">
        <x:v>7</x:v>
      </x:c>
      <x:c r="E1301" t="str">
        <x:v>Low</x:v>
      </x:c>
      <x:c r="F1301" t="str">
        <x:v>Commercial</x:v>
      </x:c>
      <x:c r="G1301" t="str">
        <x:v>RC Frame</x:v>
      </x:c>
      <x:c r="H1301" t="str">
        <x:v>Raft</x:v>
      </x:c>
      <x:c r="I1301" t="str">
        <x:v>Rock</x:v>
      </x:c>
      <x:c r="J1301" t="str">
        <x:v>Low</x:v>
      </x:c>
      <x:c r="K1301" t="n">
        <x:v>17250240</x:v>
      </x:c>
      <x:c r="L1301" t="n">
        <x:v>312</x:v>
      </x:c>
      <x:c r="M1301" t="n">
        <x:v>595.6</x:v>
      </x:c>
      <x:c r="N1301" t="n">
        <x:v>19.5</x:v>
      </x:c>
      <x:c r="O1301" t="n">
        <x:v>62.2</x:v>
      </x:c>
      <x:c r="P1301" t="str">
        <x:v>Cloudy</x:v>
      </x:c>
      <x:c r="Q1301" t="n">
        <x:v>67</x:v>
      </x:c>
      <x:c r="R1301" t="n">
        <x:v>66.5</x:v>
      </x:c>
      <x:c r="S1301" t="n">
        <x:v>0.0831</x:v>
      </x:c>
      <x:c r="T1301" t="n">
        <x:v>14.9</x:v>
      </x:c>
      <x:c r="U1301" t="n">
        <x:v>1165.7</x:v>
      </x:c>
      <x:c r="V1301" t="n">
        <x:v>2114</x:v>
      </x:c>
      <x:c r="W1301" t="n">
        <x:v>38.2</x:v>
      </x:c>
    </x:row>
    <x:row r="1302">
      <x:c r="A1302" t="str">
        <x:v>PJT_1301</x:v>
      </x:c>
      <x:c r="B1302" t="str">
        <x:v>Continental</x:v>
      </x:c>
      <x:c r="C1302" t="n">
        <x:v>6020</x:v>
      </x:c>
      <x:c r="D1302" t="n">
        <x:v>5</x:v>
      </x:c>
      <x:c r="E1302" t="str">
        <x:v>Medium</x:v>
      </x:c>
      <x:c r="F1302" t="str">
        <x:v>Commercial</x:v>
      </x:c>
      <x:c r="G1302" t="str">
        <x:v>RC Frame</x:v>
      </x:c>
      <x:c r="H1302" t="str">
        <x:v>Raft</x:v>
      </x:c>
      <x:c r="I1302" t="str">
        <x:v>Mixed</x:v>
      </x:c>
      <x:c r="J1302" t="str">
        <x:v>Low</x:v>
      </x:c>
      <x:c r="K1302" t="n">
        <x:v>12304880</x:v>
      </x:c>
      <x:c r="L1302" t="n">
        <x:v>256</x:v>
      </x:c>
      <x:c r="M1302" t="n">
        <x:v>342.5</x:v>
      </x:c>
      <x:c r="N1302" t="n">
        <x:v>-2.9</x:v>
      </x:c>
      <x:c r="O1302" t="n">
        <x:v>70.4</x:v>
      </x:c>
      <x:c r="P1302" t="str">
        <x:v>Snowy</x:v>
      </x:c>
      <x:c r="Q1302" t="n">
        <x:v>83</x:v>
      </x:c>
      <x:c r="R1302" t="n">
        <x:v>77.9</x:v>
      </x:c>
      <x:c r="S1302" t="n">
        <x:v>0.0928</x:v>
      </x:c>
      <x:c r="T1302" t="n">
        <x:v>16.4</x:v>
      </x:c>
      <x:c r="U1302" t="n">
        <x:v>1204</x:v>
      </x:c>
      <x:c r="V1302" t="n">
        <x:v>2044</x:v>
      </x:c>
      <x:c r="W1302" t="n">
        <x:v>42.6</x:v>
      </x:c>
    </x:row>
    <x:row r="1303">
      <x:c r="A1303" t="str">
        <x:v>PJT_1302</x:v>
      </x:c>
      <x:c r="B1303" t="str">
        <x:v>Humid Subtropical</x:v>
      </x:c>
      <x:c r="C1303" t="n">
        <x:v>8650</x:v>
      </x:c>
      <x:c r="D1303" t="n">
        <x:v>10</x:v>
      </x:c>
      <x:c r="E1303" t="str">
        <x:v>Low</x:v>
      </x:c>
      <x:c r="F1303" t="str">
        <x:v>Residential</x:v>
      </x:c>
      <x:c r="G1303" t="str">
        <x:v>Shear Wall</x:v>
      </x:c>
      <x:c r="H1303" t="str">
        <x:v>Raft</x:v>
      </x:c>
      <x:c r="I1303" t="str">
        <x:v>Rock</x:v>
      </x:c>
      <x:c r="J1303" t="str">
        <x:v>High</x:v>
      </x:c>
      <x:c r="K1303" t="n">
        <x:v>14255200</x:v>
      </x:c>
      <x:c r="L1303" t="n">
        <x:v>277</x:v>
      </x:c>
      <x:c r="M1303" t="n">
        <x:v>736.8</x:v>
      </x:c>
      <x:c r="N1303" t="n">
        <x:v>29.1</x:v>
      </x:c>
      <x:c r="O1303" t="n">
        <x:v>71.1</x:v>
      </x:c>
      <x:c r="P1303" t="str">
        <x:v>Cloudy</x:v>
      </x:c>
      <x:c r="Q1303" t="n">
        <x:v>66</x:v>
      </x:c>
      <x:c r="R1303" t="n">
        <x:v>61</x:v>
      </x:c>
      <x:c r="S1303" t="n">
        <x:v>0.0768</x:v>
      </x:c>
      <x:c r="T1303" t="n">
        <x:v>13.2</x:v>
      </x:c>
      <x:c r="U1303" t="n">
        <x:v>865</x:v>
      </x:c>
      <x:c r="V1303" t="n">
        <x:v>1648</x:v>
      </x:c>
      <x:c r="W1303" t="n">
        <x:v>32</x:v>
      </x:c>
    </x:row>
    <x:row r="1304">
      <x:c r="A1304" t="str">
        <x:v>PJT_1303</x:v>
      </x:c>
      <x:c r="B1304" t="str">
        <x:v>Continental</x:v>
      </x:c>
      <x:c r="C1304" t="n">
        <x:v>4590</x:v>
      </x:c>
      <x:c r="D1304" t="n">
        <x:v>5</x:v>
      </x:c>
      <x:c r="E1304" t="str">
        <x:v>Low</x:v>
      </x:c>
      <x:c r="F1304" t="str">
        <x:v>Residential</x:v>
      </x:c>
      <x:c r="G1304" t="str">
        <x:v>RC Frame</x:v>
      </x:c>
      <x:c r="H1304" t="str">
        <x:v>Raft</x:v>
      </x:c>
      <x:c r="I1304" t="str">
        <x:v>Mixed</x:v>
      </x:c>
      <x:c r="J1304" t="str">
        <x:v>Medium</x:v>
      </x:c>
      <x:c r="K1304" t="n">
        <x:v>6233220</x:v>
      </x:c>
      <x:c r="L1304" t="n">
        <x:v>180</x:v>
      </x:c>
      <x:c r="M1304" t="n">
        <x:v>371.8</x:v>
      </x:c>
      <x:c r="N1304" t="n">
        <x:v>13.7</x:v>
      </x:c>
      <x:c r="O1304" t="n">
        <x:v>71.8</x:v>
      </x:c>
      <x:c r="P1304" t="str">
        <x:v>Cloudy</x:v>
      </x:c>
      <x:c r="Q1304" t="n">
        <x:v>63</x:v>
      </x:c>
      <x:c r="R1304" t="n">
        <x:v>60.8</x:v>
      </x:c>
      <x:c r="S1304" t="n">
        <x:v>0.075</x:v>
      </x:c>
      <x:c r="T1304" t="n">
        <x:v>12.7</x:v>
      </x:c>
      <x:c r="U1304" t="n">
        <x:v>918</x:v>
      </x:c>
      <x:c r="V1304" t="n">
        <x:v>1358</x:v>
      </x:c>
      <x:c r="W1304" t="n">
        <x:v>29.7</x:v>
      </x:c>
    </x:row>
    <x:row r="1305">
      <x:c r="A1305" t="str">
        <x:v>PJT_1304</x:v>
      </x:c>
      <x:c r="B1305" t="str">
        <x:v>Marine</x:v>
      </x:c>
      <x:c r="C1305" t="n">
        <x:v>23790</x:v>
      </x:c>
      <x:c r="D1305" t="n">
        <x:v>26</x:v>
      </x:c>
      <x:c r="E1305" t="str">
        <x:v>High</x:v>
      </x:c>
      <x:c r="F1305" t="str">
        <x:v>Mixed-use</x:v>
      </x:c>
      <x:c r="G1305" t="str">
        <x:v>Steel</x:v>
      </x:c>
      <x:c r="H1305" t="str">
        <x:v>Piles</x:v>
      </x:c>
      <x:c r="I1305" t="str">
        <x:v>Mixed</x:v>
      </x:c>
      <x:c r="J1305" t="str">
        <x:v>Medium</x:v>
      </x:c>
      <x:c r="K1305" t="n">
        <x:v>70513560</x:v>
      </x:c>
      <x:c r="L1305" t="n">
        <x:v>1380</x:v>
      </x:c>
      <x:c r="M1305" t="n">
        <x:v>360.4</x:v>
      </x:c>
      <x:c r="N1305" t="n">
        <x:v>-1.1</x:v>
      </x:c>
      <x:c r="O1305" t="n">
        <x:v>78</x:v>
      </x:c>
      <x:c r="P1305" t="str">
        <x:v>Snowy</x:v>
      </x:c>
      <x:c r="Q1305" t="n">
        <x:v>73</x:v>
      </x:c>
      <x:c r="R1305" t="n">
        <x:v>92</x:v>
      </x:c>
      <x:c r="S1305" t="n">
        <x:v>0.1087</x:v>
      </x:c>
      <x:c r="T1305" t="n">
        <x:v>19.3</x:v>
      </x:c>
      <x:c r="U1305" t="n">
        <x:v>915</x:v>
      </x:c>
      <x:c r="V1305" t="n">
        <x:v>2964</x:v>
      </x:c>
      <x:c r="W1305" t="n">
        <x:v>58</x:v>
      </x:c>
    </x:row>
    <x:row r="1306">
      <x:c r="A1306" t="str">
        <x:v>PJT_1305</x:v>
      </x:c>
      <x:c r="B1306" t="str">
        <x:v>Humid Subtropical</x:v>
      </x:c>
      <x:c r="C1306" t="n">
        <x:v>26490</x:v>
      </x:c>
      <x:c r="D1306" t="n">
        <x:v>16</x:v>
      </x:c>
      <x:c r="E1306" t="str">
        <x:v>High</x:v>
      </x:c>
      <x:c r="F1306" t="str">
        <x:v>Mixed-use</x:v>
      </x:c>
      <x:c r="G1306" t="str">
        <x:v>Steel</x:v>
      </x:c>
      <x:c r="H1306" t="str">
        <x:v>Raft</x:v>
      </x:c>
      <x:c r="I1306" t="str">
        <x:v>Rock</x:v>
      </x:c>
      <x:c r="J1306" t="str">
        <x:v>Medium</x:v>
      </x:c>
      <x:c r="K1306" t="n">
        <x:v>77562720</x:v>
      </x:c>
      <x:c r="L1306" t="n">
        <x:v>1420</x:v>
      </x:c>
      <x:c r="M1306" t="n">
        <x:v>625.1</x:v>
      </x:c>
      <x:c r="N1306" t="n">
        <x:v>28.2</x:v>
      </x:c>
      <x:c r="O1306" t="n">
        <x:v>73.9</x:v>
      </x:c>
      <x:c r="P1306" t="str">
        <x:v>Cloudy</x:v>
      </x:c>
      <x:c r="Q1306" t="n">
        <x:v>82</x:v>
      </x:c>
      <x:c r="R1306" t="n">
        <x:v>90.3</x:v>
      </x:c>
      <x:c r="S1306" t="n">
        <x:v>0.1041</x:v>
      </x:c>
      <x:c r="T1306" t="n">
        <x:v>20.3</x:v>
      </x:c>
      <x:c r="U1306" t="n">
        <x:v>1655.6</x:v>
      </x:c>
      <x:c r="V1306" t="n">
        <x:v>2928</x:v>
      </x:c>
      <x:c r="W1306" t="n">
        <x:v>53.6</x:v>
      </x:c>
    </x:row>
    <x:row r="1307">
      <x:c r="A1307" t="str">
        <x:v>PJT_1306</x:v>
      </x:c>
      <x:c r="B1307" t="str">
        <x:v>Continental</x:v>
      </x:c>
      <x:c r="C1307" t="n">
        <x:v>34950</x:v>
      </x:c>
      <x:c r="D1307" t="n">
        <x:v>18</x:v>
      </x:c>
      <x:c r="E1307" t="str">
        <x:v>High</x:v>
      </x:c>
      <x:c r="F1307" t="str">
        <x:v>Mixed-use</x:v>
      </x:c>
      <x:c r="G1307" t="str">
        <x:v>Steel</x:v>
      </x:c>
      <x:c r="H1307" t="str">
        <x:v>Piles</x:v>
      </x:c>
      <x:c r="I1307" t="str">
        <x:v>Soft Clay</x:v>
      </x:c>
      <x:c r="J1307" t="str">
        <x:v>High</x:v>
      </x:c>
      <x:c r="K1307" t="n">
        <x:v>102718050</x:v>
      </x:c>
      <x:c r="L1307" t="n">
        <x:v>1821</x:v>
      </x:c>
      <x:c r="M1307" t="n">
        <x:v>194.5</x:v>
      </x:c>
      <x:c r="N1307" t="n">
        <x:v>24.4</x:v>
      </x:c>
      <x:c r="O1307" t="n">
        <x:v>61.6</x:v>
      </x:c>
      <x:c r="P1307" t="str">
        <x:v>Sunny</x:v>
      </x:c>
      <x:c r="Q1307" t="n">
        <x:v>76</x:v>
      </x:c>
      <x:c r="R1307" t="n">
        <x:v>88.1</x:v>
      </x:c>
      <x:c r="S1307" t="n">
        <x:v>0.1052</x:v>
      </x:c>
      <x:c r="T1307" t="n">
        <x:v>19.4</x:v>
      </x:c>
      <x:c r="U1307" t="n">
        <x:v>1941.7</x:v>
      </x:c>
      <x:c r="V1307" t="n">
        <x:v>2939</x:v>
      </x:c>
      <x:c r="W1307" t="n">
        <x:v>52.1</x:v>
      </x:c>
    </x:row>
    <x:row r="1308">
      <x:c r="A1308" t="str">
        <x:v>PJT_1307</x:v>
      </x:c>
      <x:c r="B1308" t="str">
        <x:v>Humid Subtropical</x:v>
      </x:c>
      <x:c r="C1308" t="n">
        <x:v>19030</x:v>
      </x:c>
      <x:c r="D1308" t="n">
        <x:v>11</x:v>
      </x:c>
      <x:c r="E1308" t="str">
        <x:v>Medium</x:v>
      </x:c>
      <x:c r="F1308" t="str">
        <x:v>Commercial</x:v>
      </x:c>
      <x:c r="G1308" t="str">
        <x:v>Steel</x:v>
      </x:c>
      <x:c r="H1308" t="str">
        <x:v>Raft</x:v>
      </x:c>
      <x:c r="I1308" t="str">
        <x:v>Mixed</x:v>
      </x:c>
      <x:c r="J1308" t="str">
        <x:v>Low</x:v>
      </x:c>
      <x:c r="K1308" t="n">
        <x:v>42360780</x:v>
      </x:c>
      <x:c r="L1308" t="n">
        <x:v>847</x:v>
      </x:c>
      <x:c r="M1308" t="n">
        <x:v>348.2</x:v>
      </x:c>
      <x:c r="N1308" t="n">
        <x:v>25.4</x:v>
      </x:c>
      <x:c r="O1308" t="n">
        <x:v>76.5</x:v>
      </x:c>
      <x:c r="P1308" t="str">
        <x:v>Rainy</x:v>
      </x:c>
      <x:c r="Q1308" t="n">
        <x:v>101</x:v>
      </x:c>
      <x:c r="R1308" t="n">
        <x:v>77.3</x:v>
      </x:c>
      <x:c r="S1308" t="n">
        <x:v>0.0981</x:v>
      </x:c>
      <x:c r="T1308" t="n">
        <x:v>17.8</x:v>
      </x:c>
      <x:c r="U1308" t="n">
        <x:v>1730</x:v>
      </x:c>
      <x:c r="V1308" t="n">
        <x:v>2226</x:v>
      </x:c>
      <x:c r="W1308" t="n">
        <x:v>44.5</x:v>
      </x:c>
    </x:row>
    <x:row r="1309">
      <x:c r="A1309" t="str">
        <x:v>PJT_1308</x:v>
      </x:c>
      <x:c r="B1309" t="str">
        <x:v>Mediterranean</x:v>
      </x:c>
      <x:c r="C1309" t="n">
        <x:v>13480</x:v>
      </x:c>
      <x:c r="D1309" t="n">
        <x:v>11</x:v>
      </x:c>
      <x:c r="E1309" t="str">
        <x:v>Medium</x:v>
      </x:c>
      <x:c r="F1309" t="str">
        <x:v>Commercial</x:v>
      </x:c>
      <x:c r="G1309" t="str">
        <x:v>Steel</x:v>
      </x:c>
      <x:c r="H1309" t="str">
        <x:v>Raft</x:v>
      </x:c>
      <x:c r="I1309" t="str">
        <x:v>Mixed</x:v>
      </x:c>
      <x:c r="J1309" t="str">
        <x:v>High</x:v>
      </x:c>
      <x:c r="K1309" t="n">
        <x:v>34037000</x:v>
      </x:c>
      <x:c r="L1309" t="n">
        <x:v>563</x:v>
      </x:c>
      <x:c r="M1309" t="n">
        <x:v>265.8</x:v>
      </x:c>
      <x:c r="N1309" t="n">
        <x:v>27.3</x:v>
      </x:c>
      <x:c r="O1309" t="n">
        <x:v>49.1</x:v>
      </x:c>
      <x:c r="P1309" t="str">
        <x:v>Sunny</x:v>
      </x:c>
      <x:c r="Q1309" t="n">
        <x:v>66</x:v>
      </x:c>
      <x:c r="R1309" t="n">
        <x:v>72.3</x:v>
      </x:c>
      <x:c r="S1309" t="n">
        <x:v>0.1001</x:v>
      </x:c>
      <x:c r="T1309" t="n">
        <x:v>17</x:v>
      </x:c>
      <x:c r="U1309" t="n">
        <x:v>1225.5</x:v>
      </x:c>
      <x:c r="V1309" t="n">
        <x:v>2525</x:v>
      </x:c>
      <x:c r="W1309" t="n">
        <x:v>41.8</x:v>
      </x:c>
    </x:row>
    <x:row r="1310">
      <x:c r="A1310" t="str">
        <x:v>PJT_1309</x:v>
      </x:c>
      <x:c r="B1310" t="str">
        <x:v>Marine</x:v>
      </x:c>
      <x:c r="C1310" t="n">
        <x:v>24850</x:v>
      </x:c>
      <x:c r="D1310" t="n">
        <x:v>16</x:v>
      </x:c>
      <x:c r="E1310" t="str">
        <x:v>Medium</x:v>
      </x:c>
      <x:c r="F1310" t="str">
        <x:v>Commercial</x:v>
      </x:c>
      <x:c r="G1310" t="str">
        <x:v>Steel</x:v>
      </x:c>
      <x:c r="H1310" t="str">
        <x:v>Piles</x:v>
      </x:c>
      <x:c r="I1310" t="str">
        <x:v>Sand</x:v>
      </x:c>
      <x:c r="J1310" t="str">
        <x:v>Low</x:v>
      </x:c>
      <x:c r="K1310" t="n">
        <x:v>62100150</x:v>
      </x:c>
      <x:c r="L1310" t="n">
        <x:v>1121</x:v>
      </x:c>
      <x:c r="M1310" t="n">
        <x:v>243.7</x:v>
      </x:c>
      <x:c r="N1310" t="n">
        <x:v>18</x:v>
      </x:c>
      <x:c r="O1310" t="n">
        <x:v>63</x:v>
      </x:c>
      <x:c r="P1310" t="str">
        <x:v>Cloudy</x:v>
      </x:c>
      <x:c r="Q1310" t="n">
        <x:v>80</x:v>
      </x:c>
      <x:c r="R1310" t="n">
        <x:v>81.8</x:v>
      </x:c>
      <x:c r="S1310" t="n">
        <x:v>0.0935</x:v>
      </x:c>
      <x:c r="T1310" t="n">
        <x:v>17.4</x:v>
      </x:c>
      <x:c r="U1310" t="n">
        <x:v>1553.1</x:v>
      </x:c>
      <x:c r="V1310" t="n">
        <x:v>2499</x:v>
      </x:c>
      <x:c r="W1310" t="n">
        <x:v>45.1</x:v>
      </x:c>
    </x:row>
    <x:row r="1311">
      <x:c r="A1311" t="str">
        <x:v>PJT_1310</x:v>
      </x:c>
      <x:c r="B1311" t="str">
        <x:v>Humid Subtropical</x:v>
      </x:c>
      <x:c r="C1311" t="n">
        <x:v>13820</x:v>
      </x:c>
      <x:c r="D1311" t="n">
        <x:v>17</x:v>
      </x:c>
      <x:c r="E1311" t="str">
        <x:v>Medium</x:v>
      </x:c>
      <x:c r="F1311" t="str">
        <x:v>Residential</x:v>
      </x:c>
      <x:c r="G1311" t="str">
        <x:v>Shear Wall</x:v>
      </x:c>
      <x:c r="H1311" t="str">
        <x:v>Piles</x:v>
      </x:c>
      <x:c r="I1311" t="str">
        <x:v>Mixed</x:v>
      </x:c>
      <x:c r="J1311" t="str">
        <x:v>High</x:v>
      </x:c>
      <x:c r="K1311" t="n">
        <x:v>24461400</x:v>
      </x:c>
      <x:c r="L1311" t="n">
        <x:v>520</x:v>
      </x:c>
      <x:c r="M1311" t="n">
        <x:v>347.3</x:v>
      </x:c>
      <x:c r="N1311" t="n">
        <x:v>30.5</x:v>
      </x:c>
      <x:c r="O1311" t="n">
        <x:v>66.3</x:v>
      </x:c>
      <x:c r="P1311" t="str">
        <x:v>Sunny</x:v>
      </x:c>
      <x:c r="Q1311" t="n">
        <x:v>83</x:v>
      </x:c>
      <x:c r="R1311" t="n">
        <x:v>76.6</x:v>
      </x:c>
      <x:c r="S1311" t="n">
        <x:v>0.084</x:v>
      </x:c>
      <x:c r="T1311" t="n">
        <x:v>12.9</x:v>
      </x:c>
      <x:c r="U1311" t="n">
        <x:v>812.9</x:v>
      </x:c>
      <x:c r="V1311" t="n">
        <x:v>1770</x:v>
      </x:c>
      <x:c r="W1311" t="n">
        <x:v>37.6</x:v>
      </x:c>
    </x:row>
    <x:row r="1312">
      <x:c r="A1312" t="str">
        <x:v>PJT_1311</x:v>
      </x:c>
      <x:c r="B1312" t="str">
        <x:v>Continental</x:v>
      </x:c>
      <x:c r="C1312" t="n">
        <x:v>12470</x:v>
      </x:c>
      <x:c r="D1312" t="n">
        <x:v>13</x:v>
      </x:c>
      <x:c r="E1312" t="str">
        <x:v>Low</x:v>
      </x:c>
      <x:c r="F1312" t="str">
        <x:v>Residential</x:v>
      </x:c>
      <x:c r="G1312" t="str">
        <x:v>Shear Wall</x:v>
      </x:c>
      <x:c r="H1312" t="str">
        <x:v>Raft</x:v>
      </x:c>
      <x:c r="I1312" t="str">
        <x:v>Mixed</x:v>
      </x:c>
      <x:c r="J1312" t="str">
        <x:v>High</x:v>
      </x:c>
      <x:c r="K1312" t="n">
        <x:v>18243610</x:v>
      </x:c>
      <x:c r="L1312" t="n">
        <x:v>383</x:v>
      </x:c>
      <x:c r="M1312" t="n">
        <x:v>264.9</x:v>
      </x:c>
      <x:c r="N1312" t="n">
        <x:v>25.5</x:v>
      </x:c>
      <x:c r="O1312" t="n">
        <x:v>47.7</x:v>
      </x:c>
      <x:c r="P1312" t="str">
        <x:v>Sunny</x:v>
      </x:c>
      <x:c r="Q1312" t="n">
        <x:v>83</x:v>
      </x:c>
      <x:c r="R1312" t="n">
        <x:v>69.9</x:v>
      </x:c>
      <x:c r="S1312" t="n">
        <x:v>0.074</x:v>
      </x:c>
      <x:c r="T1312" t="n">
        <x:v>11.4</x:v>
      </x:c>
      <x:c r="U1312" t="n">
        <x:v>959.2</x:v>
      </x:c>
      <x:c r="V1312" t="n">
        <x:v>1463</x:v>
      </x:c>
      <x:c r="W1312" t="n">
        <x:v>30.7</x:v>
      </x:c>
    </x:row>
    <x:row r="1313">
      <x:c r="A1313" t="str">
        <x:v>PJT_1312</x:v>
      </x:c>
      <x:c r="B1313" t="str">
        <x:v>Mediterranean</x:v>
      </x:c>
      <x:c r="C1313" t="n">
        <x:v>20260</x:v>
      </x:c>
      <x:c r="D1313" t="n">
        <x:v>15</x:v>
      </x:c>
      <x:c r="E1313" t="str">
        <x:v>High</x:v>
      </x:c>
      <x:c r="F1313" t="str">
        <x:v>Mixed-use</x:v>
      </x:c>
      <x:c r="G1313" t="str">
        <x:v>Shear Wall</x:v>
      </x:c>
      <x:c r="H1313" t="str">
        <x:v>Piles</x:v>
      </x:c>
      <x:c r="I1313" t="str">
        <x:v>Sand</x:v>
      </x:c>
      <x:c r="J1313" t="str">
        <x:v>High</x:v>
      </x:c>
      <x:c r="K1313" t="n">
        <x:v>56383580</x:v>
      </x:c>
      <x:c r="L1313" t="n">
        <x:v>1175</x:v>
      </x:c>
      <x:c r="M1313" t="n">
        <x:v>351.5</x:v>
      </x:c>
      <x:c r="N1313" t="n">
        <x:v>-0.6</x:v>
      </x:c>
      <x:c r="O1313" t="n">
        <x:v>72</x:v>
      </x:c>
      <x:c r="P1313" t="str">
        <x:v>Snowy</x:v>
      </x:c>
      <x:c r="Q1313" t="n">
        <x:v>90</x:v>
      </x:c>
      <x:c r="R1313" t="n">
        <x:v>89.2</x:v>
      </x:c>
      <x:c r="S1313" t="n">
        <x:v>0.1074</x:v>
      </x:c>
      <x:c r="T1313" t="n">
        <x:v>20.3</x:v>
      </x:c>
      <x:c r="U1313" t="n">
        <x:v>1350.7</x:v>
      </x:c>
      <x:c r="V1313" t="n">
        <x:v>2783</x:v>
      </x:c>
      <x:c r="W1313" t="n">
        <x:v>58</x:v>
      </x:c>
    </x:row>
    <x:row r="1314">
      <x:c r="A1314" t="str">
        <x:v>PJT_1313</x:v>
      </x:c>
      <x:c r="B1314" t="str">
        <x:v>Continental</x:v>
      </x:c>
      <x:c r="C1314" t="n">
        <x:v>26390</x:v>
      </x:c>
      <x:c r="D1314" t="n">
        <x:v>22</x:v>
      </x:c>
      <x:c r="E1314" t="str">
        <x:v>High</x:v>
      </x:c>
      <x:c r="F1314" t="str">
        <x:v>Mixed-use</x:v>
      </x:c>
      <x:c r="G1314" t="str">
        <x:v>Steel</x:v>
      </x:c>
      <x:c r="H1314" t="str">
        <x:v>Piles</x:v>
      </x:c>
      <x:c r="I1314" t="str">
        <x:v>Soft Clay</x:v>
      </x:c>
      <x:c r="J1314" t="str">
        <x:v>Low</x:v>
      </x:c>
      <x:c r="K1314" t="n">
        <x:v>73760050</x:v>
      </x:c>
      <x:c r="L1314" t="n">
        <x:v>1462</x:v>
      </x:c>
      <x:c r="M1314" t="n">
        <x:v>224.7</x:v>
      </x:c>
      <x:c r="N1314" t="n">
        <x:v>7</x:v>
      </x:c>
      <x:c r="O1314" t="n">
        <x:v>49.6</x:v>
      </x:c>
      <x:c r="P1314" t="str">
        <x:v>Sunny</x:v>
      </x:c>
      <x:c r="Q1314" t="n">
        <x:v>93</x:v>
      </x:c>
      <x:c r="R1314" t="n">
        <x:v>92</x:v>
      </x:c>
      <x:c r="S1314" t="n">
        <x:v>0.107</x:v>
      </x:c>
      <x:c r="T1314" t="n">
        <x:v>21.1</x:v>
      </x:c>
      <x:c r="U1314" t="n">
        <x:v>1199.5</x:v>
      </x:c>
      <x:c r="V1314" t="n">
        <x:v>2795</x:v>
      </x:c>
      <x:c r="W1314" t="n">
        <x:v>55.4</x:v>
      </x:c>
    </x:row>
    <x:row r="1315">
      <x:c r="A1315" t="str">
        <x:v>PJT_1314</x:v>
      </x:c>
      <x:c r="B1315" t="str">
        <x:v>Humid Subtropical</x:v>
      </x:c>
      <x:c r="C1315" t="n">
        <x:v>16550</x:v>
      </x:c>
      <x:c r="D1315" t="n">
        <x:v>8</x:v>
      </x:c>
      <x:c r="E1315" t="str">
        <x:v>Medium</x:v>
      </x:c>
      <x:c r="F1315" t="str">
        <x:v>Commercial</x:v>
      </x:c>
      <x:c r="G1315" t="str">
        <x:v>Steel</x:v>
      </x:c>
      <x:c r="H1315" t="str">
        <x:v>Raft</x:v>
      </x:c>
      <x:c r="I1315" t="str">
        <x:v>Mixed</x:v>
      </x:c>
      <x:c r="J1315" t="str">
        <x:v>High</x:v>
      </x:c>
      <x:c r="K1315" t="n">
        <x:v>39637250</x:v>
      </x:c>
      <x:c r="L1315" t="n">
        <x:v>672</x:v>
      </x:c>
      <x:c r="M1315" t="n">
        <x:v>330.3</x:v>
      </x:c>
      <x:c r="N1315" t="n">
        <x:v>27.9</x:v>
      </x:c>
      <x:c r="O1315" t="n">
        <x:v>63.6</x:v>
      </x:c>
      <x:c r="P1315" t="str">
        <x:v>Sunny</x:v>
      </x:c>
      <x:c r="Q1315" t="n">
        <x:v>107</x:v>
      </x:c>
      <x:c r="R1315" t="n">
        <x:v>70.8</x:v>
      </x:c>
      <x:c r="S1315" t="n">
        <x:v>0.0981</x:v>
      </x:c>
      <x:c r="T1315" t="n">
        <x:v>17.5</x:v>
      </x:c>
      <x:c r="U1315" t="n">
        <x:v>2068.8</x:v>
      </x:c>
      <x:c r="V1315" t="n">
        <x:v>2395</x:v>
      </x:c>
      <x:c r="W1315" t="n">
        <x:v>40.6</x:v>
      </x:c>
    </x:row>
    <x:row r="1316">
      <x:c r="A1316" t="str">
        <x:v>PJT_1315</x:v>
      </x:c>
      <x:c r="B1316" t="str">
        <x:v>Humid Subtropical</x:v>
      </x:c>
      <x:c r="C1316" t="n">
        <x:v>11440</x:v>
      </x:c>
      <x:c r="D1316" t="n">
        <x:v>13</x:v>
      </x:c>
      <x:c r="E1316" t="str">
        <x:v>Low</x:v>
      </x:c>
      <x:c r="F1316" t="str">
        <x:v>Residential</x:v>
      </x:c>
      <x:c r="G1316" t="str">
        <x:v>RC Frame</x:v>
      </x:c>
      <x:c r="H1316" t="str">
        <x:v>Raft</x:v>
      </x:c>
      <x:c r="I1316" t="str">
        <x:v>Rock</x:v>
      </x:c>
      <x:c r="J1316" t="str">
        <x:v>Low</x:v>
      </x:c>
      <x:c r="K1316" t="n">
        <x:v>14654640</x:v>
      </x:c>
      <x:c r="L1316" t="n">
        <x:v>391</x:v>
      </x:c>
      <x:c r="M1316" t="n">
        <x:v>588</x:v>
      </x:c>
      <x:c r="N1316" t="n">
        <x:v>24.7</x:v>
      </x:c>
      <x:c r="O1316" t="n">
        <x:v>82.1</x:v>
      </x:c>
      <x:c r="P1316" t="str">
        <x:v>Stormy</x:v>
      </x:c>
      <x:c r="Q1316" t="n">
        <x:v>78</x:v>
      </x:c>
      <x:c r="R1316" t="n">
        <x:v>65.9</x:v>
      </x:c>
      <x:c r="S1316" t="n">
        <x:v>0.071</x:v>
      </x:c>
      <x:c r="T1316" t="n">
        <x:v>11.8</x:v>
      </x:c>
      <x:c r="U1316" t="n">
        <x:v>880</x:v>
      </x:c>
      <x:c r="V1316" t="n">
        <x:v>1281</x:v>
      </x:c>
      <x:c r="W1316" t="n">
        <x:v>34.2</x:v>
      </x:c>
    </x:row>
    <x:row r="1317">
      <x:c r="A1317" t="str">
        <x:v>PJT_1316</x:v>
      </x:c>
      <x:c r="B1317" t="str">
        <x:v>Marine</x:v>
      </x:c>
      <x:c r="C1317" t="n">
        <x:v>33100</x:v>
      </x:c>
      <x:c r="D1317" t="n">
        <x:v>20</x:v>
      </x:c>
      <x:c r="E1317" t="str">
        <x:v>High</x:v>
      </x:c>
      <x:c r="F1317" t="str">
        <x:v>Commercial</x:v>
      </x:c>
      <x:c r="G1317" t="str">
        <x:v>Steel</x:v>
      </x:c>
      <x:c r="H1317" t="str">
        <x:v>Piles</x:v>
      </x:c>
      <x:c r="I1317" t="str">
        <x:v>Soft Clay</x:v>
      </x:c>
      <x:c r="J1317" t="str">
        <x:v>High</x:v>
      </x:c>
      <x:c r="K1317" t="n">
        <x:v>95228700</x:v>
      </x:c>
      <x:c r="L1317" t="n">
        <x:v>1615</x:v>
      </x:c>
      <x:c r="M1317" t="n">
        <x:v>203.7</x:v>
      </x:c>
      <x:c r="N1317" t="n">
        <x:v>14.7</x:v>
      </x:c>
      <x:c r="O1317" t="n">
        <x:v>63.7</x:v>
      </x:c>
      <x:c r="P1317" t="str">
        <x:v>Sunny</x:v>
      </x:c>
      <x:c r="Q1317" t="n">
        <x:v>98</x:v>
      </x:c>
      <x:c r="R1317" t="n">
        <x:v>89.8</x:v>
      </x:c>
      <x:c r="S1317" t="n">
        <x:v>0.0987</x:v>
      </x:c>
      <x:c r="T1317" t="n">
        <x:v>19.5</x:v>
      </x:c>
      <x:c r="U1317" t="n">
        <x:v>1655</x:v>
      </x:c>
      <x:c r="V1317" t="n">
        <x:v>2877</x:v>
      </x:c>
      <x:c r="W1317" t="n">
        <x:v>48.8</x:v>
      </x:c>
    </x:row>
    <x:row r="1318">
      <x:c r="A1318" t="str">
        <x:v>PJT_1317</x:v>
      </x:c>
      <x:c r="B1318" t="str">
        <x:v>Humid Subtropical</x:v>
      </x:c>
      <x:c r="C1318" t="n">
        <x:v>25160</x:v>
      </x:c>
      <x:c r="D1318" t="n">
        <x:v>20</x:v>
      </x:c>
      <x:c r="E1318" t="str">
        <x:v>High</x:v>
      </x:c>
      <x:c r="F1318" t="str">
        <x:v>Mixed-use</x:v>
      </x:c>
      <x:c r="G1318" t="str">
        <x:v>Steel</x:v>
      </x:c>
      <x:c r="H1318" t="str">
        <x:v>Piles</x:v>
      </x:c>
      <x:c r="I1318" t="str">
        <x:v>Sand</x:v>
      </x:c>
      <x:c r="J1318" t="str">
        <x:v>Medium</x:v>
      </x:c>
      <x:c r="K1318" t="n">
        <x:v>72989160</x:v>
      </x:c>
      <x:c r="L1318" t="n">
        <x:v>1459</x:v>
      </x:c>
      <x:c r="M1318" t="n">
        <x:v>333.4</x:v>
      </x:c>
      <x:c r="N1318" t="n">
        <x:v>23.6</x:v>
      </x:c>
      <x:c r="O1318" t="n">
        <x:v>82.7</x:v>
      </x:c>
      <x:c r="P1318" t="str">
        <x:v>Stormy</x:v>
      </x:c>
      <x:c r="Q1318" t="n">
        <x:v>101</x:v>
      </x:c>
      <x:c r="R1318" t="n">
        <x:v>83.5</x:v>
      </x:c>
      <x:c r="S1318" t="n">
        <x:v>0.1073</x:v>
      </x:c>
      <x:c r="T1318" t="n">
        <x:v>19.7</x:v>
      </x:c>
      <x:c r="U1318" t="n">
        <x:v>1258</x:v>
      </x:c>
      <x:c r="V1318" t="n">
        <x:v>2901</x:v>
      </x:c>
      <x:c r="W1318" t="n">
        <x:v>58</x:v>
      </x:c>
    </x:row>
    <x:row r="1319">
      <x:c r="A1319" t="str">
        <x:v>PJT_1318</x:v>
      </x:c>
      <x:c r="B1319" t="str">
        <x:v>Mediterranean</x:v>
      </x:c>
      <x:c r="C1319" t="n">
        <x:v>21020</x:v>
      </x:c>
      <x:c r="D1319" t="n">
        <x:v>13</x:v>
      </x:c>
      <x:c r="E1319" t="str">
        <x:v>Medium</x:v>
      </x:c>
      <x:c r="F1319" t="str">
        <x:v>Commercial</x:v>
      </x:c>
      <x:c r="G1319" t="str">
        <x:v>Steel</x:v>
      </x:c>
      <x:c r="H1319" t="str">
        <x:v>Raft</x:v>
      </x:c>
      <x:c r="I1319" t="str">
        <x:v>Rock</x:v>
      </x:c>
      <x:c r="J1319" t="str">
        <x:v>Medium</x:v>
      </x:c>
      <x:c r="K1319" t="n">
        <x:v>51204720</x:v>
      </x:c>
      <x:c r="L1319" t="n">
        <x:v>902</x:v>
      </x:c>
      <x:c r="M1319" t="n">
        <x:v>713.5</x:v>
      </x:c>
      <x:c r="N1319" t="n">
        <x:v>18</x:v>
      </x:c>
      <x:c r="O1319" t="n">
        <x:v>67.5</x:v>
      </x:c>
      <x:c r="P1319" t="str">
        <x:v>Cloudy</x:v>
      </x:c>
      <x:c r="Q1319" t="n">
        <x:v>79</x:v>
      </x:c>
      <x:c r="R1319" t="n">
        <x:v>79.9</x:v>
      </x:c>
      <x:c r="S1319" t="n">
        <x:v>0.098</x:v>
      </x:c>
      <x:c r="T1319" t="n">
        <x:v>16.7</x:v>
      </x:c>
      <x:c r="U1319" t="n">
        <x:v>1616.9</x:v>
      </x:c>
      <x:c r="V1319" t="n">
        <x:v>2436</x:v>
      </x:c>
      <x:c r="W1319" t="n">
        <x:v>42.9</x:v>
      </x:c>
    </x:row>
    <x:row r="1320">
      <x:c r="A1320" t="str">
        <x:v>PJT_1319</x:v>
      </x:c>
      <x:c r="B1320" t="str">
        <x:v>Marine</x:v>
      </x:c>
      <x:c r="C1320" t="n">
        <x:v>38490</x:v>
      </x:c>
      <x:c r="D1320" t="n">
        <x:v>21</x:v>
      </x:c>
      <x:c r="E1320" t="str">
        <x:v>High</x:v>
      </x:c>
      <x:c r="F1320" t="str">
        <x:v>Mixed-use</x:v>
      </x:c>
      <x:c r="G1320" t="str">
        <x:v>Steel</x:v>
      </x:c>
      <x:c r="H1320" t="str">
        <x:v>Piles</x:v>
      </x:c>
      <x:c r="I1320" t="str">
        <x:v>Rock</x:v>
      </x:c>
      <x:c r="J1320" t="str">
        <x:v>Low</x:v>
      </x:c>
      <x:c r="K1320" t="n">
        <x:v>109157640</x:v>
      </x:c>
      <x:c r="L1320" t="n">
        <x:v>2232</x:v>
      </x:c>
      <x:c r="M1320" t="n">
        <x:v>743.3</x:v>
      </x:c>
      <x:c r="N1320" t="n">
        <x:v>12.1</x:v>
      </x:c>
      <x:c r="O1320" t="n">
        <x:v>80.3</x:v>
      </x:c>
      <x:c r="P1320" t="str">
        <x:v>Rainy</x:v>
      </x:c>
      <x:c r="Q1320" t="n">
        <x:v>84</x:v>
      </x:c>
      <x:c r="R1320" t="n">
        <x:v>92</x:v>
      </x:c>
      <x:c r="S1320" t="n">
        <x:v>0.1092</x:v>
      </x:c>
      <x:c r="T1320" t="n">
        <x:v>19.3</x:v>
      </x:c>
      <x:c r="U1320" t="n">
        <x:v>1832.9</x:v>
      </x:c>
      <x:c r="V1320" t="n">
        <x:v>2836</x:v>
      </x:c>
      <x:c r="W1320" t="n">
        <x:v>58</x:v>
      </x:c>
    </x:row>
    <x:row r="1321">
      <x:c r="A1321" t="str">
        <x:v>PJT_1320</x:v>
      </x:c>
      <x:c r="B1321" t="str">
        <x:v>Mediterranean</x:v>
      </x:c>
      <x:c r="C1321" t="n">
        <x:v>7520</x:v>
      </x:c>
      <x:c r="D1321" t="n">
        <x:v>8</x:v>
      </x:c>
      <x:c r="E1321" t="str">
        <x:v>Low</x:v>
      </x:c>
      <x:c r="F1321" t="str">
        <x:v>Residential</x:v>
      </x:c>
      <x:c r="G1321" t="str">
        <x:v>RC Frame</x:v>
      </x:c>
      <x:c r="H1321" t="str">
        <x:v>Raft</x:v>
      </x:c>
      <x:c r="I1321" t="str">
        <x:v>Mixed</x:v>
      </x:c>
      <x:c r="J1321" t="str">
        <x:v>High</x:v>
      </x:c>
      <x:c r="K1321" t="n">
        <x:v>10746080</x:v>
      </x:c>
      <x:c r="L1321" t="n">
        <x:v>228</x:v>
      </x:c>
      <x:c r="M1321" t="n">
        <x:v>341.2</x:v>
      </x:c>
      <x:c r="N1321" t="n">
        <x:v>22.1</x:v>
      </x:c>
      <x:c r="O1321" t="n">
        <x:v>67.9</x:v>
      </x:c>
      <x:c r="P1321" t="str">
        <x:v>Cloudy</x:v>
      </x:c>
      <x:c r="Q1321" t="n">
        <x:v>74</x:v>
      </x:c>
      <x:c r="R1321" t="n">
        <x:v>66.9</x:v>
      </x:c>
      <x:c r="S1321" t="n">
        <x:v>0.0702</x:v>
      </x:c>
      <x:c r="T1321" t="n">
        <x:v>12.1</x:v>
      </x:c>
      <x:c r="U1321" t="n">
        <x:v>940</x:v>
      </x:c>
      <x:c r="V1321" t="n">
        <x:v>1429</x:v>
      </x:c>
      <x:c r="W1321" t="n">
        <x:v>30.3</x:v>
      </x:c>
    </x:row>
    <x:row r="1322">
      <x:c r="A1322" t="str">
        <x:v>PJT_1321</x:v>
      </x:c>
      <x:c r="B1322" t="str">
        <x:v>Humid Subtropical</x:v>
      </x:c>
      <x:c r="C1322" t="n">
        <x:v>14220</x:v>
      </x:c>
      <x:c r="D1322" t="n">
        <x:v>11</x:v>
      </x:c>
      <x:c r="E1322" t="str">
        <x:v>Medium</x:v>
      </x:c>
      <x:c r="F1322" t="str">
        <x:v>Commercial</x:v>
      </x:c>
      <x:c r="G1322" t="str">
        <x:v>RC Frame</x:v>
      </x:c>
      <x:c r="H1322" t="str">
        <x:v>Raft</x:v>
      </x:c>
      <x:c r="I1322" t="str">
        <x:v>Mixed</x:v>
      </x:c>
      <x:c r="J1322" t="str">
        <x:v>Medium</x:v>
      </x:c>
      <x:c r="K1322" t="n">
        <x:v>32649120</x:v>
      </x:c>
      <x:c r="L1322" t="n">
        <x:v>543</x:v>
      </x:c>
      <x:c r="M1322" t="n">
        <x:v>295.1</x:v>
      </x:c>
      <x:c r="N1322" t="n">
        <x:v>26</x:v>
      </x:c>
      <x:c r="O1322" t="n">
        <x:v>71.3</x:v>
      </x:c>
      <x:c r="P1322" t="str">
        <x:v>Sunny</x:v>
      </x:c>
      <x:c r="Q1322" t="n">
        <x:v>80</x:v>
      </x:c>
      <x:c r="R1322" t="n">
        <x:v>77.8</x:v>
      </x:c>
      <x:c r="S1322" t="n">
        <x:v>0.0901</x:v>
      </x:c>
      <x:c r="T1322" t="n">
        <x:v>16.7</x:v>
      </x:c>
      <x:c r="U1322" t="n">
        <x:v>1292.7</x:v>
      </x:c>
      <x:c r="V1322" t="n">
        <x:v>2296</x:v>
      </x:c>
      <x:c r="W1322" t="n">
        <x:v>38.2</x:v>
      </x:c>
    </x:row>
    <x:row r="1323">
      <x:c r="A1323" t="str">
        <x:v>PJT_1322</x:v>
      </x:c>
      <x:c r="B1323" t="str">
        <x:v>Mediterranean</x:v>
      </x:c>
      <x:c r="C1323" t="n">
        <x:v>27210</x:v>
      </x:c>
      <x:c r="D1323" t="n">
        <x:v>23</x:v>
      </x:c>
      <x:c r="E1323" t="str">
        <x:v>High</x:v>
      </x:c>
      <x:c r="F1323" t="str">
        <x:v>Commercial</x:v>
      </x:c>
      <x:c r="G1323" t="str">
        <x:v>Steel</x:v>
      </x:c>
      <x:c r="H1323" t="str">
        <x:v>Piles</x:v>
      </x:c>
      <x:c r="I1323" t="str">
        <x:v>Rock</x:v>
      </x:c>
      <x:c r="J1323" t="str">
        <x:v>High</x:v>
      </x:c>
      <x:c r="K1323" t="n">
        <x:v>76922670</x:v>
      </x:c>
      <x:c r="L1323" t="n">
        <x:v>1469</x:v>
      </x:c>
      <x:c r="M1323" t="n">
        <x:v>767.5</x:v>
      </x:c>
      <x:c r="N1323" t="n">
        <x:v>12.8</x:v>
      </x:c>
      <x:c r="O1323" t="n">
        <x:v>78.4</x:v>
      </x:c>
      <x:c r="P1323" t="str">
        <x:v>Stormy</x:v>
      </x:c>
      <x:c r="Q1323" t="n">
        <x:v>82</x:v>
      </x:c>
      <x:c r="R1323" t="n">
        <x:v>83.5</x:v>
      </x:c>
      <x:c r="S1323" t="n">
        <x:v>0.1005</x:v>
      </x:c>
      <x:c r="T1323" t="n">
        <x:v>19.3</x:v>
      </x:c>
      <x:c r="U1323" t="n">
        <x:v>1183</x:v>
      </x:c>
      <x:c r="V1323" t="n">
        <x:v>2827</x:v>
      </x:c>
      <x:c r="W1323" t="n">
        <x:v>54</x:v>
      </x:c>
    </x:row>
    <x:row r="1324">
      <x:c r="A1324" t="str">
        <x:v>PJT_1323</x:v>
      </x:c>
      <x:c r="B1324" t="str">
        <x:v>Marine</x:v>
      </x:c>
      <x:c r="C1324" t="n">
        <x:v>16730</x:v>
      </x:c>
      <x:c r="D1324" t="n">
        <x:v>16</x:v>
      </x:c>
      <x:c r="E1324" t="str">
        <x:v>Medium</x:v>
      </x:c>
      <x:c r="F1324" t="str">
        <x:v>Residential</x:v>
      </x:c>
      <x:c r="G1324" t="str">
        <x:v>Shear Wall</x:v>
      </x:c>
      <x:c r="H1324" t="str">
        <x:v>Piles</x:v>
      </x:c>
      <x:c r="I1324" t="str">
        <x:v>Mixed</x:v>
      </x:c>
      <x:c r="J1324" t="str">
        <x:v>Medium</x:v>
      </x:c>
      <x:c r="K1324" t="n">
        <x:v>29076740</x:v>
      </x:c>
      <x:c r="L1324" t="n">
        <x:v>718</x:v>
      </x:c>
      <x:c r="M1324" t="n">
        <x:v>424.7</x:v>
      </x:c>
      <x:c r="N1324" t="n">
        <x:v>15.2</x:v>
      </x:c>
      <x:c r="O1324" t="n">
        <x:v>81.9</x:v>
      </x:c>
      <x:c r="P1324" t="str">
        <x:v>Rainy</x:v>
      </x:c>
      <x:c r="Q1324" t="n">
        <x:v>80</x:v>
      </x:c>
      <x:c r="R1324" t="n">
        <x:v>74.7</x:v>
      </x:c>
      <x:c r="S1324" t="n">
        <x:v>0.0802</x:v>
      </x:c>
      <x:c r="T1324" t="n">
        <x:v>13.3</x:v>
      </x:c>
      <x:c r="U1324" t="n">
        <x:v>1045.6</x:v>
      </x:c>
      <x:c r="V1324" t="n">
        <x:v>1738</x:v>
      </x:c>
      <x:c r="W1324" t="n">
        <x:v>42.9</x:v>
      </x:c>
    </x:row>
    <x:row r="1325">
      <x:c r="A1325" t="str">
        <x:v>PJT_1324</x:v>
      </x:c>
      <x:c r="B1325" t="str">
        <x:v>Marine</x:v>
      </x:c>
      <x:c r="C1325" t="n">
        <x:v>9220</x:v>
      </x:c>
      <x:c r="D1325" t="n">
        <x:v>8</x:v>
      </x:c>
      <x:c r="E1325" t="str">
        <x:v>Low</x:v>
      </x:c>
      <x:c r="F1325" t="str">
        <x:v>Residential</x:v>
      </x:c>
      <x:c r="G1325" t="str">
        <x:v>RC Frame</x:v>
      </x:c>
      <x:c r="H1325" t="str">
        <x:v>Raft</x:v>
      </x:c>
      <x:c r="I1325" t="str">
        <x:v>Rock</x:v>
      </x:c>
      <x:c r="J1325" t="str">
        <x:v>Low</x:v>
      </x:c>
      <x:c r="K1325" t="n">
        <x:v>12649840</x:v>
      </x:c>
      <x:c r="L1325" t="n">
        <x:v>295</x:v>
      </x:c>
      <x:c r="M1325" t="n">
        <x:v>722</x:v>
      </x:c>
      <x:c r="N1325" t="n">
        <x:v>11</x:v>
      </x:c>
      <x:c r="O1325" t="n">
        <x:v>91.7</x:v>
      </x:c>
      <x:c r="P1325" t="str">
        <x:v>Rainy</x:v>
      </x:c>
      <x:c r="Q1325" t="n">
        <x:v>88</x:v>
      </x:c>
      <x:c r="R1325" t="n">
        <x:v>62.5</x:v>
      </x:c>
      <x:c r="S1325" t="n">
        <x:v>0.0703</x:v>
      </x:c>
      <x:c r="T1325" t="n">
        <x:v>11.6</x:v>
      </x:c>
      <x:c r="U1325" t="n">
        <x:v>1152.5</x:v>
      </x:c>
      <x:c r="V1325" t="n">
        <x:v>1372</x:v>
      </x:c>
      <x:c r="W1325" t="n">
        <x:v>32</x:v>
      </x:c>
    </x:row>
    <x:row r="1326">
      <x:c r="A1326" t="str">
        <x:v>PJT_1325</x:v>
      </x:c>
      <x:c r="B1326" t="str">
        <x:v>Continental</x:v>
      </x:c>
      <x:c r="C1326" t="n">
        <x:v>13890</x:v>
      </x:c>
      <x:c r="D1326" t="n">
        <x:v>13</x:v>
      </x:c>
      <x:c r="E1326" t="str">
        <x:v>Medium</x:v>
      </x:c>
      <x:c r="F1326" t="str">
        <x:v>Commercial</x:v>
      </x:c>
      <x:c r="G1326" t="str">
        <x:v>Steel</x:v>
      </x:c>
      <x:c r="H1326" t="str">
        <x:v>Raft</x:v>
      </x:c>
      <x:c r="I1326" t="str">
        <x:v>Mixed</x:v>
      </x:c>
      <x:c r="J1326" t="str">
        <x:v>High</x:v>
      </x:c>
      <x:c r="K1326" t="n">
        <x:v>32210910</x:v>
      </x:c>
      <x:c r="L1326" t="n">
        <x:v>599</x:v>
      </x:c>
      <x:c r="M1326" t="n">
        <x:v>335.8</x:v>
      </x:c>
      <x:c r="N1326" t="n">
        <x:v>16</x:v>
      </x:c>
      <x:c r="O1326" t="n">
        <x:v>61</x:v>
      </x:c>
      <x:c r="P1326" t="str">
        <x:v>Cloudy</x:v>
      </x:c>
      <x:c r="Q1326" t="n">
        <x:v>83</x:v>
      </x:c>
      <x:c r="R1326" t="n">
        <x:v>75.6</x:v>
      </x:c>
      <x:c r="S1326" t="n">
        <x:v>0.0951</x:v>
      </x:c>
      <x:c r="T1326" t="n">
        <x:v>17.7</x:v>
      </x:c>
      <x:c r="U1326" t="n">
        <x:v>1068.5</x:v>
      </x:c>
      <x:c r="V1326" t="n">
        <x:v>2319</x:v>
      </x:c>
      <x:c r="W1326" t="n">
        <x:v>43.1</x:v>
      </x:c>
    </x:row>
    <x:row r="1327">
      <x:c r="A1327" t="str">
        <x:v>PJT_1326</x:v>
      </x:c>
      <x:c r="B1327" t="str">
        <x:v>Continental</x:v>
      </x:c>
      <x:c r="C1327" t="n">
        <x:v>27310</x:v>
      </x:c>
      <x:c r="D1327" t="n">
        <x:v>27</x:v>
      </x:c>
      <x:c r="E1327" t="str">
        <x:v>High</x:v>
      </x:c>
      <x:c r="F1327" t="str">
        <x:v>Mixed-use</x:v>
      </x:c>
      <x:c r="G1327" t="str">
        <x:v>Steel</x:v>
      </x:c>
      <x:c r="H1327" t="str">
        <x:v>Piles</x:v>
      </x:c>
      <x:c r="I1327" t="str">
        <x:v>Mixed</x:v>
      </x:c>
      <x:c r="J1327" t="str">
        <x:v>Medium</x:v>
      </x:c>
      <x:c r="K1327" t="n">
        <x:v>77150750</x:v>
      </x:c>
      <x:c r="L1327" t="n">
        <x:v>1584</x:v>
      </x:c>
      <x:c r="M1327" t="n">
        <x:v>419.3</x:v>
      </x:c>
      <x:c r="N1327" t="n">
        <x:v>17.7</x:v>
      </x:c>
      <x:c r="O1327" t="n">
        <x:v>80</x:v>
      </x:c>
      <x:c r="P1327" t="str">
        <x:v>Stormy</x:v>
      </x:c>
      <x:c r="Q1327" t="n">
        <x:v>78</x:v>
      </x:c>
      <x:c r="R1327" t="n">
        <x:v>92</x:v>
      </x:c>
      <x:c r="S1327" t="n">
        <x:v>0.1064</x:v>
      </x:c>
      <x:c r="T1327" t="n">
        <x:v>20.6</x:v>
      </x:c>
      <x:c r="U1327" t="n">
        <x:v>1011.5</x:v>
      </x:c>
      <x:c r="V1327" t="n">
        <x:v>2825</x:v>
      </x:c>
      <x:c r="W1327" t="n">
        <x:v>58</x:v>
      </x:c>
    </x:row>
    <x:row r="1328">
      <x:c r="A1328" t="str">
        <x:v>PJT_1327</x:v>
      </x:c>
      <x:c r="B1328" t="str">
        <x:v>Mediterranean</x:v>
      </x:c>
      <x:c r="C1328" t="n">
        <x:v>5020</x:v>
      </x:c>
      <x:c r="D1328" t="n">
        <x:v>4</x:v>
      </x:c>
      <x:c r="E1328" t="str">
        <x:v>Low</x:v>
      </x:c>
      <x:c r="F1328" t="str">
        <x:v>Residential</x:v>
      </x:c>
      <x:c r="G1328" t="str">
        <x:v>RC Frame</x:v>
      </x:c>
      <x:c r="H1328" t="str">
        <x:v>Raft</x:v>
      </x:c>
      <x:c r="I1328" t="str">
        <x:v>Mixed</x:v>
      </x:c>
      <x:c r="J1328" t="str">
        <x:v>High</x:v>
      </x:c>
      <x:c r="K1328" t="n">
        <x:v>7314140</x:v>
      </x:c>
      <x:c r="L1328" t="n">
        <x:v>180</x:v>
      </x:c>
      <x:c r="M1328" t="n">
        <x:v>332.8</x:v>
      </x:c>
      <x:c r="N1328" t="n">
        <x:v>15.7</x:v>
      </x:c>
      <x:c r="O1328" t="n">
        <x:v>82.9</x:v>
      </x:c>
      <x:c r="P1328" t="str">
        <x:v>Rainy</x:v>
      </x:c>
      <x:c r="Q1328" t="n">
        <x:v>73</x:v>
      </x:c>
      <x:c r="R1328" t="n">
        <x:v>62.8</x:v>
      </x:c>
      <x:c r="S1328" t="n">
        <x:v>0.0745</x:v>
      </x:c>
      <x:c r="T1328" t="n">
        <x:v>12</x:v>
      </x:c>
      <x:c r="U1328" t="n">
        <x:v>1255</x:v>
      </x:c>
      <x:c r="V1328" t="n">
        <x:v>1457</x:v>
      </x:c>
      <x:c r="W1328" t="n">
        <x:v>33.4</x:v>
      </x:c>
    </x:row>
    <x:row r="1329">
      <x:c r="A1329" t="str">
        <x:v>PJT_1328</x:v>
      </x:c>
      <x:c r="B1329" t="str">
        <x:v>Continental</x:v>
      </x:c>
      <x:c r="C1329" t="n">
        <x:v>8480</x:v>
      </x:c>
      <x:c r="D1329" t="n">
        <x:v>4</x:v>
      </x:c>
      <x:c r="E1329" t="str">
        <x:v>Low</x:v>
      </x:c>
      <x:c r="F1329" t="str">
        <x:v>School</x:v>
      </x:c>
      <x:c r="G1329" t="str">
        <x:v>RC Frame</x:v>
      </x:c>
      <x:c r="H1329" t="str">
        <x:v>Raft</x:v>
      </x:c>
      <x:c r="I1329" t="str">
        <x:v>Sand</x:v>
      </x:c>
      <x:c r="J1329" t="str">
        <x:v>Medium</x:v>
      </x:c>
      <x:c r="K1329" t="n">
        <x:v>13771520</x:v>
      </x:c>
      <x:c r="L1329" t="n">
        <x:v>216</x:v>
      </x:c>
      <x:c r="M1329" t="n">
        <x:v>236.4</x:v>
      </x:c>
      <x:c r="N1329" t="n">
        <x:v>18</x:v>
      </x:c>
      <x:c r="O1329" t="n">
        <x:v>60.8</x:v>
      </x:c>
      <x:c r="P1329" t="str">
        <x:v>Sunny</x:v>
      </x:c>
      <x:c r="Q1329" t="n">
        <x:v>86</x:v>
      </x:c>
      <x:c r="R1329" t="n">
        <x:v>64.4</x:v>
      </x:c>
      <x:c r="S1329" t="n">
        <x:v>0.0758</x:v>
      </x:c>
      <x:c r="T1329" t="n">
        <x:v>13.8</x:v>
      </x:c>
      <x:c r="U1329" t="n">
        <x:v>2120</x:v>
      </x:c>
      <x:c r="V1329" t="n">
        <x:v>1624</x:v>
      </x:c>
      <x:c r="W1329" t="n">
        <x:v>25.5</x:v>
      </x:c>
    </x:row>
    <x:row r="1330">
      <x:c r="A1330" t="str">
        <x:v>PJT_1329</x:v>
      </x:c>
      <x:c r="B1330" t="str">
        <x:v>Continental</x:v>
      </x:c>
      <x:c r="C1330" t="n">
        <x:v>16040</x:v>
      </x:c>
      <x:c r="D1330" t="n">
        <x:v>21</x:v>
      </x:c>
      <x:c r="E1330" t="str">
        <x:v>Medium</x:v>
      </x:c>
      <x:c r="F1330" t="str">
        <x:v>Residential</x:v>
      </x:c>
      <x:c r="G1330" t="str">
        <x:v>Shear Wall</x:v>
      </x:c>
      <x:c r="H1330" t="str">
        <x:v>Piles</x:v>
      </x:c>
      <x:c r="I1330" t="str">
        <x:v>Mixed</x:v>
      </x:c>
      <x:c r="J1330" t="str">
        <x:v>Medium</x:v>
      </x:c>
      <x:c r="K1330" t="n">
        <x:v>27155720</x:v>
      </x:c>
      <x:c r="L1330" t="n">
        <x:v>624</x:v>
      </x:c>
      <x:c r="M1330" t="n">
        <x:v>408.8</x:v>
      </x:c>
      <x:c r="N1330" t="n">
        <x:v>12.6</x:v>
      </x:c>
      <x:c r="O1330" t="n">
        <x:v>56.1</x:v>
      </x:c>
      <x:c r="P1330" t="str">
        <x:v>Cloudy</x:v>
      </x:c>
      <x:c r="Q1330" t="n">
        <x:v>83</x:v>
      </x:c>
      <x:c r="R1330" t="n">
        <x:v>79</x:v>
      </x:c>
      <x:c r="S1330" t="n">
        <x:v>0.0848</x:v>
      </x:c>
      <x:c r="T1330" t="n">
        <x:v>12.8</x:v>
      </x:c>
      <x:c r="U1330" t="n">
        <x:v>763.8</x:v>
      </x:c>
      <x:c r="V1330" t="n">
        <x:v>1693</x:v>
      </x:c>
      <x:c r="W1330" t="n">
        <x:v>38.9</x:v>
      </x:c>
    </x:row>
    <x:row r="1331">
      <x:c r="A1331" t="str">
        <x:v>PJT_1330</x:v>
      </x:c>
      <x:c r="B1331" t="str">
        <x:v>Mediterranean</x:v>
      </x:c>
      <x:c r="C1331" t="n">
        <x:v>9390</x:v>
      </x:c>
      <x:c r="D1331" t="n">
        <x:v>8</x:v>
      </x:c>
      <x:c r="E1331" t="str">
        <x:v>Medium</x:v>
      </x:c>
      <x:c r="F1331" t="str">
        <x:v>Commercial</x:v>
      </x:c>
      <x:c r="G1331" t="str">
        <x:v>Steel</x:v>
      </x:c>
      <x:c r="H1331" t="str">
        <x:v>Raft</x:v>
      </x:c>
      <x:c r="I1331" t="str">
        <x:v>Sand</x:v>
      </x:c>
      <x:c r="J1331" t="str">
        <x:v>High</x:v>
      </x:c>
      <x:c r="K1331" t="n">
        <x:v>22751970</x:v>
      </x:c>
      <x:c r="L1331" t="n">
        <x:v>393</x:v>
      </x:c>
      <x:c r="M1331" t="n">
        <x:v>266.4</x:v>
      </x:c>
      <x:c r="N1331" t="n">
        <x:v>30.7</x:v>
      </x:c>
      <x:c r="O1331" t="n">
        <x:v>57.4</x:v>
      </x:c>
      <x:c r="P1331" t="str">
        <x:v>Sunny</x:v>
      </x:c>
      <x:c r="Q1331" t="n">
        <x:v>86</x:v>
      </x:c>
      <x:c r="R1331" t="n">
        <x:v>76.4</x:v>
      </x:c>
      <x:c r="S1331" t="n">
        <x:v>0.0994</x:v>
      </x:c>
      <x:c r="T1331" t="n">
        <x:v>16.2</x:v>
      </x:c>
      <x:c r="U1331" t="n">
        <x:v>1173.8</x:v>
      </x:c>
      <x:c r="V1331" t="n">
        <x:v>2423</x:v>
      </x:c>
      <x:c r="W1331" t="n">
        <x:v>41.8</x:v>
      </x:c>
    </x:row>
    <x:row r="1332">
      <x:c r="A1332" t="str">
        <x:v>PJT_1331</x:v>
      </x:c>
      <x:c r="B1332" t="str">
        <x:v>Humid Subtropical</x:v>
      </x:c>
      <x:c r="C1332" t="n">
        <x:v>18870</x:v>
      </x:c>
      <x:c r="D1332" t="n">
        <x:v>21</x:v>
      </x:c>
      <x:c r="E1332" t="str">
        <x:v>Medium</x:v>
      </x:c>
      <x:c r="F1332" t="str">
        <x:v>Residential</x:v>
      </x:c>
      <x:c r="G1332" t="str">
        <x:v>Shear Wall</x:v>
      </x:c>
      <x:c r="H1332" t="str">
        <x:v>Piles</x:v>
      </x:c>
      <x:c r="I1332" t="str">
        <x:v>Sand</x:v>
      </x:c>
      <x:c r="J1332" t="str">
        <x:v>Medium</x:v>
      </x:c>
      <x:c r="K1332" t="n">
        <x:v>30324090</x:v>
      </x:c>
      <x:c r="L1332" t="n">
        <x:v>732</x:v>
      </x:c>
      <x:c r="M1332" t="n">
        <x:v>289.5</x:v>
      </x:c>
      <x:c r="N1332" t="n">
        <x:v>29.9</x:v>
      </x:c>
      <x:c r="O1332" t="n">
        <x:v>79.7</x:v>
      </x:c>
      <x:c r="P1332" t="str">
        <x:v>Cloudy</x:v>
      </x:c>
      <x:c r="Q1332" t="n">
        <x:v>73</x:v>
      </x:c>
      <x:c r="R1332" t="n">
        <x:v>76</x:v>
      </x:c>
      <x:c r="S1332" t="n">
        <x:v>0.0846</x:v>
      </x:c>
      <x:c r="T1332" t="n">
        <x:v>13.6</x:v>
      </x:c>
      <x:c r="U1332" t="n">
        <x:v>898.6</x:v>
      </x:c>
      <x:c r="V1332" t="n">
        <x:v>1607</x:v>
      </x:c>
      <x:c r="W1332" t="n">
        <x:v>38.8</x:v>
      </x:c>
    </x:row>
    <x:row r="1333">
      <x:c r="A1333" t="str">
        <x:v>PJT_1332</x:v>
      </x:c>
      <x:c r="B1333" t="str">
        <x:v>Marine</x:v>
      </x:c>
      <x:c r="C1333" t="n">
        <x:v>6240</x:v>
      </x:c>
      <x:c r="D1333" t="n">
        <x:v>5</x:v>
      </x:c>
      <x:c r="E1333" t="str">
        <x:v>Low</x:v>
      </x:c>
      <x:c r="F1333" t="str">
        <x:v>Residential</x:v>
      </x:c>
      <x:c r="G1333" t="str">
        <x:v>RC Frame</x:v>
      </x:c>
      <x:c r="H1333" t="str">
        <x:v>Raft</x:v>
      </x:c>
      <x:c r="I1333" t="str">
        <x:v>Soft Clay</x:v>
      </x:c>
      <x:c r="J1333" t="str">
        <x:v>Medium</x:v>
      </x:c>
      <x:c r="K1333" t="n">
        <x:v>8424000</x:v>
      </x:c>
      <x:c r="L1333" t="n">
        <x:v>180</x:v>
      </x:c>
      <x:c r="M1333" t="n">
        <x:v>150.5</x:v>
      </x:c>
      <x:c r="N1333" t="n">
        <x:v>21.5</x:v>
      </x:c>
      <x:c r="O1333" t="n">
        <x:v>54.7</x:v>
      </x:c>
      <x:c r="P1333" t="str">
        <x:v>Sunny</x:v>
      </x:c>
      <x:c r="Q1333" t="n">
        <x:v>52</x:v>
      </x:c>
      <x:c r="R1333" t="n">
        <x:v>66</x:v>
      </x:c>
      <x:c r="S1333" t="n">
        <x:v>0.0756</x:v>
      </x:c>
      <x:c r="T1333" t="n">
        <x:v>12.6</x:v>
      </x:c>
      <x:c r="U1333" t="n">
        <x:v>1248</x:v>
      </x:c>
      <x:c r="V1333" t="n">
        <x:v>1350</x:v>
      </x:c>
      <x:c r="W1333" t="n">
        <x:v>27.6</x:v>
      </x:c>
    </x:row>
    <x:row r="1334">
      <x:c r="A1334" t="str">
        <x:v>PJT_1333</x:v>
      </x:c>
      <x:c r="B1334" t="str">
        <x:v>Mediterranean</x:v>
      </x:c>
      <x:c r="C1334" t="n">
        <x:v>26270</x:v>
      </x:c>
      <x:c r="D1334" t="n">
        <x:v>13</x:v>
      </x:c>
      <x:c r="E1334" t="str">
        <x:v>Medium</x:v>
      </x:c>
      <x:c r="F1334" t="str">
        <x:v>Commercial</x:v>
      </x:c>
      <x:c r="G1334" t="str">
        <x:v>Steel</x:v>
      </x:c>
      <x:c r="H1334" t="str">
        <x:v>Piles</x:v>
      </x:c>
      <x:c r="I1334" t="str">
        <x:v>Sand</x:v>
      </x:c>
      <x:c r="J1334" t="str">
        <x:v>Low</x:v>
      </x:c>
      <x:c r="K1334" t="n">
        <x:v>60578620</x:v>
      </x:c>
      <x:c r="L1334" t="n">
        <x:v>1135</x:v>
      </x:c>
      <x:c r="M1334" t="n">
        <x:v>342.6</x:v>
      </x:c>
      <x:c r="N1334" t="n">
        <x:v>29.5</x:v>
      </x:c>
      <x:c r="O1334" t="n">
        <x:v>42</x:v>
      </x:c>
      <x:c r="P1334" t="str">
        <x:v>Sunny</x:v>
      </x:c>
      <x:c r="Q1334" t="n">
        <x:v>66</x:v>
      </x:c>
      <x:c r="R1334" t="n">
        <x:v>76.6</x:v>
      </x:c>
      <x:c r="S1334" t="n">
        <x:v>0.0953</x:v>
      </x:c>
      <x:c r="T1334" t="n">
        <x:v>16.6</x:v>
      </x:c>
      <x:c r="U1334" t="n">
        <x:v>2020.8</x:v>
      </x:c>
      <x:c r="V1334" t="n">
        <x:v>2306</x:v>
      </x:c>
      <x:c r="W1334" t="n">
        <x:v>43.2</x:v>
      </x:c>
    </x:row>
    <x:row r="1335">
      <x:c r="A1335" t="str">
        <x:v>PJT_1334</x:v>
      </x:c>
      <x:c r="B1335" t="str">
        <x:v>Humid Subtropical</x:v>
      </x:c>
      <x:c r="C1335" t="n">
        <x:v>17020</x:v>
      </x:c>
      <x:c r="D1335" t="n">
        <x:v>11</x:v>
      </x:c>
      <x:c r="E1335" t="str">
        <x:v>Medium</x:v>
      </x:c>
      <x:c r="F1335" t="str">
        <x:v>Mixed-use</x:v>
      </x:c>
      <x:c r="G1335" t="str">
        <x:v>Shear Wall</x:v>
      </x:c>
      <x:c r="H1335" t="str">
        <x:v>Raft</x:v>
      </x:c>
      <x:c r="I1335" t="str">
        <x:v>Sand</x:v>
      </x:c>
      <x:c r="J1335" t="str">
        <x:v>High</x:v>
      </x:c>
      <x:c r="K1335" t="n">
        <x:v>44115840</x:v>
      </x:c>
      <x:c r="L1335" t="n">
        <x:v>739</x:v>
      </x:c>
      <x:c r="M1335" t="n">
        <x:v>275.1</x:v>
      </x:c>
      <x:c r="N1335" t="n">
        <x:v>26.2</x:v>
      </x:c>
      <x:c r="O1335" t="n">
        <x:v>59.1</x:v>
      </x:c>
      <x:c r="P1335" t="str">
        <x:v>Sunny</x:v>
      </x:c>
      <x:c r="Q1335" t="n">
        <x:v>74</x:v>
      </x:c>
      <x:c r="R1335" t="n">
        <x:v>80.5</x:v>
      </x:c>
      <x:c r="S1335" t="n">
        <x:v>0.0993</x:v>
      </x:c>
      <x:c r="T1335" t="n">
        <x:v>17.9</x:v>
      </x:c>
      <x:c r="U1335" t="n">
        <x:v>1547.3</x:v>
      </x:c>
      <x:c r="V1335" t="n">
        <x:v>2592</x:v>
      </x:c>
      <x:c r="W1335" t="n">
        <x:v>43.4</x:v>
      </x:c>
    </x:row>
    <x:row r="1336">
      <x:c r="A1336" t="str">
        <x:v>PJT_1335</x:v>
      </x:c>
      <x:c r="B1336" t="str">
        <x:v>Mediterranean</x:v>
      </x:c>
      <x:c r="C1336" t="n">
        <x:v>32760</x:v>
      </x:c>
      <x:c r="D1336" t="n">
        <x:v>22</x:v>
      </x:c>
      <x:c r="E1336" t="str">
        <x:v>High</x:v>
      </x:c>
      <x:c r="F1336" t="str">
        <x:v>Commercial</x:v>
      </x:c>
      <x:c r="G1336" t="str">
        <x:v>Steel</x:v>
      </x:c>
      <x:c r="H1336" t="str">
        <x:v>Piles</x:v>
      </x:c>
      <x:c r="I1336" t="str">
        <x:v>Soft Clay</x:v>
      </x:c>
      <x:c r="J1336" t="str">
        <x:v>High</x:v>
      </x:c>
      <x:c r="K1336" t="n">
        <x:v>91531440</x:v>
      </x:c>
      <x:c r="L1336" t="n">
        <x:v>1664</x:v>
      </x:c>
      <x:c r="M1336" t="n">
        <x:v>176.3</x:v>
      </x:c>
      <x:c r="N1336" t="n">
        <x:v>28.1</x:v>
      </x:c>
      <x:c r="O1336" t="n">
        <x:v>54.7</x:v>
      </x:c>
      <x:c r="P1336" t="str">
        <x:v>Sunny</x:v>
      </x:c>
      <x:c r="Q1336" t="n">
        <x:v>79</x:v>
      </x:c>
      <x:c r="R1336" t="n">
        <x:v>81.8</x:v>
      </x:c>
      <x:c r="S1336" t="n">
        <x:v>0.1035</x:v>
      </x:c>
      <x:c r="T1336" t="n">
        <x:v>19.6</x:v>
      </x:c>
      <x:c r="U1336" t="n">
        <x:v>1489.1</x:v>
      </x:c>
      <x:c r="V1336" t="n">
        <x:v>2794</x:v>
      </x:c>
      <x:c r="W1336" t="n">
        <x:v>50.8</x:v>
      </x:c>
    </x:row>
    <x:row r="1337">
      <x:c r="A1337" t="str">
        <x:v>PJT_1336</x:v>
      </x:c>
      <x:c r="B1337" t="str">
        <x:v>Continental</x:v>
      </x:c>
      <x:c r="C1337" t="n">
        <x:v>28920</x:v>
      </x:c>
      <x:c r="D1337" t="n">
        <x:v>24</x:v>
      </x:c>
      <x:c r="E1337" t="str">
        <x:v>High</x:v>
      </x:c>
      <x:c r="F1337" t="str">
        <x:v>Mixed-use</x:v>
      </x:c>
      <x:c r="G1337" t="str">
        <x:v>Steel</x:v>
      </x:c>
      <x:c r="H1337" t="str">
        <x:v>Piles</x:v>
      </x:c>
      <x:c r="I1337" t="str">
        <x:v>Mixed</x:v>
      </x:c>
      <x:c r="J1337" t="str">
        <x:v>Low</x:v>
      </x:c>
      <x:c r="K1337" t="n">
        <x:v>78691320</x:v>
      </x:c>
      <x:c r="L1337" t="n">
        <x:v>1631</x:v>
      </x:c>
      <x:c r="M1337" t="n">
        <x:v>376.3</x:v>
      </x:c>
      <x:c r="N1337" t="n">
        <x:v>8.7</x:v>
      </x:c>
      <x:c r="O1337" t="n">
        <x:v>52.7</x:v>
      </x:c>
      <x:c r="P1337" t="str">
        <x:v>Cloudy</x:v>
      </x:c>
      <x:c r="Q1337" t="n">
        <x:v>81</x:v>
      </x:c>
      <x:c r="R1337" t="n">
        <x:v>86.9</x:v>
      </x:c>
      <x:c r="S1337" t="n">
        <x:v>0.1101</x:v>
      </x:c>
      <x:c r="T1337" t="n">
        <x:v>19.3</x:v>
      </x:c>
      <x:c r="U1337" t="n">
        <x:v>1205</x:v>
      </x:c>
      <x:c r="V1337" t="n">
        <x:v>2721</x:v>
      </x:c>
      <x:c r="W1337" t="n">
        <x:v>56.4</x:v>
      </x:c>
    </x:row>
    <x:row r="1338">
      <x:c r="A1338" t="str">
        <x:v>PJT_1337</x:v>
      </x:c>
      <x:c r="B1338" t="str">
        <x:v>Marine</x:v>
      </x:c>
      <x:c r="C1338" t="n">
        <x:v>15630</x:v>
      </x:c>
      <x:c r="D1338" t="n">
        <x:v>13</x:v>
      </x:c>
      <x:c r="E1338" t="str">
        <x:v>Medium</x:v>
      </x:c>
      <x:c r="F1338" t="str">
        <x:v>Commercial</x:v>
      </x:c>
      <x:c r="G1338" t="str">
        <x:v>Steel</x:v>
      </x:c>
      <x:c r="H1338" t="str">
        <x:v>Piles</x:v>
      </x:c>
      <x:c r="I1338" t="str">
        <x:v>Sand</x:v>
      </x:c>
      <x:c r="J1338" t="str">
        <x:v>Medium</x:v>
      </x:c>
      <x:c r="K1338" t="n">
        <x:v>37824600</x:v>
      </x:c>
      <x:c r="L1338" t="n">
        <x:v>694</x:v>
      </x:c>
      <x:c r="M1338" t="n">
        <x:v>244.8</x:v>
      </x:c>
      <x:c r="N1338" t="n">
        <x:v>23.5</x:v>
      </x:c>
      <x:c r="O1338" t="n">
        <x:v>59.3</x:v>
      </x:c>
      <x:c r="P1338" t="str">
        <x:v>Sunny</x:v>
      </x:c>
      <x:c r="Q1338" t="n">
        <x:v>74</x:v>
      </x:c>
      <x:c r="R1338" t="n">
        <x:v>73.6</x:v>
      </x:c>
      <x:c r="S1338" t="n">
        <x:v>0.0947</x:v>
      </x:c>
      <x:c r="T1338" t="n">
        <x:v>16.4</x:v>
      </x:c>
      <x:c r="U1338" t="n">
        <x:v>1202.3</x:v>
      </x:c>
      <x:c r="V1338" t="n">
        <x:v>2420</x:v>
      </x:c>
      <x:c r="W1338" t="n">
        <x:v>44.4</x:v>
      </x:c>
    </x:row>
    <x:row r="1339">
      <x:c r="A1339" t="str">
        <x:v>PJT_1338</x:v>
      </x:c>
      <x:c r="B1339" t="str">
        <x:v>Continental</x:v>
      </x:c>
      <x:c r="C1339" t="n">
        <x:v>4340</x:v>
      </x:c>
      <x:c r="D1339" t="n">
        <x:v>2</x:v>
      </x:c>
      <x:c r="E1339" t="str">
        <x:v>Low</x:v>
      </x:c>
      <x:c r="F1339" t="str">
        <x:v>School</x:v>
      </x:c>
      <x:c r="G1339" t="str">
        <x:v>RC Frame</x:v>
      </x:c>
      <x:c r="H1339" t="str">
        <x:v>Strip</x:v>
      </x:c>
      <x:c r="I1339" t="str">
        <x:v>Mixed</x:v>
      </x:c>
      <x:c r="J1339" t="str">
        <x:v>Medium</x:v>
      </x:c>
      <x:c r="K1339" t="n">
        <x:v>6414520</x:v>
      </x:c>
      <x:c r="L1339" t="n">
        <x:v>180</x:v>
      </x:c>
      <x:c r="M1339" t="n">
        <x:v>247.6</x:v>
      </x:c>
      <x:c r="N1339" t="n">
        <x:v>4.3</x:v>
      </x:c>
      <x:c r="O1339" t="n">
        <x:v>82.4</x:v>
      </x:c>
      <x:c r="P1339" t="str">
        <x:v>Rainy</x:v>
      </x:c>
      <x:c r="Q1339" t="n">
        <x:v>96</x:v>
      </x:c>
      <x:c r="R1339" t="n">
        <x:v>60.4</x:v>
      </x:c>
      <x:c r="S1339" t="n">
        <x:v>0.0757</x:v>
      </x:c>
      <x:c r="T1339" t="n">
        <x:v>12.8</x:v>
      </x:c>
      <x:c r="U1339" t="n">
        <x:v>2170</x:v>
      </x:c>
      <x:c r="V1339" t="n">
        <x:v>1478</x:v>
      </x:c>
      <x:c r="W1339" t="n">
        <x:v>29.4</x:v>
      </x:c>
    </x:row>
    <x:row r="1340">
      <x:c r="A1340" t="str">
        <x:v>PJT_1339</x:v>
      </x:c>
      <x:c r="B1340" t="str">
        <x:v>Continental</x:v>
      </x:c>
      <x:c r="C1340" t="n">
        <x:v>12900</x:v>
      </x:c>
      <x:c r="D1340" t="n">
        <x:v>7</x:v>
      </x:c>
      <x:c r="E1340" t="str">
        <x:v>Medium</x:v>
      </x:c>
      <x:c r="F1340" t="str">
        <x:v>Commercial</x:v>
      </x:c>
      <x:c r="G1340" t="str">
        <x:v>RC Frame</x:v>
      </x:c>
      <x:c r="H1340" t="str">
        <x:v>Raft</x:v>
      </x:c>
      <x:c r="I1340" t="str">
        <x:v>Soft Clay</x:v>
      </x:c>
      <x:c r="J1340" t="str">
        <x:v>High</x:v>
      </x:c>
      <x:c r="K1340" t="n">
        <x:v>28534800</x:v>
      </x:c>
      <x:c r="L1340" t="n">
        <x:v>524</x:v>
      </x:c>
      <x:c r="M1340" t="n">
        <x:v>189.2</x:v>
      </x:c>
      <x:c r="N1340" t="n">
        <x:v>2.4</x:v>
      </x:c>
      <x:c r="O1340" t="n">
        <x:v>61.1</x:v>
      </x:c>
      <x:c r="P1340" t="str">
        <x:v>Cloudy</x:v>
      </x:c>
      <x:c r="Q1340" t="n">
        <x:v>73</x:v>
      </x:c>
      <x:c r="R1340" t="n">
        <x:v>75.4</x:v>
      </x:c>
      <x:c r="S1340" t="n">
        <x:v>0.0924</x:v>
      </x:c>
      <x:c r="T1340" t="n">
        <x:v>15.4</x:v>
      </x:c>
      <x:c r="U1340" t="n">
        <x:v>1842.9</x:v>
      </x:c>
      <x:c r="V1340" t="n">
        <x:v>2212</x:v>
      </x:c>
      <x:c r="W1340" t="n">
        <x:v>40.6</x:v>
      </x:c>
    </x:row>
    <x:row r="1341">
      <x:c r="A1341" t="str">
        <x:v>PJT_1340</x:v>
      </x:c>
      <x:c r="B1341" t="str">
        <x:v>Humid Subtropical</x:v>
      </x:c>
      <x:c r="C1341" t="n">
        <x:v>24840</x:v>
      </x:c>
      <x:c r="D1341" t="n">
        <x:v>21</x:v>
      </x:c>
      <x:c r="E1341" t="str">
        <x:v>High</x:v>
      </x:c>
      <x:c r="F1341" t="str">
        <x:v>Mixed-use</x:v>
      </x:c>
      <x:c r="G1341" t="str">
        <x:v>Steel</x:v>
      </x:c>
      <x:c r="H1341" t="str">
        <x:v>Piles</x:v>
      </x:c>
      <x:c r="I1341" t="str">
        <x:v>Soft Clay</x:v>
      </x:c>
      <x:c r="J1341" t="str">
        <x:v>High</x:v>
      </x:c>
      <x:c r="K1341" t="n">
        <x:v>76904640</x:v>
      </x:c>
      <x:c r="L1341" t="n">
        <x:v>1386</x:v>
      </x:c>
      <x:c r="M1341" t="n">
        <x:v>233.7</x:v>
      </x:c>
      <x:c r="N1341" t="n">
        <x:v>21.7</x:v>
      </x:c>
      <x:c r="O1341" t="n">
        <x:v>85.3</x:v>
      </x:c>
      <x:c r="P1341" t="str">
        <x:v>Rainy</x:v>
      </x:c>
      <x:c r="Q1341" t="n">
        <x:v>88</x:v>
      </x:c>
      <x:c r="R1341" t="n">
        <x:v>87.1</x:v>
      </x:c>
      <x:c r="S1341" t="n">
        <x:v>0.1094</x:v>
      </x:c>
      <x:c r="T1341" t="n">
        <x:v>20.3</x:v>
      </x:c>
      <x:c r="U1341" t="n">
        <x:v>1182.9</x:v>
      </x:c>
      <x:c r="V1341" t="n">
        <x:v>3096</x:v>
      </x:c>
      <x:c r="W1341" t="n">
        <x:v>55.8</x:v>
      </x:c>
    </x:row>
    <x:row r="1342">
      <x:c r="A1342" t="str">
        <x:v>PJT_1341</x:v>
      </x:c>
      <x:c r="B1342" t="str">
        <x:v>Continental</x:v>
      </x:c>
      <x:c r="C1342" t="n">
        <x:v>14030</x:v>
      </x:c>
      <x:c r="D1342" t="n">
        <x:v>15</x:v>
      </x:c>
      <x:c r="E1342" t="str">
        <x:v>Low</x:v>
      </x:c>
      <x:c r="F1342" t="str">
        <x:v>Residential</x:v>
      </x:c>
      <x:c r="G1342" t="str">
        <x:v>Shear Wall</x:v>
      </x:c>
      <x:c r="H1342" t="str">
        <x:v>Piles</x:v>
      </x:c>
      <x:c r="I1342" t="str">
        <x:v>Mixed</x:v>
      </x:c>
      <x:c r="J1342" t="str">
        <x:v>Medium</x:v>
      </x:c>
      <x:c r="K1342" t="n">
        <x:v>20946790</x:v>
      </x:c>
      <x:c r="L1342" t="n">
        <x:v>536</x:v>
      </x:c>
      <x:c r="M1342" t="n">
        <x:v>398.1</x:v>
      </x:c>
      <x:c r="N1342" t="n">
        <x:v>-9</x:v>
      </x:c>
      <x:c r="O1342" t="n">
        <x:v>71.8</x:v>
      </x:c>
      <x:c r="P1342" t="str">
        <x:v>Snowy</x:v>
      </x:c>
      <x:c r="Q1342" t="n">
        <x:v>86</x:v>
      </x:c>
      <x:c r="R1342" t="n">
        <x:v>71.4</x:v>
      </x:c>
      <x:c r="S1342" t="n">
        <x:v>0.0817</x:v>
      </x:c>
      <x:c r="T1342" t="n">
        <x:v>13.4</x:v>
      </x:c>
      <x:c r="U1342" t="n">
        <x:v>935.3</x:v>
      </x:c>
      <x:c r="V1342" t="n">
        <x:v>1493</x:v>
      </x:c>
      <x:c r="W1342" t="n">
        <x:v>38.2</x:v>
      </x:c>
    </x:row>
    <x:row r="1343">
      <x:c r="A1343" t="str">
        <x:v>PJT_1342</x:v>
      </x:c>
      <x:c r="B1343" t="str">
        <x:v>Humid Subtropical</x:v>
      </x:c>
      <x:c r="C1343" t="n">
        <x:v>24910</x:v>
      </x:c>
      <x:c r="D1343" t="n">
        <x:v>12</x:v>
      </x:c>
      <x:c r="E1343" t="str">
        <x:v>Medium</x:v>
      </x:c>
      <x:c r="F1343" t="str">
        <x:v>Hospital</x:v>
      </x:c>
      <x:c r="G1343" t="str">
        <x:v>Steel</x:v>
      </x:c>
      <x:c r="H1343" t="str">
        <x:v>Piles</x:v>
      </x:c>
      <x:c r="I1343" t="str">
        <x:v>Mixed</x:v>
      </x:c>
      <x:c r="J1343" t="str">
        <x:v>Low</x:v>
      </x:c>
      <x:c r="K1343" t="n">
        <x:v>80110560</x:v>
      </x:c>
      <x:c r="L1343" t="n">
        <x:v>1263</x:v>
      </x:c>
      <x:c r="M1343" t="n">
        <x:v>396.6</x:v>
      </x:c>
      <x:c r="N1343" t="n">
        <x:v>32.8</x:v>
      </x:c>
      <x:c r="O1343" t="n">
        <x:v>53.1</x:v>
      </x:c>
      <x:c r="P1343" t="str">
        <x:v>Sunny</x:v>
      </x:c>
      <x:c r="Q1343" t="n">
        <x:v>92</x:v>
      </x:c>
      <x:c r="R1343" t="n">
        <x:v>81.5</x:v>
      </x:c>
      <x:c r="S1343" t="n">
        <x:v>0.1071</x:v>
      </x:c>
      <x:c r="T1343" t="n">
        <x:v>22</x:v>
      </x:c>
      <x:c r="U1343" t="n">
        <x:v>2075.8</x:v>
      </x:c>
      <x:c r="V1343" t="n">
        <x:v>3216</x:v>
      </x:c>
      <x:c r="W1343" t="n">
        <x:v>50.7</x:v>
      </x:c>
    </x:row>
    <x:row r="1344">
      <x:c r="A1344" t="str">
        <x:v>PJT_1343</x:v>
      </x:c>
      <x:c r="B1344" t="str">
        <x:v>Marine</x:v>
      </x:c>
      <x:c r="C1344" t="n">
        <x:v>5320</x:v>
      </x:c>
      <x:c r="D1344" t="n">
        <x:v>4</x:v>
      </x:c>
      <x:c r="E1344" t="str">
        <x:v>Medium</x:v>
      </x:c>
      <x:c r="F1344" t="str">
        <x:v>Commercial</x:v>
      </x:c>
      <x:c r="G1344" t="str">
        <x:v>RC Frame</x:v>
      </x:c>
      <x:c r="H1344" t="str">
        <x:v>Raft</x:v>
      </x:c>
      <x:c r="I1344" t="str">
        <x:v>Soft Clay</x:v>
      </x:c>
      <x:c r="J1344" t="str">
        <x:v>Medium</x:v>
      </x:c>
      <x:c r="K1344" t="n">
        <x:v>11730600</x:v>
      </x:c>
      <x:c r="L1344" t="n">
        <x:v>202</x:v>
      </x:c>
      <x:c r="M1344" t="n">
        <x:v>163.5</x:v>
      </x:c>
      <x:c r="N1344" t="n">
        <x:v>12.3</x:v>
      </x:c>
      <x:c r="O1344" t="n">
        <x:v>80.7</x:v>
      </x:c>
      <x:c r="P1344" t="str">
        <x:v>Cloudy</x:v>
      </x:c>
      <x:c r="Q1344" t="n">
        <x:v>97</x:v>
      </x:c>
      <x:c r="R1344" t="n">
        <x:v>70.9</x:v>
      </x:c>
      <x:c r="S1344" t="n">
        <x:v>0.0918</x:v>
      </x:c>
      <x:c r="T1344" t="n">
        <x:v>17.1</x:v>
      </x:c>
      <x:c r="U1344" t="n">
        <x:v>1330</x:v>
      </x:c>
      <x:c r="V1344" t="n">
        <x:v>2205</x:v>
      </x:c>
      <x:c r="W1344" t="n">
        <x:v>38</x:v>
      </x:c>
    </x:row>
    <x:row r="1345">
      <x:c r="A1345" t="str">
        <x:v>PJT_1344</x:v>
      </x:c>
      <x:c r="B1345" t="str">
        <x:v>Mediterranean</x:v>
      </x:c>
      <x:c r="C1345" t="n">
        <x:v>25240</x:v>
      </x:c>
      <x:c r="D1345" t="n">
        <x:v>17</x:v>
      </x:c>
      <x:c r="E1345" t="str">
        <x:v>High</x:v>
      </x:c>
      <x:c r="F1345" t="str">
        <x:v>Mixed-use</x:v>
      </x:c>
      <x:c r="G1345" t="str">
        <x:v>Shear Wall</x:v>
      </x:c>
      <x:c r="H1345" t="str">
        <x:v>Raft</x:v>
      </x:c>
      <x:c r="I1345" t="str">
        <x:v>Rock</x:v>
      </x:c>
      <x:c r="J1345" t="str">
        <x:v>Medium</x:v>
      </x:c>
      <x:c r="K1345" t="n">
        <x:v>71479680</x:v>
      </x:c>
      <x:c r="L1345" t="n">
        <x:v>1310</x:v>
      </x:c>
      <x:c r="M1345" t="n">
        <x:v>734</x:v>
      </x:c>
      <x:c r="N1345" t="n">
        <x:v>14.5</x:v>
      </x:c>
      <x:c r="O1345" t="n">
        <x:v>58.6</x:v>
      </x:c>
      <x:c r="P1345" t="str">
        <x:v>Cloudy</x:v>
      </x:c>
      <x:c r="Q1345" t="n">
        <x:v>95</x:v>
      </x:c>
      <x:c r="R1345" t="n">
        <x:v>88.8</x:v>
      </x:c>
      <x:c r="S1345" t="n">
        <x:v>0.1053</x:v>
      </x:c>
      <x:c r="T1345" t="n">
        <x:v>19.1</x:v>
      </x:c>
      <x:c r="U1345" t="n">
        <x:v>1484.7</x:v>
      </x:c>
      <x:c r="V1345" t="n">
        <x:v>2832</x:v>
      </x:c>
      <x:c r="W1345" t="n">
        <x:v>51.9</x:v>
      </x:c>
    </x:row>
    <x:row r="1346">
      <x:c r="A1346" t="str">
        <x:v>PJT_1345</x:v>
      </x:c>
      <x:c r="B1346" t="str">
        <x:v>Mediterranean</x:v>
      </x:c>
      <x:c r="C1346" t="n">
        <x:v>24960</x:v>
      </x:c>
      <x:c r="D1346" t="n">
        <x:v>19</x:v>
      </x:c>
      <x:c r="E1346" t="str">
        <x:v>Medium</x:v>
      </x:c>
      <x:c r="F1346" t="str">
        <x:v>Mixed-use</x:v>
      </x:c>
      <x:c r="G1346" t="str">
        <x:v>Steel</x:v>
      </x:c>
      <x:c r="H1346" t="str">
        <x:v>Piles</x:v>
      </x:c>
      <x:c r="I1346" t="str">
        <x:v>Rock</x:v>
      </x:c>
      <x:c r="J1346" t="str">
        <x:v>Medium</x:v>
      </x:c>
      <x:c r="K1346" t="n">
        <x:v>67092480</x:v>
      </x:c>
      <x:c r="L1346" t="n">
        <x:v>1233</x:v>
      </x:c>
      <x:c r="M1346" t="n">
        <x:v>678.3</x:v>
      </x:c>
      <x:c r="N1346" t="n">
        <x:v>22.7</x:v>
      </x:c>
      <x:c r="O1346" t="n">
        <x:v>50.3</x:v>
      </x:c>
      <x:c r="P1346" t="str">
        <x:v>Cloudy</x:v>
      </x:c>
      <x:c r="Q1346" t="n">
        <x:v>87</x:v>
      </x:c>
      <x:c r="R1346" t="n">
        <x:v>88</x:v>
      </x:c>
      <x:c r="S1346" t="n">
        <x:v>0.1029</x:v>
      </x:c>
      <x:c r="T1346" t="n">
        <x:v>18.9</x:v>
      </x:c>
      <x:c r="U1346" t="n">
        <x:v>1313.7</x:v>
      </x:c>
      <x:c r="V1346" t="n">
        <x:v>2688</x:v>
      </x:c>
      <x:c r="W1346" t="n">
        <x:v>49.4</x:v>
      </x:c>
    </x:row>
    <x:row r="1347">
      <x:c r="A1347" t="str">
        <x:v>PJT_1346</x:v>
      </x:c>
      <x:c r="B1347" t="str">
        <x:v>Marine</x:v>
      </x:c>
      <x:c r="C1347" t="n">
        <x:v>14860</x:v>
      </x:c>
      <x:c r="D1347" t="n">
        <x:v>18</x:v>
      </x:c>
      <x:c r="E1347" t="str">
        <x:v>Medium</x:v>
      </x:c>
      <x:c r="F1347" t="str">
        <x:v>Commercial</x:v>
      </x:c>
      <x:c r="G1347" t="str">
        <x:v>Steel</x:v>
      </x:c>
      <x:c r="H1347" t="str">
        <x:v>Piles</x:v>
      </x:c>
      <x:c r="I1347" t="str">
        <x:v>Rock</x:v>
      </x:c>
      <x:c r="J1347" t="str">
        <x:v>Medium</x:v>
      </x:c>
      <x:c r="K1347" t="n">
        <x:v>37402620</x:v>
      </x:c>
      <x:c r="L1347" t="n">
        <x:v>746</x:v>
      </x:c>
      <x:c r="M1347" t="n">
        <x:v>653.7</x:v>
      </x:c>
      <x:c r="N1347" t="n">
        <x:v>16.9</x:v>
      </x:c>
      <x:c r="O1347" t="n">
        <x:v>90.8</x:v>
      </x:c>
      <x:c r="P1347" t="str">
        <x:v>Stormy</x:v>
      </x:c>
      <x:c r="Q1347" t="n">
        <x:v>86</x:v>
      </x:c>
      <x:c r="R1347" t="n">
        <x:v>76.5</x:v>
      </x:c>
      <x:c r="S1347" t="n">
        <x:v>0.0938</x:v>
      </x:c>
      <x:c r="T1347" t="n">
        <x:v>17.1</x:v>
      </x:c>
      <x:c r="U1347" t="n">
        <x:v>825.6</x:v>
      </x:c>
      <x:c r="V1347" t="n">
        <x:v>2517</x:v>
      </x:c>
      <x:c r="W1347" t="n">
        <x:v>50.2</x:v>
      </x:c>
    </x:row>
    <x:row r="1348">
      <x:c r="A1348" t="str">
        <x:v>PJT_1347</x:v>
      </x:c>
      <x:c r="B1348" t="str">
        <x:v>Mediterranean</x:v>
      </x:c>
      <x:c r="C1348" t="n">
        <x:v>13770</x:v>
      </x:c>
      <x:c r="D1348" t="n">
        <x:v>7</x:v>
      </x:c>
      <x:c r="E1348" t="str">
        <x:v>Medium</x:v>
      </x:c>
      <x:c r="F1348" t="str">
        <x:v>Mixed-use</x:v>
      </x:c>
      <x:c r="G1348" t="str">
        <x:v>RC Frame</x:v>
      </x:c>
      <x:c r="H1348" t="str">
        <x:v>Raft</x:v>
      </x:c>
      <x:c r="I1348" t="str">
        <x:v>Mixed</x:v>
      </x:c>
      <x:c r="J1348" t="str">
        <x:v>Medium</x:v>
      </x:c>
      <x:c r="K1348" t="n">
        <x:v>32896530</x:v>
      </x:c>
      <x:c r="L1348" t="n">
        <x:v>587</x:v>
      </x:c>
      <x:c r="M1348" t="n">
        <x:v>332.2</x:v>
      </x:c>
      <x:c r="N1348" t="n">
        <x:v>22.9</x:v>
      </x:c>
      <x:c r="O1348" t="n">
        <x:v>59.8</x:v>
      </x:c>
      <x:c r="P1348" t="str">
        <x:v>Sunny</x:v>
      </x:c>
      <x:c r="Q1348" t="n">
        <x:v>96</x:v>
      </x:c>
      <x:c r="R1348" t="n">
        <x:v>80.9</x:v>
      </x:c>
      <x:c r="S1348" t="n">
        <x:v>0.0948</x:v>
      </x:c>
      <x:c r="T1348" t="n">
        <x:v>17.5</x:v>
      </x:c>
      <x:c r="U1348" t="n">
        <x:v>1967.1</x:v>
      </x:c>
      <x:c r="V1348" t="n">
        <x:v>2389</x:v>
      </x:c>
      <x:c r="W1348" t="n">
        <x:v>42.6</x:v>
      </x:c>
    </x:row>
    <x:row r="1349">
      <x:c r="A1349" t="str">
        <x:v>PJT_1348</x:v>
      </x:c>
      <x:c r="B1349" t="str">
        <x:v>Marine</x:v>
      </x:c>
      <x:c r="C1349" t="n">
        <x:v>21190</x:v>
      </x:c>
      <x:c r="D1349" t="n">
        <x:v>17</x:v>
      </x:c>
      <x:c r="E1349" t="str">
        <x:v>Medium</x:v>
      </x:c>
      <x:c r="F1349" t="str">
        <x:v>Commercial</x:v>
      </x:c>
      <x:c r="G1349" t="str">
        <x:v>Steel</x:v>
      </x:c>
      <x:c r="H1349" t="str">
        <x:v>Piles</x:v>
      </x:c>
      <x:c r="I1349" t="str">
        <x:v>Sand</x:v>
      </x:c>
      <x:c r="J1349" t="str">
        <x:v>High</x:v>
      </x:c>
      <x:c r="K1349" t="n">
        <x:v>57043480</x:v>
      </x:c>
      <x:c r="L1349" t="n">
        <x:v>979</x:v>
      </x:c>
      <x:c r="M1349" t="n">
        <x:v>239.8</x:v>
      </x:c>
      <x:c r="N1349" t="n">
        <x:v>8</x:v>
      </x:c>
      <x:c r="O1349" t="n">
        <x:v>66.3</x:v>
      </x:c>
      <x:c r="P1349" t="str">
        <x:v>Cloudy</x:v>
      </x:c>
      <x:c r="Q1349" t="n">
        <x:v>100</x:v>
      </x:c>
      <x:c r="R1349" t="n">
        <x:v>81.2</x:v>
      </x:c>
      <x:c r="S1349" t="n">
        <x:v>0.0943</x:v>
      </x:c>
      <x:c r="T1349" t="n">
        <x:v>16.2</x:v>
      </x:c>
      <x:c r="U1349" t="n">
        <x:v>1246.5</x:v>
      </x:c>
      <x:c r="V1349" t="n">
        <x:v>2692</x:v>
      </x:c>
      <x:c r="W1349" t="n">
        <x:v>46.2</x:v>
      </x:c>
    </x:row>
    <x:row r="1350">
      <x:c r="A1350" t="str">
        <x:v>PJT_1349</x:v>
      </x:c>
      <x:c r="B1350" t="str">
        <x:v>Marine</x:v>
      </x:c>
      <x:c r="C1350" t="n">
        <x:v>22780</x:v>
      </x:c>
      <x:c r="D1350" t="n">
        <x:v>18</x:v>
      </x:c>
      <x:c r="E1350" t="str">
        <x:v>Medium</x:v>
      </x:c>
      <x:c r="F1350" t="str">
        <x:v>Commercial</x:v>
      </x:c>
      <x:c r="G1350" t="str">
        <x:v>Steel</x:v>
      </x:c>
      <x:c r="H1350" t="str">
        <x:v>Piles</x:v>
      </x:c>
      <x:c r="I1350" t="str">
        <x:v>Soft Clay</x:v>
      </x:c>
      <x:c r="J1350" t="str">
        <x:v>Medium</x:v>
      </x:c>
      <x:c r="K1350" t="n">
        <x:v>56608300</x:v>
      </x:c>
      <x:c r="L1350" t="n">
        <x:v>1116</x:v>
      </x:c>
      <x:c r="M1350" t="n">
        <x:v>198.3</x:v>
      </x:c>
      <x:c r="N1350" t="n">
        <x:v>10.2</x:v>
      </x:c>
      <x:c r="O1350" t="n">
        <x:v>78.1</x:v>
      </x:c>
      <x:c r="P1350" t="str">
        <x:v>Rainy</x:v>
      </x:c>
      <x:c r="Q1350" t="n">
        <x:v>96</x:v>
      </x:c>
      <x:c r="R1350" t="n">
        <x:v>78.9</x:v>
      </x:c>
      <x:c r="S1350" t="n">
        <x:v>0.0958</x:v>
      </x:c>
      <x:c r="T1350" t="n">
        <x:v>16.8</x:v>
      </x:c>
      <x:c r="U1350" t="n">
        <x:v>1265.6</x:v>
      </x:c>
      <x:c r="V1350" t="n">
        <x:v>2485</x:v>
      </x:c>
      <x:c r="W1350" t="n">
        <x:v>49</x:v>
      </x:c>
    </x:row>
    <x:row r="1351">
      <x:c r="A1351" t="str">
        <x:v>PJT_1350</x:v>
      </x:c>
      <x:c r="B1351" t="str">
        <x:v>Marine</x:v>
      </x:c>
      <x:c r="C1351" t="n">
        <x:v>5200</x:v>
      </x:c>
      <x:c r="D1351" t="n">
        <x:v>2</x:v>
      </x:c>
      <x:c r="E1351" t="str">
        <x:v>Low</x:v>
      </x:c>
      <x:c r="F1351" t="str">
        <x:v>School</x:v>
      </x:c>
      <x:c r="G1351" t="str">
        <x:v>RC Frame</x:v>
      </x:c>
      <x:c r="H1351" t="str">
        <x:v>Raft</x:v>
      </x:c>
      <x:c r="I1351" t="str">
        <x:v>Soft Clay</x:v>
      </x:c>
      <x:c r="J1351" t="str">
        <x:v>Medium</x:v>
      </x:c>
      <x:c r="K1351" t="n">
        <x:v>8502000</x:v>
      </x:c>
      <x:c r="L1351" t="n">
        <x:v>180</x:v>
      </x:c>
      <x:c r="M1351" t="n">
        <x:v>184.9</x:v>
      </x:c>
      <x:c r="N1351" t="n">
        <x:v>7</x:v>
      </x:c>
      <x:c r="O1351" t="n">
        <x:v>81.5</x:v>
      </x:c>
      <x:c r="P1351" t="str">
        <x:v>Rainy</x:v>
      </x:c>
      <x:c r="Q1351" t="n">
        <x:v>81</x:v>
      </x:c>
      <x:c r="R1351" t="n">
        <x:v>66.9</x:v>
      </x:c>
      <x:c r="S1351" t="n">
        <x:v>0.0797</x:v>
      </x:c>
      <x:c r="T1351" t="n">
        <x:v>14.4</x:v>
      </x:c>
      <x:c r="U1351" t="n">
        <x:v>2600</x:v>
      </x:c>
      <x:c r="V1351" t="n">
        <x:v>1635</x:v>
      </x:c>
      <x:c r="W1351" t="n">
        <x:v>30.8</x:v>
      </x:c>
    </x:row>
    <x:row r="1352">
      <x:c r="A1352" t="str">
        <x:v>PJT_1351</x:v>
      </x:c>
      <x:c r="B1352" t="str">
        <x:v>Mediterranean</x:v>
      </x:c>
      <x:c r="C1352" t="n">
        <x:v>25000</x:v>
      </x:c>
      <x:c r="D1352" t="n">
        <x:v>17</x:v>
      </x:c>
      <x:c r="E1352" t="str">
        <x:v>High</x:v>
      </x:c>
      <x:c r="F1352" t="str">
        <x:v>Mixed-use</x:v>
      </x:c>
      <x:c r="G1352" t="str">
        <x:v>Shear Wall</x:v>
      </x:c>
      <x:c r="H1352" t="str">
        <x:v>Piles</x:v>
      </x:c>
      <x:c r="I1352" t="str">
        <x:v>Sand</x:v>
      </x:c>
      <x:c r="J1352" t="str">
        <x:v>High</x:v>
      </x:c>
      <x:c r="K1352" t="n">
        <x:v>74275000</x:v>
      </x:c>
      <x:c r="L1352" t="n">
        <x:v>1325</x:v>
      </x:c>
      <x:c r="M1352" t="n">
        <x:v>337.9</x:v>
      </x:c>
      <x:c r="N1352" t="n">
        <x:v>23.8</x:v>
      </x:c>
      <x:c r="O1352" t="n">
        <x:v>63.7</x:v>
      </x:c>
      <x:c r="P1352" t="str">
        <x:v>Cloudy</x:v>
      </x:c>
      <x:c r="Q1352" t="n">
        <x:v>82</x:v>
      </x:c>
      <x:c r="R1352" t="n">
        <x:v>88.8</x:v>
      </x:c>
      <x:c r="S1352" t="n">
        <x:v>0.103</x:v>
      </x:c>
      <x:c r="T1352" t="n">
        <x:v>20</x:v>
      </x:c>
      <x:c r="U1352" t="n">
        <x:v>1470.6</x:v>
      </x:c>
      <x:c r="V1352" t="n">
        <x:v>2971</x:v>
      </x:c>
      <x:c r="W1352" t="n">
        <x:v>53</x:v>
      </x:c>
    </x:row>
    <x:row r="1353">
      <x:c r="A1353" t="str">
        <x:v>PJT_1352</x:v>
      </x:c>
      <x:c r="B1353" t="str">
        <x:v>Humid Subtropical</x:v>
      </x:c>
      <x:c r="C1353" t="n">
        <x:v>16220</x:v>
      </x:c>
      <x:c r="D1353" t="n">
        <x:v>16</x:v>
      </x:c>
      <x:c r="E1353" t="str">
        <x:v>Low</x:v>
      </x:c>
      <x:c r="F1353" t="str">
        <x:v>Residential</x:v>
      </x:c>
      <x:c r="G1353" t="str">
        <x:v>RC Frame</x:v>
      </x:c>
      <x:c r="H1353" t="str">
        <x:v>Raft</x:v>
      </x:c>
      <x:c r="I1353" t="str">
        <x:v>Rock</x:v>
      </x:c>
      <x:c r="J1353" t="str">
        <x:v>Low</x:v>
      </x:c>
      <x:c r="K1353" t="n">
        <x:v>20404760</x:v>
      </x:c>
      <x:c r="L1353" t="n">
        <x:v>581</x:v>
      </x:c>
      <x:c r="M1353" t="n">
        <x:v>705.6</x:v>
      </x:c>
      <x:c r="N1353" t="n">
        <x:v>19.3</x:v>
      </x:c>
      <x:c r="O1353" t="n">
        <x:v>78.2</x:v>
      </x:c>
      <x:c r="P1353" t="str">
        <x:v>Rainy</x:v>
      </x:c>
      <x:c r="Q1353" t="n">
        <x:v>81</x:v>
      </x:c>
      <x:c r="R1353" t="n">
        <x:v>63.2</x:v>
      </x:c>
      <x:c r="S1353" t="n">
        <x:v>0.0758</x:v>
      </x:c>
      <x:c r="T1353" t="n">
        <x:v>11.1</x:v>
      </x:c>
      <x:c r="U1353" t="n">
        <x:v>1013.8</x:v>
      </x:c>
      <x:c r="V1353" t="n">
        <x:v>1258</x:v>
      </x:c>
      <x:c r="W1353" t="n">
        <x:v>35.8</x:v>
      </x:c>
    </x:row>
    <x:row r="1354">
      <x:c r="A1354" t="str">
        <x:v>PJT_1353</x:v>
      </x:c>
      <x:c r="B1354" t="str">
        <x:v>Marine</x:v>
      </x:c>
      <x:c r="C1354" t="n">
        <x:v>7060</x:v>
      </x:c>
      <x:c r="D1354" t="n">
        <x:v>4</x:v>
      </x:c>
      <x:c r="E1354" t="str">
        <x:v>Low</x:v>
      </x:c>
      <x:c r="F1354" t="str">
        <x:v>School</x:v>
      </x:c>
      <x:c r="G1354" t="str">
        <x:v>RC Frame</x:v>
      </x:c>
      <x:c r="H1354" t="str">
        <x:v>Raft</x:v>
      </x:c>
      <x:c r="I1354" t="str">
        <x:v>Sand</x:v>
      </x:c>
      <x:c r="J1354" t="str">
        <x:v>High</x:v>
      </x:c>
      <x:c r="K1354" t="n">
        <x:v>12312640</x:v>
      </x:c>
      <x:c r="L1354" t="n">
        <x:v>205</x:v>
      </x:c>
      <x:c r="M1354" t="n">
        <x:v>217.2</x:v>
      </x:c>
      <x:c r="N1354" t="n">
        <x:v>11.4</x:v>
      </x:c>
      <x:c r="O1354" t="n">
        <x:v>73.9</x:v>
      </x:c>
      <x:c r="P1354" t="str">
        <x:v>Cloudy</x:v>
      </x:c>
      <x:c r="Q1354" t="n">
        <x:v>60</x:v>
      </x:c>
      <x:c r="R1354" t="n">
        <x:v>65.1</x:v>
      </x:c>
      <x:c r="S1354" t="n">
        <x:v>0.0792</x:v>
      </x:c>
      <x:c r="T1354" t="n">
        <x:v>12.7</x:v>
      </x:c>
      <x:c r="U1354" t="n">
        <x:v>1765</x:v>
      </x:c>
      <x:c r="V1354" t="n">
        <x:v>1744</x:v>
      </x:c>
      <x:c r="W1354" t="n">
        <x:v>29</x:v>
      </x:c>
    </x:row>
    <x:row r="1355">
      <x:c r="A1355" t="str">
        <x:v>PJT_1354</x:v>
      </x:c>
      <x:c r="B1355" t="str">
        <x:v>Marine</x:v>
      </x:c>
      <x:c r="C1355" t="n">
        <x:v>11320</x:v>
      </x:c>
      <x:c r="D1355" t="n">
        <x:v>15</x:v>
      </x:c>
      <x:c r="E1355" t="str">
        <x:v>Low</x:v>
      </x:c>
      <x:c r="F1355" t="str">
        <x:v>Residential</x:v>
      </x:c>
      <x:c r="G1355" t="str">
        <x:v>RC Frame</x:v>
      </x:c>
      <x:c r="H1355" t="str">
        <x:v>Piles</x:v>
      </x:c>
      <x:c r="I1355" t="str">
        <x:v>Mixed</x:v>
      </x:c>
      <x:c r="J1355" t="str">
        <x:v>Low</x:v>
      </x:c>
      <x:c r="K1355" t="n">
        <x:v>16085720</x:v>
      </x:c>
      <x:c r="L1355" t="n">
        <x:v>354</x:v>
      </x:c>
      <x:c r="M1355" t="n">
        <x:v>300.6</x:v>
      </x:c>
      <x:c r="N1355" t="n">
        <x:v>23.8</x:v>
      </x:c>
      <x:c r="O1355" t="n">
        <x:v>69.3</x:v>
      </x:c>
      <x:c r="P1355" t="str">
        <x:v>Sunny</x:v>
      </x:c>
      <x:c r="Q1355" t="n">
        <x:v>79</x:v>
      </x:c>
      <x:c r="R1355" t="n">
        <x:v>67.4</x:v>
      </x:c>
      <x:c r="S1355" t="n">
        <x:v>0.0754</x:v>
      </x:c>
      <x:c r="T1355" t="n">
        <x:v>11.6</x:v>
      </x:c>
      <x:c r="U1355" t="n">
        <x:v>754.7</x:v>
      </x:c>
      <x:c r="V1355" t="n">
        <x:v>1421</x:v>
      </x:c>
      <x:c r="W1355" t="n">
        <x:v>31.3</x:v>
      </x:c>
    </x:row>
    <x:row r="1356">
      <x:c r="A1356" t="str">
        <x:v>PJT_1355</x:v>
      </x:c>
      <x:c r="B1356" t="str">
        <x:v>Marine</x:v>
      </x:c>
      <x:c r="C1356" t="n">
        <x:v>15030</x:v>
      </x:c>
      <x:c r="D1356" t="n">
        <x:v>14</x:v>
      </x:c>
      <x:c r="E1356" t="str">
        <x:v>Medium</x:v>
      </x:c>
      <x:c r="F1356" t="str">
        <x:v>Residential</x:v>
      </x:c>
      <x:c r="G1356" t="str">
        <x:v>Shear Wall</x:v>
      </x:c>
      <x:c r="H1356" t="str">
        <x:v>Piles</x:v>
      </x:c>
      <x:c r="I1356" t="str">
        <x:v>Soft Clay</x:v>
      </x:c>
      <x:c r="J1356" t="str">
        <x:v>Medium</x:v>
      </x:c>
      <x:c r="K1356" t="n">
        <x:v>24874650</x:v>
      </x:c>
      <x:c r="L1356" t="n">
        <x:v>615</x:v>
      </x:c>
      <x:c r="M1356" t="n">
        <x:v>197.7</x:v>
      </x:c>
      <x:c r="N1356" t="n">
        <x:v>11.4</x:v>
      </x:c>
      <x:c r="O1356" t="n">
        <x:v>74.4</x:v>
      </x:c>
      <x:c r="P1356" t="str">
        <x:v>Rainy</x:v>
      </x:c>
      <x:c r="Q1356" t="n">
        <x:v>86</x:v>
      </x:c>
      <x:c r="R1356" t="n">
        <x:v>75.5</x:v>
      </x:c>
      <x:c r="S1356" t="n">
        <x:v>0.0804</x:v>
      </x:c>
      <x:c r="T1356" t="n">
        <x:v>12.7</x:v>
      </x:c>
      <x:c r="U1356" t="n">
        <x:v>1073.6</x:v>
      </x:c>
      <x:c r="V1356" t="n">
        <x:v>1655</x:v>
      </x:c>
      <x:c r="W1356" t="n">
        <x:v>40.9</x:v>
      </x:c>
    </x:row>
    <x:row r="1357">
      <x:c r="A1357" t="str">
        <x:v>PJT_1356</x:v>
      </x:c>
      <x:c r="B1357" t="str">
        <x:v>Continental</x:v>
      </x:c>
      <x:c r="C1357" t="n">
        <x:v>14290</x:v>
      </x:c>
      <x:c r="D1357" t="n">
        <x:v>10</x:v>
      </x:c>
      <x:c r="E1357" t="str">
        <x:v>Medium</x:v>
      </x:c>
      <x:c r="F1357" t="str">
        <x:v>Commercial</x:v>
      </x:c>
      <x:c r="G1357" t="str">
        <x:v>Steel</x:v>
      </x:c>
      <x:c r="H1357" t="str">
        <x:v>Raft</x:v>
      </x:c>
      <x:c r="I1357" t="str">
        <x:v>Mixed</x:v>
      </x:c>
      <x:c r="J1357" t="str">
        <x:v>High</x:v>
      </x:c>
      <x:c r="K1357" t="n">
        <x:v>33495760</x:v>
      </x:c>
      <x:c r="L1357" t="n">
        <x:v>603</x:v>
      </x:c>
      <x:c r="M1357" t="n">
        <x:v>325.8</x:v>
      </x:c>
      <x:c r="N1357" t="n">
        <x:v>4.1</x:v>
      </x:c>
      <x:c r="O1357" t="n">
        <x:v>61.2</x:v>
      </x:c>
      <x:c r="P1357" t="str">
        <x:v>Cloudy</x:v>
      </x:c>
      <x:c r="Q1357" t="n">
        <x:v>93</x:v>
      </x:c>
      <x:c r="R1357" t="n">
        <x:v>72.5</x:v>
      </x:c>
      <x:c r="S1357" t="n">
        <x:v>0.0957</x:v>
      </x:c>
      <x:c r="T1357" t="n">
        <x:v>17.3</x:v>
      </x:c>
      <x:c r="U1357" t="n">
        <x:v>1429</x:v>
      </x:c>
      <x:c r="V1357" t="n">
        <x:v>2344</x:v>
      </x:c>
      <x:c r="W1357" t="n">
        <x:v>42.2</x:v>
      </x:c>
    </x:row>
    <x:row r="1358">
      <x:c r="A1358" t="str">
        <x:v>PJT_1357</x:v>
      </x:c>
      <x:c r="B1358" t="str">
        <x:v>Humid Subtropical</x:v>
      </x:c>
      <x:c r="C1358" t="n">
        <x:v>14670</x:v>
      </x:c>
      <x:c r="D1358" t="n">
        <x:v>13</x:v>
      </x:c>
      <x:c r="E1358" t="str">
        <x:v>Medium</x:v>
      </x:c>
      <x:c r="F1358" t="str">
        <x:v>Commercial</x:v>
      </x:c>
      <x:c r="G1358" t="str">
        <x:v>Steel</x:v>
      </x:c>
      <x:c r="H1358" t="str">
        <x:v>Piles</x:v>
      </x:c>
      <x:c r="I1358" t="str">
        <x:v>Sand</x:v>
      </x:c>
      <x:c r="J1358" t="str">
        <x:v>Low</x:v>
      </x:c>
      <x:c r="K1358" t="n">
        <x:v>33843690</x:v>
      </x:c>
      <x:c r="L1358" t="n">
        <x:v>651</x:v>
      </x:c>
      <x:c r="M1358" t="n">
        <x:v>257.3</x:v>
      </x:c>
      <x:c r="N1358" t="n">
        <x:v>26.6</x:v>
      </x:c>
      <x:c r="O1358" t="n">
        <x:v>68</x:v>
      </x:c>
      <x:c r="P1358" t="str">
        <x:v>Sunny</x:v>
      </x:c>
      <x:c r="Q1358" t="n">
        <x:v>104</x:v>
      </x:c>
      <x:c r="R1358" t="n">
        <x:v>82.4</x:v>
      </x:c>
      <x:c r="S1358" t="n">
        <x:v>0.0996</x:v>
      </x:c>
      <x:c r="T1358" t="n">
        <x:v>17.5</x:v>
      </x:c>
      <x:c r="U1358" t="n">
        <x:v>1128.5</x:v>
      </x:c>
      <x:c r="V1358" t="n">
        <x:v>2307</x:v>
      </x:c>
      <x:c r="W1358" t="n">
        <x:v>44.4</x:v>
      </x:c>
    </x:row>
    <x:row r="1359">
      <x:c r="A1359" t="str">
        <x:v>PJT_1358</x:v>
      </x:c>
      <x:c r="B1359" t="str">
        <x:v>Continental</x:v>
      </x:c>
      <x:c r="C1359" t="n">
        <x:v>13540</x:v>
      </x:c>
      <x:c r="D1359" t="n">
        <x:v>12</x:v>
      </x:c>
      <x:c r="E1359" t="str">
        <x:v>Medium</x:v>
      </x:c>
      <x:c r="F1359" t="str">
        <x:v>Residential</x:v>
      </x:c>
      <x:c r="G1359" t="str">
        <x:v>Shear Wall</x:v>
      </x:c>
      <x:c r="H1359" t="str">
        <x:v>Raft</x:v>
      </x:c>
      <x:c r="I1359" t="str">
        <x:v>Mixed</x:v>
      </x:c>
      <x:c r="J1359" t="str">
        <x:v>High</x:v>
      </x:c>
      <x:c r="K1359" t="n">
        <x:v>21975420</x:v>
      </x:c>
      <x:c r="L1359" t="n">
        <x:v>505</x:v>
      </x:c>
      <x:c r="M1359" t="n">
        <x:v>287.7</x:v>
      </x:c>
      <x:c r="N1359" t="n">
        <x:v>5.2</x:v>
      </x:c>
      <x:c r="O1359" t="n">
        <x:v>75.8</x:v>
      </x:c>
      <x:c r="P1359" t="str">
        <x:v>Rainy</x:v>
      </x:c>
      <x:c r="Q1359" t="n">
        <x:v>90</x:v>
      </x:c>
      <x:c r="R1359" t="n">
        <x:v>71.4</x:v>
      </x:c>
      <x:c r="S1359" t="n">
        <x:v>0.0823</x:v>
      </x:c>
      <x:c r="T1359" t="n">
        <x:v>13.6</x:v>
      </x:c>
      <x:c r="U1359" t="n">
        <x:v>1128.3</x:v>
      </x:c>
      <x:c r="V1359" t="n">
        <x:v>1623</x:v>
      </x:c>
      <x:c r="W1359" t="n">
        <x:v>37.3</x:v>
      </x:c>
    </x:row>
    <x:row r="1360">
      <x:c r="A1360" t="str">
        <x:v>PJT_1359</x:v>
      </x:c>
      <x:c r="B1360" t="str">
        <x:v>Mediterranean</x:v>
      </x:c>
      <x:c r="C1360" t="n">
        <x:v>27970</x:v>
      </x:c>
      <x:c r="D1360" t="n">
        <x:v>20</x:v>
      </x:c>
      <x:c r="E1360" t="str">
        <x:v>Medium</x:v>
      </x:c>
      <x:c r="F1360" t="str">
        <x:v>Mixed-use</x:v>
      </x:c>
      <x:c r="G1360" t="str">
        <x:v>Steel</x:v>
      </x:c>
      <x:c r="H1360" t="str">
        <x:v>Piles</x:v>
      </x:c>
      <x:c r="I1360" t="str">
        <x:v>Mixed</x:v>
      </x:c>
      <x:c r="J1360" t="str">
        <x:v>Medium</x:v>
      </x:c>
      <x:c r="K1360" t="n">
        <x:v>76637800</x:v>
      </x:c>
      <x:c r="L1360" t="n">
        <x:v>1457</x:v>
      </x:c>
      <x:c r="M1360" t="n">
        <x:v>412.9</x:v>
      </x:c>
      <x:c r="N1360" t="n">
        <x:v>17.1</x:v>
      </x:c>
      <x:c r="O1360" t="n">
        <x:v>61.9</x:v>
      </x:c>
      <x:c r="P1360" t="str">
        <x:v>Cloudy</x:v>
      </x:c>
      <x:c r="Q1360" t="n">
        <x:v>68</x:v>
      </x:c>
      <x:c r="R1360" t="n">
        <x:v>86.8</x:v>
      </x:c>
      <x:c r="S1360" t="n">
        <x:v>0.1011</x:v>
      </x:c>
      <x:c r="T1360" t="n">
        <x:v>18.1</x:v>
      </x:c>
      <x:c r="U1360" t="n">
        <x:v>1398.5</x:v>
      </x:c>
      <x:c r="V1360" t="n">
        <x:v>2740</x:v>
      </x:c>
      <x:c r="W1360" t="n">
        <x:v>52.1</x:v>
      </x:c>
    </x:row>
    <x:row r="1361">
      <x:c r="A1361" t="str">
        <x:v>PJT_1360</x:v>
      </x:c>
      <x:c r="B1361" t="str">
        <x:v>Marine</x:v>
      </x:c>
      <x:c r="C1361" t="n">
        <x:v>23660</x:v>
      </x:c>
      <x:c r="D1361" t="n">
        <x:v>17</x:v>
      </x:c>
      <x:c r="E1361" t="str">
        <x:v>Medium</x:v>
      </x:c>
      <x:c r="F1361" t="str">
        <x:v>Commercial</x:v>
      </x:c>
      <x:c r="G1361" t="str">
        <x:v>Steel</x:v>
      </x:c>
      <x:c r="H1361" t="str">
        <x:v>Piles</x:v>
      </x:c>
      <x:c r="I1361" t="str">
        <x:v>Soft Clay</x:v>
      </x:c>
      <x:c r="J1361" t="str">
        <x:v>Low</x:v>
      </x:c>
      <x:c r="K1361" t="n">
        <x:v>57825040</x:v>
      </x:c>
      <x:c r="L1361" t="n">
        <x:v>1079</x:v>
      </x:c>
      <x:c r="M1361" t="n">
        <x:v>165.5</x:v>
      </x:c>
      <x:c r="N1361" t="n">
        <x:v>8.1</x:v>
      </x:c>
      <x:c r="O1361" t="n">
        <x:v>76.3</x:v>
      </x:c>
      <x:c r="P1361" t="str">
        <x:v>Cloudy</x:v>
      </x:c>
      <x:c r="Q1361" t="n">
        <x:v>99</x:v>
      </x:c>
      <x:c r="R1361" t="n">
        <x:v>77.1</x:v>
      </x:c>
      <x:c r="S1361" t="n">
        <x:v>0.0938</x:v>
      </x:c>
      <x:c r="T1361" t="n">
        <x:v>17.8</x:v>
      </x:c>
      <x:c r="U1361" t="n">
        <x:v>1391.8</x:v>
      </x:c>
      <x:c r="V1361" t="n">
        <x:v>2444</x:v>
      </x:c>
      <x:c r="W1361" t="n">
        <x:v>45.6</x:v>
      </x:c>
    </x:row>
    <x:row r="1362">
      <x:c r="A1362" t="str">
        <x:v>PJT_1361</x:v>
      </x:c>
      <x:c r="B1362" t="str">
        <x:v>Continental</x:v>
      </x:c>
      <x:c r="C1362" t="n">
        <x:v>25760</x:v>
      </x:c>
      <x:c r="D1362" t="n">
        <x:v>13</x:v>
      </x:c>
      <x:c r="E1362" t="str">
        <x:v>Medium</x:v>
      </x:c>
      <x:c r="F1362" t="str">
        <x:v>Commercial</x:v>
      </x:c>
      <x:c r="G1362" t="str">
        <x:v>Steel</x:v>
      </x:c>
      <x:c r="H1362" t="str">
        <x:v>Piles</x:v>
      </x:c>
      <x:c r="I1362" t="str">
        <x:v>Mixed</x:v>
      </x:c>
      <x:c r="J1362" t="str">
        <x:v>Medium</x:v>
      </x:c>
      <x:c r="K1362" t="n">
        <x:v>63859040</x:v>
      </x:c>
      <x:c r="L1362" t="n">
        <x:v>1200</x:v>
      </x:c>
      <x:c r="M1362" t="n">
        <x:v>394.7</x:v>
      </x:c>
      <x:c r="N1362" t="n">
        <x:v>7.4</x:v>
      </x:c>
      <x:c r="O1362" t="n">
        <x:v>50.1</x:v>
      </x:c>
      <x:c r="P1362" t="str">
        <x:v>Cloudy</x:v>
      </x:c>
      <x:c r="Q1362" t="n">
        <x:v>75</x:v>
      </x:c>
      <x:c r="R1362" t="n">
        <x:v>76.1</x:v>
      </x:c>
      <x:c r="S1362" t="n">
        <x:v>0.1001</x:v>
      </x:c>
      <x:c r="T1362" t="n">
        <x:v>17.3</x:v>
      </x:c>
      <x:c r="U1362" t="n">
        <x:v>1981.5</x:v>
      </x:c>
      <x:c r="V1362" t="n">
        <x:v>2479</x:v>
      </x:c>
      <x:c r="W1362" t="n">
        <x:v>46.6</x:v>
      </x:c>
    </x:row>
    <x:row r="1363">
      <x:c r="A1363" t="str">
        <x:v>PJT_1362</x:v>
      </x:c>
      <x:c r="B1363" t="str">
        <x:v>Mediterranean</x:v>
      </x:c>
      <x:c r="C1363" t="n">
        <x:v>11560</x:v>
      </x:c>
      <x:c r="D1363" t="n">
        <x:v>5</x:v>
      </x:c>
      <x:c r="E1363" t="str">
        <x:v>Medium</x:v>
      </x:c>
      <x:c r="F1363" t="str">
        <x:v>School</x:v>
      </x:c>
      <x:c r="G1363" t="str">
        <x:v>RC Frame</x:v>
      </x:c>
      <x:c r="H1363" t="str">
        <x:v>Raft</x:v>
      </x:c>
      <x:c r="I1363" t="str">
        <x:v>Mixed</x:v>
      </x:c>
      <x:c r="J1363" t="str">
        <x:v>Medium</x:v>
      </x:c>
      <x:c r="K1363" t="n">
        <x:v>20819560</x:v>
      </x:c>
      <x:c r="L1363" t="n">
        <x:v>388</x:v>
      </x:c>
      <x:c r="M1363" t="n">
        <x:v>291.9</x:v>
      </x:c>
      <x:c r="N1363" t="n">
        <x:v>13.8</x:v>
      </x:c>
      <x:c r="O1363" t="n">
        <x:v>74.4</x:v>
      </x:c>
      <x:c r="P1363" t="str">
        <x:v>Rainy</x:v>
      </x:c>
      <x:c r="Q1363" t="n">
        <x:v>82</x:v>
      </x:c>
      <x:c r="R1363" t="n">
        <x:v>71.1</x:v>
      </x:c>
      <x:c r="S1363" t="n">
        <x:v>0.0802</x:v>
      </x:c>
      <x:c r="T1363" t="n">
        <x:v>14.3</x:v>
      </x:c>
      <x:c r="U1363" t="n">
        <x:v>2312</x:v>
      </x:c>
      <x:c r="V1363" t="n">
        <x:v>1801</x:v>
      </x:c>
      <x:c r="W1363" t="n">
        <x:v>33.6</x:v>
      </x:c>
    </x:row>
    <x:row r="1364">
      <x:c r="A1364" t="str">
        <x:v>PJT_1363</x:v>
      </x:c>
      <x:c r="B1364" t="str">
        <x:v>Continental</x:v>
      </x:c>
      <x:c r="C1364" t="n">
        <x:v>17180</x:v>
      </x:c>
      <x:c r="D1364" t="n">
        <x:v>19</x:v>
      </x:c>
      <x:c r="E1364" t="str">
        <x:v>Medium</x:v>
      </x:c>
      <x:c r="F1364" t="str">
        <x:v>Residential</x:v>
      </x:c>
      <x:c r="G1364" t="str">
        <x:v>RC Frame</x:v>
      </x:c>
      <x:c r="H1364" t="str">
        <x:v>Piles</x:v>
      </x:c>
      <x:c r="I1364" t="str">
        <x:v>Soft Clay</x:v>
      </x:c>
      <x:c r="J1364" t="str">
        <x:v>Low</x:v>
      </x:c>
      <x:c r="K1364" t="n">
        <x:v>26216680</x:v>
      </x:c>
      <x:c r="L1364" t="n">
        <x:v>722</x:v>
      </x:c>
      <x:c r="M1364" t="n">
        <x:v>195.9</x:v>
      </x:c>
      <x:c r="N1364" t="n">
        <x:v>-7.4</x:v>
      </x:c>
      <x:c r="O1364" t="n">
        <x:v>83.1</x:v>
      </x:c>
      <x:c r="P1364" t="str">
        <x:v>Snowy</x:v>
      </x:c>
      <x:c r="Q1364" t="n">
        <x:v>71</x:v>
      </x:c>
      <x:c r="R1364" t="n">
        <x:v>72</x:v>
      </x:c>
      <x:c r="S1364" t="n">
        <x:v>0.0792</x:v>
      </x:c>
      <x:c r="T1364" t="n">
        <x:v>12.7</x:v>
      </x:c>
      <x:c r="U1364" t="n">
        <x:v>904.2</x:v>
      </x:c>
      <x:c r="V1364" t="n">
        <x:v>1526</x:v>
      </x:c>
      <x:c r="W1364" t="n">
        <x:v>42</x:v>
      </x:c>
    </x:row>
    <x:row r="1365">
      <x:c r="A1365" t="str">
        <x:v>PJT_1364</x:v>
      </x:c>
      <x:c r="B1365" t="str">
        <x:v>Humid Subtropical</x:v>
      </x:c>
      <x:c r="C1365" t="n">
        <x:v>29340</x:v>
      </x:c>
      <x:c r="D1365" t="n">
        <x:v>22</x:v>
      </x:c>
      <x:c r="E1365" t="str">
        <x:v>Medium</x:v>
      </x:c>
      <x:c r="F1365" t="str">
        <x:v>Commercial</x:v>
      </x:c>
      <x:c r="G1365" t="str">
        <x:v>Steel</x:v>
      </x:c>
      <x:c r="H1365" t="str">
        <x:v>Piles</x:v>
      </x:c>
      <x:c r="I1365" t="str">
        <x:v>Sand</x:v>
      </x:c>
      <x:c r="J1365" t="str">
        <x:v>Medium</x:v>
      </x:c>
      <x:c r="K1365" t="n">
        <x:v>74963700</x:v>
      </x:c>
      <x:c r="L1365" t="n">
        <x:v>1479</x:v>
      </x:c>
      <x:c r="M1365" t="n">
        <x:v>258.6</x:v>
      </x:c>
      <x:c r="N1365" t="n">
        <x:v>27.9</x:v>
      </x:c>
      <x:c r="O1365" t="n">
        <x:v>84.1</x:v>
      </x:c>
      <x:c r="P1365" t="str">
        <x:v>Rainy</x:v>
      </x:c>
      <x:c r="Q1365" t="n">
        <x:v>81</x:v>
      </x:c>
      <x:c r="R1365" t="n">
        <x:v>81.1</x:v>
      </x:c>
      <x:c r="S1365" t="n">
        <x:v>0.0965</x:v>
      </x:c>
      <x:c r="T1365" t="n">
        <x:v>18</x:v>
      </x:c>
      <x:c r="U1365" t="n">
        <x:v>1333.6</x:v>
      </x:c>
      <x:c r="V1365" t="n">
        <x:v>2555</x:v>
      </x:c>
      <x:c r="W1365" t="n">
        <x:v>50.4</x:v>
      </x:c>
    </x:row>
    <x:row r="1366">
      <x:c r="A1366" t="str">
        <x:v>PJT_1365</x:v>
      </x:c>
      <x:c r="B1366" t="str">
        <x:v>Mediterranean</x:v>
      </x:c>
      <x:c r="C1366" t="n">
        <x:v>18740</x:v>
      </x:c>
      <x:c r="D1366" t="n">
        <x:v>12</x:v>
      </x:c>
      <x:c r="E1366" t="str">
        <x:v>Medium</x:v>
      </x:c>
      <x:c r="F1366" t="str">
        <x:v>Commercial</x:v>
      </x:c>
      <x:c r="G1366" t="str">
        <x:v>RC Frame</x:v>
      </x:c>
      <x:c r="H1366" t="str">
        <x:v>Raft</x:v>
      </x:c>
      <x:c r="I1366" t="str">
        <x:v>Mixed</x:v>
      </x:c>
      <x:c r="J1366" t="str">
        <x:v>High</x:v>
      </x:c>
      <x:c r="K1366" t="n">
        <x:v>41865160</x:v>
      </x:c>
      <x:c r="L1366" t="n">
        <x:v>746</x:v>
      </x:c>
      <x:c r="M1366" t="n">
        <x:v>342.8</x:v>
      </x:c>
      <x:c r="N1366" t="n">
        <x:v>18.5</x:v>
      </x:c>
      <x:c r="O1366" t="n">
        <x:v>60.7</x:v>
      </x:c>
      <x:c r="P1366" t="str">
        <x:v>Cloudy</x:v>
      </x:c>
      <x:c r="Q1366" t="n">
        <x:v>95</x:v>
      </x:c>
      <x:c r="R1366" t="n">
        <x:v>75.8</x:v>
      </x:c>
      <x:c r="S1366" t="n">
        <x:v>0.0911</x:v>
      </x:c>
      <x:c r="T1366" t="n">
        <x:v>16.4</x:v>
      </x:c>
      <x:c r="U1366" t="n">
        <x:v>1561.7</x:v>
      </x:c>
      <x:c r="V1366" t="n">
        <x:v>2234</x:v>
      </x:c>
      <x:c r="W1366" t="n">
        <x:v>39.8</x:v>
      </x:c>
    </x:row>
    <x:row r="1367">
      <x:c r="A1367" t="str">
        <x:v>PJT_1366</x:v>
      </x:c>
      <x:c r="B1367" t="str">
        <x:v>Mediterranean</x:v>
      </x:c>
      <x:c r="C1367" t="n">
        <x:v>8890</x:v>
      </x:c>
      <x:c r="D1367" t="n">
        <x:v>5</x:v>
      </x:c>
      <x:c r="E1367" t="str">
        <x:v>Low</x:v>
      </x:c>
      <x:c r="F1367" t="str">
        <x:v>School</x:v>
      </x:c>
      <x:c r="G1367" t="str">
        <x:v>RC Frame</x:v>
      </x:c>
      <x:c r="H1367" t="str">
        <x:v>Raft</x:v>
      </x:c>
      <x:c r="I1367" t="str">
        <x:v>Soft Clay</x:v>
      </x:c>
      <x:c r="J1367" t="str">
        <x:v>Medium</x:v>
      </x:c>
      <x:c r="K1367" t="n">
        <x:v>15664180</x:v>
      </x:c>
      <x:c r="L1367" t="n">
        <x:v>252</x:v>
      </x:c>
      <x:c r="M1367" t="n">
        <x:v>190.5</x:v>
      </x:c>
      <x:c r="N1367" t="n">
        <x:v>27.3</x:v>
      </x:c>
      <x:c r="O1367" t="n">
        <x:v>49.9</x:v>
      </x:c>
      <x:c r="P1367" t="str">
        <x:v>Sunny</x:v>
      </x:c>
      <x:c r="Q1367" t="n">
        <x:v>81</x:v>
      </x:c>
      <x:c r="R1367" t="n">
        <x:v>62</x:v>
      </x:c>
      <x:c r="S1367" t="n">
        <x:v>0.0766</x:v>
      </x:c>
      <x:c r="T1367" t="n">
        <x:v>13.5</x:v>
      </x:c>
      <x:c r="U1367" t="n">
        <x:v>1778</x:v>
      </x:c>
      <x:c r="V1367" t="n">
        <x:v>1762</x:v>
      </x:c>
      <x:c r="W1367" t="n">
        <x:v>28.3</x:v>
      </x:c>
    </x:row>
    <x:row r="1368">
      <x:c r="A1368" t="str">
        <x:v>PJT_1367</x:v>
      </x:c>
      <x:c r="B1368" t="str">
        <x:v>Continental</x:v>
      </x:c>
      <x:c r="C1368" t="n">
        <x:v>23060</x:v>
      </x:c>
      <x:c r="D1368" t="n">
        <x:v>16</x:v>
      </x:c>
      <x:c r="E1368" t="str">
        <x:v>Medium</x:v>
      </x:c>
      <x:c r="F1368" t="str">
        <x:v>Mixed-use</x:v>
      </x:c>
      <x:c r="G1368" t="str">
        <x:v>Steel</x:v>
      </x:c>
      <x:c r="H1368" t="str">
        <x:v>Piles</x:v>
      </x:c>
      <x:c r="I1368" t="str">
        <x:v>Mixed</x:v>
      </x:c>
      <x:c r="J1368" t="str">
        <x:v>Low</x:v>
      </x:c>
      <x:c r="K1368" t="n">
        <x:v>60394140</x:v>
      </x:c>
      <x:c r="L1368" t="n">
        <x:v>1114</x:v>
      </x:c>
      <x:c r="M1368" t="n">
        <x:v>390.5</x:v>
      </x:c>
      <x:c r="N1368" t="n">
        <x:v>21.6</x:v>
      </x:c>
      <x:c r="O1368" t="n">
        <x:v>46.5</x:v>
      </x:c>
      <x:c r="P1368" t="str">
        <x:v>Sunny</x:v>
      </x:c>
      <x:c r="Q1368" t="n">
        <x:v>93</x:v>
      </x:c>
      <x:c r="R1368" t="n">
        <x:v>82.5</x:v>
      </x:c>
      <x:c r="S1368" t="n">
        <x:v>0.1023</x:v>
      </x:c>
      <x:c r="T1368" t="n">
        <x:v>18.4</x:v>
      </x:c>
      <x:c r="U1368" t="n">
        <x:v>1441.2</x:v>
      </x:c>
      <x:c r="V1368" t="n">
        <x:v>2619</x:v>
      </x:c>
      <x:c r="W1368" t="n">
        <x:v>48.3</x:v>
      </x:c>
    </x:row>
    <x:row r="1369">
      <x:c r="A1369" t="str">
        <x:v>PJT_1368</x:v>
      </x:c>
      <x:c r="B1369" t="str">
        <x:v>Humid Subtropical</x:v>
      </x:c>
      <x:c r="C1369" t="n">
        <x:v>17650</x:v>
      </x:c>
      <x:c r="D1369" t="n">
        <x:v>19</x:v>
      </x:c>
      <x:c r="E1369" t="str">
        <x:v>Medium</x:v>
      </x:c>
      <x:c r="F1369" t="str">
        <x:v>Residential</x:v>
      </x:c>
      <x:c r="G1369" t="str">
        <x:v>RC Frame</x:v>
      </x:c>
      <x:c r="H1369" t="str">
        <x:v>Piles</x:v>
      </x:c>
      <x:c r="I1369" t="str">
        <x:v>Sand</x:v>
      </x:c>
      <x:c r="J1369" t="str">
        <x:v>Low</x:v>
      </x:c>
      <x:c r="K1369" t="n">
        <x:v>27269250</x:v>
      </x:c>
      <x:c r="L1369" t="n">
        <x:v>650</x:v>
      </x:c>
      <x:c r="M1369" t="n">
        <x:v>298</x:v>
      </x:c>
      <x:c r="N1369" t="n">
        <x:v>34.2</x:v>
      </x:c>
      <x:c r="O1369" t="n">
        <x:v>52.4</x:v>
      </x:c>
      <x:c r="P1369" t="str">
        <x:v>Sunny</x:v>
      </x:c>
      <x:c r="Q1369" t="n">
        <x:v>81</x:v>
      </x:c>
      <x:c r="R1369" t="n">
        <x:v>75.8</x:v>
      </x:c>
      <x:c r="S1369" t="n">
        <x:v>0.0753</x:v>
      </x:c>
      <x:c r="T1369" t="n">
        <x:v>13.3</x:v>
      </x:c>
      <x:c r="U1369" t="n">
        <x:v>928.9</x:v>
      </x:c>
      <x:c r="V1369" t="n">
        <x:v>1545</x:v>
      </x:c>
      <x:c r="W1369" t="n">
        <x:v>36.8</x:v>
      </x:c>
    </x:row>
    <x:row r="1370">
      <x:c r="A1370" t="str">
        <x:v>PJT_1369</x:v>
      </x:c>
      <x:c r="B1370" t="str">
        <x:v>Continental</x:v>
      </x:c>
      <x:c r="C1370" t="n">
        <x:v>13730</x:v>
      </x:c>
      <x:c r="D1370" t="n">
        <x:v>11</x:v>
      </x:c>
      <x:c r="E1370" t="str">
        <x:v>Medium</x:v>
      </x:c>
      <x:c r="F1370" t="str">
        <x:v>Commercial</x:v>
      </x:c>
      <x:c r="G1370" t="str">
        <x:v>Steel</x:v>
      </x:c>
      <x:c r="H1370" t="str">
        <x:v>Piles</x:v>
      </x:c>
      <x:c r="I1370" t="str">
        <x:v>Soft Clay</x:v>
      </x:c>
      <x:c r="J1370" t="str">
        <x:v>Medium</x:v>
      </x:c>
      <x:c r="K1370" t="n">
        <x:v>34009210</x:v>
      </x:c>
      <x:c r="L1370" t="n">
        <x:v>607</x:v>
      </x:c>
      <x:c r="M1370" t="n">
        <x:v>193.1</x:v>
      </x:c>
      <x:c r="N1370" t="n">
        <x:v>24</x:v>
      </x:c>
      <x:c r="O1370" t="n">
        <x:v>61.9</x:v>
      </x:c>
      <x:c r="P1370" t="str">
        <x:v>Sunny</x:v>
      </x:c>
      <x:c r="Q1370" t="n">
        <x:v>77</x:v>
      </x:c>
      <x:c r="R1370" t="n">
        <x:v>79.9</x:v>
      </x:c>
      <x:c r="S1370" t="n">
        <x:v>0.0945</x:v>
      </x:c>
      <x:c r="T1370" t="n">
        <x:v>17.5</x:v>
      </x:c>
      <x:c r="U1370" t="n">
        <x:v>1248.2</x:v>
      </x:c>
      <x:c r="V1370" t="n">
        <x:v>2477</x:v>
      </x:c>
      <x:c r="W1370" t="n">
        <x:v>44.2</x:v>
      </x:c>
    </x:row>
    <x:row r="1371">
      <x:c r="A1371" t="str">
        <x:v>PJT_1370</x:v>
      </x:c>
      <x:c r="B1371" t="str">
        <x:v>Marine</x:v>
      </x:c>
      <x:c r="C1371" t="n">
        <x:v>22250</x:v>
      </x:c>
      <x:c r="D1371" t="n">
        <x:v>17</x:v>
      </x:c>
      <x:c r="E1371" t="str">
        <x:v>Medium</x:v>
      </x:c>
      <x:c r="F1371" t="str">
        <x:v>Mixed-use</x:v>
      </x:c>
      <x:c r="G1371" t="str">
        <x:v>Steel</x:v>
      </x:c>
      <x:c r="H1371" t="str">
        <x:v>Piles</x:v>
      </x:c>
      <x:c r="I1371" t="str">
        <x:v>Soft Clay</x:v>
      </x:c>
      <x:c r="J1371" t="str">
        <x:v>Medium</x:v>
      </x:c>
      <x:c r="K1371" t="n">
        <x:v>63145500</x:v>
      </x:c>
      <x:c r="L1371" t="n">
        <x:v>1048</x:v>
      </x:c>
      <x:c r="M1371" t="n">
        <x:v>165.7</x:v>
      </x:c>
      <x:c r="N1371" t="n">
        <x:v>11.1</x:v>
      </x:c>
      <x:c r="O1371" t="n">
        <x:v>59.4</x:v>
      </x:c>
      <x:c r="P1371" t="str">
        <x:v>Sunny</x:v>
      </x:c>
      <x:c r="Q1371" t="n">
        <x:v>91</x:v>
      </x:c>
      <x:c r="R1371" t="n">
        <x:v>83.4</x:v>
      </x:c>
      <x:c r="S1371" t="n">
        <x:v>0.0995</x:v>
      </x:c>
      <x:c r="T1371" t="n">
        <x:v>18.2</x:v>
      </x:c>
      <x:c r="U1371" t="n">
        <x:v>1308.8</x:v>
      </x:c>
      <x:c r="V1371" t="n">
        <x:v>2838</x:v>
      </x:c>
      <x:c r="W1371" t="n">
        <x:v>47.1</x:v>
      </x:c>
    </x:row>
    <x:row r="1372">
      <x:c r="A1372" t="str">
        <x:v>PJT_1371</x:v>
      </x:c>
      <x:c r="B1372" t="str">
        <x:v>Continental</x:v>
      </x:c>
      <x:c r="C1372" t="n">
        <x:v>18410</x:v>
      </x:c>
      <x:c r="D1372" t="n">
        <x:v>17</x:v>
      </x:c>
      <x:c r="E1372" t="str">
        <x:v>High</x:v>
      </x:c>
      <x:c r="F1372" t="str">
        <x:v>Mixed-use</x:v>
      </x:c>
      <x:c r="G1372" t="str">
        <x:v>Shear Wall</x:v>
      </x:c>
      <x:c r="H1372" t="str">
        <x:v>Piles</x:v>
      </x:c>
      <x:c r="I1372" t="str">
        <x:v>Soft Clay</x:v>
      </x:c>
      <x:c r="J1372" t="str">
        <x:v>Low</x:v>
      </x:c>
      <x:c r="K1372" t="n">
        <x:v>51640050</x:v>
      </x:c>
      <x:c r="L1372" t="n">
        <x:v>994</x:v>
      </x:c>
      <x:c r="M1372" t="n">
        <x:v>202.7</x:v>
      </x:c>
      <x:c r="N1372" t="n">
        <x:v>13.7</x:v>
      </x:c>
      <x:c r="O1372" t="n">
        <x:v>61.7</x:v>
      </x:c>
      <x:c r="P1372" t="str">
        <x:v>Sunny</x:v>
      </x:c>
      <x:c r="Q1372" t="n">
        <x:v>86</x:v>
      </x:c>
      <x:c r="R1372" t="n">
        <x:v>90.5</x:v>
      </x:c>
      <x:c r="S1372" t="n">
        <x:v>0.1044</x:v>
      </x:c>
      <x:c r="T1372" t="n">
        <x:v>21</x:v>
      </x:c>
      <x:c r="U1372" t="n">
        <x:v>1082.9</x:v>
      </x:c>
      <x:c r="V1372" t="n">
        <x:v>2805</x:v>
      </x:c>
      <x:c r="W1372" t="n">
        <x:v>54</x:v>
      </x:c>
    </x:row>
    <x:row r="1373">
      <x:c r="A1373" t="str">
        <x:v>PJT_1372</x:v>
      </x:c>
      <x:c r="B1373" t="str">
        <x:v>Marine</x:v>
      </x:c>
      <x:c r="C1373" t="n">
        <x:v>14740</x:v>
      </x:c>
      <x:c r="D1373" t="n">
        <x:v>11</x:v>
      </x:c>
      <x:c r="E1373" t="str">
        <x:v>Low</x:v>
      </x:c>
      <x:c r="F1373" t="str">
        <x:v>Residential</x:v>
      </x:c>
      <x:c r="G1373" t="str">
        <x:v>RC Frame</x:v>
      </x:c>
      <x:c r="H1373" t="str">
        <x:v>Piles</x:v>
      </x:c>
      <x:c r="I1373" t="str">
        <x:v>Soft Clay</x:v>
      </x:c>
      <x:c r="J1373" t="str">
        <x:v>Low</x:v>
      </x:c>
      <x:c r="K1373" t="n">
        <x:v>20311720</x:v>
      </x:c>
      <x:c r="L1373" t="n">
        <x:v>522</x:v>
      </x:c>
      <x:c r="M1373" t="n">
        <x:v>218.2</x:v>
      </x:c>
      <x:c r="N1373" t="n">
        <x:v>12.9</x:v>
      </x:c>
      <x:c r="O1373" t="n">
        <x:v>79.2</x:v>
      </x:c>
      <x:c r="P1373" t="str">
        <x:v>Rainy</x:v>
      </x:c>
      <x:c r="Q1373" t="n">
        <x:v>65</x:v>
      </x:c>
      <x:c r="R1373" t="n">
        <x:v>66.8</x:v>
      </x:c>
      <x:c r="S1373" t="n">
        <x:v>0.072</x:v>
      </x:c>
      <x:c r="T1373" t="n">
        <x:v>12.4</x:v>
      </x:c>
      <x:c r="U1373" t="n">
        <x:v>1340</x:v>
      </x:c>
      <x:c r="V1373" t="n">
        <x:v>1378</x:v>
      </x:c>
      <x:c r="W1373" t="n">
        <x:v>35.4</x:v>
      </x:c>
    </x:row>
    <x:row r="1374">
      <x:c r="A1374" t="str">
        <x:v>PJT_1373</x:v>
      </x:c>
      <x:c r="B1374" t="str">
        <x:v>Humid Subtropical</x:v>
      </x:c>
      <x:c r="C1374" t="n">
        <x:v>17750</x:v>
      </x:c>
      <x:c r="D1374" t="n">
        <x:v>11</x:v>
      </x:c>
      <x:c r="E1374" t="str">
        <x:v>Medium</x:v>
      </x:c>
      <x:c r="F1374" t="str">
        <x:v>Mixed-use</x:v>
      </x:c>
      <x:c r="G1374" t="str">
        <x:v>Shear Wall</x:v>
      </x:c>
      <x:c r="H1374" t="str">
        <x:v>Piles</x:v>
      </x:c>
      <x:c r="I1374" t="str">
        <x:v>Soft Clay</x:v>
      </x:c>
      <x:c r="J1374" t="str">
        <x:v>Low</x:v>
      </x:c>
      <x:c r="K1374" t="n">
        <x:v>45990250</x:v>
      </x:c>
      <x:c r="L1374" t="n">
        <x:v>848</x:v>
      </x:c>
      <x:c r="M1374" t="n">
        <x:v>193.5</x:v>
      </x:c>
      <x:c r="N1374" t="n">
        <x:v>34.5</x:v>
      </x:c>
      <x:c r="O1374" t="n">
        <x:v>60.3</x:v>
      </x:c>
      <x:c r="P1374" t="str">
        <x:v>Sunny</x:v>
      </x:c>
      <x:c r="Q1374" t="n">
        <x:v>104</x:v>
      </x:c>
      <x:c r="R1374" t="n">
        <x:v>75.1</x:v>
      </x:c>
      <x:c r="S1374" t="n">
        <x:v>0.1015</x:v>
      </x:c>
      <x:c r="T1374" t="n">
        <x:v>17.6</x:v>
      </x:c>
      <x:c r="U1374" t="n">
        <x:v>1613.6</x:v>
      </x:c>
      <x:c r="V1374" t="n">
        <x:v>2591</x:v>
      </x:c>
      <x:c r="W1374" t="n">
        <x:v>47.8</x:v>
      </x:c>
    </x:row>
    <x:row r="1375">
      <x:c r="A1375" t="str">
        <x:v>PJT_1374</x:v>
      </x:c>
      <x:c r="B1375" t="str">
        <x:v>Marine</x:v>
      </x:c>
      <x:c r="C1375" t="n">
        <x:v>14720</x:v>
      </x:c>
      <x:c r="D1375" t="n">
        <x:v>8</x:v>
      </x:c>
      <x:c r="E1375" t="str">
        <x:v>Medium</x:v>
      </x:c>
      <x:c r="F1375" t="str">
        <x:v>Hospital</x:v>
      </x:c>
      <x:c r="G1375" t="str">
        <x:v>RC Frame</x:v>
      </x:c>
      <x:c r="H1375" t="str">
        <x:v>Raft</x:v>
      </x:c>
      <x:c r="I1375" t="str">
        <x:v>Sand</x:v>
      </x:c>
      <x:c r="J1375" t="str">
        <x:v>Low</x:v>
      </x:c>
      <x:c r="K1375" t="n">
        <x:v>44233600</x:v>
      </x:c>
      <x:c r="L1375" t="n">
        <x:v>676</x:v>
      </x:c>
      <x:c r="M1375" t="n">
        <x:v>250</x:v>
      </x:c>
      <x:c r="N1375" t="n">
        <x:v>11.4</x:v>
      </x:c>
      <x:c r="O1375" t="n">
        <x:v>62.3</x:v>
      </x:c>
      <x:c r="P1375" t="str">
        <x:v>Sunny</x:v>
      </x:c>
      <x:c r="Q1375" t="n">
        <x:v>99</x:v>
      </x:c>
      <x:c r="R1375" t="n">
        <x:v>82.8</x:v>
      </x:c>
      <x:c r="S1375" t="n">
        <x:v>0.1049</x:v>
      </x:c>
      <x:c r="T1375" t="n">
        <x:v>20.1</x:v>
      </x:c>
      <x:c r="U1375" t="n">
        <x:v>1840</x:v>
      </x:c>
      <x:c r="V1375" t="n">
        <x:v>3005</x:v>
      </x:c>
      <x:c r="W1375" t="n">
        <x:v>45.9</x:v>
      </x:c>
    </x:row>
    <x:row r="1376">
      <x:c r="A1376" t="str">
        <x:v>PJT_1375</x:v>
      </x:c>
      <x:c r="B1376" t="str">
        <x:v>Mediterranean</x:v>
      </x:c>
      <x:c r="C1376" t="n">
        <x:v>18830</x:v>
      </x:c>
      <x:c r="D1376" t="n">
        <x:v>12</x:v>
      </x:c>
      <x:c r="E1376" t="str">
        <x:v>Medium</x:v>
      </x:c>
      <x:c r="F1376" t="str">
        <x:v>Commercial</x:v>
      </x:c>
      <x:c r="G1376" t="str">
        <x:v>RC Frame</x:v>
      </x:c>
      <x:c r="H1376" t="str">
        <x:v>Raft</x:v>
      </x:c>
      <x:c r="I1376" t="str">
        <x:v>Mixed</x:v>
      </x:c>
      <x:c r="J1376" t="str">
        <x:v>Medium</x:v>
      </x:c>
      <x:c r="K1376" t="n">
        <x:v>41934410</x:v>
      </x:c>
      <x:c r="L1376" t="n">
        <x:v>716</x:v>
      </x:c>
      <x:c r="M1376" t="n">
        <x:v>263.7</x:v>
      </x:c>
      <x:c r="N1376" t="n">
        <x:v>23.8</x:v>
      </x:c>
      <x:c r="O1376" t="n">
        <x:v>45.1</x:v>
      </x:c>
      <x:c r="P1376" t="str">
        <x:v>Sunny</x:v>
      </x:c>
      <x:c r="Q1376" t="n">
        <x:v>83</x:v>
      </x:c>
      <x:c r="R1376" t="n">
        <x:v>73.8</x:v>
      </x:c>
      <x:c r="S1376" t="n">
        <x:v>0.0914</x:v>
      </x:c>
      <x:c r="T1376" t="n">
        <x:v>16.6</x:v>
      </x:c>
      <x:c r="U1376" t="n">
        <x:v>1569.2</x:v>
      </x:c>
      <x:c r="V1376" t="n">
        <x:v>2227</x:v>
      </x:c>
      <x:c r="W1376" t="n">
        <x:v>38</x:v>
      </x:c>
    </x:row>
    <x:row r="1377">
      <x:c r="A1377" t="str">
        <x:v>PJT_1376</x:v>
      </x:c>
      <x:c r="B1377" t="str">
        <x:v>Humid Subtropical</x:v>
      </x:c>
      <x:c r="C1377" t="n">
        <x:v>39550</x:v>
      </x:c>
      <x:c r="D1377" t="n">
        <x:v>26</x:v>
      </x:c>
      <x:c r="E1377" t="str">
        <x:v>High</x:v>
      </x:c>
      <x:c r="F1377" t="str">
        <x:v>Mixed-use</x:v>
      </x:c>
      <x:c r="G1377" t="str">
        <x:v>Steel</x:v>
      </x:c>
      <x:c r="H1377" t="str">
        <x:v>Piles</x:v>
      </x:c>
      <x:c r="I1377" t="str">
        <x:v>Soft Clay</x:v>
      </x:c>
      <x:c r="J1377" t="str">
        <x:v>High</x:v>
      </x:c>
      <x:c r="K1377" t="n">
        <x:v>116949350</x:v>
      </x:c>
      <x:c r="L1377" t="n">
        <x:v>2294</x:v>
      </x:c>
      <x:c r="M1377" t="n">
        <x:v>215.8</x:v>
      </x:c>
      <x:c r="N1377" t="n">
        <x:v>18.3</x:v>
      </x:c>
      <x:c r="O1377" t="n">
        <x:v>74.2</x:v>
      </x:c>
      <x:c r="P1377" t="str">
        <x:v>Rainy</x:v>
      </x:c>
      <x:c r="Q1377" t="n">
        <x:v>113</x:v>
      </x:c>
      <x:c r="R1377" t="n">
        <x:v>91</x:v>
      </x:c>
      <x:c r="S1377" t="n">
        <x:v>0.1066</x:v>
      </x:c>
      <x:c r="T1377" t="n">
        <x:v>19.4</x:v>
      </x:c>
      <x:c r="U1377" t="n">
        <x:v>1521.2</x:v>
      </x:c>
      <x:c r="V1377" t="n">
        <x:v>2957</x:v>
      </x:c>
      <x:c r="W1377" t="n">
        <x:v>58</x:v>
      </x:c>
    </x:row>
    <x:row r="1378">
      <x:c r="A1378" t="str">
        <x:v>PJT_1377</x:v>
      </x:c>
      <x:c r="B1378" t="str">
        <x:v>Marine</x:v>
      </x:c>
      <x:c r="C1378" t="n">
        <x:v>27480</x:v>
      </x:c>
      <x:c r="D1378" t="n">
        <x:v>21</x:v>
      </x:c>
      <x:c r="E1378" t="str">
        <x:v>High</x:v>
      </x:c>
      <x:c r="F1378" t="str">
        <x:v>Mixed-use</x:v>
      </x:c>
      <x:c r="G1378" t="str">
        <x:v>Steel</x:v>
      </x:c>
      <x:c r="H1378" t="str">
        <x:v>Piles</x:v>
      </x:c>
      <x:c r="I1378" t="str">
        <x:v>Soft Clay</x:v>
      </x:c>
      <x:c r="J1378" t="str">
        <x:v>Low</x:v>
      </x:c>
      <x:c r="K1378" t="n">
        <x:v>80901120</x:v>
      </x:c>
      <x:c r="L1378" t="n">
        <x:v>1561</x:v>
      </x:c>
      <x:c r="M1378" t="n">
        <x:v>187.8</x:v>
      </x:c>
      <x:c r="N1378" t="n">
        <x:v>14</x:v>
      </x:c>
      <x:c r="O1378" t="n">
        <x:v>72.1</x:v>
      </x:c>
      <x:c r="P1378" t="str">
        <x:v>Cloudy</x:v>
      </x:c>
      <x:c r="Q1378" t="n">
        <x:v>64</x:v>
      </x:c>
      <x:c r="R1378" t="n">
        <x:v>87</x:v>
      </x:c>
      <x:c r="S1378" t="n">
        <x:v>0.1086</x:v>
      </x:c>
      <x:c r="T1378" t="n">
        <x:v>20.8</x:v>
      </x:c>
      <x:c r="U1378" t="n">
        <x:v>1308.6</x:v>
      </x:c>
      <x:c r="V1378" t="n">
        <x:v>2944</x:v>
      </x:c>
      <x:c r="W1378" t="n">
        <x:v>56.8</x:v>
      </x:c>
    </x:row>
    <x:row r="1379">
      <x:c r="A1379" t="str">
        <x:v>PJT_1378</x:v>
      </x:c>
      <x:c r="B1379" t="str">
        <x:v>Humid Subtropical</x:v>
      </x:c>
      <x:c r="C1379" t="n">
        <x:v>18190</x:v>
      </x:c>
      <x:c r="D1379" t="n">
        <x:v>11</x:v>
      </x:c>
      <x:c r="E1379" t="str">
        <x:v>Medium</x:v>
      </x:c>
      <x:c r="F1379" t="str">
        <x:v>Mixed-use</x:v>
      </x:c>
      <x:c r="G1379" t="str">
        <x:v>Shear Wall</x:v>
      </x:c>
      <x:c r="H1379" t="str">
        <x:v>Piles</x:v>
      </x:c>
      <x:c r="I1379" t="str">
        <x:v>Soft Clay</x:v>
      </x:c>
      <x:c r="J1379" t="str">
        <x:v>Medium</x:v>
      </x:c>
      <x:c r="K1379" t="n">
        <x:v>47403140</x:v>
      </x:c>
      <x:c r="L1379" t="n">
        <x:v>930</x:v>
      </x:c>
      <x:c r="M1379" t="n">
        <x:v>200.3</x:v>
      </x:c>
      <x:c r="N1379" t="n">
        <x:v>22.2</x:v>
      </x:c>
      <x:c r="O1379" t="n">
        <x:v>76.3</x:v>
      </x:c>
      <x:c r="P1379" t="str">
        <x:v>Rainy</x:v>
      </x:c>
      <x:c r="Q1379" t="n">
        <x:v>106</x:v>
      </x:c>
      <x:c r="R1379" t="n">
        <x:v>84.3</x:v>
      </x:c>
      <x:c r="S1379" t="n">
        <x:v>0.1007</x:v>
      </x:c>
      <x:c r="T1379" t="n">
        <x:v>17.8</x:v>
      </x:c>
      <x:c r="U1379" t="n">
        <x:v>1653.6</x:v>
      </x:c>
      <x:c r="V1379" t="n">
        <x:v>2606</x:v>
      </x:c>
      <x:c r="W1379" t="n">
        <x:v>51.1</x:v>
      </x:c>
    </x:row>
    <x:row r="1380">
      <x:c r="A1380" t="str">
        <x:v>PJT_1379</x:v>
      </x:c>
      <x:c r="B1380" t="str">
        <x:v>Mediterranean</x:v>
      </x:c>
      <x:c r="C1380" t="n">
        <x:v>12860</x:v>
      </x:c>
      <x:c r="D1380" t="n">
        <x:v>7</x:v>
      </x:c>
      <x:c r="E1380" t="str">
        <x:v>Medium</x:v>
      </x:c>
      <x:c r="F1380" t="str">
        <x:v>Hospital</x:v>
      </x:c>
      <x:c r="G1380" t="str">
        <x:v>Steel</x:v>
      </x:c>
      <x:c r="H1380" t="str">
        <x:v>Piles</x:v>
      </x:c>
      <x:c r="I1380" t="str">
        <x:v>Soft Clay</x:v>
      </x:c>
      <x:c r="J1380" t="str">
        <x:v>Medium</x:v>
      </x:c>
      <x:c r="K1380" t="n">
        <x:v>42528020</x:v>
      </x:c>
      <x:c r="L1380" t="n">
        <x:v>720</x:v>
      </x:c>
      <x:c r="M1380" t="n">
        <x:v>220.9</x:v>
      </x:c>
      <x:c r="N1380" t="n">
        <x:v>16.1</x:v>
      </x:c>
      <x:c r="O1380" t="n">
        <x:v>80</x:v>
      </x:c>
      <x:c r="P1380" t="str">
        <x:v>Stormy</x:v>
      </x:c>
      <x:c r="Q1380" t="n">
        <x:v>99</x:v>
      </x:c>
      <x:c r="R1380" t="n">
        <x:v>83.4</x:v>
      </x:c>
      <x:c r="S1380" t="n">
        <x:v>0.1103</x:v>
      </x:c>
      <x:c r="T1380" t="n">
        <x:v>20.9</x:v>
      </x:c>
      <x:c r="U1380" t="n">
        <x:v>1837.1</x:v>
      </x:c>
      <x:c r="V1380" t="n">
        <x:v>3307</x:v>
      </x:c>
      <x:c r="W1380" t="n">
        <x:v>56</x:v>
      </x:c>
    </x:row>
    <x:row r="1381">
      <x:c r="A1381" t="str">
        <x:v>PJT_1380</x:v>
      </x:c>
      <x:c r="B1381" t="str">
        <x:v>Mediterranean</x:v>
      </x:c>
      <x:c r="C1381" t="n">
        <x:v>12130</x:v>
      </x:c>
      <x:c r="D1381" t="n">
        <x:v>7</x:v>
      </x:c>
      <x:c r="E1381" t="str">
        <x:v>Medium</x:v>
      </x:c>
      <x:c r="F1381" t="str">
        <x:v>Commercial</x:v>
      </x:c>
      <x:c r="G1381" t="str">
        <x:v>RC Frame</x:v>
      </x:c>
      <x:c r="H1381" t="str">
        <x:v>Raft</x:v>
      </x:c>
      <x:c r="I1381" t="str">
        <x:v>Soft Clay</x:v>
      </x:c>
      <x:c r="J1381" t="str">
        <x:v>Low</x:v>
      </x:c>
      <x:c r="K1381" t="n">
        <x:v>26455530</x:v>
      </x:c>
      <x:c r="L1381" t="n">
        <x:v>479</x:v>
      </x:c>
      <x:c r="M1381" t="n">
        <x:v>177.7</x:v>
      </x:c>
      <x:c r="N1381" t="n">
        <x:v>30.2</x:v>
      </x:c>
      <x:c r="O1381" t="n">
        <x:v>55</x:v>
      </x:c>
      <x:c r="P1381" t="str">
        <x:v>Sunny</x:v>
      </x:c>
      <x:c r="Q1381" t="n">
        <x:v>83</x:v>
      </x:c>
      <x:c r="R1381" t="n">
        <x:v>76.9</x:v>
      </x:c>
      <x:c r="S1381" t="n">
        <x:v>0.0924</x:v>
      </x:c>
      <x:c r="T1381" t="n">
        <x:v>17.2</x:v>
      </x:c>
      <x:c r="U1381" t="n">
        <x:v>1732.9</x:v>
      </x:c>
      <x:c r="V1381" t="n">
        <x:v>2181</x:v>
      </x:c>
      <x:c r="W1381" t="n">
        <x:v>39.5</x:v>
      </x:c>
    </x:row>
    <x:row r="1382">
      <x:c r="A1382" t="str">
        <x:v>PJT_1381</x:v>
      </x:c>
      <x:c r="B1382" t="str">
        <x:v>Mediterranean</x:v>
      </x:c>
      <x:c r="C1382" t="n">
        <x:v>25490</x:v>
      </x:c>
      <x:c r="D1382" t="n">
        <x:v>16</x:v>
      </x:c>
      <x:c r="E1382" t="str">
        <x:v>High</x:v>
      </x:c>
      <x:c r="F1382" t="str">
        <x:v>Mixed-use</x:v>
      </x:c>
      <x:c r="G1382" t="str">
        <x:v>Shear Wall</x:v>
      </x:c>
      <x:c r="H1382" t="str">
        <x:v>Piles</x:v>
      </x:c>
      <x:c r="I1382" t="str">
        <x:v>Soft Clay</x:v>
      </x:c>
      <x:c r="J1382" t="str">
        <x:v>Medium</x:v>
      </x:c>
      <x:c r="K1382" t="n">
        <x:v>70709260</x:v>
      </x:c>
      <x:c r="L1382" t="n">
        <x:v>1346</x:v>
      </x:c>
      <x:c r="M1382" t="n">
        <x:v>172.8</x:v>
      </x:c>
      <x:c r="N1382" t="n">
        <x:v>26.7</x:v>
      </x:c>
      <x:c r="O1382" t="n">
        <x:v>60.5</x:v>
      </x:c>
      <x:c r="P1382" t="str">
        <x:v>Sunny</x:v>
      </x:c>
      <x:c r="Q1382" t="n">
        <x:v>65</x:v>
      </x:c>
      <x:c r="R1382" t="n">
        <x:v>87.2</x:v>
      </x:c>
      <x:c r="S1382" t="n">
        <x:v>0.1034</x:v>
      </x:c>
      <x:c r="T1382" t="n">
        <x:v>19.1</x:v>
      </x:c>
      <x:c r="U1382" t="n">
        <x:v>1593.1</x:v>
      </x:c>
      <x:c r="V1382" t="n">
        <x:v>2774</x:v>
      </x:c>
      <x:c r="W1382" t="n">
        <x:v>52.8</x:v>
      </x:c>
    </x:row>
    <x:row r="1383">
      <x:c r="A1383" t="str">
        <x:v>PJT_1382</x:v>
      </x:c>
      <x:c r="B1383" t="str">
        <x:v>Continental</x:v>
      </x:c>
      <x:c r="C1383" t="n">
        <x:v>12820</x:v>
      </x:c>
      <x:c r="D1383" t="n">
        <x:v>9</x:v>
      </x:c>
      <x:c r="E1383" t="str">
        <x:v>Low</x:v>
      </x:c>
      <x:c r="F1383" t="str">
        <x:v>Commercial</x:v>
      </x:c>
      <x:c r="G1383" t="str">
        <x:v>RC Frame</x:v>
      </x:c>
      <x:c r="H1383" t="str">
        <x:v>Raft</x:v>
      </x:c>
      <x:c r="I1383" t="str">
        <x:v>Rock</x:v>
      </x:c>
      <x:c r="J1383" t="str">
        <x:v>Low</x:v>
      </x:c>
      <x:c r="K1383" t="n">
        <x:v>26447660</x:v>
      </x:c>
      <x:c r="L1383" t="n">
        <x:v>459</x:v>
      </x:c>
      <x:c r="M1383" t="n">
        <x:v>759</x:v>
      </x:c>
      <x:c r="N1383" t="n">
        <x:v>15</x:v>
      </x:c>
      <x:c r="O1383" t="n">
        <x:v>60.9</x:v>
      </x:c>
      <x:c r="P1383" t="str">
        <x:v>Cloudy</x:v>
      </x:c>
      <x:c r="Q1383" t="n">
        <x:v>84</x:v>
      </x:c>
      <x:c r="R1383" t="n">
        <x:v>74.3</x:v>
      </x:c>
      <x:c r="S1383" t="n">
        <x:v>0.0858</x:v>
      </x:c>
      <x:c r="T1383" t="n">
        <x:v>15.3</x:v>
      </x:c>
      <x:c r="U1383" t="n">
        <x:v>1424.4</x:v>
      </x:c>
      <x:c r="V1383" t="n">
        <x:v>2063</x:v>
      </x:c>
      <x:c r="W1383" t="n">
        <x:v>35.8</x:v>
      </x:c>
    </x:row>
    <x:row r="1384">
      <x:c r="A1384" t="str">
        <x:v>PJT_1383</x:v>
      </x:c>
      <x:c r="B1384" t="str">
        <x:v>Humid Subtropical</x:v>
      </x:c>
      <x:c r="C1384" t="n">
        <x:v>14400</x:v>
      </x:c>
      <x:c r="D1384" t="n">
        <x:v>15</x:v>
      </x:c>
      <x:c r="E1384" t="str">
        <x:v>Medium</x:v>
      </x:c>
      <x:c r="F1384" t="str">
        <x:v>Residential</x:v>
      </x:c>
      <x:c r="G1384" t="str">
        <x:v>Shear Wall</x:v>
      </x:c>
      <x:c r="H1384" t="str">
        <x:v>Piles</x:v>
      </x:c>
      <x:c r="I1384" t="str">
        <x:v>Mixed</x:v>
      </x:c>
      <x:c r="J1384" t="str">
        <x:v>High</x:v>
      </x:c>
      <x:c r="K1384" t="n">
        <x:v>26654400</x:v>
      </x:c>
      <x:c r="L1384" t="n">
        <x:v>590</x:v>
      </x:c>
      <x:c r="M1384" t="n">
        <x:v>372.9</x:v>
      </x:c>
      <x:c r="N1384" t="n">
        <x:v>27.8</x:v>
      </x:c>
      <x:c r="O1384" t="n">
        <x:v>74.2</x:v>
      </x:c>
      <x:c r="P1384" t="str">
        <x:v>Rainy</x:v>
      </x:c>
      <x:c r="Q1384" t="n">
        <x:v>86</x:v>
      </x:c>
      <x:c r="R1384" t="n">
        <x:v>69.7</x:v>
      </x:c>
      <x:c r="S1384" t="n">
        <x:v>0.0855</x:v>
      </x:c>
      <x:c r="T1384" t="n">
        <x:v>14.5</x:v>
      </x:c>
      <x:c r="U1384" t="n">
        <x:v>960</x:v>
      </x:c>
      <x:c r="V1384" t="n">
        <x:v>1851</x:v>
      </x:c>
      <x:c r="W1384" t="n">
        <x:v>41</x:v>
      </x:c>
    </x:row>
    <x:row r="1385">
      <x:c r="A1385" t="str">
        <x:v>PJT_1384</x:v>
      </x:c>
      <x:c r="B1385" t="str">
        <x:v>Mediterranean</x:v>
      </x:c>
      <x:c r="C1385" t="n">
        <x:v>29570</x:v>
      </x:c>
      <x:c r="D1385" t="n">
        <x:v>16</x:v>
      </x:c>
      <x:c r="E1385" t="str">
        <x:v>Medium</x:v>
      </x:c>
      <x:c r="F1385" t="str">
        <x:v>Commercial</x:v>
      </x:c>
      <x:c r="G1385" t="str">
        <x:v>Steel</x:v>
      </x:c>
      <x:c r="H1385" t="str">
        <x:v>Piles</x:v>
      </x:c>
      <x:c r="I1385" t="str">
        <x:v>Sand</x:v>
      </x:c>
      <x:c r="J1385" t="str">
        <x:v>High</x:v>
      </x:c>
      <x:c r="K1385" t="n">
        <x:v>76911570</x:v>
      </x:c>
      <x:c r="L1385" t="n">
        <x:v>1307</x:v>
      </x:c>
      <x:c r="M1385" t="n">
        <x:v>277</x:v>
      </x:c>
      <x:c r="N1385" t="n">
        <x:v>23.9</x:v>
      </x:c>
      <x:c r="O1385" t="n">
        <x:v>50.1</x:v>
      </x:c>
      <x:c r="P1385" t="str">
        <x:v>Sunny</x:v>
      </x:c>
      <x:c r="Q1385" t="n">
        <x:v>66</x:v>
      </x:c>
      <x:c r="R1385" t="n">
        <x:v>83.3</x:v>
      </x:c>
      <x:c r="S1385" t="n">
        <x:v>0.0998</x:v>
      </x:c>
      <x:c r="T1385" t="n">
        <x:v>16.6</x:v>
      </x:c>
      <x:c r="U1385" t="n">
        <x:v>1848.1</x:v>
      </x:c>
      <x:c r="V1385" t="n">
        <x:v>2601</x:v>
      </x:c>
      <x:c r="W1385" t="n">
        <x:v>44.2</x:v>
      </x:c>
    </x:row>
    <x:row r="1386">
      <x:c r="A1386" t="str">
        <x:v>PJT_1385</x:v>
      </x:c>
      <x:c r="B1386" t="str">
        <x:v>Mediterranean</x:v>
      </x:c>
      <x:c r="C1386" t="n">
        <x:v>8320</x:v>
      </x:c>
      <x:c r="D1386" t="n">
        <x:v>5</x:v>
      </x:c>
      <x:c r="E1386" t="str">
        <x:v>Medium</x:v>
      </x:c>
      <x:c r="F1386" t="str">
        <x:v>Commercial</x:v>
      </x:c>
      <x:c r="G1386" t="str">
        <x:v>RC Frame</x:v>
      </x:c>
      <x:c r="H1386" t="str">
        <x:v>Raft</x:v>
      </x:c>
      <x:c r="I1386" t="str">
        <x:v>Soft Clay</x:v>
      </x:c>
      <x:c r="J1386" t="str">
        <x:v>Medium</x:v>
      </x:c>
      <x:c r="K1386" t="n">
        <x:v>17962880</x:v>
      </x:c>
      <x:c r="L1386" t="n">
        <x:v>351</x:v>
      </x:c>
      <x:c r="M1386" t="n">
        <x:v>150.4</x:v>
      </x:c>
      <x:c r="N1386" t="n">
        <x:v>11</x:v>
      </x:c>
      <x:c r="O1386" t="n">
        <x:v>79.5</x:v>
      </x:c>
      <x:c r="P1386" t="str">
        <x:v>Stormy</x:v>
      </x:c>
      <x:c r="Q1386" t="n">
        <x:v>78</x:v>
      </x:c>
      <x:c r="R1386" t="n">
        <x:v>77.8</x:v>
      </x:c>
      <x:c r="S1386" t="n">
        <x:v>0.0938</x:v>
      </x:c>
      <x:c r="T1386" t="n">
        <x:v>17.3</x:v>
      </x:c>
      <x:c r="U1386" t="n">
        <x:v>1664</x:v>
      </x:c>
      <x:c r="V1386" t="n">
        <x:v>2159</x:v>
      </x:c>
      <x:c r="W1386" t="n">
        <x:v>42.2</x:v>
      </x:c>
    </x:row>
    <x:row r="1387">
      <x:c r="A1387" t="str">
        <x:v>PJT_1386</x:v>
      </x:c>
      <x:c r="B1387" t="str">
        <x:v>Continental</x:v>
      </x:c>
      <x:c r="C1387" t="n">
        <x:v>6260</x:v>
      </x:c>
      <x:c r="D1387" t="n">
        <x:v>7</x:v>
      </x:c>
      <x:c r="E1387" t="str">
        <x:v>Low</x:v>
      </x:c>
      <x:c r="F1387" t="str">
        <x:v>Residential</x:v>
      </x:c>
      <x:c r="G1387" t="str">
        <x:v>RC Frame</x:v>
      </x:c>
      <x:c r="H1387" t="str">
        <x:v>Raft</x:v>
      </x:c>
      <x:c r="I1387" t="str">
        <x:v>Mixed</x:v>
      </x:c>
      <x:c r="J1387" t="str">
        <x:v>Low</x:v>
      </x:c>
      <x:c r="K1387" t="n">
        <x:v>8469780</x:v>
      </x:c>
      <x:c r="L1387" t="n">
        <x:v>185</x:v>
      </x:c>
      <x:c r="M1387" t="n">
        <x:v>363.5</x:v>
      </x:c>
      <x:c r="N1387" t="n">
        <x:v>7</x:v>
      </x:c>
      <x:c r="O1387" t="n">
        <x:v>61.4</x:v>
      </x:c>
      <x:c r="P1387" t="str">
        <x:v>Sunny</x:v>
      </x:c>
      <x:c r="Q1387" t="n">
        <x:v>92</x:v>
      </x:c>
      <x:c r="R1387" t="n">
        <x:v>60.7</x:v>
      </x:c>
      <x:c r="S1387" t="n">
        <x:v>0.0776</x:v>
      </x:c>
      <x:c r="T1387" t="n">
        <x:v>12.7</x:v>
      </x:c>
      <x:c r="U1387" t="n">
        <x:v>894.3</x:v>
      </x:c>
      <x:c r="V1387" t="n">
        <x:v>1353</x:v>
      </x:c>
      <x:c r="W1387" t="n">
        <x:v>29.5</x:v>
      </x:c>
    </x:row>
    <x:row r="1388">
      <x:c r="A1388" t="str">
        <x:v>PJT_1387</x:v>
      </x:c>
      <x:c r="B1388" t="str">
        <x:v>Marine</x:v>
      </x:c>
      <x:c r="C1388" t="n">
        <x:v>13800</x:v>
      </x:c>
      <x:c r="D1388" t="n">
        <x:v>21</x:v>
      </x:c>
      <x:c r="E1388" t="str">
        <x:v>Medium</x:v>
      </x:c>
      <x:c r="F1388" t="str">
        <x:v>Residential</x:v>
      </x:c>
      <x:c r="G1388" t="str">
        <x:v>Shear Wall</x:v>
      </x:c>
      <x:c r="H1388" t="str">
        <x:v>Piles</x:v>
      </x:c>
      <x:c r="I1388" t="str">
        <x:v>Mixed</x:v>
      </x:c>
      <x:c r="J1388" t="str">
        <x:v>Medium</x:v>
      </x:c>
      <x:c r="K1388" t="n">
        <x:v>22673400</x:v>
      </x:c>
      <x:c r="L1388" t="n">
        <x:v>593</x:v>
      </x:c>
      <x:c r="M1388" t="n">
        <x:v>402.3</x:v>
      </x:c>
      <x:c r="N1388" t="n">
        <x:v>12.7</x:v>
      </x:c>
      <x:c r="O1388" t="n">
        <x:v>79.7</x:v>
      </x:c>
      <x:c r="P1388" t="str">
        <x:v>Rainy</x:v>
      </x:c>
      <x:c r="Q1388" t="n">
        <x:v>87</x:v>
      </x:c>
      <x:c r="R1388" t="n">
        <x:v>80.6</x:v>
      </x:c>
      <x:c r="S1388" t="n">
        <x:v>0.0856</x:v>
      </x:c>
      <x:c r="T1388" t="n">
        <x:v>13.4</x:v>
      </x:c>
      <x:c r="U1388" t="n">
        <x:v>657.1</x:v>
      </x:c>
      <x:c r="V1388" t="n">
        <x:v>1643</x:v>
      </x:c>
      <x:c r="W1388" t="n">
        <x:v>43</x:v>
      </x:c>
    </x:row>
    <x:row r="1389">
      <x:c r="A1389" t="str">
        <x:v>PJT_1388</x:v>
      </x:c>
      <x:c r="B1389" t="str">
        <x:v>Continental</x:v>
      </x:c>
      <x:c r="C1389" t="n">
        <x:v>8630</x:v>
      </x:c>
      <x:c r="D1389" t="n">
        <x:v>14</x:v>
      </x:c>
      <x:c r="E1389" t="str">
        <x:v>Low</x:v>
      </x:c>
      <x:c r="F1389" t="str">
        <x:v>Residential</x:v>
      </x:c>
      <x:c r="G1389" t="str">
        <x:v>RC Frame</x:v>
      </x:c>
      <x:c r="H1389" t="str">
        <x:v>Piles</x:v>
      </x:c>
      <x:c r="I1389" t="str">
        <x:v>Soft Clay</x:v>
      </x:c>
      <x:c r="J1389" t="str">
        <x:v>Low</x:v>
      </x:c>
      <x:c r="K1389" t="n">
        <x:v>12340900</x:v>
      </x:c>
      <x:c r="L1389" t="n">
        <x:v>343</x:v>
      </x:c>
      <x:c r="M1389" t="n">
        <x:v>194.2</x:v>
      </x:c>
      <x:c r="N1389" t="n">
        <x:v>18</x:v>
      </x:c>
      <x:c r="O1389" t="n">
        <x:v>80.6</x:v>
      </x:c>
      <x:c r="P1389" t="str">
        <x:v>Stormy</x:v>
      </x:c>
      <x:c r="Q1389" t="n">
        <x:v>98</x:v>
      </x:c>
      <x:c r="R1389" t="n">
        <x:v>66.7</x:v>
      </x:c>
      <x:c r="S1389" t="n">
        <x:v>0.0733</x:v>
      </x:c>
      <x:c r="T1389" t="n">
        <x:v>12.1</x:v>
      </x:c>
      <x:c r="U1389" t="n">
        <x:v>616.4</x:v>
      </x:c>
      <x:c r="V1389" t="n">
        <x:v>1430</x:v>
      </x:c>
      <x:c r="W1389" t="n">
        <x:v>39.7</x:v>
      </x:c>
    </x:row>
    <x:row r="1390">
      <x:c r="A1390" t="str">
        <x:v>PJT_1389</x:v>
      </x:c>
      <x:c r="B1390" t="str">
        <x:v>Humid Subtropical</x:v>
      </x:c>
      <x:c r="C1390" t="n">
        <x:v>15020</x:v>
      </x:c>
      <x:c r="D1390" t="n">
        <x:v>22</x:v>
      </x:c>
      <x:c r="E1390" t="str">
        <x:v>Medium</x:v>
      </x:c>
      <x:c r="F1390" t="str">
        <x:v>Residential</x:v>
      </x:c>
      <x:c r="G1390" t="str">
        <x:v>Shear Wall</x:v>
      </x:c>
      <x:c r="H1390" t="str">
        <x:v>Piles</x:v>
      </x:c>
      <x:c r="I1390" t="str">
        <x:v>Sand</x:v>
      </x:c>
      <x:c r="J1390" t="str">
        <x:v>Medium</x:v>
      </x:c>
      <x:c r="K1390" t="n">
        <x:v>24963240</x:v>
      </x:c>
      <x:c r="L1390" t="n">
        <x:v>688</x:v>
      </x:c>
      <x:c r="M1390" t="n">
        <x:v>271.4</x:v>
      </x:c>
      <x:c r="N1390" t="n">
        <x:v>28</x:v>
      </x:c>
      <x:c r="O1390" t="n">
        <x:v>81.6</x:v>
      </x:c>
      <x:c r="P1390" t="str">
        <x:v>Stormy</x:v>
      </x:c>
      <x:c r="Q1390" t="n">
        <x:v>87</x:v>
      </x:c>
      <x:c r="R1390" t="n">
        <x:v>72.8</x:v>
      </x:c>
      <x:c r="S1390" t="n">
        <x:v>0.0822</x:v>
      </x:c>
      <x:c r="T1390" t="n">
        <x:v>14.5</x:v>
      </x:c>
      <x:c r="U1390" t="n">
        <x:v>682.7</x:v>
      </x:c>
      <x:c r="V1390" t="n">
        <x:v>1662</x:v>
      </x:c>
      <x:c r="W1390" t="n">
        <x:v>45.8</x:v>
      </x:c>
    </x:row>
    <x:row r="1391">
      <x:c r="A1391" t="str">
        <x:v>PJT_1390</x:v>
      </x:c>
      <x:c r="B1391" t="str">
        <x:v>Mediterranean</x:v>
      </x:c>
      <x:c r="C1391" t="n">
        <x:v>11320</x:v>
      </x:c>
      <x:c r="D1391" t="n">
        <x:v>8</x:v>
      </x:c>
      <x:c r="E1391" t="str">
        <x:v>Medium</x:v>
      </x:c>
      <x:c r="F1391" t="str">
        <x:v>Commercial</x:v>
      </x:c>
      <x:c r="G1391" t="str">
        <x:v>RC Frame</x:v>
      </x:c>
      <x:c r="H1391" t="str">
        <x:v>Raft</x:v>
      </x:c>
      <x:c r="I1391" t="str">
        <x:v>Mixed</x:v>
      </x:c>
      <x:c r="J1391" t="str">
        <x:v>High</x:v>
      </x:c>
      <x:c r="K1391" t="n">
        <x:v>25232280</x:v>
      </x:c>
      <x:c r="L1391" t="n">
        <x:v>466</x:v>
      </x:c>
      <x:c r="M1391" t="n">
        <x:v>342.1</x:v>
      </x:c>
      <x:c r="N1391" t="n">
        <x:v>16.8</x:v>
      </x:c>
      <x:c r="O1391" t="n">
        <x:v>66</x:v>
      </x:c>
      <x:c r="P1391" t="str">
        <x:v>Cloudy</x:v>
      </x:c>
      <x:c r="Q1391" t="n">
        <x:v>79</x:v>
      </x:c>
      <x:c r="R1391" t="n">
        <x:v>72</x:v>
      </x:c>
      <x:c r="S1391" t="n">
        <x:v>0.0928</x:v>
      </x:c>
      <x:c r="T1391" t="n">
        <x:v>15.6</x:v>
      </x:c>
      <x:c r="U1391" t="n">
        <x:v>1415</x:v>
      </x:c>
      <x:c r="V1391" t="n">
        <x:v>2229</x:v>
      </x:c>
      <x:c r="W1391" t="n">
        <x:v>41.2</x:v>
      </x:c>
    </x:row>
    <x:row r="1392">
      <x:c r="A1392" t="str">
        <x:v>PJT_1391</x:v>
      </x:c>
      <x:c r="B1392" t="str">
        <x:v>Continental</x:v>
      </x:c>
      <x:c r="C1392" t="n">
        <x:v>26010</x:v>
      </x:c>
      <x:c r="D1392" t="n">
        <x:v>21</x:v>
      </x:c>
      <x:c r="E1392" t="str">
        <x:v>High</x:v>
      </x:c>
      <x:c r="F1392" t="str">
        <x:v>Mixed-use</x:v>
      </x:c>
      <x:c r="G1392" t="str">
        <x:v>Steel</x:v>
      </x:c>
      <x:c r="H1392" t="str">
        <x:v>Piles</x:v>
      </x:c>
      <x:c r="I1392" t="str">
        <x:v>Sand</x:v>
      </x:c>
      <x:c r="J1392" t="str">
        <x:v>High</x:v>
      </x:c>
      <x:c r="K1392" t="n">
        <x:v>77431770</x:v>
      </x:c>
      <x:c r="L1392" t="n">
        <x:v>1379</x:v>
      </x:c>
      <x:c r="M1392" t="n">
        <x:v>286.6</x:v>
      </x:c>
      <x:c r="N1392" t="n">
        <x:v>24.5</x:v>
      </x:c>
      <x:c r="O1392" t="n">
        <x:v>55.4</x:v>
      </x:c>
      <x:c r="P1392" t="str">
        <x:v>Sunny</x:v>
      </x:c>
      <x:c r="Q1392" t="n">
        <x:v>73</x:v>
      </x:c>
      <x:c r="R1392" t="n">
        <x:v>91.5</x:v>
      </x:c>
      <x:c r="S1392" t="n">
        <x:v>0.1088</x:v>
      </x:c>
      <x:c r="T1392" t="n">
        <x:v>19.9</x:v>
      </x:c>
      <x:c r="U1392" t="n">
        <x:v>1238.6</x:v>
      </x:c>
      <x:c r="V1392" t="n">
        <x:v>2977</x:v>
      </x:c>
      <x:c r="W1392" t="n">
        <x:v>53</x:v>
      </x:c>
    </x:row>
    <x:row r="1393">
      <x:c r="A1393" t="str">
        <x:v>PJT_1392</x:v>
      </x:c>
      <x:c r="B1393" t="str">
        <x:v>Marine</x:v>
      </x:c>
      <x:c r="C1393" t="n">
        <x:v>19500</x:v>
      </x:c>
      <x:c r="D1393" t="n">
        <x:v>21</x:v>
      </x:c>
      <x:c r="E1393" t="str">
        <x:v>Medium</x:v>
      </x:c>
      <x:c r="F1393" t="str">
        <x:v>Mixed-use</x:v>
      </x:c>
      <x:c r="G1393" t="str">
        <x:v>Steel</x:v>
      </x:c>
      <x:c r="H1393" t="str">
        <x:v>Piles</x:v>
      </x:c>
      <x:c r="I1393" t="str">
        <x:v>Soft Clay</x:v>
      </x:c>
      <x:c r="J1393" t="str">
        <x:v>Low</x:v>
      </x:c>
      <x:c r="K1393" t="n">
        <x:v>51870000</x:v>
      </x:c>
      <x:c r="L1393" t="n">
        <x:v>989</x:v>
      </x:c>
      <x:c r="M1393" t="n">
        <x:v>169.9</x:v>
      </x:c>
      <x:c r="N1393" t="n">
        <x:v>21.6</x:v>
      </x:c>
      <x:c r="O1393" t="n">
        <x:v>56.3</x:v>
      </x:c>
      <x:c r="P1393" t="str">
        <x:v>Sunny</x:v>
      </x:c>
      <x:c r="Q1393" t="n">
        <x:v>86</x:v>
      </x:c>
      <x:c r="R1393" t="n">
        <x:v>82.2</x:v>
      </x:c>
      <x:c r="S1393" t="n">
        <x:v>0.103</x:v>
      </x:c>
      <x:c r="T1393" t="n">
        <x:v>18.8</x:v>
      </x:c>
      <x:c r="U1393" t="n">
        <x:v>928.6</x:v>
      </x:c>
      <x:c r="V1393" t="n">
        <x:v>2660</x:v>
      </x:c>
      <x:c r="W1393" t="n">
        <x:v>50.7</x:v>
      </x:c>
    </x:row>
    <x:row r="1394">
      <x:c r="A1394" t="str">
        <x:v>PJT_1393</x:v>
      </x:c>
      <x:c r="B1394" t="str">
        <x:v>Continental</x:v>
      </x:c>
      <x:c r="C1394" t="n">
        <x:v>13870</x:v>
      </x:c>
      <x:c r="D1394" t="n">
        <x:v>14</x:v>
      </x:c>
      <x:c r="E1394" t="str">
        <x:v>Medium</x:v>
      </x:c>
      <x:c r="F1394" t="str">
        <x:v>Residential</x:v>
      </x:c>
      <x:c r="G1394" t="str">
        <x:v>Shear Wall</x:v>
      </x:c>
      <x:c r="H1394" t="str">
        <x:v>Raft</x:v>
      </x:c>
      <x:c r="I1394" t="str">
        <x:v>Mixed</x:v>
      </x:c>
      <x:c r="J1394" t="str">
        <x:v>High</x:v>
      </x:c>
      <x:c r="K1394" t="n">
        <x:v>22039430</x:v>
      </x:c>
      <x:c r="L1394" t="n">
        <x:v>517</x:v>
      </x:c>
      <x:c r="M1394" t="n">
        <x:v>314.5</x:v>
      </x:c>
      <x:c r="N1394" t="n">
        <x:v>5.7</x:v>
      </x:c>
      <x:c r="O1394" t="n">
        <x:v>64.2</x:v>
      </x:c>
      <x:c r="P1394" t="str">
        <x:v>Cloudy</x:v>
      </x:c>
      <x:c r="Q1394" t="n">
        <x:v>81</x:v>
      </x:c>
      <x:c r="R1394" t="n">
        <x:v>73.5</x:v>
      </x:c>
      <x:c r="S1394" t="n">
        <x:v>0.0859</x:v>
      </x:c>
      <x:c r="T1394" t="n">
        <x:v>13.1</x:v>
      </x:c>
      <x:c r="U1394" t="n">
        <x:v>990.7</x:v>
      </x:c>
      <x:c r="V1394" t="n">
        <x:v>1589</x:v>
      </x:c>
      <x:c r="W1394" t="n">
        <x:v>37.3</x:v>
      </x:c>
    </x:row>
    <x:row r="1395">
      <x:c r="A1395" t="str">
        <x:v>PJT_1394</x:v>
      </x:c>
      <x:c r="B1395" t="str">
        <x:v>Continental</x:v>
      </x:c>
      <x:c r="C1395" t="n">
        <x:v>6680</x:v>
      </x:c>
      <x:c r="D1395" t="n">
        <x:v>7</x:v>
      </x:c>
      <x:c r="E1395" t="str">
        <x:v>Low</x:v>
      </x:c>
      <x:c r="F1395" t="str">
        <x:v>Residential</x:v>
      </x:c>
      <x:c r="G1395" t="str">
        <x:v>RC Frame</x:v>
      </x:c>
      <x:c r="H1395" t="str">
        <x:v>Raft</x:v>
      </x:c>
      <x:c r="I1395" t="str">
        <x:v>Mixed</x:v>
      </x:c>
      <x:c r="J1395" t="str">
        <x:v>Medium</x:v>
      </x:c>
      <x:c r="K1395" t="n">
        <x:v>8430160</x:v>
      </x:c>
      <x:c r="L1395" t="n">
        <x:v>197</x:v>
      </x:c>
      <x:c r="M1395" t="n">
        <x:v>351.1</x:v>
      </x:c>
      <x:c r="N1395" t="n">
        <x:v>15.6</x:v>
      </x:c>
      <x:c r="O1395" t="n">
        <x:v>57.6</x:v>
      </x:c>
      <x:c r="P1395" t="str">
        <x:v>Sunny</x:v>
      </x:c>
      <x:c r="Q1395" t="n">
        <x:v>75</x:v>
      </x:c>
      <x:c r="R1395" t="n">
        <x:v>63.5</x:v>
      </x:c>
      <x:c r="S1395" t="n">
        <x:v>0.0715</x:v>
      </x:c>
      <x:c r="T1395" t="n">
        <x:v>12.9</x:v>
      </x:c>
      <x:c r="U1395" t="n">
        <x:v>954.3</x:v>
      </x:c>
      <x:c r="V1395" t="n">
        <x:v>1262</x:v>
      </x:c>
      <x:c r="W1395" t="n">
        <x:v>29.5</x:v>
      </x:c>
    </x:row>
    <x:row r="1396">
      <x:c r="A1396" t="str">
        <x:v>PJT_1395</x:v>
      </x:c>
      <x:c r="B1396" t="str">
        <x:v>Marine</x:v>
      </x:c>
      <x:c r="C1396" t="n">
        <x:v>24500</x:v>
      </x:c>
      <x:c r="D1396" t="n">
        <x:v>14</x:v>
      </x:c>
      <x:c r="E1396" t="str">
        <x:v>High</x:v>
      </x:c>
      <x:c r="F1396" t="str">
        <x:v>Hospital</x:v>
      </x:c>
      <x:c r="G1396" t="str">
        <x:v>Shear Wall</x:v>
      </x:c>
      <x:c r="H1396" t="str">
        <x:v>Piles</x:v>
      </x:c>
      <x:c r="I1396" t="str">
        <x:v>Soft Clay</x:v>
      </x:c>
      <x:c r="J1396" t="str">
        <x:v>High</x:v>
      </x:c>
      <x:c r="K1396" t="n">
        <x:v>82810000</x:v>
      </x:c>
      <x:c r="L1396" t="n">
        <x:v>1421</x:v>
      </x:c>
      <x:c r="M1396" t="n">
        <x:v>180.2</x:v>
      </x:c>
      <x:c r="N1396" t="n">
        <x:v>15.5</x:v>
      </x:c>
      <x:c r="O1396" t="n">
        <x:v>83.2</x:v>
      </x:c>
      <x:c r="P1396" t="str">
        <x:v>Rainy</x:v>
      </x:c>
      <x:c r="Q1396" t="n">
        <x:v>74</x:v>
      </x:c>
      <x:c r="R1396" t="n">
        <x:v>82.1</x:v>
      </x:c>
      <x:c r="S1396" t="n">
        <x:v>0.1151</x:v>
      </x:c>
      <x:c r="T1396" t="n">
        <x:v>22.2</x:v>
      </x:c>
      <x:c r="U1396" t="n">
        <x:v>1750</x:v>
      </x:c>
      <x:c r="V1396" t="n">
        <x:v>3380</x:v>
      </x:c>
      <x:c r="W1396" t="n">
        <x:v>58</x:v>
      </x:c>
    </x:row>
    <x:row r="1397">
      <x:c r="A1397" t="str">
        <x:v>PJT_1396</x:v>
      </x:c>
      <x:c r="B1397" t="str">
        <x:v>Mediterranean</x:v>
      </x:c>
      <x:c r="C1397" t="n">
        <x:v>5700</x:v>
      </x:c>
      <x:c r="D1397" t="n">
        <x:v>2</x:v>
      </x:c>
      <x:c r="E1397" t="str">
        <x:v>Low</x:v>
      </x:c>
      <x:c r="F1397" t="str">
        <x:v>School</x:v>
      </x:c>
      <x:c r="G1397" t="str">
        <x:v>Steel</x:v>
      </x:c>
      <x:c r="H1397" t="str">
        <x:v>Raft</x:v>
      </x:c>
      <x:c r="I1397" t="str">
        <x:v>Sand</x:v>
      </x:c>
      <x:c r="J1397" t="str">
        <x:v>High</x:v>
      </x:c>
      <x:c r="K1397" t="n">
        <x:v>11280300</x:v>
      </x:c>
      <x:c r="L1397" t="n">
        <x:v>185</x:v>
      </x:c>
      <x:c r="M1397" t="n">
        <x:v>254.6</x:v>
      </x:c>
      <x:c r="N1397" t="n">
        <x:v>-0.5</x:v>
      </x:c>
      <x:c r="O1397" t="n">
        <x:v>74</x:v>
      </x:c>
      <x:c r="P1397" t="str">
        <x:v>Snowy</x:v>
      </x:c>
      <x:c r="Q1397" t="n">
        <x:v>78</x:v>
      </x:c>
      <x:c r="R1397" t="n">
        <x:v>67.6</x:v>
      </x:c>
      <x:c r="S1397" t="n">
        <x:v>0.0814</x:v>
      </x:c>
      <x:c r="T1397" t="n">
        <x:v>13.9</x:v>
      </x:c>
      <x:c r="U1397" t="n">
        <x:v>2850</x:v>
      </x:c>
      <x:c r="V1397" t="n">
        <x:v>1979</x:v>
      </x:c>
      <x:c r="W1397" t="n">
        <x:v>32.5</x:v>
      </x:c>
    </x:row>
    <x:row r="1398">
      <x:c r="A1398" t="str">
        <x:v>PJT_1397</x:v>
      </x:c>
      <x:c r="B1398" t="str">
        <x:v>Humid Subtropical</x:v>
      </x:c>
      <x:c r="C1398" t="n">
        <x:v>22040</x:v>
      </x:c>
      <x:c r="D1398" t="n">
        <x:v>11</x:v>
      </x:c>
      <x:c r="E1398" t="str">
        <x:v>Medium</x:v>
      </x:c>
      <x:c r="F1398" t="str">
        <x:v>Commercial</x:v>
      </x:c>
      <x:c r="G1398" t="str">
        <x:v>Steel</x:v>
      </x:c>
      <x:c r="H1398" t="str">
        <x:v>Piles</x:v>
      </x:c>
      <x:c r="I1398" t="str">
        <x:v>Soft Clay</x:v>
      </x:c>
      <x:c r="J1398" t="str">
        <x:v>Medium</x:v>
      </x:c>
      <x:c r="K1398" t="n">
        <x:v>53667400</x:v>
      </x:c>
      <x:c r="L1398" t="n">
        <x:v>950</x:v>
      </x:c>
      <x:c r="M1398" t="n">
        <x:v>206.8</x:v>
      </x:c>
      <x:c r="N1398" t="n">
        <x:v>30.8</x:v>
      </x:c>
      <x:c r="O1398" t="n">
        <x:v>62.7</x:v>
      </x:c>
      <x:c r="P1398" t="str">
        <x:v>Sunny</x:v>
      </x:c>
      <x:c r="Q1398" t="n">
        <x:v>79</x:v>
      </x:c>
      <x:c r="R1398" t="n">
        <x:v>78.5</x:v>
      </x:c>
      <x:c r="S1398" t="n">
        <x:v>0.0939</x:v>
      </x:c>
      <x:c r="T1398" t="n">
        <x:v>16.3</x:v>
      </x:c>
      <x:c r="U1398" t="n">
        <x:v>2003.6</x:v>
      </x:c>
      <x:c r="V1398" t="n">
        <x:v>2435</x:v>
      </x:c>
      <x:c r="W1398" t="n">
        <x:v>43.1</x:v>
      </x:c>
    </x:row>
    <x:row r="1399">
      <x:c r="A1399" t="str">
        <x:v>PJT_1398</x:v>
      </x:c>
      <x:c r="B1399" t="str">
        <x:v>Mediterranean</x:v>
      </x:c>
      <x:c r="C1399" t="n">
        <x:v>12380</x:v>
      </x:c>
      <x:c r="D1399" t="n">
        <x:v>8</x:v>
      </x:c>
      <x:c r="E1399" t="str">
        <x:v>Medium</x:v>
      </x:c>
      <x:c r="F1399" t="str">
        <x:v>Commercial</x:v>
      </x:c>
      <x:c r="G1399" t="str">
        <x:v>Steel</x:v>
      </x:c>
      <x:c r="H1399" t="str">
        <x:v>Raft</x:v>
      </x:c>
      <x:c r="I1399" t="str">
        <x:v>Sand</x:v>
      </x:c>
      <x:c r="J1399" t="str">
        <x:v>Medium</x:v>
      </x:c>
      <x:c r="K1399" t="n">
        <x:v>29365360</x:v>
      </x:c>
      <x:c r="L1399" t="n">
        <x:v>522</x:v>
      </x:c>
      <x:c r="M1399" t="n">
        <x:v>222.4</x:v>
      </x:c>
      <x:c r="N1399" t="n">
        <x:v>28.2</x:v>
      </x:c>
      <x:c r="O1399" t="n">
        <x:v>47</x:v>
      </x:c>
      <x:c r="P1399" t="str">
        <x:v>Sunny</x:v>
      </x:c>
      <x:c r="Q1399" t="n">
        <x:v>78</x:v>
      </x:c>
      <x:c r="R1399" t="n">
        <x:v>73.2</x:v>
      </x:c>
      <x:c r="S1399" t="n">
        <x:v>0.0962</x:v>
      </x:c>
      <x:c r="T1399" t="n">
        <x:v>16.6</x:v>
      </x:c>
      <x:c r="U1399" t="n">
        <x:v>1547.5</x:v>
      </x:c>
      <x:c r="V1399" t="n">
        <x:v>2372</x:v>
      </x:c>
      <x:c r="W1399" t="n">
        <x:v>42.2</x:v>
      </x:c>
    </x:row>
    <x:row r="1400">
      <x:c r="A1400" t="str">
        <x:v>PJT_1399</x:v>
      </x:c>
      <x:c r="B1400" t="str">
        <x:v>Marine</x:v>
      </x:c>
      <x:c r="C1400" t="n">
        <x:v>14230</x:v>
      </x:c>
      <x:c r="D1400" t="n">
        <x:v>10</x:v>
      </x:c>
      <x:c r="E1400" t="str">
        <x:v>Medium</x:v>
      </x:c>
      <x:c r="F1400" t="str">
        <x:v>Commercial</x:v>
      </x:c>
      <x:c r="G1400" t="str">
        <x:v>Steel</x:v>
      </x:c>
      <x:c r="H1400" t="str">
        <x:v>Raft</x:v>
      </x:c>
      <x:c r="I1400" t="str">
        <x:v>Rock</x:v>
      </x:c>
      <x:c r="J1400" t="str">
        <x:v>Medium</x:v>
      </x:c>
      <x:c r="K1400" t="n">
        <x:v>33611260</x:v>
      </x:c>
      <x:c r="L1400" t="n">
        <x:v>593</x:v>
      </x:c>
      <x:c r="M1400" t="n">
        <x:v>686.2</x:v>
      </x:c>
      <x:c r="N1400" t="n">
        <x:v>19.5</x:v>
      </x:c>
      <x:c r="O1400" t="n">
        <x:v>60.6</x:v>
      </x:c>
      <x:c r="P1400" t="str">
        <x:v>Sunny</x:v>
      </x:c>
      <x:c r="Q1400" t="n">
        <x:v>92</x:v>
      </x:c>
      <x:c r="R1400" t="n">
        <x:v>79.4</x:v>
      </x:c>
      <x:c r="S1400" t="n">
        <x:v>0.099</x:v>
      </x:c>
      <x:c r="T1400" t="n">
        <x:v>17.3</x:v>
      </x:c>
      <x:c r="U1400" t="n">
        <x:v>1423</x:v>
      </x:c>
      <x:c r="V1400" t="n">
        <x:v>2362</x:v>
      </x:c>
      <x:c r="W1400" t="n">
        <x:v>41.7</x:v>
      </x:c>
    </x:row>
    <x:row r="1401">
      <x:c r="A1401" t="str">
        <x:v>PJT_1400</x:v>
      </x:c>
      <x:c r="B1401" t="str">
        <x:v>Humid Subtropical</x:v>
      </x:c>
      <x:c r="C1401" t="n">
        <x:v>30390</x:v>
      </x:c>
      <x:c r="D1401" t="n">
        <x:v>18</x:v>
      </x:c>
      <x:c r="E1401" t="str">
        <x:v>High</x:v>
      </x:c>
      <x:c r="F1401" t="str">
        <x:v>Mixed-use</x:v>
      </x:c>
      <x:c r="G1401" t="str">
        <x:v>Steel</x:v>
      </x:c>
      <x:c r="H1401" t="str">
        <x:v>Piles</x:v>
      </x:c>
      <x:c r="I1401" t="str">
        <x:v>Soft Clay</x:v>
      </x:c>
      <x:c r="J1401" t="str">
        <x:v>High</x:v>
      </x:c>
      <x:c r="K1401" t="n">
        <x:v>92264040</x:v>
      </x:c>
      <x:c r="L1401" t="n">
        <x:v>1659</x:v>
      </x:c>
      <x:c r="M1401" t="n">
        <x:v>162.5</x:v>
      </x:c>
      <x:c r="N1401" t="n">
        <x:v>25.4</x:v>
      </x:c>
      <x:c r="O1401" t="n">
        <x:v>81.6</x:v>
      </x:c>
      <x:c r="P1401" t="str">
        <x:v>Cloudy</x:v>
      </x:c>
      <x:c r="Q1401" t="n">
        <x:v>91</x:v>
      </x:c>
      <x:c r="R1401" t="n">
        <x:v>83.6</x:v>
      </x:c>
      <x:c r="S1401" t="n">
        <x:v>0.1083</x:v>
      </x:c>
      <x:c r="T1401" t="n">
        <x:v>21</x:v>
      </x:c>
      <x:c r="U1401" t="n">
        <x:v>1688.3</x:v>
      </x:c>
      <x:c r="V1401" t="n">
        <x:v>3036</x:v>
      </x:c>
      <x:c r="W1401" t="n">
        <x:v>54.6</x:v>
      </x:c>
    </x:row>
    <x:row r="1402">
      <x:c r="A1402" t="str">
        <x:v>PJT_1401</x:v>
      </x:c>
      <x:c r="B1402" t="str">
        <x:v>Humid Subtropical</x:v>
      </x:c>
      <x:c r="C1402" t="n">
        <x:v>28780</x:v>
      </x:c>
      <x:c r="D1402" t="n">
        <x:v>21</x:v>
      </x:c>
      <x:c r="E1402" t="str">
        <x:v>High</x:v>
      </x:c>
      <x:c r="F1402" t="str">
        <x:v>Mixed-use</x:v>
      </x:c>
      <x:c r="G1402" t="str">
        <x:v>Steel</x:v>
      </x:c>
      <x:c r="H1402" t="str">
        <x:v>Piles</x:v>
      </x:c>
      <x:c r="I1402" t="str">
        <x:v>Rock</x:v>
      </x:c>
      <x:c r="J1402" t="str">
        <x:v>High</x:v>
      </x:c>
      <x:c r="K1402" t="n">
        <x:v>84699540</x:v>
      </x:c>
      <x:c r="L1402" t="n">
        <x:v>1574</x:v>
      </x:c>
      <x:c r="M1402" t="n">
        <x:v>800.4</x:v>
      </x:c>
      <x:c r="N1402" t="n">
        <x:v>26.7</x:v>
      </x:c>
      <x:c r="O1402" t="n">
        <x:v>81.8</x:v>
      </x:c>
      <x:c r="P1402" t="str">
        <x:v>Cloudy</x:v>
      </x:c>
      <x:c r="Q1402" t="n">
        <x:v>101</x:v>
      </x:c>
      <x:c r="R1402" t="n">
        <x:v>91.3</x:v>
      </x:c>
      <x:c r="S1402" t="n">
        <x:v>0.1092</x:v>
      </x:c>
      <x:c r="T1402" t="n">
        <x:v>20.5</x:v>
      </x:c>
      <x:c r="U1402" t="n">
        <x:v>1370.5</x:v>
      </x:c>
      <x:c r="V1402" t="n">
        <x:v>2943</x:v>
      </x:c>
      <x:c r="W1402" t="n">
        <x:v>54.7</x:v>
      </x:c>
    </x:row>
    <x:row r="1403">
      <x:c r="A1403" t="str">
        <x:v>PJT_1402</x:v>
      </x:c>
      <x:c r="B1403" t="str">
        <x:v>Mediterranean</x:v>
      </x:c>
      <x:c r="C1403" t="n">
        <x:v>23930</x:v>
      </x:c>
      <x:c r="D1403" t="n">
        <x:v>13</x:v>
      </x:c>
      <x:c r="E1403" t="str">
        <x:v>High</x:v>
      </x:c>
      <x:c r="F1403" t="str">
        <x:v>Hospital</x:v>
      </x:c>
      <x:c r="G1403" t="str">
        <x:v>Steel</x:v>
      </x:c>
      <x:c r="H1403" t="str">
        <x:v>Piles</x:v>
      </x:c>
      <x:c r="I1403" t="str">
        <x:v>Sand</x:v>
      </x:c>
      <x:c r="J1403" t="str">
        <x:v>Low</x:v>
      </x:c>
      <x:c r="K1403" t="n">
        <x:v>81218420</x:v>
      </x:c>
      <x:c r="L1403" t="n">
        <x:v>1333</x:v>
      </x:c>
      <x:c r="M1403" t="n">
        <x:v>325.7</x:v>
      </x:c>
      <x:c r="N1403" t="n">
        <x:v>20.8</x:v>
      </x:c>
      <x:c r="O1403" t="n">
        <x:v>41.6</x:v>
      </x:c>
      <x:c r="P1403" t="str">
        <x:v>Sunny</x:v>
      </x:c>
      <x:c r="Q1403" t="n">
        <x:v>87</x:v>
      </x:c>
      <x:c r="R1403" t="n">
        <x:v>85.3</x:v>
      </x:c>
      <x:c r="S1403" t="n">
        <x:v>0.1149</x:v>
      </x:c>
      <x:c r="T1403" t="n">
        <x:v>24</x:v>
      </x:c>
      <x:c r="U1403" t="n">
        <x:v>1840.8</x:v>
      </x:c>
      <x:c r="V1403" t="n">
        <x:v>3394</x:v>
      </x:c>
      <x:c r="W1403" t="n">
        <x:v>55.7</x:v>
      </x:c>
    </x:row>
    <x:row r="1404">
      <x:c r="A1404" t="str">
        <x:v>PJT_1403</x:v>
      </x:c>
      <x:c r="B1404" t="str">
        <x:v>Marine</x:v>
      </x:c>
      <x:c r="C1404" t="n">
        <x:v>17780</x:v>
      </x:c>
      <x:c r="D1404" t="n">
        <x:v>15</x:v>
      </x:c>
      <x:c r="E1404" t="str">
        <x:v>Medium</x:v>
      </x:c>
      <x:c r="F1404" t="str">
        <x:v>Commercial</x:v>
      </x:c>
      <x:c r="G1404" t="str">
        <x:v>Steel</x:v>
      </x:c>
      <x:c r="H1404" t="str">
        <x:v>Piles</x:v>
      </x:c>
      <x:c r="I1404" t="str">
        <x:v>Sand</x:v>
      </x:c>
      <x:c r="J1404" t="str">
        <x:v>Medium</x:v>
      </x:c>
      <x:c r="K1404" t="n">
        <x:v>42920920</x:v>
      </x:c>
      <x:c r="L1404" t="n">
        <x:v>880</x:v>
      </x:c>
      <x:c r="M1404" t="n">
        <x:v>323.6</x:v>
      </x:c>
      <x:c r="N1404" t="n">
        <x:v>16.9</x:v>
      </x:c>
      <x:c r="O1404" t="n">
        <x:v>74.5</x:v>
      </x:c>
      <x:c r="P1404" t="str">
        <x:v>Rainy</x:v>
      </x:c>
      <x:c r="Q1404" t="n">
        <x:v>81</x:v>
      </x:c>
      <x:c r="R1404" t="n">
        <x:v>78.5</x:v>
      </x:c>
      <x:c r="S1404" t="n">
        <x:v>0.0958</x:v>
      </x:c>
      <x:c r="T1404" t="n">
        <x:v>17.7</x:v>
      </x:c>
      <x:c r="U1404" t="n">
        <x:v>1185.3</x:v>
      </x:c>
      <x:c r="V1404" t="n">
        <x:v>2414</x:v>
      </x:c>
      <x:c r="W1404" t="n">
        <x:v>49.5</x:v>
      </x:c>
    </x:row>
    <x:row r="1405">
      <x:c r="A1405" t="str">
        <x:v>PJT_1404</x:v>
      </x:c>
      <x:c r="B1405" t="str">
        <x:v>Marine</x:v>
      </x:c>
      <x:c r="C1405" t="n">
        <x:v>7330</x:v>
      </x:c>
      <x:c r="D1405" t="n">
        <x:v>4</x:v>
      </x:c>
      <x:c r="E1405" t="str">
        <x:v>Low</x:v>
      </x:c>
      <x:c r="F1405" t="str">
        <x:v>Commercial</x:v>
      </x:c>
      <x:c r="G1405" t="str">
        <x:v>RC Frame</x:v>
      </x:c>
      <x:c r="H1405" t="str">
        <x:v>Raft</x:v>
      </x:c>
      <x:c r="I1405" t="str">
        <x:v>Sand</x:v>
      </x:c>
      <x:c r="J1405" t="str">
        <x:v>Low</x:v>
      </x:c>
      <x:c r="K1405" t="n">
        <x:v>14594030</x:v>
      </x:c>
      <x:c r="L1405" t="n">
        <x:v>274</x:v>
      </x:c>
      <x:c r="M1405" t="n">
        <x:v>308.8</x:v>
      </x:c>
      <x:c r="N1405" t="n">
        <x:v>18.3</x:v>
      </x:c>
      <x:c r="O1405" t="n">
        <x:v>70.1</x:v>
      </x:c>
      <x:c r="P1405" t="str">
        <x:v>Cloudy</x:v>
      </x:c>
      <x:c r="Q1405" t="n">
        <x:v>88</x:v>
      </x:c>
      <x:c r="R1405" t="n">
        <x:v>71</x:v>
      </x:c>
      <x:c r="S1405" t="n">
        <x:v>0.0841</x:v>
      </x:c>
      <x:c r="T1405" t="n">
        <x:v>15.1</x:v>
      </x:c>
      <x:c r="U1405" t="n">
        <x:v>1832.5</x:v>
      </x:c>
      <x:c r="V1405" t="n">
        <x:v>1991</x:v>
      </x:c>
      <x:c r="W1405" t="n">
        <x:v>37.4</x:v>
      </x:c>
    </x:row>
    <x:row r="1406">
      <x:c r="A1406" t="str">
        <x:v>PJT_1405</x:v>
      </x:c>
      <x:c r="B1406" t="str">
        <x:v>Continental</x:v>
      </x:c>
      <x:c r="C1406" t="n">
        <x:v>8950</x:v>
      </x:c>
      <x:c r="D1406" t="n">
        <x:v>5</x:v>
      </x:c>
      <x:c r="E1406" t="str">
        <x:v>Low</x:v>
      </x:c>
      <x:c r="F1406" t="str">
        <x:v>School</x:v>
      </x:c>
      <x:c r="G1406" t="str">
        <x:v>RC Frame</x:v>
      </x:c>
      <x:c r="H1406" t="str">
        <x:v>Raft</x:v>
      </x:c>
      <x:c r="I1406" t="str">
        <x:v>Sand</x:v>
      </x:c>
      <x:c r="J1406" t="str">
        <x:v>Medium</x:v>
      </x:c>
      <x:c r="K1406" t="n">
        <x:v>14391600</x:v>
      </x:c>
      <x:c r="L1406" t="n">
        <x:v>266</x:v>
      </x:c>
      <x:c r="M1406" t="n">
        <x:v>262.4</x:v>
      </x:c>
      <x:c r="N1406" t="n">
        <x:v>13.9</x:v>
      </x:c>
      <x:c r="O1406" t="n">
        <x:v>81.2</x:v>
      </x:c>
      <x:c r="P1406" t="str">
        <x:v>Rainy</x:v>
      </x:c>
      <x:c r="Q1406" t="n">
        <x:v>80</x:v>
      </x:c>
      <x:c r="R1406" t="n">
        <x:v>64.4</x:v>
      </x:c>
      <x:c r="S1406" t="n">
        <x:v>0.0766</x:v>
      </x:c>
      <x:c r="T1406" t="n">
        <x:v>13.8</x:v>
      </x:c>
      <x:c r="U1406" t="n">
        <x:v>1790</x:v>
      </x:c>
      <x:c r="V1406" t="n">
        <x:v>1608</x:v>
      </x:c>
      <x:c r="W1406" t="n">
        <x:v>29.7</x:v>
      </x:c>
    </x:row>
    <x:row r="1407">
      <x:c r="A1407" t="str">
        <x:v>PJT_1406</x:v>
      </x:c>
      <x:c r="B1407" t="str">
        <x:v>Continental</x:v>
      </x:c>
      <x:c r="C1407" t="n">
        <x:v>14920</x:v>
      </x:c>
      <x:c r="D1407" t="n">
        <x:v>20</x:v>
      </x:c>
      <x:c r="E1407" t="str">
        <x:v>Medium</x:v>
      </x:c>
      <x:c r="F1407" t="str">
        <x:v>Residential</x:v>
      </x:c>
      <x:c r="G1407" t="str">
        <x:v>RC Frame</x:v>
      </x:c>
      <x:c r="H1407" t="str">
        <x:v>Piles</x:v>
      </x:c>
      <x:c r="I1407" t="str">
        <x:v>Soft Clay</x:v>
      </x:c>
      <x:c r="J1407" t="str">
        <x:v>Low</x:v>
      </x:c>
      <x:c r="K1407" t="n">
        <x:v>21499720</x:v>
      </x:c>
      <x:c r="L1407" t="n">
        <x:v>558</x:v>
      </x:c>
      <x:c r="M1407" t="n">
        <x:v>232.8</x:v>
      </x:c>
      <x:c r="N1407" t="n">
        <x:v>11</x:v>
      </x:c>
      <x:c r="O1407" t="n">
        <x:v>63.9</x:v>
      </x:c>
      <x:c r="P1407" t="str">
        <x:v>Cloudy</x:v>
      </x:c>
      <x:c r="Q1407" t="n">
        <x:v>61</x:v>
      </x:c>
      <x:c r="R1407" t="n">
        <x:v>75.9</x:v>
      </x:c>
      <x:c r="S1407" t="n">
        <x:v>0.0773</x:v>
      </x:c>
      <x:c r="T1407" t="n">
        <x:v>13.9</x:v>
      </x:c>
      <x:c r="U1407" t="n">
        <x:v>746</x:v>
      </x:c>
      <x:c r="V1407" t="n">
        <x:v>1441</x:v>
      </x:c>
      <x:c r="W1407" t="n">
        <x:v>37.4</x:v>
      </x:c>
    </x:row>
    <x:row r="1408">
      <x:c r="A1408" t="str">
        <x:v>PJT_1407</x:v>
      </x:c>
      <x:c r="B1408" t="str">
        <x:v>Mediterranean</x:v>
      </x:c>
      <x:c r="C1408" t="n">
        <x:v>4620</x:v>
      </x:c>
      <x:c r="D1408" t="n">
        <x:v>2</x:v>
      </x:c>
      <x:c r="E1408" t="str">
        <x:v>Low</x:v>
      </x:c>
      <x:c r="F1408" t="str">
        <x:v>School</x:v>
      </x:c>
      <x:c r="G1408" t="str">
        <x:v>RC Frame</x:v>
      </x:c>
      <x:c r="H1408" t="str">
        <x:v>Strip</x:v>
      </x:c>
      <x:c r="I1408" t="str">
        <x:v>Rock</x:v>
      </x:c>
      <x:c r="J1408" t="str">
        <x:v>Medium</x:v>
      </x:c>
      <x:c r="K1408" t="n">
        <x:v>7387380</x:v>
      </x:c>
      <x:c r="L1408" t="n">
        <x:v>180</x:v>
      </x:c>
      <x:c r="M1408" t="n">
        <x:v>529.5</x:v>
      </x:c>
      <x:c r="N1408" t="n">
        <x:v>11.3</x:v>
      </x:c>
      <x:c r="O1408" t="n">
        <x:v>83.3</x:v>
      </x:c>
      <x:c r="P1408" t="str">
        <x:v>Rainy</x:v>
      </x:c>
      <x:c r="Q1408" t="n">
        <x:v>63</x:v>
      </x:c>
      <x:c r="R1408" t="n">
        <x:v>59.8</x:v>
      </x:c>
      <x:c r="S1408" t="n">
        <x:v>0.0788</x:v>
      </x:c>
      <x:c r="T1408" t="n">
        <x:v>14</x:v>
      </x:c>
      <x:c r="U1408" t="n">
        <x:v>2310</x:v>
      </x:c>
      <x:c r="V1408" t="n">
        <x:v>1599</x:v>
      </x:c>
      <x:c r="W1408" t="n">
        <x:v>28.1</x:v>
      </x:c>
    </x:row>
    <x:row r="1409">
      <x:c r="A1409" t="str">
        <x:v>PJT_1408</x:v>
      </x:c>
      <x:c r="B1409" t="str">
        <x:v>Marine</x:v>
      </x:c>
      <x:c r="C1409" t="n">
        <x:v>20780</x:v>
      </x:c>
      <x:c r="D1409" t="n">
        <x:v>12</x:v>
      </x:c>
      <x:c r="E1409" t="str">
        <x:v>Medium</x:v>
      </x:c>
      <x:c r="F1409" t="str">
        <x:v>Commercial</x:v>
      </x:c>
      <x:c r="G1409" t="str">
        <x:v>RC Frame</x:v>
      </x:c>
      <x:c r="H1409" t="str">
        <x:v>Piles</x:v>
      </x:c>
      <x:c r="I1409" t="str">
        <x:v>Soft Clay</x:v>
      </x:c>
      <x:c r="J1409" t="str">
        <x:v>High</x:v>
      </x:c>
      <x:c r="K1409" t="n">
        <x:v>47877120</x:v>
      </x:c>
      <x:c r="L1409" t="n">
        <x:v>979</x:v>
      </x:c>
      <x:c r="M1409" t="n">
        <x:v>217.2</x:v>
      </x:c>
      <x:c r="N1409" t="n">
        <x:v>12.8</x:v>
      </x:c>
      <x:c r="O1409" t="n">
        <x:v>86.2</x:v>
      </x:c>
      <x:c r="P1409" t="str">
        <x:v>Stormy</x:v>
      </x:c>
      <x:c r="Q1409" t="n">
        <x:v>74</x:v>
      </x:c>
      <x:c r="R1409" t="n">
        <x:v>72.9</x:v>
      </x:c>
      <x:c r="S1409" t="n">
        <x:v>0.0945</x:v>
      </x:c>
      <x:c r="T1409" t="n">
        <x:v>16.6</x:v>
      </x:c>
      <x:c r="U1409" t="n">
        <x:v>1731.7</x:v>
      </x:c>
      <x:c r="V1409" t="n">
        <x:v>2304</x:v>
      </x:c>
      <x:c r="W1409" t="n">
        <x:v>47.1</x:v>
      </x:c>
    </x:row>
    <x:row r="1410">
      <x:c r="A1410" t="str">
        <x:v>PJT_1409</x:v>
      </x:c>
      <x:c r="B1410" t="str">
        <x:v>Continental</x:v>
      </x:c>
      <x:c r="C1410" t="n">
        <x:v>29910</x:v>
      </x:c>
      <x:c r="D1410" t="n">
        <x:v>19</x:v>
      </x:c>
      <x:c r="E1410" t="str">
        <x:v>Medium</x:v>
      </x:c>
      <x:c r="F1410" t="str">
        <x:v>Commercial</x:v>
      </x:c>
      <x:c r="G1410" t="str">
        <x:v>Steel</x:v>
      </x:c>
      <x:c r="H1410" t="str">
        <x:v>Piles</x:v>
      </x:c>
      <x:c r="I1410" t="str">
        <x:v>Mixed</x:v>
      </x:c>
      <x:c r="J1410" t="str">
        <x:v>Low</x:v>
      </x:c>
      <x:c r="K1410" t="n">
        <x:v>71185800</x:v>
      </x:c>
      <x:c r="L1410" t="n">
        <x:v>1510</x:v>
      </x:c>
      <x:c r="M1410" t="n">
        <x:v>309.4</x:v>
      </x:c>
      <x:c r="N1410" t="n">
        <x:v>6.4</x:v>
      </x:c>
      <x:c r="O1410" t="n">
        <x:v>83.7</x:v>
      </x:c>
      <x:c r="P1410" t="str">
        <x:v>Stormy</x:v>
      </x:c>
      <x:c r="Q1410" t="n">
        <x:v>88</x:v>
      </x:c>
      <x:c r="R1410" t="n">
        <x:v>80.1</x:v>
      </x:c>
      <x:c r="S1410" t="n">
        <x:v>0.1002</x:v>
      </x:c>
      <x:c r="T1410" t="n">
        <x:v>16.8</x:v>
      </x:c>
      <x:c r="U1410" t="n">
        <x:v>1574.2</x:v>
      </x:c>
      <x:c r="V1410" t="n">
        <x:v>2380</x:v>
      </x:c>
      <x:c r="W1410" t="n">
        <x:v>50.5</x:v>
      </x:c>
    </x:row>
    <x:row r="1411">
      <x:c r="A1411" t="str">
        <x:v>PJT_1410</x:v>
      </x:c>
      <x:c r="B1411" t="str">
        <x:v>Mediterranean</x:v>
      </x:c>
      <x:c r="C1411" t="n">
        <x:v>21460</x:v>
      </x:c>
      <x:c r="D1411" t="n">
        <x:v>17</x:v>
      </x:c>
      <x:c r="E1411" t="str">
        <x:v>Medium</x:v>
      </x:c>
      <x:c r="F1411" t="str">
        <x:v>Mixed-use</x:v>
      </x:c>
      <x:c r="G1411" t="str">
        <x:v>Steel</x:v>
      </x:c>
      <x:c r="H1411" t="str">
        <x:v>Raft</x:v>
      </x:c>
      <x:c r="I1411" t="str">
        <x:v>Rock</x:v>
      </x:c>
      <x:c r="J1411" t="str">
        <x:v>Medium</x:v>
      </x:c>
      <x:c r="K1411" t="n">
        <x:v>56761700</x:v>
      </x:c>
      <x:c r="L1411" t="n">
        <x:v>1133</x:v>
      </x:c>
      <x:c r="M1411" t="n">
        <x:v>646.6</x:v>
      </x:c>
      <x:c r="N1411" t="n">
        <x:v>14.1</x:v>
      </x:c>
      <x:c r="O1411" t="n">
        <x:v>74.6</x:v>
      </x:c>
      <x:c r="P1411" t="str">
        <x:v>Stormy</x:v>
      </x:c>
      <x:c r="Q1411" t="n">
        <x:v>76</x:v>
      </x:c>
      <x:c r="R1411" t="n">
        <x:v>80.1</x:v>
      </x:c>
      <x:c r="S1411" t="n">
        <x:v>0.1053</x:v>
      </x:c>
      <x:c r="T1411" t="n">
        <x:v>18.8</x:v>
      </x:c>
      <x:c r="U1411" t="n">
        <x:v>1262.4</x:v>
      </x:c>
      <x:c r="V1411" t="n">
        <x:v>2645</x:v>
      </x:c>
      <x:c r="W1411" t="n">
        <x:v>52.8</x:v>
      </x:c>
    </x:row>
    <x:row r="1412">
      <x:c r="A1412" t="str">
        <x:v>PJT_1411</x:v>
      </x:c>
      <x:c r="B1412" t="str">
        <x:v>Continental</x:v>
      </x:c>
      <x:c r="C1412" t="n">
        <x:v>23360</x:v>
      </x:c>
      <x:c r="D1412" t="n">
        <x:v>17</x:v>
      </x:c>
      <x:c r="E1412" t="str">
        <x:v>Medium</x:v>
      </x:c>
      <x:c r="F1412" t="str">
        <x:v>Mixed-use</x:v>
      </x:c>
      <x:c r="G1412" t="str">
        <x:v>Shear Wall</x:v>
      </x:c>
      <x:c r="H1412" t="str">
        <x:v>Piles</x:v>
      </x:c>
      <x:c r="I1412" t="str">
        <x:v>Mixed</x:v>
      </x:c>
      <x:c r="J1412" t="str">
        <x:v>Medium</x:v>
      </x:c>
      <x:c r="K1412" t="n">
        <x:v>61086400</x:v>
      </x:c>
      <x:c r="L1412" t="n">
        <x:v>1194</x:v>
      </x:c>
      <x:c r="M1412" t="n">
        <x:v>419.5</x:v>
      </x:c>
      <x:c r="N1412" t="n">
        <x:v>1.4</x:v>
      </x:c>
      <x:c r="O1412" t="n">
        <x:v>52.7</x:v>
      </x:c>
      <x:c r="P1412" t="str">
        <x:v>Cloudy</x:v>
      </x:c>
      <x:c r="Q1412" t="n">
        <x:v>99</x:v>
      </x:c>
      <x:c r="R1412" t="n">
        <x:v>85.4</x:v>
      </x:c>
      <x:c r="S1412" t="n">
        <x:v>0.0994</x:v>
      </x:c>
      <x:c r="T1412" t="n">
        <x:v>18.1</x:v>
      </x:c>
      <x:c r="U1412" t="n">
        <x:v>1374.1</x:v>
      </x:c>
      <x:c r="V1412" t="n">
        <x:v>2615</x:v>
      </x:c>
      <x:c r="W1412" t="n">
        <x:v>51.1</x:v>
      </x:c>
    </x:row>
    <x:row r="1413">
      <x:c r="A1413" t="str">
        <x:v>PJT_1412</x:v>
      </x:c>
      <x:c r="B1413" t="str">
        <x:v>Marine</x:v>
      </x:c>
      <x:c r="C1413" t="n">
        <x:v>19940</x:v>
      </x:c>
      <x:c r="D1413" t="n">
        <x:v>14</x:v>
      </x:c>
      <x:c r="E1413" t="str">
        <x:v>Medium</x:v>
      </x:c>
      <x:c r="F1413" t="str">
        <x:v>Commercial</x:v>
      </x:c>
      <x:c r="G1413" t="str">
        <x:v>Steel</x:v>
      </x:c>
      <x:c r="H1413" t="str">
        <x:v>Raft</x:v>
      </x:c>
      <x:c r="I1413" t="str">
        <x:v>Rock</x:v>
      </x:c>
      <x:c r="J1413" t="str">
        <x:v>Low</x:v>
      </x:c>
      <x:c r="K1413" t="n">
        <x:v>47018520</x:v>
      </x:c>
      <x:c r="L1413" t="n">
        <x:v>873</x:v>
      </x:c>
      <x:c r="M1413" t="n">
        <x:v>657.7</x:v>
      </x:c>
      <x:c r="N1413" t="n">
        <x:v>14</x:v>
      </x:c>
      <x:c r="O1413" t="n">
        <x:v>73.6</x:v>
      </x:c>
      <x:c r="P1413" t="str">
        <x:v>Cloudy</x:v>
      </x:c>
      <x:c r="Q1413" t="n">
        <x:v>67</x:v>
      </x:c>
      <x:c r="R1413" t="n">
        <x:v>79.8</x:v>
      </x:c>
      <x:c r="S1413" t="n">
        <x:v>0.0937</x:v>
      </x:c>
      <x:c r="T1413" t="n">
        <x:v>16.9</x:v>
      </x:c>
      <x:c r="U1413" t="n">
        <x:v>1424.3</x:v>
      </x:c>
      <x:c r="V1413" t="n">
        <x:v>2358</x:v>
      </x:c>
      <x:c r="W1413" t="n">
        <x:v>43.8</x:v>
      </x:c>
    </x:row>
    <x:row r="1414">
      <x:c r="A1414" t="str">
        <x:v>PJT_1413</x:v>
      </x:c>
      <x:c r="B1414" t="str">
        <x:v>Continental</x:v>
      </x:c>
      <x:c r="C1414" t="n">
        <x:v>24100</x:v>
      </x:c>
      <x:c r="D1414" t="n">
        <x:v>15</x:v>
      </x:c>
      <x:c r="E1414" t="str">
        <x:v>Medium</x:v>
      </x:c>
      <x:c r="F1414" t="str">
        <x:v>Mixed-use</x:v>
      </x:c>
      <x:c r="G1414" t="str">
        <x:v>Steel</x:v>
      </x:c>
      <x:c r="H1414" t="str">
        <x:v>Piles</x:v>
      </x:c>
      <x:c r="I1414" t="str">
        <x:v>Mixed</x:v>
      </x:c>
      <x:c r="J1414" t="str">
        <x:v>High</x:v>
      </x:c>
      <x:c r="K1414" t="n">
        <x:v>66275000</x:v>
      </x:c>
      <x:c r="L1414" t="n">
        <x:v>1248</x:v>
      </x:c>
      <x:c r="M1414" t="n">
        <x:v>292.1</x:v>
      </x:c>
      <x:c r="N1414" t="n">
        <x:v>16.8</x:v>
      </x:c>
      <x:c r="O1414" t="n">
        <x:v>79.8</x:v>
      </x:c>
      <x:c r="P1414" t="str">
        <x:v>Rainy</x:v>
      </x:c>
      <x:c r="Q1414" t="n">
        <x:v>104</x:v>
      </x:c>
      <x:c r="R1414" t="n">
        <x:v>80.1</x:v>
      </x:c>
      <x:c r="S1414" t="n">
        <x:v>0.0986</x:v>
      </x:c>
      <x:c r="T1414" t="n">
        <x:v>17.6</x:v>
      </x:c>
      <x:c r="U1414" t="n">
        <x:v>1606.7</x:v>
      </x:c>
      <x:c r="V1414" t="n">
        <x:v>2750</x:v>
      </x:c>
      <x:c r="W1414" t="n">
        <x:v>51.8</x:v>
      </x:c>
    </x:row>
    <x:row r="1415">
      <x:c r="A1415" t="str">
        <x:v>PJT_1414</x:v>
      </x:c>
      <x:c r="B1415" t="str">
        <x:v>Marine</x:v>
      </x:c>
      <x:c r="C1415" t="n">
        <x:v>21120</x:v>
      </x:c>
      <x:c r="D1415" t="n">
        <x:v>24</x:v>
      </x:c>
      <x:c r="E1415" t="str">
        <x:v>High</x:v>
      </x:c>
      <x:c r="F1415" t="str">
        <x:v>Mixed-use</x:v>
      </x:c>
      <x:c r="G1415" t="str">
        <x:v>Steel</x:v>
      </x:c>
      <x:c r="H1415" t="str">
        <x:v>Piles</x:v>
      </x:c>
      <x:c r="I1415" t="str">
        <x:v>Mixed</x:v>
      </x:c>
      <x:c r="J1415" t="str">
        <x:v>Medium</x:v>
      </x:c>
      <x:c r="K1415" t="n">
        <x:v>62768640</x:v>
      </x:c>
      <x:c r="L1415" t="n">
        <x:v>1193</x:v>
      </x:c>
      <x:c r="M1415" t="n">
        <x:v>376.1</x:v>
      </x:c>
      <x:c r="N1415" t="n">
        <x:v>6</x:v>
      </x:c>
      <x:c r="O1415" t="n">
        <x:v>92</x:v>
      </x:c>
      <x:c r="P1415" t="str">
        <x:v>Rainy</x:v>
      </x:c>
      <x:c r="Q1415" t="n">
        <x:v>88</x:v>
      </x:c>
      <x:c r="R1415" t="n">
        <x:v>92</x:v>
      </x:c>
      <x:c r="S1415" t="n">
        <x:v>0.1064</x:v>
      </x:c>
      <x:c r="T1415" t="n">
        <x:v>19.4</x:v>
      </x:c>
      <x:c r="U1415" t="n">
        <x:v>880</x:v>
      </x:c>
      <x:c r="V1415" t="n">
        <x:v>2972</x:v>
      </x:c>
      <x:c r="W1415" t="n">
        <x:v>56.5</x:v>
      </x:c>
    </x:row>
    <x:row r="1416">
      <x:c r="A1416" t="str">
        <x:v>PJT_1415</x:v>
      </x:c>
      <x:c r="B1416" t="str">
        <x:v>Humid Subtropical</x:v>
      </x:c>
      <x:c r="C1416" t="n">
        <x:v>7980</x:v>
      </x:c>
      <x:c r="D1416" t="n">
        <x:v>2</x:v>
      </x:c>
      <x:c r="E1416" t="str">
        <x:v>Low</x:v>
      </x:c>
      <x:c r="F1416" t="str">
        <x:v>School</x:v>
      </x:c>
      <x:c r="G1416" t="str">
        <x:v>RC Frame</x:v>
      </x:c>
      <x:c r="H1416" t="str">
        <x:v>Raft</x:v>
      </x:c>
      <x:c r="I1416" t="str">
        <x:v>Sand</x:v>
      </x:c>
      <x:c r="J1416" t="str">
        <x:v>Medium</x:v>
      </x:c>
      <x:c r="K1416" t="n">
        <x:v>13957020</x:v>
      </x:c>
      <x:c r="L1416" t="n">
        <x:v>252</x:v>
      </x:c>
      <x:c r="M1416" t="n">
        <x:v>295.3</x:v>
      </x:c>
      <x:c r="N1416" t="n">
        <x:v>23.2</x:v>
      </x:c>
      <x:c r="O1416" t="n">
        <x:v>82.8</x:v>
      </x:c>
      <x:c r="P1416" t="str">
        <x:v>Stormy</x:v>
      </x:c>
      <x:c r="Q1416" t="n">
        <x:v>103</x:v>
      </x:c>
      <x:c r="R1416" t="n">
        <x:v>59.3</x:v>
      </x:c>
      <x:c r="S1416" t="n">
        <x:v>0.077</x:v>
      </x:c>
      <x:c r="T1416" t="n">
        <x:v>12.6</x:v>
      </x:c>
      <x:c r="U1416" t="n">
        <x:v>3990</x:v>
      </x:c>
      <x:c r="V1416" t="n">
        <x:v>1749</x:v>
      </x:c>
      <x:c r="W1416" t="n">
        <x:v>31.6</x:v>
      </x:c>
    </x:row>
    <x:row r="1417">
      <x:c r="A1417" t="str">
        <x:v>PJT_1416</x:v>
      </x:c>
      <x:c r="B1417" t="str">
        <x:v>Marine</x:v>
      </x:c>
      <x:c r="C1417" t="n">
        <x:v>16920</x:v>
      </x:c>
      <x:c r="D1417" t="n">
        <x:v>10</x:v>
      </x:c>
      <x:c r="E1417" t="str">
        <x:v>Medium</x:v>
      </x:c>
      <x:c r="F1417" t="str">
        <x:v>Hospital</x:v>
      </x:c>
      <x:c r="G1417" t="str">
        <x:v>Shear Wall</x:v>
      </x:c>
      <x:c r="H1417" t="str">
        <x:v>Raft</x:v>
      </x:c>
      <x:c r="I1417" t="str">
        <x:v>Mixed</x:v>
      </x:c>
      <x:c r="J1417" t="str">
        <x:v>Medium</x:v>
      </x:c>
      <x:c r="K1417" t="n">
        <x:v>51690600</x:v>
      </x:c>
      <x:c r="L1417" t="n">
        <x:v>794</x:v>
      </x:c>
      <x:c r="M1417" t="n">
        <x:v>296.9</x:v>
      </x:c>
      <x:c r="N1417" t="n">
        <x:v>16.3</x:v>
      </x:c>
      <x:c r="O1417" t="n">
        <x:v>69.7</x:v>
      </x:c>
      <x:c r="P1417" t="str">
        <x:v>Sunny</x:v>
      </x:c>
      <x:c r="Q1417" t="n">
        <x:v>91</x:v>
      </x:c>
      <x:c r="R1417" t="n">
        <x:v>83.5</x:v>
      </x:c>
      <x:c r="S1417" t="n">
        <x:v>0.1051</x:v>
      </x:c>
      <x:c r="T1417" t="n">
        <x:v>20.3</x:v>
      </x:c>
      <x:c r="U1417" t="n">
        <x:v>1692</x:v>
      </x:c>
      <x:c r="V1417" t="n">
        <x:v>3055</x:v>
      </x:c>
      <x:c r="W1417" t="n">
        <x:v>46.9</x:v>
      </x:c>
    </x:row>
    <x:row r="1418">
      <x:c r="A1418" t="str">
        <x:v>PJT_1417</x:v>
      </x:c>
      <x:c r="B1418" t="str">
        <x:v>Humid Subtropical</x:v>
      </x:c>
      <x:c r="C1418" t="n">
        <x:v>22750</x:v>
      </x:c>
      <x:c r="D1418" t="n">
        <x:v>12</x:v>
      </x:c>
      <x:c r="E1418" t="str">
        <x:v>High</x:v>
      </x:c>
      <x:c r="F1418" t="str">
        <x:v>Hospital</x:v>
      </x:c>
      <x:c r="G1418" t="str">
        <x:v>Shear Wall</x:v>
      </x:c>
      <x:c r="H1418" t="str">
        <x:v>Raft</x:v>
      </x:c>
      <x:c r="I1418" t="str">
        <x:v>Rock</x:v>
      </x:c>
      <x:c r="J1418" t="str">
        <x:v>Medium</x:v>
      </x:c>
      <x:c r="K1418" t="n">
        <x:v>73437000</x:v>
      </x:c>
      <x:c r="L1418" t="n">
        <x:v>1251</x:v>
      </x:c>
      <x:c r="M1418" t="n">
        <x:v>758.6</x:v>
      </x:c>
      <x:c r="N1418" t="n">
        <x:v>28.4</x:v>
      </x:c>
      <x:c r="O1418" t="n">
        <x:v>80.6</x:v>
      </x:c>
      <x:c r="P1418" t="str">
        <x:v>Cloudy</x:v>
      </x:c>
      <x:c r="Q1418" t="n">
        <x:v>104</x:v>
      </x:c>
      <x:c r="R1418" t="n">
        <x:v>88.1</x:v>
      </x:c>
      <x:c r="S1418" t="n">
        <x:v>0.1141</x:v>
      </x:c>
      <x:c r="T1418" t="n">
        <x:v>23</x:v>
      </x:c>
      <x:c r="U1418" t="n">
        <x:v>1895.8</x:v>
      </x:c>
      <x:c r="V1418" t="n">
        <x:v>3228</x:v>
      </x:c>
      <x:c r="W1418" t="n">
        <x:v>55</x:v>
      </x:c>
    </x:row>
    <x:row r="1419">
      <x:c r="A1419" t="str">
        <x:v>PJT_1418</x:v>
      </x:c>
      <x:c r="B1419" t="str">
        <x:v>Humid Subtropical</x:v>
      </x:c>
      <x:c r="C1419" t="n">
        <x:v>5930</x:v>
      </x:c>
      <x:c r="D1419" t="n">
        <x:v>6</x:v>
      </x:c>
      <x:c r="E1419" t="str">
        <x:v>Low</x:v>
      </x:c>
      <x:c r="F1419" t="str">
        <x:v>Residential</x:v>
      </x:c>
      <x:c r="G1419" t="str">
        <x:v>RC Frame</x:v>
      </x:c>
      <x:c r="H1419" t="str">
        <x:v>Raft</x:v>
      </x:c>
      <x:c r="I1419" t="str">
        <x:v>Sand</x:v>
      </x:c>
      <x:c r="J1419" t="str">
        <x:v>Medium</x:v>
      </x:c>
      <x:c r="K1419" t="n">
        <x:v>8770470</x:v>
      </x:c>
      <x:c r="L1419" t="n">
        <x:v>192</x:v>
      </x:c>
      <x:c r="M1419" t="n">
        <x:v>282.6</x:v>
      </x:c>
      <x:c r="N1419" t="n">
        <x:v>18.2</x:v>
      </x:c>
      <x:c r="O1419" t="n">
        <x:v>76.4</x:v>
      </x:c>
      <x:c r="P1419" t="str">
        <x:v>Rainy</x:v>
      </x:c>
      <x:c r="Q1419" t="n">
        <x:v>69</x:v>
      </x:c>
      <x:c r="R1419" t="n">
        <x:v>62</x:v>
      </x:c>
      <x:c r="S1419" t="n">
        <x:v>0.0777</x:v>
      </x:c>
      <x:c r="T1419" t="n">
        <x:v>12.9</x:v>
      </x:c>
      <x:c r="U1419" t="n">
        <x:v>988.3</x:v>
      </x:c>
      <x:c r="V1419" t="n">
        <x:v>1479</x:v>
      </x:c>
      <x:c r="W1419" t="n">
        <x:v>32.4</x:v>
      </x:c>
    </x:row>
    <x:row r="1420">
      <x:c r="A1420" t="str">
        <x:v>PJT_1419</x:v>
      </x:c>
      <x:c r="B1420" t="str">
        <x:v>Marine</x:v>
      </x:c>
      <x:c r="C1420" t="n">
        <x:v>13190</x:v>
      </x:c>
      <x:c r="D1420" t="n">
        <x:v>14</x:v>
      </x:c>
      <x:c r="E1420" t="str">
        <x:v>Low</x:v>
      </x:c>
      <x:c r="F1420" t="str">
        <x:v>Residential</x:v>
      </x:c>
      <x:c r="G1420" t="str">
        <x:v>Shear Wall</x:v>
      </x:c>
      <x:c r="H1420" t="str">
        <x:v>Raft</x:v>
      </x:c>
      <x:c r="I1420" t="str">
        <x:v>Rock</x:v>
      </x:c>
      <x:c r="J1420" t="str">
        <x:v>High</x:v>
      </x:c>
      <x:c r="K1420" t="n">
        <x:v>20286220</x:v>
      </x:c>
      <x:c r="L1420" t="n">
        <x:v>500</x:v>
      </x:c>
      <x:c r="M1420" t="n">
        <x:v>595.4</x:v>
      </x:c>
      <x:c r="N1420" t="n">
        <x:v>1.1</x:v>
      </x:c>
      <x:c r="O1420" t="n">
        <x:v>67.8</x:v>
      </x:c>
      <x:c r="P1420" t="str">
        <x:v>Snowy</x:v>
      </x:c>
      <x:c r="Q1420" t="n">
        <x:v>84</x:v>
      </x:c>
      <x:c r="R1420" t="n">
        <x:v>67.4</x:v>
      </x:c>
      <x:c r="S1420" t="n">
        <x:v>0.0797</x:v>
      </x:c>
      <x:c r="T1420" t="n">
        <x:v>13.3</x:v>
      </x:c>
      <x:c r="U1420" t="n">
        <x:v>942.1</x:v>
      </x:c>
      <x:c r="V1420" t="n">
        <x:v>1538</x:v>
      </x:c>
      <x:c r="W1420" t="n">
        <x:v>37.9</x:v>
      </x:c>
    </x:row>
    <x:row r="1421">
      <x:c r="A1421" t="str">
        <x:v>PJT_1420</x:v>
      </x:c>
      <x:c r="B1421" t="str">
        <x:v>Mediterranean</x:v>
      </x:c>
      <x:c r="C1421" t="n">
        <x:v>10380</x:v>
      </x:c>
      <x:c r="D1421" t="n">
        <x:v>15</x:v>
      </x:c>
      <x:c r="E1421" t="str">
        <x:v>Low</x:v>
      </x:c>
      <x:c r="F1421" t="str">
        <x:v>Residential</x:v>
      </x:c>
      <x:c r="G1421" t="str">
        <x:v>Shear Wall</x:v>
      </x:c>
      <x:c r="H1421" t="str">
        <x:v>Piles</x:v>
      </x:c>
      <x:c r="I1421" t="str">
        <x:v>Soft Clay</x:v>
      </x:c>
      <x:c r="J1421" t="str">
        <x:v>Medium</x:v>
      </x:c>
      <x:c r="K1421" t="n">
        <x:v>16774080</x:v>
      </x:c>
      <x:c r="L1421" t="n">
        <x:v>409</x:v>
      </x:c>
      <x:c r="M1421" t="n">
        <x:v>197.4</x:v>
      </x:c>
      <x:c r="N1421" t="n">
        <x:v>9.4</x:v>
      </x:c>
      <x:c r="O1421" t="n">
        <x:v>69.4</x:v>
      </x:c>
      <x:c r="P1421" t="str">
        <x:v>Rainy</x:v>
      </x:c>
      <x:c r="Q1421" t="n">
        <x:v>78</x:v>
      </x:c>
      <x:c r="R1421" t="n">
        <x:v>69</x:v>
      </x:c>
      <x:c r="S1421" t="n">
        <x:v>0.076</x:v>
      </x:c>
      <x:c r="T1421" t="n">
        <x:v>12</x:v>
      </x:c>
      <x:c r="U1421" t="n">
        <x:v>692</x:v>
      </x:c>
      <x:c r="V1421" t="n">
        <x:v>1616</x:v>
      </x:c>
      <x:c r="W1421" t="n">
        <x:v>39.4</x:v>
      </x:c>
    </x:row>
    <x:row r="1422">
      <x:c r="A1422" t="str">
        <x:v>PJT_1421</x:v>
      </x:c>
      <x:c r="B1422" t="str">
        <x:v>Humid Subtropical</x:v>
      </x:c>
      <x:c r="C1422" t="n">
        <x:v>24250</x:v>
      </x:c>
      <x:c r="D1422" t="n">
        <x:v>16</x:v>
      </x:c>
      <x:c r="E1422" t="str">
        <x:v>Medium</x:v>
      </x:c>
      <x:c r="F1422" t="str">
        <x:v>Mixed-use</x:v>
      </x:c>
      <x:c r="G1422" t="str">
        <x:v>Steel</x:v>
      </x:c>
      <x:c r="H1422" t="str">
        <x:v>Piles</x:v>
      </x:c>
      <x:c r="I1422" t="str">
        <x:v>Mixed</x:v>
      </x:c>
      <x:c r="J1422" t="str">
        <x:v>High</x:v>
      </x:c>
      <x:c r="K1422" t="n">
        <x:v>68942750</x:v>
      </x:c>
      <x:c r="L1422" t="n">
        <x:v>1227</x:v>
      </x:c>
      <x:c r="M1422" t="n">
        <x:v>339.5</x:v>
      </x:c>
      <x:c r="N1422" t="n">
        <x:v>24.5</x:v>
      </x:c>
      <x:c r="O1422" t="n">
        <x:v>88.6</x:v>
      </x:c>
      <x:c r="P1422" t="str">
        <x:v>Rainy</x:v>
      </x:c>
      <x:c r="Q1422" t="n">
        <x:v>90</x:v>
      </x:c>
      <x:c r="R1422" t="n">
        <x:v>85.7</x:v>
      </x:c>
      <x:c r="S1422" t="n">
        <x:v>0.099</x:v>
      </x:c>
      <x:c r="T1422" t="n">
        <x:v>17.9</x:v>
      </x:c>
      <x:c r="U1422" t="n">
        <x:v>1515.6</x:v>
      </x:c>
      <x:c r="V1422" t="n">
        <x:v>2843</x:v>
      </x:c>
      <x:c r="W1422" t="n">
        <x:v>50.6</x:v>
      </x:c>
    </x:row>
    <x:row r="1423">
      <x:c r="A1423" t="str">
        <x:v>PJT_1422</x:v>
      </x:c>
      <x:c r="B1423" t="str">
        <x:v>Mediterranean</x:v>
      </x:c>
      <x:c r="C1423" t="n">
        <x:v>22760</x:v>
      </x:c>
      <x:c r="D1423" t="n">
        <x:v>19</x:v>
      </x:c>
      <x:c r="E1423" t="str">
        <x:v>High</x:v>
      </x:c>
      <x:c r="F1423" t="str">
        <x:v>Mixed-use</x:v>
      </x:c>
      <x:c r="G1423" t="str">
        <x:v>Steel</x:v>
      </x:c>
      <x:c r="H1423" t="str">
        <x:v>Piles</x:v>
      </x:c>
      <x:c r="I1423" t="str">
        <x:v>Soft Clay</x:v>
      </x:c>
      <x:c r="J1423" t="str">
        <x:v>Low</x:v>
      </x:c>
      <x:c r="K1423" t="n">
        <x:v>66390920</x:v>
      </x:c>
      <x:c r="L1423" t="n">
        <x:v>1320</x:v>
      </x:c>
      <x:c r="M1423" t="n">
        <x:v>214.6</x:v>
      </x:c>
      <x:c r="N1423" t="n">
        <x:v>13</x:v>
      </x:c>
      <x:c r="O1423" t="n">
        <x:v>86</x:v>
      </x:c>
      <x:c r="P1423" t="str">
        <x:v>Stormy</x:v>
      </x:c>
      <x:c r="Q1423" t="n">
        <x:v>86</x:v>
      </x:c>
      <x:c r="R1423" t="n">
        <x:v>89.4</x:v>
      </x:c>
      <x:c r="S1423" t="n">
        <x:v>0.1031</x:v>
      </x:c>
      <x:c r="T1423" t="n">
        <x:v>20.5</x:v>
      </x:c>
      <x:c r="U1423" t="n">
        <x:v>1197.9</x:v>
      </x:c>
      <x:c r="V1423" t="n">
        <x:v>2917</x:v>
      </x:c>
      <x:c r="W1423" t="n">
        <x:v>58</x:v>
      </x:c>
    </x:row>
    <x:row r="1424">
      <x:c r="A1424" t="str">
        <x:v>PJT_1423</x:v>
      </x:c>
      <x:c r="B1424" t="str">
        <x:v>Humid Subtropical</x:v>
      </x:c>
      <x:c r="C1424" t="n">
        <x:v>21440</x:v>
      </x:c>
      <x:c r="D1424" t="n">
        <x:v>24</x:v>
      </x:c>
      <x:c r="E1424" t="str">
        <x:v>Medium</x:v>
      </x:c>
      <x:c r="F1424" t="str">
        <x:v>Mixed-use</x:v>
      </x:c>
      <x:c r="G1424" t="str">
        <x:v>Steel</x:v>
      </x:c>
      <x:c r="H1424" t="str">
        <x:v>Piles</x:v>
      </x:c>
      <x:c r="I1424" t="str">
        <x:v>Rock</x:v>
      </x:c>
      <x:c r="J1424" t="str">
        <x:v>Low</x:v>
      </x:c>
      <x:c r="K1424" t="n">
        <x:v>57480640</x:v>
      </x:c>
      <x:c r="L1424" t="n">
        <x:v>1141</x:v>
      </x:c>
      <x:c r="M1424" t="n">
        <x:v>689.6</x:v>
      </x:c>
      <x:c r="N1424" t="n">
        <x:v>-0.6</x:v>
      </x:c>
      <x:c r="O1424" t="n">
        <x:v>68.4</x:v>
      </x:c>
      <x:c r="P1424" t="str">
        <x:v>Snowy</x:v>
      </x:c>
      <x:c r="Q1424" t="n">
        <x:v>91</x:v>
      </x:c>
      <x:c r="R1424" t="n">
        <x:v>90.4</x:v>
      </x:c>
      <x:c r="S1424" t="n">
        <x:v>0.0988</x:v>
      </x:c>
      <x:c r="T1424" t="n">
        <x:v>17.8</x:v>
      </x:c>
      <x:c r="U1424" t="n">
        <x:v>893.3</x:v>
      </x:c>
      <x:c r="V1424" t="n">
        <x:v>2681</x:v>
      </x:c>
      <x:c r="W1424" t="n">
        <x:v>53.2</x:v>
      </x:c>
    </x:row>
    <x:row r="1425">
      <x:c r="A1425" t="str">
        <x:v>PJT_1424</x:v>
      </x:c>
      <x:c r="B1425" t="str">
        <x:v>Mediterranean</x:v>
      </x:c>
      <x:c r="C1425" t="n">
        <x:v>15440</x:v>
      </x:c>
      <x:c r="D1425" t="n">
        <x:v>9</x:v>
      </x:c>
      <x:c r="E1425" t="str">
        <x:v>Medium</x:v>
      </x:c>
      <x:c r="F1425" t="str">
        <x:v>Commercial</x:v>
      </x:c>
      <x:c r="G1425" t="str">
        <x:v>RC Frame</x:v>
      </x:c>
      <x:c r="H1425" t="str">
        <x:v>Raft</x:v>
      </x:c>
      <x:c r="I1425" t="str">
        <x:v>Rock</x:v>
      </x:c>
      <x:c r="J1425" t="str">
        <x:v>High</x:v>
      </x:c>
      <x:c r="K1425" t="n">
        <x:v>33952560</x:v>
      </x:c>
      <x:c r="L1425" t="n">
        <x:v>665</x:v>
      </x:c>
      <x:c r="M1425" t="n">
        <x:v>676.3</x:v>
      </x:c>
      <x:c r="N1425" t="n">
        <x:v>16</x:v>
      </x:c>
      <x:c r="O1425" t="n">
        <x:v>84.6</x:v>
      </x:c>
      <x:c r="P1425" t="str">
        <x:v>Stormy</x:v>
      </x:c>
      <x:c r="Q1425" t="n">
        <x:v>100</x:v>
      </x:c>
      <x:c r="R1425" t="n">
        <x:v>80.2</x:v>
      </x:c>
      <x:c r="S1425" t="n">
        <x:v>0.0945</x:v>
      </x:c>
      <x:c r="T1425" t="n">
        <x:v>17</x:v>
      </x:c>
      <x:c r="U1425" t="n">
        <x:v>1715.6</x:v>
      </x:c>
      <x:c r="V1425" t="n">
        <x:v>2199</x:v>
      </x:c>
      <x:c r="W1425" t="n">
        <x:v>43.1</x:v>
      </x:c>
    </x:row>
    <x:row r="1426">
      <x:c r="A1426" t="str">
        <x:v>PJT_1425</x:v>
      </x:c>
      <x:c r="B1426" t="str">
        <x:v>Mediterranean</x:v>
      </x:c>
      <x:c r="C1426" t="n">
        <x:v>15930</x:v>
      </x:c>
      <x:c r="D1426" t="n">
        <x:v>14</x:v>
      </x:c>
      <x:c r="E1426" t="str">
        <x:v>Low</x:v>
      </x:c>
      <x:c r="F1426" t="str">
        <x:v>Residential</x:v>
      </x:c>
      <x:c r="G1426" t="str">
        <x:v>Shear Wall</x:v>
      </x:c>
      <x:c r="H1426" t="str">
        <x:v>Piles</x:v>
      </x:c>
      <x:c r="I1426" t="str">
        <x:v>Soft Clay</x:v>
      </x:c>
      <x:c r="J1426" t="str">
        <x:v>Medium</x:v>
      </x:c>
      <x:c r="K1426" t="n">
        <x:v>25137540</x:v>
      </x:c>
      <x:c r="L1426" t="n">
        <x:v>609</x:v>
      </x:c>
      <x:c r="M1426" t="n">
        <x:v>198.4</x:v>
      </x:c>
      <x:c r="N1426" t="n">
        <x:v>14.6</x:v>
      </x:c>
      <x:c r="O1426" t="n">
        <x:v>74.8</x:v>
      </x:c>
      <x:c r="P1426" t="str">
        <x:v>Rainy</x:v>
      </x:c>
      <x:c r="Q1426" t="n">
        <x:v>72</x:v>
      </x:c>
      <x:c r="R1426" t="n">
        <x:v>65.8</x:v>
      </x:c>
      <x:c r="S1426" t="n">
        <x:v>0.0779</x:v>
      </x:c>
      <x:c r="T1426" t="n">
        <x:v>12.8</x:v>
      </x:c>
      <x:c r="U1426" t="n">
        <x:v>1137.9</x:v>
      </x:c>
      <x:c r="V1426" t="n">
        <x:v>1578</x:v>
      </x:c>
      <x:c r="W1426" t="n">
        <x:v>38.2</x:v>
      </x:c>
    </x:row>
    <x:row r="1427">
      <x:c r="A1427" t="str">
        <x:v>PJT_1426</x:v>
      </x:c>
      <x:c r="B1427" t="str">
        <x:v>Marine</x:v>
      </x:c>
      <x:c r="C1427" t="n">
        <x:v>9450</x:v>
      </x:c>
      <x:c r="D1427" t="n">
        <x:v>6</x:v>
      </x:c>
      <x:c r="E1427" t="str">
        <x:v>Medium</x:v>
      </x:c>
      <x:c r="F1427" t="str">
        <x:v>Commercial</x:v>
      </x:c>
      <x:c r="G1427" t="str">
        <x:v>RC Frame</x:v>
      </x:c>
      <x:c r="H1427" t="str">
        <x:v>Raft</x:v>
      </x:c>
      <x:c r="I1427" t="str">
        <x:v>Soft Clay</x:v>
      </x:c>
      <x:c r="J1427" t="str">
        <x:v>Low</x:v>
      </x:c>
      <x:c r="K1427" t="n">
        <x:v>19665450</x:v>
      </x:c>
      <x:c r="L1427" t="n">
        <x:v>360</x:v>
      </x:c>
      <x:c r="M1427" t="n">
        <x:v>159.9</x:v>
      </x:c>
      <x:c r="N1427" t="n">
        <x:v>22</x:v>
      </x:c>
      <x:c r="O1427" t="n">
        <x:v>65.7</x:v>
      </x:c>
      <x:c r="P1427" t="str">
        <x:v>Sunny</x:v>
      </x:c>
      <x:c r="Q1427" t="n">
        <x:v>98</x:v>
      </x:c>
      <x:c r="R1427" t="n">
        <x:v>74.7</x:v>
      </x:c>
      <x:c r="S1427" t="n">
        <x:v>0.0942</x:v>
      </x:c>
      <x:c r="T1427" t="n">
        <x:v>16</x:v>
      </x:c>
      <x:c r="U1427" t="n">
        <x:v>1575</x:v>
      </x:c>
      <x:c r="V1427" t="n">
        <x:v>2081</x:v>
      </x:c>
      <x:c r="W1427" t="n">
        <x:v>38.1</x:v>
      </x:c>
    </x:row>
    <x:row r="1428">
      <x:c r="A1428" t="str">
        <x:v>PJT_1427</x:v>
      </x:c>
      <x:c r="B1428" t="str">
        <x:v>Continental</x:v>
      </x:c>
      <x:c r="C1428" t="n">
        <x:v>22730</x:v>
      </x:c>
      <x:c r="D1428" t="n">
        <x:v>16</x:v>
      </x:c>
      <x:c r="E1428" t="str">
        <x:v>Medium</x:v>
      </x:c>
      <x:c r="F1428" t="str">
        <x:v>Mixed-use</x:v>
      </x:c>
      <x:c r="G1428" t="str">
        <x:v>Shear Wall</x:v>
      </x:c>
      <x:c r="H1428" t="str">
        <x:v>Piles</x:v>
      </x:c>
      <x:c r="I1428" t="str">
        <x:v>Mixed</x:v>
      </x:c>
      <x:c r="J1428" t="str">
        <x:v>Low</x:v>
      </x:c>
      <x:c r="K1428" t="n">
        <x:v>60143580</x:v>
      </x:c>
      <x:c r="L1428" t="n">
        <x:v>1180</x:v>
      </x:c>
      <x:c r="M1428" t="n">
        <x:v>354.7</x:v>
      </x:c>
      <x:c r="N1428" t="n">
        <x:v>17.3</x:v>
      </x:c>
      <x:c r="O1428" t="n">
        <x:v>71.5</x:v>
      </x:c>
      <x:c r="P1428" t="str">
        <x:v>Stormy</x:v>
      </x:c>
      <x:c r="Q1428" t="n">
        <x:v>103</x:v>
      </x:c>
      <x:c r="R1428" t="n">
        <x:v>85.9</x:v>
      </x:c>
      <x:c r="S1428" t="n">
        <x:v>0.0967</x:v>
      </x:c>
      <x:c r="T1428" t="n">
        <x:v>17.3</x:v>
      </x:c>
      <x:c r="U1428" t="n">
        <x:v>1420.6</x:v>
      </x:c>
      <x:c r="V1428" t="n">
        <x:v>2646</x:v>
      </x:c>
      <x:c r="W1428" t="n">
        <x:v>51.9</x:v>
      </x:c>
    </x:row>
    <x:row r="1429">
      <x:c r="A1429" t="str">
        <x:v>PJT_1428</x:v>
      </x:c>
      <x:c r="B1429" t="str">
        <x:v>Continental</x:v>
      </x:c>
      <x:c r="C1429" t="n">
        <x:v>10830</x:v>
      </x:c>
      <x:c r="D1429" t="n">
        <x:v>13</x:v>
      </x:c>
      <x:c r="E1429" t="str">
        <x:v>Low</x:v>
      </x:c>
      <x:c r="F1429" t="str">
        <x:v>Residential</x:v>
      </x:c>
      <x:c r="G1429" t="str">
        <x:v>RC Frame</x:v>
      </x:c>
      <x:c r="H1429" t="str">
        <x:v>Piles</x:v>
      </x:c>
      <x:c r="I1429" t="str">
        <x:v>Sand</x:v>
      </x:c>
      <x:c r="J1429" t="str">
        <x:v>Low</x:v>
      </x:c>
      <x:c r="K1429" t="n">
        <x:v>14490540</x:v>
      </x:c>
      <x:c r="L1429" t="n">
        <x:v>374</x:v>
      </x:c>
      <x:c r="M1429" t="n">
        <x:v>321.7</x:v>
      </x:c>
      <x:c r="N1429" t="n">
        <x:v>5</x:v>
      </x:c>
      <x:c r="O1429" t="n">
        <x:v>65.8</x:v>
      </x:c>
      <x:c r="P1429" t="str">
        <x:v>Rainy</x:v>
      </x:c>
      <x:c r="Q1429" t="n">
        <x:v>96</x:v>
      </x:c>
      <x:c r="R1429" t="n">
        <x:v>69.2</x:v>
      </x:c>
      <x:c r="S1429" t="n">
        <x:v>0.0716</x:v>
      </x:c>
      <x:c r="T1429" t="n">
        <x:v>12.5</x:v>
      </x:c>
      <x:c r="U1429" t="n">
        <x:v>833.1</x:v>
      </x:c>
      <x:c r="V1429" t="n">
        <x:v>1338</x:v>
      </x:c>
      <x:c r="W1429" t="n">
        <x:v>34.5</x:v>
      </x:c>
    </x:row>
    <x:row r="1430">
      <x:c r="A1430" t="str">
        <x:v>PJT_1429</x:v>
      </x:c>
      <x:c r="B1430" t="str">
        <x:v>Marine</x:v>
      </x:c>
      <x:c r="C1430" t="n">
        <x:v>15340</x:v>
      </x:c>
      <x:c r="D1430" t="n">
        <x:v>11</x:v>
      </x:c>
      <x:c r="E1430" t="str">
        <x:v>Medium</x:v>
      </x:c>
      <x:c r="F1430" t="str">
        <x:v>Commercial</x:v>
      </x:c>
      <x:c r="G1430" t="str">
        <x:v>RC Frame</x:v>
      </x:c>
      <x:c r="H1430" t="str">
        <x:v>Raft</x:v>
      </x:c>
      <x:c r="I1430" t="str">
        <x:v>Mixed</x:v>
      </x:c>
      <x:c r="J1430" t="str">
        <x:v>Low</x:v>
      </x:c>
      <x:c r="K1430" t="n">
        <x:v>32352060</x:v>
      </x:c>
      <x:c r="L1430" t="n">
        <x:v>603</x:v>
      </x:c>
      <x:c r="M1430" t="n">
        <x:v>365.8</x:v>
      </x:c>
      <x:c r="N1430" t="n">
        <x:v>13.4</x:v>
      </x:c>
      <x:c r="O1430" t="n">
        <x:v>62.2</x:v>
      </x:c>
      <x:c r="P1430" t="str">
        <x:v>Cloudy</x:v>
      </x:c>
      <x:c r="Q1430" t="n">
        <x:v>81</x:v>
      </x:c>
      <x:c r="R1430" t="n">
        <x:v>75.7</x:v>
      </x:c>
      <x:c r="S1430" t="n">
        <x:v>0.0896</x:v>
      </x:c>
      <x:c r="T1430" t="n">
        <x:v>15.9</x:v>
      </x:c>
      <x:c r="U1430" t="n">
        <x:v>1394.5</x:v>
      </x:c>
      <x:c r="V1430" t="n">
        <x:v>2109</x:v>
      </x:c>
      <x:c r="W1430" t="n">
        <x:v>39.3</x:v>
      </x:c>
    </x:row>
    <x:row r="1431">
      <x:c r="A1431" t="str">
        <x:v>PJT_1430</x:v>
      </x:c>
      <x:c r="B1431" t="str">
        <x:v>Continental</x:v>
      </x:c>
      <x:c r="C1431" t="n">
        <x:v>25140</x:v>
      </x:c>
      <x:c r="D1431" t="n">
        <x:v>13</x:v>
      </x:c>
      <x:c r="E1431" t="str">
        <x:v>Medium</x:v>
      </x:c>
      <x:c r="F1431" t="str">
        <x:v>Hospital</x:v>
      </x:c>
      <x:c r="G1431" t="str">
        <x:v>Shear Wall</x:v>
      </x:c>
      <x:c r="H1431" t="str">
        <x:v>Piles</x:v>
      </x:c>
      <x:c r="I1431" t="str">
        <x:v>Mixed</x:v>
      </x:c>
      <x:c r="J1431" t="str">
        <x:v>High</x:v>
      </x:c>
      <x:c r="K1431" t="n">
        <x:v>82408920</x:v>
      </x:c>
      <x:c r="L1431" t="n">
        <x:v>1405</x:v>
      </x:c>
      <x:c r="M1431" t="n">
        <x:v>302.9</x:v>
      </x:c>
      <x:c r="N1431" t="n">
        <x:v>-9.8</x:v>
      </x:c>
      <x:c r="O1431" t="n">
        <x:v>77.2</x:v>
      </x:c>
      <x:c r="P1431" t="str">
        <x:v>Snowy</x:v>
      </x:c>
      <x:c r="Q1431" t="n">
        <x:v>92</x:v>
      </x:c>
      <x:c r="R1431" t="n">
        <x:v>85.4</x:v>
      </x:c>
      <x:c r="S1431" t="n">
        <x:v>0.1111</x:v>
      </x:c>
      <x:c r="T1431" t="n">
        <x:v>21.3</x:v>
      </x:c>
      <x:c r="U1431" t="n">
        <x:v>1933.8</x:v>
      </x:c>
      <x:c r="V1431" t="n">
        <x:v>3278</x:v>
      </x:c>
      <x:c r="W1431" t="n">
        <x:v>55.9</x:v>
      </x:c>
    </x:row>
    <x:row r="1432">
      <x:c r="A1432" t="str">
        <x:v>PJT_1431</x:v>
      </x:c>
      <x:c r="B1432" t="str">
        <x:v>Mediterranean</x:v>
      </x:c>
      <x:c r="C1432" t="n">
        <x:v>28360</x:v>
      </x:c>
      <x:c r="D1432" t="n">
        <x:v>17</x:v>
      </x:c>
      <x:c r="E1432" t="str">
        <x:v>Medium</x:v>
      </x:c>
      <x:c r="F1432" t="str">
        <x:v>Mixed-use</x:v>
      </x:c>
      <x:c r="G1432" t="str">
        <x:v>Steel</x:v>
      </x:c>
      <x:c r="H1432" t="str">
        <x:v>Piles</x:v>
      </x:c>
      <x:c r="I1432" t="str">
        <x:v>Mixed</x:v>
      </x:c>
      <x:c r="J1432" t="str">
        <x:v>High</x:v>
      </x:c>
      <x:c r="K1432" t="n">
        <x:v>80202080</x:v>
      </x:c>
      <x:c r="L1432" t="n">
        <x:v>1398</x:v>
      </x:c>
      <x:c r="M1432" t="n">
        <x:v>360.6</x:v>
      </x:c>
      <x:c r="N1432" t="n">
        <x:v>23.2</x:v>
      </x:c>
      <x:c r="O1432" t="n">
        <x:v>61.6</x:v>
      </x:c>
      <x:c r="P1432" t="str">
        <x:v>Sunny</x:v>
      </x:c>
      <x:c r="Q1432" t="n">
        <x:v>68</x:v>
      </x:c>
      <x:c r="R1432" t="n">
        <x:v>85.6</x:v>
      </x:c>
      <x:c r="S1432" t="n">
        <x:v>0.0994</x:v>
      </x:c>
      <x:c r="T1432" t="n">
        <x:v>19.3</x:v>
      </x:c>
      <x:c r="U1432" t="n">
        <x:v>1668.2</x:v>
      </x:c>
      <x:c r="V1432" t="n">
        <x:v>2828</x:v>
      </x:c>
      <x:c r="W1432" t="n">
        <x:v>49.3</x:v>
      </x:c>
    </x:row>
    <x:row r="1433">
      <x:c r="A1433" t="str">
        <x:v>PJT_1432</x:v>
      </x:c>
      <x:c r="B1433" t="str">
        <x:v>Mediterranean</x:v>
      </x:c>
      <x:c r="C1433" t="n">
        <x:v>13530</x:v>
      </x:c>
      <x:c r="D1433" t="n">
        <x:v>14</x:v>
      </x:c>
      <x:c r="E1433" t="str">
        <x:v>Low</x:v>
      </x:c>
      <x:c r="F1433" t="str">
        <x:v>Residential</x:v>
      </x:c>
      <x:c r="G1433" t="str">
        <x:v>Shear Wall</x:v>
      </x:c>
      <x:c r="H1433" t="str">
        <x:v>Raft</x:v>
      </x:c>
      <x:c r="I1433" t="str">
        <x:v>Rock</x:v>
      </x:c>
      <x:c r="J1433" t="str">
        <x:v>Medium</x:v>
      </x:c>
      <x:c r="K1433" t="n">
        <x:v>19442610</x:v>
      </x:c>
      <x:c r="L1433" t="n">
        <x:v>426</x:v>
      </x:c>
      <x:c r="M1433" t="n">
        <x:v>611.1</x:v>
      </x:c>
      <x:c r="N1433" t="n">
        <x:v>31.8</x:v>
      </x:c>
      <x:c r="O1433" t="n">
        <x:v>54.1</x:v>
      </x:c>
      <x:c r="P1433" t="str">
        <x:v>Sunny</x:v>
      </x:c>
      <x:c r="Q1433" t="n">
        <x:v>60</x:v>
      </x:c>
      <x:c r="R1433" t="n">
        <x:v>64.4</x:v>
      </x:c>
      <x:c r="S1433" t="n">
        <x:v>0.0751</x:v>
      </x:c>
      <x:c r="T1433" t="n">
        <x:v>12.3</x:v>
      </x:c>
      <x:c r="U1433" t="n">
        <x:v>966.4</x:v>
      </x:c>
      <x:c r="V1433" t="n">
        <x:v>1437</x:v>
      </x:c>
      <x:c r="W1433" t="n">
        <x:v>31.5</x:v>
      </x:c>
    </x:row>
    <x:row r="1434">
      <x:c r="A1434" t="str">
        <x:v>PJT_1433</x:v>
      </x:c>
      <x:c r="B1434" t="str">
        <x:v>Mediterranean</x:v>
      </x:c>
      <x:c r="C1434" t="n">
        <x:v>32790</x:v>
      </x:c>
      <x:c r="D1434" t="n">
        <x:v>24</x:v>
      </x:c>
      <x:c r="E1434" t="str">
        <x:v>High</x:v>
      </x:c>
      <x:c r="F1434" t="str">
        <x:v>Mixed-use</x:v>
      </x:c>
      <x:c r="G1434" t="str">
        <x:v>Steel</x:v>
      </x:c>
      <x:c r="H1434" t="str">
        <x:v>Piles</x:v>
      </x:c>
      <x:c r="I1434" t="str">
        <x:v>Mixed</x:v>
      </x:c>
      <x:c r="J1434" t="str">
        <x:v>High</x:v>
      </x:c>
      <x:c r="K1434" t="n">
        <x:v>100632510</x:v>
      </x:c>
      <x:c r="L1434" t="n">
        <x:v>1856</x:v>
      </x:c>
      <x:c r="M1434" t="n">
        <x:v>290.6</x:v>
      </x:c>
      <x:c r="N1434" t="n">
        <x:v>16</x:v>
      </x:c>
      <x:c r="O1434" t="n">
        <x:v>78.1</x:v>
      </x:c>
      <x:c r="P1434" t="str">
        <x:v>Rainy</x:v>
      </x:c>
      <x:c r="Q1434" t="n">
        <x:v>78</x:v>
      </x:c>
      <x:c r="R1434" t="n">
        <x:v>91.6</x:v>
      </x:c>
      <x:c r="S1434" t="n">
        <x:v>0.1056</x:v>
      </x:c>
      <x:c r="T1434" t="n">
        <x:v>19.6</x:v>
      </x:c>
      <x:c r="U1434" t="n">
        <x:v>1366.2</x:v>
      </x:c>
      <x:c r="V1434" t="n">
        <x:v>3069</x:v>
      </x:c>
      <x:c r="W1434" t="n">
        <x:v>56.6</x:v>
      </x:c>
    </x:row>
    <x:row r="1435">
      <x:c r="A1435" t="str">
        <x:v>PJT_1434</x:v>
      </x:c>
      <x:c r="B1435" t="str">
        <x:v>Mediterranean</x:v>
      </x:c>
      <x:c r="C1435" t="n">
        <x:v>19360</x:v>
      </x:c>
      <x:c r="D1435" t="n">
        <x:v>21</x:v>
      </x:c>
      <x:c r="E1435" t="str">
        <x:v>Medium</x:v>
      </x:c>
      <x:c r="F1435" t="str">
        <x:v>Residential</x:v>
      </x:c>
      <x:c r="G1435" t="str">
        <x:v>Shear Wall</x:v>
      </x:c>
      <x:c r="H1435" t="str">
        <x:v>Piles</x:v>
      </x:c>
      <x:c r="I1435" t="str">
        <x:v>Mixed</x:v>
      </x:c>
      <x:c r="J1435" t="str">
        <x:v>High</x:v>
      </x:c>
      <x:c r="K1435" t="n">
        <x:v>32292480</x:v>
      </x:c>
      <x:c r="L1435" t="n">
        <x:v>827</x:v>
      </x:c>
      <x:c r="M1435" t="n">
        <x:v>386.5</x:v>
      </x:c>
      <x:c r="N1435" t="n">
        <x:v>9.9</x:v>
      </x:c>
      <x:c r="O1435" t="n">
        <x:v>73.3</x:v>
      </x:c>
      <x:c r="P1435" t="str">
        <x:v>Rainy</x:v>
      </x:c>
      <x:c r="Q1435" t="n">
        <x:v>82</x:v>
      </x:c>
      <x:c r="R1435" t="n">
        <x:v>72.2</x:v>
      </x:c>
      <x:c r="S1435" t="n">
        <x:v>0.0844</x:v>
      </x:c>
      <x:c r="T1435" t="n">
        <x:v>13.3</x:v>
      </x:c>
      <x:c r="U1435" t="n">
        <x:v>921.9</x:v>
      </x:c>
      <x:c r="V1435" t="n">
        <x:v>1668</x:v>
      </x:c>
      <x:c r="W1435" t="n">
        <x:v>42.7</x:v>
      </x:c>
    </x:row>
    <x:row r="1436">
      <x:c r="A1436" t="str">
        <x:v>PJT_1435</x:v>
      </x:c>
      <x:c r="B1436" t="str">
        <x:v>Humid Subtropical</x:v>
      </x:c>
      <x:c r="C1436" t="n">
        <x:v>20950</x:v>
      </x:c>
      <x:c r="D1436" t="n">
        <x:v>11</x:v>
      </x:c>
      <x:c r="E1436" t="str">
        <x:v>Medium</x:v>
      </x:c>
      <x:c r="F1436" t="str">
        <x:v>Commercial</x:v>
      </x:c>
      <x:c r="G1436" t="str">
        <x:v>RC Frame</x:v>
      </x:c>
      <x:c r="H1436" t="str">
        <x:v>Raft</x:v>
      </x:c>
      <x:c r="I1436" t="str">
        <x:v>Sand</x:v>
      </x:c>
      <x:c r="J1436" t="str">
        <x:v>Medium</x:v>
      </x:c>
      <x:c r="K1436" t="n">
        <x:v>47388900</x:v>
      </x:c>
      <x:c r="L1436" t="n">
        <x:v>930</x:v>
      </x:c>
      <x:c r="M1436" t="n">
        <x:v>263.1</x:v>
      </x:c>
      <x:c r="N1436" t="n">
        <x:v>25.6</x:v>
      </x:c>
      <x:c r="O1436" t="n">
        <x:v>82.3</x:v>
      </x:c>
      <x:c r="P1436" t="str">
        <x:v>Rainy</x:v>
      </x:c>
      <x:c r="Q1436" t="n">
        <x:v>99</x:v>
      </x:c>
      <x:c r="R1436" t="n">
        <x:v>76.5</x:v>
      </x:c>
      <x:c r="S1436" t="n">
        <x:v>0.0902</x:v>
      </x:c>
      <x:c r="T1436" t="n">
        <x:v>16.4</x:v>
      </x:c>
      <x:c r="U1436" t="n">
        <x:v>1904.5</x:v>
      </x:c>
      <x:c r="V1436" t="n">
        <x:v>2262</x:v>
      </x:c>
      <x:c r="W1436" t="n">
        <x:v>44.4</x:v>
      </x:c>
    </x:row>
    <x:row r="1437">
      <x:c r="A1437" t="str">
        <x:v>PJT_1436</x:v>
      </x:c>
      <x:c r="B1437" t="str">
        <x:v>Marine</x:v>
      </x:c>
      <x:c r="C1437" t="n">
        <x:v>19550</x:v>
      </x:c>
      <x:c r="D1437" t="n">
        <x:v>15</x:v>
      </x:c>
      <x:c r="E1437" t="str">
        <x:v>Medium</x:v>
      </x:c>
      <x:c r="F1437" t="str">
        <x:v>Mixed-use</x:v>
      </x:c>
      <x:c r="G1437" t="str">
        <x:v>Shear Wall</x:v>
      </x:c>
      <x:c r="H1437" t="str">
        <x:v>Piles</x:v>
      </x:c>
      <x:c r="I1437" t="str">
        <x:v>Soft Clay</x:v>
      </x:c>
      <x:c r="J1437" t="str">
        <x:v>High</x:v>
      </x:c>
      <x:c r="K1437" t="n">
        <x:v>51005950</x:v>
      </x:c>
      <x:c r="L1437" t="n">
        <x:v>921</x:v>
      </x:c>
      <x:c r="M1437" t="n">
        <x:v>192.8</x:v>
      </x:c>
      <x:c r="N1437" t="n">
        <x:v>13.1</x:v>
      </x:c>
      <x:c r="O1437" t="n">
        <x:v>60.2</x:v>
      </x:c>
      <x:c r="P1437" t="str">
        <x:v>Sunny</x:v>
      </x:c>
      <x:c r="Q1437" t="n">
        <x:v>85</x:v>
      </x:c>
      <x:c r="R1437" t="n">
        <x:v>83.8</x:v>
      </x:c>
      <x:c r="S1437" t="n">
        <x:v>0.1016</x:v>
      </x:c>
      <x:c r="T1437" t="n">
        <x:v>18.7</x:v>
      </x:c>
      <x:c r="U1437" t="n">
        <x:v>1303.3</x:v>
      </x:c>
      <x:c r="V1437" t="n">
        <x:v>2609</x:v>
      </x:c>
      <x:c r="W1437" t="n">
        <x:v>47.1</x:v>
      </x:c>
    </x:row>
    <x:row r="1438">
      <x:c r="A1438" t="str">
        <x:v>PJT_1437</x:v>
      </x:c>
      <x:c r="B1438" t="str">
        <x:v>Mediterranean</x:v>
      </x:c>
      <x:c r="C1438" t="n">
        <x:v>22060</x:v>
      </x:c>
      <x:c r="D1438" t="n">
        <x:v>19</x:v>
      </x:c>
      <x:c r="E1438" t="str">
        <x:v>Medium</x:v>
      </x:c>
      <x:c r="F1438" t="str">
        <x:v>Residential</x:v>
      </x:c>
      <x:c r="G1438" t="str">
        <x:v>Shear Wall</x:v>
      </x:c>
      <x:c r="H1438" t="str">
        <x:v>Piles</x:v>
      </x:c>
      <x:c r="I1438" t="str">
        <x:v>Rock</x:v>
      </x:c>
      <x:c r="J1438" t="str">
        <x:v>High</x:v>
      </x:c>
      <x:c r="K1438" t="n">
        <x:v>38671180</x:v>
      </x:c>
      <x:c r="L1438" t="n">
        <x:v>858</x:v>
      </x:c>
      <x:c r="M1438" t="n">
        <x:v>810.9</x:v>
      </x:c>
      <x:c r="N1438" t="n">
        <x:v>16.4</x:v>
      </x:c>
      <x:c r="O1438" t="n">
        <x:v>58.3</x:v>
      </x:c>
      <x:c r="P1438" t="str">
        <x:v>Cloudy</x:v>
      </x:c>
      <x:c r="Q1438" t="n">
        <x:v>56</x:v>
      </x:c>
      <x:c r="R1438" t="n">
        <x:v>70.7</x:v>
      </x:c>
      <x:c r="S1438" t="n">
        <x:v>0.0842</x:v>
      </x:c>
      <x:c r="T1438" t="n">
        <x:v>14</x:v>
      </x:c>
      <x:c r="U1438" t="n">
        <x:v>1161.1</x:v>
      </x:c>
      <x:c r="V1438" t="n">
        <x:v>1753</x:v>
      </x:c>
      <x:c r="W1438" t="n">
        <x:v>38.9</x:v>
      </x:c>
    </x:row>
    <x:row r="1439">
      <x:c r="A1439" t="str">
        <x:v>PJT_1438</x:v>
      </x:c>
      <x:c r="B1439" t="str">
        <x:v>Marine</x:v>
      </x:c>
      <x:c r="C1439" t="n">
        <x:v>6280</x:v>
      </x:c>
      <x:c r="D1439" t="n">
        <x:v>2</x:v>
      </x:c>
      <x:c r="E1439" t="str">
        <x:v>Low</x:v>
      </x:c>
      <x:c r="F1439" t="str">
        <x:v>School</x:v>
      </x:c>
      <x:c r="G1439" t="str">
        <x:v>RC Frame</x:v>
      </x:c>
      <x:c r="H1439" t="str">
        <x:v>Strip</x:v>
      </x:c>
      <x:c r="I1439" t="str">
        <x:v>Rock</x:v>
      </x:c>
      <x:c r="J1439" t="str">
        <x:v>Medium</x:v>
      </x:c>
      <x:c r="K1439" t="n">
        <x:v>10588080</x:v>
      </x:c>
      <x:c r="L1439" t="n">
        <x:v>180</x:v>
      </x:c>
      <x:c r="M1439" t="n">
        <x:v>598.9</x:v>
      </x:c>
      <x:c r="N1439" t="n">
        <x:v>23.5</x:v>
      </x:c>
      <x:c r="O1439" t="n">
        <x:v>71.3</x:v>
      </x:c>
      <x:c r="P1439" t="str">
        <x:v>Sunny</x:v>
      </x:c>
      <x:c r="Q1439" t="n">
        <x:v>56</x:v>
      </x:c>
      <x:c r="R1439" t="n">
        <x:v>68.2</x:v>
      </x:c>
      <x:c r="S1439" t="n">
        <x:v>0.0773</x:v>
      </x:c>
      <x:c r="T1439" t="n">
        <x:v>13.9</x:v>
      </x:c>
      <x:c r="U1439" t="n">
        <x:v>3140</x:v>
      </x:c>
      <x:c r="V1439" t="n">
        <x:v>1686</x:v>
      </x:c>
      <x:c r="W1439" t="n">
        <x:v>24</x:v>
      </x:c>
    </x:row>
    <x:row r="1440">
      <x:c r="A1440" t="str">
        <x:v>PJT_1439</x:v>
      </x:c>
      <x:c r="B1440" t="str">
        <x:v>Continental</x:v>
      </x:c>
      <x:c r="C1440" t="n">
        <x:v>20400</x:v>
      </x:c>
      <x:c r="D1440" t="n">
        <x:v>14</x:v>
      </x:c>
      <x:c r="E1440" t="str">
        <x:v>Medium</x:v>
      </x:c>
      <x:c r="F1440" t="str">
        <x:v>Mixed-use</x:v>
      </x:c>
      <x:c r="G1440" t="str">
        <x:v>Steel</x:v>
      </x:c>
      <x:c r="H1440" t="str">
        <x:v>Piles</x:v>
      </x:c>
      <x:c r="I1440" t="str">
        <x:v>Mixed</x:v>
      </x:c>
      <x:c r="J1440" t="str">
        <x:v>Medium</x:v>
      </x:c>
      <x:c r="K1440" t="n">
        <x:v>53223600</x:v>
      </x:c>
      <x:c r="L1440" t="n">
        <x:v>1083</x:v>
      </x:c>
      <x:c r="M1440" t="n">
        <x:v>354</x:v>
      </x:c>
      <x:c r="N1440" t="n">
        <x:v>11</x:v>
      </x:c>
      <x:c r="O1440" t="n">
        <x:v>84.7</x:v>
      </x:c>
      <x:c r="P1440" t="str">
        <x:v>Rainy</x:v>
      </x:c>
      <x:c r="Q1440" t="n">
        <x:v>94</x:v>
      </x:c>
      <x:c r="R1440" t="n">
        <x:v>84.9</x:v>
      </x:c>
      <x:c r="S1440" t="n">
        <x:v>0.1007</x:v>
      </x:c>
      <x:c r="T1440" t="n">
        <x:v>18</x:v>
      </x:c>
      <x:c r="U1440" t="n">
        <x:v>1457.1</x:v>
      </x:c>
      <x:c r="V1440" t="n">
        <x:v>2609</x:v>
      </x:c>
      <x:c r="W1440" t="n">
        <x:v>53.1</x:v>
      </x:c>
    </x:row>
    <x:row r="1441">
      <x:c r="A1441" t="str">
        <x:v>PJT_1440</x:v>
      </x:c>
      <x:c r="B1441" t="str">
        <x:v>Humid Subtropical</x:v>
      </x:c>
      <x:c r="C1441" t="n">
        <x:v>5280</x:v>
      </x:c>
      <x:c r="D1441" t="n">
        <x:v>6</x:v>
      </x:c>
      <x:c r="E1441" t="str">
        <x:v>Low</x:v>
      </x:c>
      <x:c r="F1441" t="str">
        <x:v>Residential</x:v>
      </x:c>
      <x:c r="G1441" t="str">
        <x:v>RC Frame</x:v>
      </x:c>
      <x:c r="H1441" t="str">
        <x:v>Raft</x:v>
      </x:c>
      <x:c r="I1441" t="str">
        <x:v>Mixed</x:v>
      </x:c>
      <x:c r="J1441" t="str">
        <x:v>High</x:v>
      </x:c>
      <x:c r="K1441" t="n">
        <x:v>7677120</x:v>
      </x:c>
      <x:c r="L1441" t="n">
        <x:v>180</x:v>
      </x:c>
      <x:c r="M1441" t="n">
        <x:v>278.5</x:v>
      </x:c>
      <x:c r="N1441" t="n">
        <x:v>23.7</x:v>
      </x:c>
      <x:c r="O1441" t="n">
        <x:v>63.7</x:v>
      </x:c>
      <x:c r="P1441" t="str">
        <x:v>Cloudy</x:v>
      </x:c>
      <x:c r="Q1441" t="n">
        <x:v>73</x:v>
      </x:c>
      <x:c r="R1441" t="n">
        <x:v>65.4</x:v>
      </x:c>
      <x:c r="S1441" t="n">
        <x:v>0.076</x:v>
      </x:c>
      <x:c r="T1441" t="n">
        <x:v>11.9</x:v>
      </x:c>
      <x:c r="U1441" t="n">
        <x:v>880</x:v>
      </x:c>
      <x:c r="V1441" t="n">
        <x:v>1454</x:v>
      </x:c>
      <x:c r="W1441" t="n">
        <x:v>31.1</x:v>
      </x:c>
    </x:row>
    <x:row r="1442">
      <x:c r="A1442" t="str">
        <x:v>PJT_1441</x:v>
      </x:c>
      <x:c r="B1442" t="str">
        <x:v>Mediterranean</x:v>
      </x:c>
      <x:c r="C1442" t="n">
        <x:v>11950</x:v>
      </x:c>
      <x:c r="D1442" t="n">
        <x:v>11</x:v>
      </x:c>
      <x:c r="E1442" t="str">
        <x:v>Low</x:v>
      </x:c>
      <x:c r="F1442" t="str">
        <x:v>Residential</x:v>
      </x:c>
      <x:c r="G1442" t="str">
        <x:v>Shear Wall</x:v>
      </x:c>
      <x:c r="H1442" t="str">
        <x:v>Raft</x:v>
      </x:c>
      <x:c r="I1442" t="str">
        <x:v>Rock</x:v>
      </x:c>
      <x:c r="J1442" t="str">
        <x:v>High</x:v>
      </x:c>
      <x:c r="K1442" t="n">
        <x:v>18534450</x:v>
      </x:c>
      <x:c r="L1442" t="n">
        <x:v>364</x:v>
      </x:c>
      <x:c r="M1442" t="n">
        <x:v>641.5</x:v>
      </x:c>
      <x:c r="N1442" t="n">
        <x:v>27.9</x:v>
      </x:c>
      <x:c r="O1442" t="n">
        <x:v>56.2</x:v>
      </x:c>
      <x:c r="P1442" t="str">
        <x:v>Sunny</x:v>
      </x:c>
      <x:c r="Q1442" t="n">
        <x:v>51</x:v>
      </x:c>
      <x:c r="R1442" t="n">
        <x:v>62.5</x:v>
      </x:c>
      <x:c r="S1442" t="n">
        <x:v>0.0777</x:v>
      </x:c>
      <x:c r="T1442" t="n">
        <x:v>12.5</x:v>
      </x:c>
      <x:c r="U1442" t="n">
        <x:v>1086.4</x:v>
      </x:c>
      <x:c r="V1442" t="n">
        <x:v>1551</x:v>
      </x:c>
      <x:c r="W1442" t="n">
        <x:v>30.5</x:v>
      </x:c>
    </x:row>
    <x:row r="1443">
      <x:c r="A1443" t="str">
        <x:v>PJT_1442</x:v>
      </x:c>
      <x:c r="B1443" t="str">
        <x:v>Marine</x:v>
      </x:c>
      <x:c r="C1443" t="n">
        <x:v>14450</x:v>
      </x:c>
      <x:c r="D1443" t="n">
        <x:v>12</x:v>
      </x:c>
      <x:c r="E1443" t="str">
        <x:v>Low</x:v>
      </x:c>
      <x:c r="F1443" t="str">
        <x:v>Residential</x:v>
      </x:c>
      <x:c r="G1443" t="str">
        <x:v>RC Frame</x:v>
      </x:c>
      <x:c r="H1443" t="str">
        <x:v>Piles</x:v>
      </x:c>
      <x:c r="I1443" t="str">
        <x:v>Soft Clay</x:v>
      </x:c>
      <x:c r="J1443" t="str">
        <x:v>Medium</x:v>
      </x:c>
      <x:c r="K1443" t="n">
        <x:v>22267450</x:v>
      </x:c>
      <x:c r="L1443" t="n">
        <x:v>574</x:v>
      </x:c>
      <x:c r="M1443" t="n">
        <x:v>237.7</x:v>
      </x:c>
      <x:c r="N1443" t="n">
        <x:v>12.2</x:v>
      </x:c>
      <x:c r="O1443" t="n">
        <x:v>86.4</x:v>
      </x:c>
      <x:c r="P1443" t="str">
        <x:v>Stormy</x:v>
      </x:c>
      <x:c r="Q1443" t="n">
        <x:v>76</x:v>
      </x:c>
      <x:c r="R1443" t="n">
        <x:v>66.8</x:v>
      </x:c>
      <x:c r="S1443" t="n">
        <x:v>0.0744</x:v>
      </x:c>
      <x:c r="T1443" t="n">
        <x:v>11.8</x:v>
      </x:c>
      <x:c r="U1443" t="n">
        <x:v>1204.2</x:v>
      </x:c>
      <x:c r="V1443" t="n">
        <x:v>1541</x:v>
      </x:c>
      <x:c r="W1443" t="n">
        <x:v>39.7</x:v>
      </x:c>
    </x:row>
    <x:row r="1444">
      <x:c r="A1444" t="str">
        <x:v>PJT_1443</x:v>
      </x:c>
      <x:c r="B1444" t="str">
        <x:v>Continental</x:v>
      </x:c>
      <x:c r="C1444" t="n">
        <x:v>27380</x:v>
      </x:c>
      <x:c r="D1444" t="n">
        <x:v>23</x:v>
      </x:c>
      <x:c r="E1444" t="str">
        <x:v>Medium</x:v>
      </x:c>
      <x:c r="F1444" t="str">
        <x:v>Residential</x:v>
      </x:c>
      <x:c r="G1444" t="str">
        <x:v>Shear Wall</x:v>
      </x:c>
      <x:c r="H1444" t="str">
        <x:v>Piles</x:v>
      </x:c>
      <x:c r="I1444" t="str">
        <x:v>Sand</x:v>
      </x:c>
      <x:c r="J1444" t="str">
        <x:v>Medium</x:v>
      </x:c>
      <x:c r="K1444" t="n">
        <x:v>43616340</x:v>
      </x:c>
      <x:c r="L1444" t="n">
        <x:v>1123</x:v>
      </x:c>
      <x:c r="M1444" t="n">
        <x:v>245.1</x:v>
      </x:c>
      <x:c r="N1444" t="n">
        <x:v>16.1</x:v>
      </x:c>
      <x:c r="O1444" t="n">
        <x:v>60.7</x:v>
      </x:c>
      <x:c r="P1444" t="str">
        <x:v>Cloudy</x:v>
      </x:c>
      <x:c r="Q1444" t="n">
        <x:v>79</x:v>
      </x:c>
      <x:c r="R1444" t="n">
        <x:v>81.4</x:v>
      </x:c>
      <x:c r="S1444" t="n">
        <x:v>0.0837</x:v>
      </x:c>
      <x:c r="T1444" t="n">
        <x:v>13.9</x:v>
      </x:c>
      <x:c r="U1444" t="n">
        <x:v>1190.4</x:v>
      </x:c>
      <x:c r="V1444" t="n">
        <x:v>1593</x:v>
      </x:c>
      <x:c r="W1444" t="n">
        <x:v>41</x:v>
      </x:c>
    </x:row>
    <x:row r="1445">
      <x:c r="A1445" t="str">
        <x:v>PJT_1444</x:v>
      </x:c>
      <x:c r="B1445" t="str">
        <x:v>Marine</x:v>
      </x:c>
      <x:c r="C1445" t="n">
        <x:v>24130</x:v>
      </x:c>
      <x:c r="D1445" t="n">
        <x:v>13</x:v>
      </x:c>
      <x:c r="E1445" t="str">
        <x:v>Medium</x:v>
      </x:c>
      <x:c r="F1445" t="str">
        <x:v>Commercial</x:v>
      </x:c>
      <x:c r="G1445" t="str">
        <x:v>Steel</x:v>
      </x:c>
      <x:c r="H1445" t="str">
        <x:v>Piles</x:v>
      </x:c>
      <x:c r="I1445" t="str">
        <x:v>Mixed</x:v>
      </x:c>
      <x:c r="J1445" t="str">
        <x:v>Medium</x:v>
      </x:c>
      <x:c r="K1445" t="n">
        <x:v>60349130</x:v>
      </x:c>
      <x:c r="L1445" t="n">
        <x:v>1112</x:v>
      </x:c>
      <x:c r="M1445" t="n">
        <x:v>390.1</x:v>
      </x:c>
      <x:c r="N1445" t="n">
        <x:v>18.1</x:v>
      </x:c>
      <x:c r="O1445" t="n">
        <x:v>79.4</x:v>
      </x:c>
      <x:c r="P1445" t="str">
        <x:v>Cloudy</x:v>
      </x:c>
      <x:c r="Q1445" t="n">
        <x:v>88</x:v>
      </x:c>
      <x:c r="R1445" t="n">
        <x:v>76.7</x:v>
      </x:c>
      <x:c r="S1445" t="n">
        <x:v>0.0936</x:v>
      </x:c>
      <x:c r="T1445" t="n">
        <x:v>16.5</x:v>
      </x:c>
      <x:c r="U1445" t="n">
        <x:v>1856.2</x:v>
      </x:c>
      <x:c r="V1445" t="n">
        <x:v>2501</x:v>
      </x:c>
      <x:c r="W1445" t="n">
        <x:v>46.1</x:v>
      </x:c>
    </x:row>
    <x:row r="1446">
      <x:c r="A1446" t="str">
        <x:v>PJT_1445</x:v>
      </x:c>
      <x:c r="B1446" t="str">
        <x:v>Mediterranean</x:v>
      </x:c>
      <x:c r="C1446" t="n">
        <x:v>16010</x:v>
      </x:c>
      <x:c r="D1446" t="n">
        <x:v>14</x:v>
      </x:c>
      <x:c r="E1446" t="str">
        <x:v>Medium</x:v>
      </x:c>
      <x:c r="F1446" t="str">
        <x:v>Residential</x:v>
      </x:c>
      <x:c r="G1446" t="str">
        <x:v>Shear Wall</x:v>
      </x:c>
      <x:c r="H1446" t="str">
        <x:v>Raft</x:v>
      </x:c>
      <x:c r="I1446" t="str">
        <x:v>Mixed</x:v>
      </x:c>
      <x:c r="J1446" t="str">
        <x:v>Medium</x:v>
      </x:c>
      <x:c r="K1446" t="n">
        <x:v>25471910</x:v>
      </x:c>
      <x:c r="L1446" t="n">
        <x:v>536</x:v>
      </x:c>
      <x:c r="M1446" t="n">
        <x:v>288.6</x:v>
      </x:c>
      <x:c r="N1446" t="n">
        <x:v>21.5</x:v>
      </x:c>
      <x:c r="O1446" t="n">
        <x:v>43.2</x:v>
      </x:c>
      <x:c r="P1446" t="str">
        <x:v>Sunny</x:v>
      </x:c>
      <x:c r="Q1446" t="n">
        <x:v>80</x:v>
      </x:c>
      <x:c r="R1446" t="n">
        <x:v>69.2</x:v>
      </x:c>
      <x:c r="S1446" t="n">
        <x:v>0.0838</x:v>
      </x:c>
      <x:c r="T1446" t="n">
        <x:v>13</x:v>
      </x:c>
      <x:c r="U1446" t="n">
        <x:v>1143.6</x:v>
      </x:c>
      <x:c r="V1446" t="n">
        <x:v>1591</x:v>
      </x:c>
      <x:c r="W1446" t="n">
        <x:v>33.5</x:v>
      </x:c>
    </x:row>
    <x:row r="1447">
      <x:c r="A1447" t="str">
        <x:v>PJT_1446</x:v>
      </x:c>
      <x:c r="B1447" t="str">
        <x:v>Humid Subtropical</x:v>
      </x:c>
      <x:c r="C1447" t="n">
        <x:v>21950</x:v>
      </x:c>
      <x:c r="D1447" t="n">
        <x:v>16</x:v>
      </x:c>
      <x:c r="E1447" t="str">
        <x:v>High</x:v>
      </x:c>
      <x:c r="F1447" t="str">
        <x:v>Mixed-use</x:v>
      </x:c>
      <x:c r="G1447" t="str">
        <x:v>Steel</x:v>
      </x:c>
      <x:c r="H1447" t="str">
        <x:v>Raft</x:v>
      </x:c>
      <x:c r="I1447" t="str">
        <x:v>Rock</x:v>
      </x:c>
      <x:c r="J1447" t="str">
        <x:v>Medium</x:v>
      </x:c>
      <x:c r="K1447" t="n">
        <x:v>61042950</x:v>
      </x:c>
      <x:c r="L1447" t="n">
        <x:v>1119</x:v>
      </x:c>
      <x:c r="M1447" t="n">
        <x:v>642.7</x:v>
      </x:c>
      <x:c r="N1447" t="n">
        <x:v>21.5</x:v>
      </x:c>
      <x:c r="O1447" t="n">
        <x:v>71.3</x:v>
      </x:c>
      <x:c r="P1447" t="str">
        <x:v>Cloudy</x:v>
      </x:c>
      <x:c r="Q1447" t="n">
        <x:v>101</x:v>
      </x:c>
      <x:c r="R1447" t="n">
        <x:v>85.5</x:v>
      </x:c>
      <x:c r="S1447" t="n">
        <x:v>0.1046</x:v>
      </x:c>
      <x:c r="T1447" t="n">
        <x:v>21</x:v>
      </x:c>
      <x:c r="U1447" t="n">
        <x:v>1371.9</x:v>
      </x:c>
      <x:c r="V1447" t="n">
        <x:v>2781</x:v>
      </x:c>
      <x:c r="W1447" t="n">
        <x:v>51</x:v>
      </x:c>
    </x:row>
    <x:row r="1448">
      <x:c r="A1448" t="str">
        <x:v>PJT_1447</x:v>
      </x:c>
      <x:c r="B1448" t="str">
        <x:v>Mediterranean</x:v>
      </x:c>
      <x:c r="C1448" t="n">
        <x:v>16930</x:v>
      </x:c>
      <x:c r="D1448" t="n">
        <x:v>17</x:v>
      </x:c>
      <x:c r="E1448" t="str">
        <x:v>Medium</x:v>
      </x:c>
      <x:c r="F1448" t="str">
        <x:v>Mixed-use</x:v>
      </x:c>
      <x:c r="G1448" t="str">
        <x:v>Steel</x:v>
      </x:c>
      <x:c r="H1448" t="str">
        <x:v>Piles</x:v>
      </x:c>
      <x:c r="I1448" t="str">
        <x:v>Sand</x:v>
      </x:c>
      <x:c r="J1448" t="str">
        <x:v>Low</x:v>
      </x:c>
      <x:c r="K1448" t="n">
        <x:v>45304680</x:v>
      </x:c>
      <x:c r="L1448" t="n">
        <x:v>860</x:v>
      </x:c>
      <x:c r="M1448" t="n">
        <x:v>323.9</x:v>
      </x:c>
      <x:c r="N1448" t="n">
        <x:v>18.9</x:v>
      </x:c>
      <x:c r="O1448" t="n">
        <x:v>63.1</x:v>
      </x:c>
      <x:c r="P1448" t="str">
        <x:v>Cloudy</x:v>
      </x:c>
      <x:c r="Q1448" t="n">
        <x:v>81</x:v>
      </x:c>
      <x:c r="R1448" t="n">
        <x:v>82</x:v>
      </x:c>
      <x:c r="S1448" t="n">
        <x:v>0.1058</x:v>
      </x:c>
      <x:c r="T1448" t="n">
        <x:v>17.9</x:v>
      </x:c>
      <x:c r="U1448" t="n">
        <x:v>995.9</x:v>
      </x:c>
      <x:c r="V1448" t="n">
        <x:v>2676</x:v>
      </x:c>
      <x:c r="W1448" t="n">
        <x:v>50.8</x:v>
      </x:c>
    </x:row>
    <x:row r="1449">
      <x:c r="A1449" t="str">
        <x:v>PJT_1448</x:v>
      </x:c>
      <x:c r="B1449" t="str">
        <x:v>Marine</x:v>
      </x:c>
      <x:c r="C1449" t="n">
        <x:v>36640</x:v>
      </x:c>
      <x:c r="D1449" t="n">
        <x:v>24</x:v>
      </x:c>
      <x:c r="E1449" t="str">
        <x:v>High</x:v>
      </x:c>
      <x:c r="F1449" t="str">
        <x:v>Mixed-use</x:v>
      </x:c>
      <x:c r="G1449" t="str">
        <x:v>Steel</x:v>
      </x:c>
      <x:c r="H1449" t="str">
        <x:v>Piles</x:v>
      </x:c>
      <x:c r="I1449" t="str">
        <x:v>Mixed</x:v>
      </x:c>
      <x:c r="J1449" t="str">
        <x:v>Low</x:v>
      </x:c>
      <x:c r="K1449" t="n">
        <x:v>105193440</x:v>
      </x:c>
      <x:c r="L1449" t="n">
        <x:v>1957</x:v>
      </x:c>
      <x:c r="M1449" t="n">
        <x:v>304</x:v>
      </x:c>
      <x:c r="N1449" t="n">
        <x:v>14.2</x:v>
      </x:c>
      <x:c r="O1449" t="n">
        <x:v>54.8</x:v>
      </x:c>
      <x:c r="P1449" t="str">
        <x:v>Sunny</x:v>
      </x:c>
      <x:c r="Q1449" t="n">
        <x:v>73</x:v>
      </x:c>
      <x:c r="R1449" t="n">
        <x:v>92</x:v>
      </x:c>
      <x:c r="S1449" t="n">
        <x:v>0.1081</x:v>
      </x:c>
      <x:c r="T1449" t="n">
        <x:v>19.9</x:v>
      </x:c>
      <x:c r="U1449" t="n">
        <x:v>1526.7</x:v>
      </x:c>
      <x:c r="V1449" t="n">
        <x:v>2871</x:v>
      </x:c>
      <x:c r="W1449" t="n">
        <x:v>53.4</x:v>
      </x:c>
    </x:row>
    <x:row r="1450">
      <x:c r="A1450" t="str">
        <x:v>PJT_1449</x:v>
      </x:c>
      <x:c r="B1450" t="str">
        <x:v>Humid Subtropical</x:v>
      </x:c>
      <x:c r="C1450" t="n">
        <x:v>12980</x:v>
      </x:c>
      <x:c r="D1450" t="n">
        <x:v>11</x:v>
      </x:c>
      <x:c r="E1450" t="str">
        <x:v>Medium</x:v>
      </x:c>
      <x:c r="F1450" t="str">
        <x:v>Residential</x:v>
      </x:c>
      <x:c r="G1450" t="str">
        <x:v>RC Frame</x:v>
      </x:c>
      <x:c r="H1450" t="str">
        <x:v>Piles</x:v>
      </x:c>
      <x:c r="I1450" t="str">
        <x:v>Soft Clay</x:v>
      </x:c>
      <x:c r="J1450" t="str">
        <x:v>Medium</x:v>
      </x:c>
      <x:c r="K1450" t="n">
        <x:v>21468920</x:v>
      </x:c>
      <x:c r="L1450" t="n">
        <x:v>485</x:v>
      </x:c>
      <x:c r="M1450" t="n">
        <x:v>171.2</x:v>
      </x:c>
      <x:c r="N1450" t="n">
        <x:v>28.4</x:v>
      </x:c>
      <x:c r="O1450" t="n">
        <x:v>72.7</x:v>
      </x:c>
      <x:c r="P1450" t="str">
        <x:v>Cloudy</x:v>
      </x:c>
      <x:c r="Q1450" t="n">
        <x:v>85</x:v>
      </x:c>
      <x:c r="R1450" t="n">
        <x:v>70.6</x:v>
      </x:c>
      <x:c r="S1450" t="n">
        <x:v>0.0785</x:v>
      </x:c>
      <x:c r="T1450" t="n">
        <x:v>14.1</x:v>
      </x:c>
      <x:c r="U1450" t="n">
        <x:v>1180</x:v>
      </x:c>
      <x:c r="V1450" t="n">
        <x:v>1654</x:v>
      </x:c>
      <x:c r="W1450" t="n">
        <x:v>37.4</x:v>
      </x:c>
    </x:row>
    <x:row r="1451">
      <x:c r="A1451" t="str">
        <x:v>PJT_1450</x:v>
      </x:c>
      <x:c r="B1451" t="str">
        <x:v>Marine</x:v>
      </x:c>
      <x:c r="C1451" t="n">
        <x:v>22610</x:v>
      </x:c>
      <x:c r="D1451" t="n">
        <x:v>19</x:v>
      </x:c>
      <x:c r="E1451" t="str">
        <x:v>Medium</x:v>
      </x:c>
      <x:c r="F1451" t="str">
        <x:v>Commercial</x:v>
      </x:c>
      <x:c r="G1451" t="str">
        <x:v>Steel</x:v>
      </x:c>
      <x:c r="H1451" t="str">
        <x:v>Piles</x:v>
      </x:c>
      <x:c r="I1451" t="str">
        <x:v>Mixed</x:v>
      </x:c>
      <x:c r="J1451" t="str">
        <x:v>Medium</x:v>
      </x:c>
      <x:c r="K1451" t="n">
        <x:v>57949430</x:v>
      </x:c>
      <x:c r="L1451" t="n">
        <x:v>1020</x:v>
      </x:c>
      <x:c r="M1451" t="n">
        <x:v>348.1</x:v>
      </x:c>
      <x:c r="N1451" t="n">
        <x:v>13.3</x:v>
      </x:c>
      <x:c r="O1451" t="n">
        <x:v>67</x:v>
      </x:c>
      <x:c r="P1451" t="str">
        <x:v>Sunny</x:v>
      </x:c>
      <x:c r="Q1451" t="n">
        <x:v>66</x:v>
      </x:c>
      <x:c r="R1451" t="n">
        <x:v>81.7</x:v>
      </x:c>
      <x:c r="S1451" t="n">
        <x:v>0.0969</x:v>
      </x:c>
      <x:c r="T1451" t="n">
        <x:v>17.8</x:v>
      </x:c>
      <x:c r="U1451" t="n">
        <x:v>1190</x:v>
      </x:c>
      <x:c r="V1451" t="n">
        <x:v>2563</x:v>
      </x:c>
      <x:c r="W1451" t="n">
        <x:v>45.1</x:v>
      </x:c>
    </x:row>
    <x:row r="1452">
      <x:c r="A1452" t="str">
        <x:v>PJT_1451</x:v>
      </x:c>
      <x:c r="B1452" t="str">
        <x:v>Continental</x:v>
      </x:c>
      <x:c r="C1452" t="n">
        <x:v>17790</x:v>
      </x:c>
      <x:c r="D1452" t="n">
        <x:v>11</x:v>
      </x:c>
      <x:c r="E1452" t="str">
        <x:v>Medium</x:v>
      </x:c>
      <x:c r="F1452" t="str">
        <x:v>Commercial</x:v>
      </x:c>
      <x:c r="G1452" t="str">
        <x:v>RC Frame</x:v>
      </x:c>
      <x:c r="H1452" t="str">
        <x:v>Raft</x:v>
      </x:c>
      <x:c r="I1452" t="str">
        <x:v>Mixed</x:v>
      </x:c>
      <x:c r="J1452" t="str">
        <x:v>Low</x:v>
      </x:c>
      <x:c r="K1452" t="n">
        <x:v>38301870</x:v>
      </x:c>
      <x:c r="L1452" t="n">
        <x:v>671</x:v>
      </x:c>
      <x:c r="M1452" t="n">
        <x:v>339.5</x:v>
      </x:c>
      <x:c r="N1452" t="n">
        <x:v>7.6</x:v>
      </x:c>
      <x:c r="O1452" t="n">
        <x:v>42.5</x:v>
      </x:c>
      <x:c r="P1452" t="str">
        <x:v>Sunny</x:v>
      </x:c>
      <x:c r="Q1452" t="n">
        <x:v>70</x:v>
      </x:c>
      <x:c r="R1452" t="n">
        <x:v>76.2</x:v>
      </x:c>
      <x:c r="S1452" t="n">
        <x:v>0.0915</x:v>
      </x:c>
      <x:c r="T1452" t="n">
        <x:v>17.4</x:v>
      </x:c>
      <x:c r="U1452" t="n">
        <x:v>1617.3</x:v>
      </x:c>
      <x:c r="V1452" t="n">
        <x:v>2153</x:v>
      </x:c>
      <x:c r="W1452" t="n">
        <x:v>37.7</x:v>
      </x:c>
    </x:row>
    <x:row r="1453">
      <x:c r="A1453" t="str">
        <x:v>PJT_1452</x:v>
      </x:c>
      <x:c r="B1453" t="str">
        <x:v>Continental</x:v>
      </x:c>
      <x:c r="C1453" t="n">
        <x:v>17200</x:v>
      </x:c>
      <x:c r="D1453" t="n">
        <x:v>10</x:v>
      </x:c>
      <x:c r="E1453" t="str">
        <x:v>Medium</x:v>
      </x:c>
      <x:c r="F1453" t="str">
        <x:v>Hospital</x:v>
      </x:c>
      <x:c r="G1453" t="str">
        <x:v>Shear Wall</x:v>
      </x:c>
      <x:c r="H1453" t="str">
        <x:v>Raft</x:v>
      </x:c>
      <x:c r="I1453" t="str">
        <x:v>Rock</x:v>
      </x:c>
      <x:c r="J1453" t="str">
        <x:v>High</x:v>
      </x:c>
      <x:c r="K1453" t="n">
        <x:v>52528800</x:v>
      </x:c>
      <x:c r="L1453" t="n">
        <x:v>862</x:v>
      </x:c>
      <x:c r="M1453" t="n">
        <x:v>713.8</x:v>
      </x:c>
      <x:c r="N1453" t="n">
        <x:v>14.1</x:v>
      </x:c>
      <x:c r="O1453" t="n">
        <x:v>66.7</x:v>
      </x:c>
      <x:c r="P1453" t="str">
        <x:v>Cloudy</x:v>
      </x:c>
      <x:c r="Q1453" t="n">
        <x:v>77</x:v>
      </x:c>
      <x:c r="R1453" t="n">
        <x:v>82.8</x:v>
      </x:c>
      <x:c r="S1453" t="n">
        <x:v>0.1091</x:v>
      </x:c>
      <x:c r="T1453" t="n">
        <x:v>20.8</x:v>
      </x:c>
      <x:c r="U1453" t="n">
        <x:v>1720</x:v>
      </x:c>
      <x:c r="V1453" t="n">
        <x:v>3054</x:v>
      </x:c>
      <x:c r="W1453" t="n">
        <x:v>50.1</x:v>
      </x:c>
    </x:row>
    <x:row r="1454">
      <x:c r="A1454" t="str">
        <x:v>PJT_1453</x:v>
      </x:c>
      <x:c r="B1454" t="str">
        <x:v>Continental</x:v>
      </x:c>
      <x:c r="C1454" t="n">
        <x:v>6690</x:v>
      </x:c>
      <x:c r="D1454" t="n">
        <x:v>3</x:v>
      </x:c>
      <x:c r="E1454" t="str">
        <x:v>Low</x:v>
      </x:c>
      <x:c r="F1454" t="str">
        <x:v>School</x:v>
      </x:c>
      <x:c r="G1454" t="str">
        <x:v>Steel</x:v>
      </x:c>
      <x:c r="H1454" t="str">
        <x:v>Raft</x:v>
      </x:c>
      <x:c r="I1454" t="str">
        <x:v>Sand</x:v>
      </x:c>
      <x:c r="J1454" t="str">
        <x:v>High</x:v>
      </x:c>
      <x:c r="K1454" t="n">
        <x:v>12363120</x:v>
      </x:c>
      <x:c r="L1454" t="n">
        <x:v>243</x:v>
      </x:c>
      <x:c r="M1454" t="n">
        <x:v>255.8</x:v>
      </x:c>
      <x:c r="N1454" t="n">
        <x:v>7.3</x:v>
      </x:c>
      <x:c r="O1454" t="n">
        <x:v>86.1</x:v>
      </x:c>
      <x:c r="P1454" t="str">
        <x:v>Stormy</x:v>
      </x:c>
      <x:c r="Q1454" t="n">
        <x:v>93</x:v>
      </x:c>
      <x:c r="R1454" t="n">
        <x:v>61.7</x:v>
      </x:c>
      <x:c r="S1454" t="n">
        <x:v>0.0811</x:v>
      </x:c>
      <x:c r="T1454" t="n">
        <x:v>14.4</x:v>
      </x:c>
      <x:c r="U1454" t="n">
        <x:v>2230</x:v>
      </x:c>
      <x:c r="V1454" t="n">
        <x:v>1848</x:v>
      </x:c>
      <x:c r="W1454" t="n">
        <x:v>36.3</x:v>
      </x:c>
    </x:row>
    <x:row r="1455">
      <x:c r="A1455" t="str">
        <x:v>PJT_1454</x:v>
      </x:c>
      <x:c r="B1455" t="str">
        <x:v>Continental</x:v>
      </x:c>
      <x:c r="C1455" t="n">
        <x:v>9480</x:v>
      </x:c>
      <x:c r="D1455" t="n">
        <x:v>10</x:v>
      </x:c>
      <x:c r="E1455" t="str">
        <x:v>Low</x:v>
      </x:c>
      <x:c r="F1455" t="str">
        <x:v>Residential</x:v>
      </x:c>
      <x:c r="G1455" t="str">
        <x:v>RC Frame</x:v>
      </x:c>
      <x:c r="H1455" t="str">
        <x:v>Raft</x:v>
      </x:c>
      <x:c r="I1455" t="str">
        <x:v>Mixed</x:v>
      </x:c>
      <x:c r="J1455" t="str">
        <x:v>Medium</x:v>
      </x:c>
      <x:c r="K1455" t="n">
        <x:v>12722160</x:v>
      </x:c>
      <x:c r="L1455" t="n">
        <x:v>284</x:v>
      </x:c>
      <x:c r="M1455" t="n">
        <x:v>361.5</x:v>
      </x:c>
      <x:c r="N1455" t="n">
        <x:v>20.5</x:v>
      </x:c>
      <x:c r="O1455" t="n">
        <x:v>63.1</x:v>
      </x:c>
      <x:c r="P1455" t="str">
        <x:v>Cloudy</x:v>
      </x:c>
      <x:c r="Q1455" t="n">
        <x:v>81</x:v>
      </x:c>
      <x:c r="R1455" t="n">
        <x:v>61.7</x:v>
      </x:c>
      <x:c r="S1455" t="n">
        <x:v>0.0752</x:v>
      </x:c>
      <x:c r="T1455" t="n">
        <x:v>11.8</x:v>
      </x:c>
      <x:c r="U1455" t="n">
        <x:v>948</x:v>
      </x:c>
      <x:c r="V1455" t="n">
        <x:v>1342</x:v>
      </x:c>
      <x:c r="W1455" t="n">
        <x:v>30</x:v>
      </x:c>
    </x:row>
    <x:row r="1456">
      <x:c r="A1456" t="str">
        <x:v>PJT_1455</x:v>
      </x:c>
      <x:c r="B1456" t="str">
        <x:v>Continental</x:v>
      </x:c>
      <x:c r="C1456" t="n">
        <x:v>29990</x:v>
      </x:c>
      <x:c r="D1456" t="n">
        <x:v>21</x:v>
      </x:c>
      <x:c r="E1456" t="str">
        <x:v>High</x:v>
      </x:c>
      <x:c r="F1456" t="str">
        <x:v>Commercial</x:v>
      </x:c>
      <x:c r="G1456" t="str">
        <x:v>Steel</x:v>
      </x:c>
      <x:c r="H1456" t="str">
        <x:v>Piles</x:v>
      </x:c>
      <x:c r="I1456" t="str">
        <x:v>Rock</x:v>
      </x:c>
      <x:c r="J1456" t="str">
        <x:v>Low</x:v>
      </x:c>
      <x:c r="K1456" t="n">
        <x:v>80823050</x:v>
      </x:c>
      <x:c r="L1456" t="n">
        <x:v>1529</x:v>
      </x:c>
      <x:c r="M1456" t="n">
        <x:v>718.8</x:v>
      </x:c>
      <x:c r="N1456" t="n">
        <x:v>3.2</x:v>
      </x:c>
      <x:c r="O1456" t="n">
        <x:v>54.3</x:v>
      </x:c>
      <x:c r="P1456" t="str">
        <x:v>Cloudy</x:v>
      </x:c>
      <x:c r="Q1456" t="n">
        <x:v>99</x:v>
      </x:c>
      <x:c r="R1456" t="n">
        <x:v>86.6</x:v>
      </x:c>
      <x:c r="S1456" t="n">
        <x:v>0.1055</x:v>
      </x:c>
      <x:c r="T1456" t="n">
        <x:v>19.5</x:v>
      </x:c>
      <x:c r="U1456" t="n">
        <x:v>1428.1</x:v>
      </x:c>
      <x:c r="V1456" t="n">
        <x:v>2695</x:v>
      </x:c>
      <x:c r="W1456" t="n">
        <x:v>51</x:v>
      </x:c>
    </x:row>
    <x:row r="1457">
      <x:c r="A1457" t="str">
        <x:v>PJT_1456</x:v>
      </x:c>
      <x:c r="B1457" t="str">
        <x:v>Humid Subtropical</x:v>
      </x:c>
      <x:c r="C1457" t="n">
        <x:v>15240</x:v>
      </x:c>
      <x:c r="D1457" t="n">
        <x:v>12</x:v>
      </x:c>
      <x:c r="E1457" t="str">
        <x:v>Medium</x:v>
      </x:c>
      <x:c r="F1457" t="str">
        <x:v>Commercial</x:v>
      </x:c>
      <x:c r="G1457" t="str">
        <x:v>Steel</x:v>
      </x:c>
      <x:c r="H1457" t="str">
        <x:v>Raft</x:v>
      </x:c>
      <x:c r="I1457" t="str">
        <x:v>Mixed</x:v>
      </x:c>
      <x:c r="J1457" t="str">
        <x:v>Medium</x:v>
      </x:c>
      <x:c r="K1457" t="n">
        <x:v>37505640</x:v>
      </x:c>
      <x:c r="L1457" t="n">
        <x:v>674</x:v>
      </x:c>
      <x:c r="M1457" t="n">
        <x:v>290.7</x:v>
      </x:c>
      <x:c r="N1457" t="n">
        <x:v>25.3</x:v>
      </x:c>
      <x:c r="O1457" t="n">
        <x:v>63.2</x:v>
      </x:c>
      <x:c r="P1457" t="str">
        <x:v>Cloudy</x:v>
      </x:c>
      <x:c r="Q1457" t="n">
        <x:v>95</x:v>
      </x:c>
      <x:c r="R1457" t="n">
        <x:v>78.5</x:v>
      </x:c>
      <x:c r="S1457" t="n">
        <x:v>0.0938</x:v>
      </x:c>
      <x:c r="T1457" t="n">
        <x:v>16.8</x:v>
      </x:c>
      <x:c r="U1457" t="n">
        <x:v>1270</x:v>
      </x:c>
      <x:c r="V1457" t="n">
        <x:v>2461</x:v>
      </x:c>
      <x:c r="W1457" t="n">
        <x:v>44.2</x:v>
      </x:c>
    </x:row>
    <x:row r="1458">
      <x:c r="A1458" t="str">
        <x:v>PJT_1457</x:v>
      </x:c>
      <x:c r="B1458" t="str">
        <x:v>Continental</x:v>
      </x:c>
      <x:c r="C1458" t="n">
        <x:v>18010</x:v>
      </x:c>
      <x:c r="D1458" t="n">
        <x:v>10</x:v>
      </x:c>
      <x:c r="E1458" t="str">
        <x:v>Medium</x:v>
      </x:c>
      <x:c r="F1458" t="str">
        <x:v>Mixed-use</x:v>
      </x:c>
      <x:c r="G1458" t="str">
        <x:v>Steel</x:v>
      </x:c>
      <x:c r="H1458" t="str">
        <x:v>Raft</x:v>
      </x:c>
      <x:c r="I1458" t="str">
        <x:v>Rock</x:v>
      </x:c>
      <x:c r="J1458" t="str">
        <x:v>Low</x:v>
      </x:c>
      <x:c r="K1458" t="n">
        <x:v>44682810</x:v>
      </x:c>
      <x:c r="L1458" t="n">
        <x:v>859</x:v>
      </x:c>
      <x:c r="M1458" t="n">
        <x:v>707.6</x:v>
      </x:c>
      <x:c r="N1458" t="n">
        <x:v>3.5</x:v>
      </x:c>
      <x:c r="O1458" t="n">
        <x:v>64.2</x:v>
      </x:c>
      <x:c r="P1458" t="str">
        <x:v>Cloudy</x:v>
      </x:c>
      <x:c r="Q1458" t="n">
        <x:v>78</x:v>
      </x:c>
      <x:c r="R1458" t="n">
        <x:v>77.8</x:v>
      </x:c>
      <x:c r="S1458" t="n">
        <x:v>0.0994</x:v>
      </x:c>
      <x:c r="T1458" t="n">
        <x:v>18.7</x:v>
      </x:c>
      <x:c r="U1458" t="n">
        <x:v>1801</x:v>
      </x:c>
      <x:c r="V1458" t="n">
        <x:v>2481</x:v>
      </x:c>
      <x:c r="W1458" t="n">
        <x:v>47.7</x:v>
      </x:c>
    </x:row>
    <x:row r="1459">
      <x:c r="A1459" t="str">
        <x:v>PJT_1458</x:v>
      </x:c>
      <x:c r="B1459" t="str">
        <x:v>Continental</x:v>
      </x:c>
      <x:c r="C1459" t="n">
        <x:v>19400</x:v>
      </x:c>
      <x:c r="D1459" t="n">
        <x:v>18</x:v>
      </x:c>
      <x:c r="E1459" t="str">
        <x:v>Medium</x:v>
      </x:c>
      <x:c r="F1459" t="str">
        <x:v>Residential</x:v>
      </x:c>
      <x:c r="G1459" t="str">
        <x:v>Shear Wall</x:v>
      </x:c>
      <x:c r="H1459" t="str">
        <x:v>Piles</x:v>
      </x:c>
      <x:c r="I1459" t="str">
        <x:v>Sand</x:v>
      </x:c>
      <x:c r="J1459" t="str">
        <x:v>Medium</x:v>
      </x:c>
      <x:c r="K1459" t="n">
        <x:v>33232200</x:v>
      </x:c>
      <x:c r="L1459" t="n">
        <x:v>803</x:v>
      </x:c>
      <x:c r="M1459" t="n">
        <x:v>341.4</x:v>
      </x:c>
      <x:c r="N1459" t="n">
        <x:v>21.2</x:v>
      </x:c>
      <x:c r="O1459" t="n">
        <x:v>54</x:v>
      </x:c>
      <x:c r="P1459" t="str">
        <x:v>Cloudy</x:v>
      </x:c>
      <x:c r="Q1459" t="n">
        <x:v>61</x:v>
      </x:c>
      <x:c r="R1459" t="n">
        <x:v>77.7</x:v>
      </x:c>
      <x:c r="S1459" t="n">
        <x:v>0.0821</x:v>
      </x:c>
      <x:c r="T1459" t="n">
        <x:v>14.5</x:v>
      </x:c>
      <x:c r="U1459" t="n">
        <x:v>1077.8</x:v>
      </x:c>
      <x:c r="V1459" t="n">
        <x:v>1713</x:v>
      </x:c>
      <x:c r="W1459" t="n">
        <x:v>41.4</x:v>
      </x:c>
    </x:row>
    <x:row r="1460">
      <x:c r="A1460" t="str">
        <x:v>PJT_1459</x:v>
      </x:c>
      <x:c r="B1460" t="str">
        <x:v>Mediterranean</x:v>
      </x:c>
      <x:c r="C1460" t="n">
        <x:v>13940</x:v>
      </x:c>
      <x:c r="D1460" t="n">
        <x:v>17</x:v>
      </x:c>
      <x:c r="E1460" t="str">
        <x:v>Medium</x:v>
      </x:c>
      <x:c r="F1460" t="str">
        <x:v>Residential</x:v>
      </x:c>
      <x:c r="G1460" t="str">
        <x:v>Shear Wall</x:v>
      </x:c>
      <x:c r="H1460" t="str">
        <x:v>Piles</x:v>
      </x:c>
      <x:c r="I1460" t="str">
        <x:v>Sand</x:v>
      </x:c>
      <x:c r="J1460" t="str">
        <x:v>High</x:v>
      </x:c>
      <x:c r="K1460" t="n">
        <x:v>23363440</x:v>
      </x:c>
      <x:c r="L1460" t="n">
        <x:v>549</x:v>
      </x:c>
      <x:c r="M1460" t="n">
        <x:v>337.3</x:v>
      </x:c>
      <x:c r="N1460" t="n">
        <x:v>16.9</x:v>
      </x:c>
      <x:c r="O1460" t="n">
        <x:v>60.2</x:v>
      </x:c>
      <x:c r="P1460" t="str">
        <x:v>Cloudy</x:v>
      </x:c>
      <x:c r="Q1460" t="n">
        <x:v>64</x:v>
      </x:c>
      <x:c r="R1460" t="n">
        <x:v>71.9</x:v>
      </x:c>
      <x:c r="S1460" t="n">
        <x:v>0.0837</x:v>
      </x:c>
      <x:c r="T1460" t="n">
        <x:v>13.4</x:v>
      </x:c>
      <x:c r="U1460" t="n">
        <x:v>820</x:v>
      </x:c>
      <x:c r="V1460" t="n">
        <x:v>1676</x:v>
      </x:c>
      <x:c r="W1460" t="n">
        <x:v>39.4</x:v>
      </x:c>
    </x:row>
    <x:row r="1461">
      <x:c r="A1461" t="str">
        <x:v>PJT_1460</x:v>
      </x:c>
      <x:c r="B1461" t="str">
        <x:v>Humid Subtropical</x:v>
      </x:c>
      <x:c r="C1461" t="n">
        <x:v>9240</x:v>
      </x:c>
      <x:c r="D1461" t="n">
        <x:v>9</x:v>
      </x:c>
      <x:c r="E1461" t="str">
        <x:v>Medium</x:v>
      </x:c>
      <x:c r="F1461" t="str">
        <x:v>Commercial</x:v>
      </x:c>
      <x:c r="G1461" t="str">
        <x:v>Steel</x:v>
      </x:c>
      <x:c r="H1461" t="str">
        <x:v>Raft</x:v>
      </x:c>
      <x:c r="I1461" t="str">
        <x:v>Rock</x:v>
      </x:c>
      <x:c r="J1461" t="str">
        <x:v>Low</x:v>
      </x:c>
      <x:c r="K1461" t="n">
        <x:v>21935760</x:v>
      </x:c>
      <x:c r="L1461" t="n">
        <x:v>368</x:v>
      </x:c>
      <x:c r="M1461" t="n">
        <x:v>633.4</x:v>
      </x:c>
      <x:c r="N1461" t="n">
        <x:v>33.6</x:v>
      </x:c>
      <x:c r="O1461" t="n">
        <x:v>71.6</x:v>
      </x:c>
      <x:c r="P1461" t="str">
        <x:v>Sunny</x:v>
      </x:c>
      <x:c r="Q1461" t="n">
        <x:v>91</x:v>
      </x:c>
      <x:c r="R1461" t="n">
        <x:v>80.3</x:v>
      </x:c>
      <x:c r="S1461" t="n">
        <x:v>0.0949</x:v>
      </x:c>
      <x:c r="T1461" t="n">
        <x:v>17.5</x:v>
      </x:c>
      <x:c r="U1461" t="n">
        <x:v>1026.7</x:v>
      </x:c>
      <x:c r="V1461" t="n">
        <x:v>2374</x:v>
      </x:c>
      <x:c r="W1461" t="n">
        <x:v>39.8</x:v>
      </x:c>
    </x:row>
    <x:row r="1462">
      <x:c r="A1462" t="str">
        <x:v>PJT_1461</x:v>
      </x:c>
      <x:c r="B1462" t="str">
        <x:v>Continental</x:v>
      </x:c>
      <x:c r="C1462" t="n">
        <x:v>32700</x:v>
      </x:c>
      <x:c r="D1462" t="n">
        <x:v>20</x:v>
      </x:c>
      <x:c r="E1462" t="str">
        <x:v>Medium</x:v>
      </x:c>
      <x:c r="F1462" t="str">
        <x:v>Commercial</x:v>
      </x:c>
      <x:c r="G1462" t="str">
        <x:v>Steel</x:v>
      </x:c>
      <x:c r="H1462" t="str">
        <x:v>Piles</x:v>
      </x:c>
      <x:c r="I1462" t="str">
        <x:v>Soft Clay</x:v>
      </x:c>
      <x:c r="J1462" t="str">
        <x:v>Medium</x:v>
      </x:c>
      <x:c r="K1462" t="n">
        <x:v>79755300</x:v>
      </x:c>
      <x:c r="L1462" t="n">
        <x:v>1507</x:v>
      </x:c>
      <x:c r="M1462" t="n">
        <x:v>198.6</x:v>
      </x:c>
      <x:c r="N1462" t="n">
        <x:v>19.3</x:v>
      </x:c>
      <x:c r="O1462" t="n">
        <x:v>49.7</x:v>
      </x:c>
      <x:c r="P1462" t="str">
        <x:v>Cloudy</x:v>
      </x:c>
      <x:c r="Q1462" t="n">
        <x:v>87</x:v>
      </x:c>
      <x:c r="R1462" t="n">
        <x:v>81</x:v>
      </x:c>
      <x:c r="S1462" t="n">
        <x:v>0.0986</x:v>
      </x:c>
      <x:c r="T1462" t="n">
        <x:v>17.7</x:v>
      </x:c>
      <x:c r="U1462" t="n">
        <x:v>1635</x:v>
      </x:c>
      <x:c r="V1462" t="n">
        <x:v>2439</x:v>
      </x:c>
      <x:c r="W1462" t="n">
        <x:v>46.1</x:v>
      </x:c>
    </x:row>
    <x:row r="1463">
      <x:c r="A1463" t="str">
        <x:v>PJT_1462</x:v>
      </x:c>
      <x:c r="B1463" t="str">
        <x:v>Marine</x:v>
      </x:c>
      <x:c r="C1463" t="n">
        <x:v>26940</x:v>
      </x:c>
      <x:c r="D1463" t="n">
        <x:v>17</x:v>
      </x:c>
      <x:c r="E1463" t="str">
        <x:v>Medium</x:v>
      </x:c>
      <x:c r="F1463" t="str">
        <x:v>Mixed-use</x:v>
      </x:c>
      <x:c r="G1463" t="str">
        <x:v>Steel</x:v>
      </x:c>
      <x:c r="H1463" t="str">
        <x:v>Raft</x:v>
      </x:c>
      <x:c r="I1463" t="str">
        <x:v>Rock</x:v>
      </x:c>
      <x:c r="J1463" t="str">
        <x:v>High</x:v>
      </x:c>
      <x:c r="K1463" t="n">
        <x:v>74165820</x:v>
      </x:c>
      <x:c r="L1463" t="n">
        <x:v>1282</x:v>
      </x:c>
      <x:c r="M1463" t="n">
        <x:v>715.5</x:v>
      </x:c>
      <x:c r="N1463" t="n">
        <x:v>8.4</x:v>
      </x:c>
      <x:c r="O1463" t="n">
        <x:v>69.9</x:v>
      </x:c>
      <x:c r="P1463" t="str">
        <x:v>Cloudy</x:v>
      </x:c>
      <x:c r="Q1463" t="n">
        <x:v>88</x:v>
      </x:c>
      <x:c r="R1463" t="n">
        <x:v>84</x:v>
      </x:c>
      <x:c r="S1463" t="n">
        <x:v>0.1035</x:v>
      </x:c>
      <x:c r="T1463" t="n">
        <x:v>18.1</x:v>
      </x:c>
      <x:c r="U1463" t="n">
        <x:v>1584.7</x:v>
      </x:c>
      <x:c r="V1463" t="n">
        <x:v>2753</x:v>
      </x:c>
      <x:c r="W1463" t="n">
        <x:v>47.6</x:v>
      </x:c>
    </x:row>
    <x:row r="1464">
      <x:c r="A1464" t="str">
        <x:v>PJT_1463</x:v>
      </x:c>
      <x:c r="B1464" t="str">
        <x:v>Continental</x:v>
      </x:c>
      <x:c r="C1464" t="n">
        <x:v>8210</x:v>
      </x:c>
      <x:c r="D1464" t="n">
        <x:v>11</x:v>
      </x:c>
      <x:c r="E1464" t="str">
        <x:v>Medium</x:v>
      </x:c>
      <x:c r="F1464" t="str">
        <x:v>Residential</x:v>
      </x:c>
      <x:c r="G1464" t="str">
        <x:v>Shear Wall</x:v>
      </x:c>
      <x:c r="H1464" t="str">
        <x:v>Raft</x:v>
      </x:c>
      <x:c r="I1464" t="str">
        <x:v>Rock</x:v>
      </x:c>
      <x:c r="J1464" t="str">
        <x:v>High</x:v>
      </x:c>
      <x:c r="K1464" t="n">
        <x:v>13932370</x:v>
      </x:c>
      <x:c r="L1464" t="n">
        <x:v>314</x:v>
      </x:c>
      <x:c r="M1464" t="n">
        <x:v>626</x:v>
      </x:c>
      <x:c r="N1464" t="n">
        <x:v>11.6</x:v>
      </x:c>
      <x:c r="O1464" t="n">
        <x:v>76.5</x:v>
      </x:c>
      <x:c r="P1464" t="str">
        <x:v>Rainy</x:v>
      </x:c>
      <x:c r="Q1464" t="n">
        <x:v>82</x:v>
      </x:c>
      <x:c r="R1464" t="n">
        <x:v>76.3</x:v>
      </x:c>
      <x:c r="S1464" t="n">
        <x:v>0.0809</x:v>
      </x:c>
      <x:c r="T1464" t="n">
        <x:v>12.6</x:v>
      </x:c>
      <x:c r="U1464" t="n">
        <x:v>746.4</x:v>
      </x:c>
      <x:c r="V1464" t="n">
        <x:v>1697</x:v>
      </x:c>
      <x:c r="W1464" t="n">
        <x:v>38.3</x:v>
      </x:c>
    </x:row>
    <x:row r="1465">
      <x:c r="A1465" t="str">
        <x:v>PJT_1464</x:v>
      </x:c>
      <x:c r="B1465" t="str">
        <x:v>Marine</x:v>
      </x:c>
      <x:c r="C1465" t="n">
        <x:v>7650</x:v>
      </x:c>
      <x:c r="D1465" t="n">
        <x:v>3</x:v>
      </x:c>
      <x:c r="E1465" t="str">
        <x:v>Low</x:v>
      </x:c>
      <x:c r="F1465" t="str">
        <x:v>School</x:v>
      </x:c>
      <x:c r="G1465" t="str">
        <x:v>RC Frame</x:v>
      </x:c>
      <x:c r="H1465" t="str">
        <x:v>Raft</x:v>
      </x:c>
      <x:c r="I1465" t="str">
        <x:v>Rock</x:v>
      </x:c>
      <x:c r="J1465" t="str">
        <x:v>Medium</x:v>
      </x:c>
      <x:c r="K1465" t="n">
        <x:v>12331800</x:v>
      </x:c>
      <x:c r="L1465" t="n">
        <x:v>229</x:v>
      </x:c>
      <x:c r="M1465" t="n">
        <x:v>623.1</x:v>
      </x:c>
      <x:c r="N1465" t="n">
        <x:v>18.7</x:v>
      </x:c>
      <x:c r="O1465" t="n">
        <x:v>79.2</x:v>
      </x:c>
      <x:c r="P1465" t="str">
        <x:v>Cloudy</x:v>
      </x:c>
      <x:c r="Q1465" t="n">
        <x:v>83</x:v>
      </x:c>
      <x:c r="R1465" t="n">
        <x:v>64.6</x:v>
      </x:c>
      <x:c r="S1465" t="n">
        <x:v>0.0816</x:v>
      </x:c>
      <x:c r="T1465" t="n">
        <x:v>13</x:v>
      </x:c>
      <x:c r="U1465" t="n">
        <x:v>2550</x:v>
      </x:c>
      <x:c r="V1465" t="n">
        <x:v>1612</x:v>
      </x:c>
      <x:c r="W1465" t="n">
        <x:v>29.9</x:v>
      </x:c>
    </x:row>
    <x:row r="1466">
      <x:c r="A1466" t="str">
        <x:v>PJT_1465</x:v>
      </x:c>
      <x:c r="B1466" t="str">
        <x:v>Continental</x:v>
      </x:c>
      <x:c r="C1466" t="n">
        <x:v>18330</x:v>
      </x:c>
      <x:c r="D1466" t="n">
        <x:v>13</x:v>
      </x:c>
      <x:c r="E1466" t="str">
        <x:v>Medium</x:v>
      </x:c>
      <x:c r="F1466" t="str">
        <x:v>Commercial</x:v>
      </x:c>
      <x:c r="G1466" t="str">
        <x:v>Steel</x:v>
      </x:c>
      <x:c r="H1466" t="str">
        <x:v>Piles</x:v>
      </x:c>
      <x:c r="I1466" t="str">
        <x:v>Soft Clay</x:v>
      </x:c>
      <x:c r="J1466" t="str">
        <x:v>Low</x:v>
      </x:c>
      <x:c r="K1466" t="n">
        <x:v>43625400</x:v>
      </x:c>
      <x:c r="L1466" t="n">
        <x:v>840</x:v>
      </x:c>
      <x:c r="M1466" t="n">
        <x:v>238.5</x:v>
      </x:c>
      <x:c r="N1466" t="n">
        <x:v>11.5</x:v>
      </x:c>
      <x:c r="O1466" t="n">
        <x:v>53.7</x:v>
      </x:c>
      <x:c r="P1466" t="str">
        <x:v>Cloudy</x:v>
      </x:c>
      <x:c r="Q1466" t="n">
        <x:v>74</x:v>
      </x:c>
      <x:c r="R1466" t="n">
        <x:v>79.1</x:v>
      </x:c>
      <x:c r="S1466" t="n">
        <x:v>0.0982</x:v>
      </x:c>
      <x:c r="T1466" t="n">
        <x:v>17.3</x:v>
      </x:c>
      <x:c r="U1466" t="n">
        <x:v>1410</x:v>
      </x:c>
      <x:c r="V1466" t="n">
        <x:v>2380</x:v>
      </x:c>
      <x:c r="W1466" t="n">
        <x:v>45.8</x:v>
      </x:c>
    </x:row>
    <x:row r="1467">
      <x:c r="A1467" t="str">
        <x:v>PJT_1466</x:v>
      </x:c>
      <x:c r="B1467" t="str">
        <x:v>Mediterranean</x:v>
      </x:c>
      <x:c r="C1467" t="n">
        <x:v>16810</x:v>
      </x:c>
      <x:c r="D1467" t="n">
        <x:v>10</x:v>
      </x:c>
      <x:c r="E1467" t="str">
        <x:v>Medium</x:v>
      </x:c>
      <x:c r="F1467" t="str">
        <x:v>Hospital</x:v>
      </x:c>
      <x:c r="G1467" t="str">
        <x:v>Shear Wall</x:v>
      </x:c>
      <x:c r="H1467" t="str">
        <x:v>Raft</x:v>
      </x:c>
      <x:c r="I1467" t="str">
        <x:v>Mixed</x:v>
      </x:c>
      <x:c r="J1467" t="str">
        <x:v>High</x:v>
      </x:c>
      <x:c r="K1467" t="n">
        <x:v>51909280</x:v>
      </x:c>
      <x:c r="L1467" t="n">
        <x:v>834</x:v>
      </x:c>
      <x:c r="M1467" t="n">
        <x:v>349.2</x:v>
      </x:c>
      <x:c r="N1467" t="n">
        <x:v>16.4</x:v>
      </x:c>
      <x:c r="O1467" t="n">
        <x:v>64.9</x:v>
      </x:c>
      <x:c r="P1467" t="str">
        <x:v>Cloudy</x:v>
      </x:c>
      <x:c r="Q1467" t="n">
        <x:v>69</x:v>
      </x:c>
      <x:c r="R1467" t="n">
        <x:v>81.7</x:v>
      </x:c>
      <x:c r="S1467" t="n">
        <x:v>0.1123</x:v>
      </x:c>
      <x:c r="T1467" t="n">
        <x:v>21.4</x:v>
      </x:c>
      <x:c r="U1467" t="n">
        <x:v>1681</x:v>
      </x:c>
      <x:c r="V1467" t="n">
        <x:v>3088</x:v>
      </x:c>
      <x:c r="W1467" t="n">
        <x:v>49.6</x:v>
      </x:c>
    </x:row>
    <x:row r="1468">
      <x:c r="A1468" t="str">
        <x:v>PJT_1467</x:v>
      </x:c>
      <x:c r="B1468" t="str">
        <x:v>Humid Subtropical</x:v>
      </x:c>
      <x:c r="C1468" t="n">
        <x:v>15460</x:v>
      </x:c>
      <x:c r="D1468" t="n">
        <x:v>15</x:v>
      </x:c>
      <x:c r="E1468" t="str">
        <x:v>High</x:v>
      </x:c>
      <x:c r="F1468" t="str">
        <x:v>Mixed-use</x:v>
      </x:c>
      <x:c r="G1468" t="str">
        <x:v>Shear Wall</x:v>
      </x:c>
      <x:c r="H1468" t="str">
        <x:v>Piles</x:v>
      </x:c>
      <x:c r="I1468" t="str">
        <x:v>Mixed</x:v>
      </x:c>
      <x:c r="J1468" t="str">
        <x:v>High</x:v>
      </x:c>
      <x:c r="K1468" t="n">
        <x:v>43890940</x:v>
      </x:c>
      <x:c r="L1468" t="n">
        <x:v>798</x:v>
      </x:c>
      <x:c r="M1468" t="n">
        <x:v>362.2</x:v>
      </x:c>
      <x:c r="N1468" t="n">
        <x:v>30.4</x:v>
      </x:c>
      <x:c r="O1468" t="n">
        <x:v>58.4</x:v>
      </x:c>
      <x:c r="P1468" t="str">
        <x:v>Sunny</x:v>
      </x:c>
      <x:c r="Q1468" t="n">
        <x:v>81</x:v>
      </x:c>
      <x:c r="R1468" t="n">
        <x:v>83.3</x:v>
      </x:c>
      <x:c r="S1468" t="n">
        <x:v>0.1055</x:v>
      </x:c>
      <x:c r="T1468" t="n">
        <x:v>19.4</x:v>
      </x:c>
      <x:c r="U1468" t="n">
        <x:v>1030.7</x:v>
      </x:c>
      <x:c r="V1468" t="n">
        <x:v>2839</x:v>
      </x:c>
      <x:c r="W1468" t="n">
        <x:v>51.6</x:v>
      </x:c>
    </x:row>
    <x:row r="1469">
      <x:c r="A1469" t="str">
        <x:v>PJT_1468</x:v>
      </x:c>
      <x:c r="B1469" t="str">
        <x:v>Humid Subtropical</x:v>
      </x:c>
      <x:c r="C1469" t="n">
        <x:v>15970</x:v>
      </x:c>
      <x:c r="D1469" t="n">
        <x:v>13</x:v>
      </x:c>
      <x:c r="E1469" t="str">
        <x:v>Medium</x:v>
      </x:c>
      <x:c r="F1469" t="str">
        <x:v>Residential</x:v>
      </x:c>
      <x:c r="G1469" t="str">
        <x:v>RC Frame</x:v>
      </x:c>
      <x:c r="H1469" t="str">
        <x:v>Piles</x:v>
      </x:c>
      <x:c r="I1469" t="str">
        <x:v>Soft Clay</x:v>
      </x:c>
      <x:c r="J1469" t="str">
        <x:v>Medium</x:v>
      </x:c>
      <x:c r="K1469" t="n">
        <x:v>26574080</x:v>
      </x:c>
      <x:c r="L1469" t="n">
        <x:v>602</x:v>
      </x:c>
      <x:c r="M1469" t="n">
        <x:v>213.8</x:v>
      </x:c>
      <x:c r="N1469" t="n">
        <x:v>26.7</x:v>
      </x:c>
      <x:c r="O1469" t="n">
        <x:v>89.1</x:v>
      </x:c>
      <x:c r="P1469" t="str">
        <x:v>Rainy</x:v>
      </x:c>
      <x:c r="Q1469" t="n">
        <x:v>99</x:v>
      </x:c>
      <x:c r="R1469" t="n">
        <x:v>73.3</x:v>
      </x:c>
      <x:c r="S1469" t="n">
        <x:v>0.081</x:v>
      </x:c>
      <x:c r="T1469" t="n">
        <x:v>12.3</x:v>
      </x:c>
      <x:c r="U1469" t="n">
        <x:v>1228.5</x:v>
      </x:c>
      <x:c r="V1469" t="n">
        <x:v>1664</x:v>
      </x:c>
      <x:c r="W1469" t="n">
        <x:v>37.7</x:v>
      </x:c>
    </x:row>
    <x:row r="1470">
      <x:c r="A1470" t="str">
        <x:v>PJT_1469</x:v>
      </x:c>
      <x:c r="B1470" t="str">
        <x:v>Continental</x:v>
      </x:c>
      <x:c r="C1470" t="n">
        <x:v>12340</x:v>
      </x:c>
      <x:c r="D1470" t="n">
        <x:v>6</x:v>
      </x:c>
      <x:c r="E1470" t="str">
        <x:v>Medium</x:v>
      </x:c>
      <x:c r="F1470" t="str">
        <x:v>Hospital</x:v>
      </x:c>
      <x:c r="G1470" t="str">
        <x:v>Shear Wall</x:v>
      </x:c>
      <x:c r="H1470" t="str">
        <x:v>Raft</x:v>
      </x:c>
      <x:c r="I1470" t="str">
        <x:v>Mixed</x:v>
      </x:c>
      <x:c r="J1470" t="str">
        <x:v>High</x:v>
      </x:c>
      <x:c r="K1470" t="n">
        <x:v>39463320</x:v>
      </x:c>
      <x:c r="L1470" t="n">
        <x:v>627</x:v>
      </x:c>
      <x:c r="M1470" t="n">
        <x:v>338.4</x:v>
      </x:c>
      <x:c r="N1470" t="n">
        <x:v>12.8</x:v>
      </x:c>
      <x:c r="O1470" t="n">
        <x:v>74.2</x:v>
      </x:c>
      <x:c r="P1470" t="str">
        <x:v>Rainy</x:v>
      </x:c>
      <x:c r="Q1470" t="n">
        <x:v>107</x:v>
      </x:c>
      <x:c r="R1470" t="n">
        <x:v>81.4</x:v>
      </x:c>
      <x:c r="S1470" t="n">
        <x:v>0.1091</x:v>
      </x:c>
      <x:c r="T1470" t="n">
        <x:v>20.6</x:v>
      </x:c>
      <x:c r="U1470" t="n">
        <x:v>2056.7</x:v>
      </x:c>
      <x:c r="V1470" t="n">
        <x:v>3198</x:v>
      </x:c>
      <x:c r="W1470" t="n">
        <x:v>50.8</x:v>
      </x:c>
    </x:row>
    <x:row r="1471">
      <x:c r="A1471" t="str">
        <x:v>PJT_1470</x:v>
      </x:c>
      <x:c r="B1471" t="str">
        <x:v>Continental</x:v>
      </x:c>
      <x:c r="C1471" t="n">
        <x:v>12020</x:v>
      </x:c>
      <x:c r="D1471" t="n">
        <x:v>7</x:v>
      </x:c>
      <x:c r="E1471" t="str">
        <x:v>Medium</x:v>
      </x:c>
      <x:c r="F1471" t="str">
        <x:v>Commercial</x:v>
      </x:c>
      <x:c r="G1471" t="str">
        <x:v>RC Frame</x:v>
      </x:c>
      <x:c r="H1471" t="str">
        <x:v>Raft</x:v>
      </x:c>
      <x:c r="I1471" t="str">
        <x:v>Sand</x:v>
      </x:c>
      <x:c r="J1471" t="str">
        <x:v>Low</x:v>
      </x:c>
      <x:c r="K1471" t="n">
        <x:v>25818960</x:v>
      </x:c>
      <x:c r="L1471" t="n">
        <x:v>501</x:v>
      </x:c>
      <x:c r="M1471" t="n">
        <x:v>225</x:v>
      </x:c>
      <x:c r="N1471" t="n">
        <x:v>5.7</x:v>
      </x:c>
      <x:c r="O1471" t="n">
        <x:v>80.2</x:v>
      </x:c>
      <x:c r="P1471" t="str">
        <x:v>Rainy</x:v>
      </x:c>
      <x:c r="Q1471" t="n">
        <x:v>101</x:v>
      </x:c>
      <x:c r="R1471" t="n">
        <x:v>76.1</x:v>
      </x:c>
      <x:c r="S1471" t="n">
        <x:v>0.0907</x:v>
      </x:c>
      <x:c r="T1471" t="n">
        <x:v>16</x:v>
      </x:c>
      <x:c r="U1471" t="n">
        <x:v>1717.1</x:v>
      </x:c>
      <x:c r="V1471" t="n">
        <x:v>2148</x:v>
      </x:c>
      <x:c r="W1471" t="n">
        <x:v>41.7</x:v>
      </x:c>
    </x:row>
    <x:row r="1472">
      <x:c r="A1472" t="str">
        <x:v>PJT_1471</x:v>
      </x:c>
      <x:c r="B1472" t="str">
        <x:v>Marine</x:v>
      </x:c>
      <x:c r="C1472" t="n">
        <x:v>16090</x:v>
      </x:c>
      <x:c r="D1472" t="n">
        <x:v>12</x:v>
      </x:c>
      <x:c r="E1472" t="str">
        <x:v>Medium</x:v>
      </x:c>
      <x:c r="F1472" t="str">
        <x:v>Commercial</x:v>
      </x:c>
      <x:c r="G1472" t="str">
        <x:v>RC Frame</x:v>
      </x:c>
      <x:c r="H1472" t="str">
        <x:v>Raft</x:v>
      </x:c>
      <x:c r="I1472" t="str">
        <x:v>Mixed</x:v>
      </x:c>
      <x:c r="J1472" t="str">
        <x:v>Medium</x:v>
      </x:c>
      <x:c r="K1472" t="n">
        <x:v>35751980</x:v>
      </x:c>
      <x:c r="L1472" t="n">
        <x:v>647</x:v>
      </x:c>
      <x:c r="M1472" t="n">
        <x:v>305.3</x:v>
      </x:c>
      <x:c r="N1472" t="n">
        <x:v>9.9</x:v>
      </x:c>
      <x:c r="O1472" t="n">
        <x:v>63.3</x:v>
      </x:c>
      <x:c r="P1472" t="str">
        <x:v>Cloudy</x:v>
      </x:c>
      <x:c r="Q1472" t="n">
        <x:v>83</x:v>
      </x:c>
      <x:c r="R1472" t="n">
        <x:v>79.8</x:v>
      </x:c>
      <x:c r="S1472" t="n">
        <x:v>0.0892</x:v>
      </x:c>
      <x:c r="T1472" t="n">
        <x:v>17.2</x:v>
      </x:c>
      <x:c r="U1472" t="n">
        <x:v>1340.8</x:v>
      </x:c>
      <x:c r="V1472" t="n">
        <x:v>2222</x:v>
      </x:c>
      <x:c r="W1472" t="n">
        <x:v>40.2</x:v>
      </x:c>
    </x:row>
    <x:row r="1473">
      <x:c r="A1473" t="str">
        <x:v>PJT_1472</x:v>
      </x:c>
      <x:c r="B1473" t="str">
        <x:v>Marine</x:v>
      </x:c>
      <x:c r="C1473" t="n">
        <x:v>24620</x:v>
      </x:c>
      <x:c r="D1473" t="n">
        <x:v>14</x:v>
      </x:c>
      <x:c r="E1473" t="str">
        <x:v>Medium</x:v>
      </x:c>
      <x:c r="F1473" t="str">
        <x:v>Mixed-use</x:v>
      </x:c>
      <x:c r="G1473" t="str">
        <x:v>Steel</x:v>
      </x:c>
      <x:c r="H1473" t="str">
        <x:v>Piles</x:v>
      </x:c>
      <x:c r="I1473" t="str">
        <x:v>Mixed</x:v>
      </x:c>
      <x:c r="J1473" t="str">
        <x:v>Medium</x:v>
      </x:c>
      <x:c r="K1473" t="n">
        <x:v>63519600</x:v>
      </x:c>
      <x:c r="L1473" t="n">
        <x:v>1231</x:v>
      </x:c>
      <x:c r="M1473" t="n">
        <x:v>304.4</x:v>
      </x:c>
      <x:c r="N1473" t="n">
        <x:v>10</x:v>
      </x:c>
      <x:c r="O1473" t="n">
        <x:v>81.5</x:v>
      </x:c>
      <x:c r="P1473" t="str">
        <x:v>Cloudy</x:v>
      </x:c>
      <x:c r="Q1473" t="n">
        <x:v>82</x:v>
      </x:c>
      <x:c r="R1473" t="n">
        <x:v>85.9</x:v>
      </x:c>
      <x:c r="S1473" t="n">
        <x:v>0.1038</x:v>
      </x:c>
      <x:c r="T1473" t="n">
        <x:v>18.2</x:v>
      </x:c>
      <x:c r="U1473" t="n">
        <x:v>1758.6</x:v>
      </x:c>
      <x:c r="V1473" t="n">
        <x:v>2580</x:v>
      </x:c>
      <x:c r="W1473" t="n">
        <x:v>50</x:v>
      </x:c>
    </x:row>
    <x:row r="1474">
      <x:c r="A1474" t="str">
        <x:v>PJT_1473</x:v>
      </x:c>
      <x:c r="B1474" t="str">
        <x:v>Marine</x:v>
      </x:c>
      <x:c r="C1474" t="n">
        <x:v>19980</x:v>
      </x:c>
      <x:c r="D1474" t="n">
        <x:v>17</x:v>
      </x:c>
      <x:c r="E1474" t="str">
        <x:v>High</x:v>
      </x:c>
      <x:c r="F1474" t="str">
        <x:v>Mixed-use</x:v>
      </x:c>
      <x:c r="G1474" t="str">
        <x:v>Steel</x:v>
      </x:c>
      <x:c r="H1474" t="str">
        <x:v>Piles</x:v>
      </x:c>
      <x:c r="I1474" t="str">
        <x:v>Soft Clay</x:v>
      </x:c>
      <x:c r="J1474" t="str">
        <x:v>High</x:v>
      </x:c>
      <x:c r="K1474" t="n">
        <x:v>60519420</x:v>
      </x:c>
      <x:c r="L1474" t="n">
        <x:v>1133</x:v>
      </x:c>
      <x:c r="M1474" t="n">
        <x:v>193.5</x:v>
      </x:c>
      <x:c r="N1474" t="n">
        <x:v>7.3</x:v>
      </x:c>
      <x:c r="O1474" t="n">
        <x:v>74.8</x:v>
      </x:c>
      <x:c r="P1474" t="str">
        <x:v>Rainy</x:v>
      </x:c>
      <x:c r="Q1474" t="n">
        <x:v>107</x:v>
      </x:c>
      <x:c r="R1474" t="n">
        <x:v>85.5</x:v>
      </x:c>
      <x:c r="S1474" t="n">
        <x:v>0.1081</x:v>
      </x:c>
      <x:c r="T1474" t="n">
        <x:v>20.3</x:v>
      </x:c>
      <x:c r="U1474" t="n">
        <x:v>1175.3</x:v>
      </x:c>
      <x:c r="V1474" t="n">
        <x:v>3029</x:v>
      </x:c>
      <x:c r="W1474" t="n">
        <x:v>56.7</x:v>
      </x:c>
    </x:row>
    <x:row r="1475">
      <x:c r="A1475" t="str">
        <x:v>PJT_1474</x:v>
      </x:c>
      <x:c r="B1475" t="str">
        <x:v>Continental</x:v>
      </x:c>
      <x:c r="C1475" t="n">
        <x:v>10430</x:v>
      </x:c>
      <x:c r="D1475" t="n">
        <x:v>9</x:v>
      </x:c>
      <x:c r="E1475" t="str">
        <x:v>Low</x:v>
      </x:c>
      <x:c r="F1475" t="str">
        <x:v>Residential</x:v>
      </x:c>
      <x:c r="G1475" t="str">
        <x:v>RC Frame</x:v>
      </x:c>
      <x:c r="H1475" t="str">
        <x:v>Raft</x:v>
      </x:c>
      <x:c r="I1475" t="str">
        <x:v>Mixed</x:v>
      </x:c>
      <x:c r="J1475" t="str">
        <x:v>Low</x:v>
      </x:c>
      <x:c r="K1475" t="n">
        <x:v>12870620</x:v>
      </x:c>
      <x:c r="L1475" t="n">
        <x:v>312</x:v>
      </x:c>
      <x:c r="M1475" t="n">
        <x:v>289.1</x:v>
      </x:c>
      <x:c r="N1475" t="n">
        <x:v>6.5</x:v>
      </x:c>
      <x:c r="O1475" t="n">
        <x:v>39.7</x:v>
      </x:c>
      <x:c r="P1475" t="str">
        <x:v>Sunny</x:v>
      </x:c>
      <x:c r="Q1475" t="n">
        <x:v>72</x:v>
      </x:c>
      <x:c r="R1475" t="n">
        <x:v>62.8</x:v>
      </x:c>
      <x:c r="S1475" t="n">
        <x:v>0.0717</x:v>
      </x:c>
      <x:c r="T1475" t="n">
        <x:v>11.6</x:v>
      </x:c>
      <x:c r="U1475" t="n">
        <x:v>1158.9</x:v>
      </x:c>
      <x:c r="V1475" t="n">
        <x:v>1234</x:v>
      </x:c>
      <x:c r="W1475" t="n">
        <x:v>29.9</x:v>
      </x:c>
    </x:row>
    <x:row r="1476">
      <x:c r="A1476" t="str">
        <x:v>PJT_1475</x:v>
      </x:c>
      <x:c r="B1476" t="str">
        <x:v>Humid Subtropical</x:v>
      </x:c>
      <x:c r="C1476" t="n">
        <x:v>13470</x:v>
      </x:c>
      <x:c r="D1476" t="n">
        <x:v>6</x:v>
      </x:c>
      <x:c r="E1476" t="str">
        <x:v>Medium</x:v>
      </x:c>
      <x:c r="F1476" t="str">
        <x:v>School</x:v>
      </x:c>
      <x:c r="G1476" t="str">
        <x:v>Steel</x:v>
      </x:c>
      <x:c r="H1476" t="str">
        <x:v>Raft</x:v>
      </x:c>
      <x:c r="I1476" t="str">
        <x:v>Sand</x:v>
      </x:c>
      <x:c r="J1476" t="str">
        <x:v>Medium</x:v>
      </x:c>
      <x:c r="K1476" t="n">
        <x:v>26050980</x:v>
      </x:c>
      <x:c r="L1476" t="n">
        <x:v>480</x:v>
      </x:c>
      <x:c r="M1476" t="n">
        <x:v>244.2</x:v>
      </x:c>
      <x:c r="N1476" t="n">
        <x:v>24.2</x:v>
      </x:c>
      <x:c r="O1476" t="n">
        <x:v>74.6</x:v>
      </x:c>
      <x:c r="P1476" t="str">
        <x:v>Rainy</x:v>
      </x:c>
      <x:c r="Q1476" t="n">
        <x:v>76</x:v>
      </x:c>
      <x:c r="R1476" t="n">
        <x:v>74.2</x:v>
      </x:c>
      <x:c r="S1476" t="n">
        <x:v>0.0881</x:v>
      </x:c>
      <x:c r="T1476" t="n">
        <x:v>15.8</x:v>
      </x:c>
      <x:c r="U1476" t="n">
        <x:v>2245</x:v>
      </x:c>
      <x:c r="V1476" t="n">
        <x:v>1934</x:v>
      </x:c>
      <x:c r="W1476" t="n">
        <x:v>35.6</x:v>
      </x:c>
    </x:row>
    <x:row r="1477">
      <x:c r="A1477" t="str">
        <x:v>PJT_1476</x:v>
      </x:c>
      <x:c r="B1477" t="str">
        <x:v>Mediterranean</x:v>
      </x:c>
      <x:c r="C1477" t="n">
        <x:v>19120</x:v>
      </x:c>
      <x:c r="D1477" t="n">
        <x:v>15</x:v>
      </x:c>
      <x:c r="E1477" t="str">
        <x:v>Medium</x:v>
      </x:c>
      <x:c r="F1477" t="str">
        <x:v>Mixed-use</x:v>
      </x:c>
      <x:c r="G1477" t="str">
        <x:v>Shear Wall</x:v>
      </x:c>
      <x:c r="H1477" t="str">
        <x:v>Raft</x:v>
      </x:c>
      <x:c r="I1477" t="str">
        <x:v>Rock</x:v>
      </x:c>
      <x:c r="J1477" t="str">
        <x:v>High</x:v>
      </x:c>
      <x:c r="K1477" t="n">
        <x:v>50629760</x:v>
      </x:c>
      <x:c r="L1477" t="n">
        <x:v>897</x:v>
      </x:c>
      <x:c r="M1477" t="n">
        <x:v>601.4</x:v>
      </x:c>
      <x:c r="N1477" t="n">
        <x:v>22.1</x:v>
      </x:c>
      <x:c r="O1477" t="n">
        <x:v>40.6</x:v>
      </x:c>
      <x:c r="P1477" t="str">
        <x:v>Sunny</x:v>
      </x:c>
      <x:c r="Q1477" t="n">
        <x:v>76</x:v>
      </x:c>
      <x:c r="R1477" t="n">
        <x:v>83.6</x:v>
      </x:c>
      <x:c r="S1477" t="n">
        <x:v>0.0988</x:v>
      </x:c>
      <x:c r="T1477" t="n">
        <x:v>18.2</x:v>
      </x:c>
      <x:c r="U1477" t="n">
        <x:v>1274.7</x:v>
      </x:c>
      <x:c r="V1477" t="n">
        <x:v>2648</x:v>
      </x:c>
      <x:c r="W1477" t="n">
        <x:v>46.9</x:v>
      </x:c>
    </x:row>
    <x:row r="1478">
      <x:c r="A1478" t="str">
        <x:v>PJT_1477</x:v>
      </x:c>
      <x:c r="B1478" t="str">
        <x:v>Mediterranean</x:v>
      </x:c>
      <x:c r="C1478" t="n">
        <x:v>11130</x:v>
      </x:c>
      <x:c r="D1478" t="n">
        <x:v>13</x:v>
      </x:c>
      <x:c r="E1478" t="str">
        <x:v>Medium</x:v>
      </x:c>
      <x:c r="F1478" t="str">
        <x:v>Residential</x:v>
      </x:c>
      <x:c r="G1478" t="str">
        <x:v>RC Frame</x:v>
      </x:c>
      <x:c r="H1478" t="str">
        <x:v>Piles</x:v>
      </x:c>
      <x:c r="I1478" t="str">
        <x:v>Soft Clay</x:v>
      </x:c>
      <x:c r="J1478" t="str">
        <x:v>Low</x:v>
      </x:c>
      <x:c r="K1478" t="n">
        <x:v>17730090</x:v>
      </x:c>
      <x:c r="L1478" t="n">
        <x:v>377</x:v>
      </x:c>
      <x:c r="M1478" t="n">
        <x:v>195.9</x:v>
      </x:c>
      <x:c r="N1478" t="n">
        <x:v>29</x:v>
      </x:c>
      <x:c r="O1478" t="n">
        <x:v>61.3</x:v>
      </x:c>
      <x:c r="P1478" t="str">
        <x:v>Sunny</x:v>
      </x:c>
      <x:c r="Q1478" t="n">
        <x:v>84</x:v>
      </x:c>
      <x:c r="R1478" t="n">
        <x:v>77.3</x:v>
      </x:c>
      <x:c r="S1478" t="n">
        <x:v>0.0785</x:v>
      </x:c>
      <x:c r="T1478" t="n">
        <x:v>12.8</x:v>
      </x:c>
      <x:c r="U1478" t="n">
        <x:v>856.2</x:v>
      </x:c>
      <x:c r="V1478" t="n">
        <x:v>1593</x:v>
      </x:c>
      <x:c r="W1478" t="n">
        <x:v>33.9</x:v>
      </x:c>
    </x:row>
    <x:row r="1479">
      <x:c r="A1479" t="str">
        <x:v>PJT_1478</x:v>
      </x:c>
      <x:c r="B1479" t="str">
        <x:v>Mediterranean</x:v>
      </x:c>
      <x:c r="C1479" t="n">
        <x:v>3610</x:v>
      </x:c>
      <x:c r="D1479" t="n">
        <x:v>2</x:v>
      </x:c>
      <x:c r="E1479" t="str">
        <x:v>Low</x:v>
      </x:c>
      <x:c r="F1479" t="str">
        <x:v>School</x:v>
      </x:c>
      <x:c r="G1479" t="str">
        <x:v>Steel</x:v>
      </x:c>
      <x:c r="H1479" t="str">
        <x:v>Piles</x:v>
      </x:c>
      <x:c r="I1479" t="str">
        <x:v>Soft Clay</x:v>
      </x:c>
      <x:c r="J1479" t="str">
        <x:v>High</x:v>
      </x:c>
      <x:c r="K1479" t="n">
        <x:v>7155020</x:v>
      </x:c>
      <x:c r="L1479" t="n">
        <x:v>180</x:v>
      </x:c>
      <x:c r="M1479" t="n">
        <x:v>217.8</x:v>
      </x:c>
      <x:c r="N1479" t="n">
        <x:v>10.5</x:v>
      </x:c>
      <x:c r="O1479" t="n">
        <x:v>70.4</x:v>
      </x:c>
      <x:c r="P1479" t="str">
        <x:v>Rainy</x:v>
      </x:c>
      <x:c r="Q1479" t="n">
        <x:v>68</x:v>
      </x:c>
      <x:c r="R1479" t="n">
        <x:v>64.7</x:v>
      </x:c>
      <x:c r="S1479" t="n">
        <x:v>0.0848</x:v>
      </x:c>
      <x:c r="T1479" t="n">
        <x:v>15</x:v>
      </x:c>
      <x:c r="U1479" t="n">
        <x:v>1805</x:v>
      </x:c>
      <x:c r="V1479" t="n">
        <x:v>1982</x:v>
      </x:c>
      <x:c r="W1479" t="n">
        <x:v>35.6</x:v>
      </x:c>
    </x:row>
    <x:row r="1480">
      <x:c r="A1480" t="str">
        <x:v>PJT_1479</x:v>
      </x:c>
      <x:c r="B1480" t="str">
        <x:v>Marine</x:v>
      </x:c>
      <x:c r="C1480" t="n">
        <x:v>25360</x:v>
      </x:c>
      <x:c r="D1480" t="n">
        <x:v>15</x:v>
      </x:c>
      <x:c r="E1480" t="str">
        <x:v>Medium</x:v>
      </x:c>
      <x:c r="F1480" t="str">
        <x:v>Commercial</x:v>
      </x:c>
      <x:c r="G1480" t="str">
        <x:v>Steel</x:v>
      </x:c>
      <x:c r="H1480" t="str">
        <x:v>Piles</x:v>
      </x:c>
      <x:c r="I1480" t="str">
        <x:v>Soft Clay</x:v>
      </x:c>
      <x:c r="J1480" t="str">
        <x:v>Low</x:v>
      </x:c>
      <x:c r="K1480" t="n">
        <x:v>59697440</x:v>
      </x:c>
      <x:c r="L1480" t="n">
        <x:v>1205</x:v>
      </x:c>
      <x:c r="M1480" t="n">
        <x:v>216.3</x:v>
      </x:c>
      <x:c r="N1480" t="n">
        <x:v>7</x:v>
      </x:c>
      <x:c r="O1480" t="n">
        <x:v>77.7</x:v>
      </x:c>
      <x:c r="P1480" t="str">
        <x:v>Rainy</x:v>
      </x:c>
      <x:c r="Q1480" t="n">
        <x:v>88</x:v>
      </x:c>
      <x:c r="R1480" t="n">
        <x:v>80.2</x:v>
      </x:c>
      <x:c r="S1480" t="n">
        <x:v>0.094</x:v>
      </x:c>
      <x:c r="T1480" t="n">
        <x:v>17.9</x:v>
      </x:c>
      <x:c r="U1480" t="n">
        <x:v>1690.7</x:v>
      </x:c>
      <x:c r="V1480" t="n">
        <x:v>2354</x:v>
      </x:c>
      <x:c r="W1480" t="n">
        <x:v>47.5</x:v>
      </x:c>
    </x:row>
    <x:row r="1481">
      <x:c r="A1481" t="str">
        <x:v>PJT_1480</x:v>
      </x:c>
      <x:c r="B1481" t="str">
        <x:v>Humid Subtropical</x:v>
      </x:c>
      <x:c r="C1481" t="n">
        <x:v>15210</x:v>
      </x:c>
      <x:c r="D1481" t="n">
        <x:v>7</x:v>
      </x:c>
      <x:c r="E1481" t="str">
        <x:v>Low</x:v>
      </x:c>
      <x:c r="F1481" t="str">
        <x:v>Commercial</x:v>
      </x:c>
      <x:c r="G1481" t="str">
        <x:v>RC Frame</x:v>
      </x:c>
      <x:c r="H1481" t="str">
        <x:v>Raft</x:v>
      </x:c>
      <x:c r="I1481" t="str">
        <x:v>Soft Clay</x:v>
      </x:c>
      <x:c r="J1481" t="str">
        <x:v>Medium</x:v>
      </x:c>
      <x:c r="K1481" t="n">
        <x:v>31804110</x:v>
      </x:c>
      <x:c r="L1481" t="n">
        <x:v>523</x:v>
      </x:c>
      <x:c r="M1481" t="n">
        <x:v>169.7</x:v>
      </x:c>
      <x:c r="N1481" t="n">
        <x:v>33</x:v>
      </x:c>
      <x:c r="O1481" t="n">
        <x:v>69.2</x:v>
      </x:c>
      <x:c r="P1481" t="str">
        <x:v>Sunny</x:v>
      </x:c>
      <x:c r="Q1481" t="n">
        <x:v>93</x:v>
      </x:c>
      <x:c r="R1481" t="n">
        <x:v>66.6</x:v>
      </x:c>
      <x:c r="S1481" t="n">
        <x:v>0.0833</x:v>
      </x:c>
      <x:c r="T1481" t="n">
        <x:v>16.1</x:v>
      </x:c>
      <x:c r="U1481" t="n">
        <x:v>2172.9</x:v>
      </x:c>
      <x:c r="V1481" t="n">
        <x:v>2091</x:v>
      </x:c>
      <x:c r="W1481" t="n">
        <x:v>34.4</x:v>
      </x:c>
    </x:row>
    <x:row r="1482">
      <x:c r="A1482" t="str">
        <x:v>PJT_1481</x:v>
      </x:c>
      <x:c r="B1482" t="str">
        <x:v>Humid Subtropical</x:v>
      </x:c>
      <x:c r="C1482" t="n">
        <x:v>11980</x:v>
      </x:c>
      <x:c r="D1482" t="n">
        <x:v>5</x:v>
      </x:c>
      <x:c r="E1482" t="str">
        <x:v>Low</x:v>
      </x:c>
      <x:c r="F1482" t="str">
        <x:v>School</x:v>
      </x:c>
      <x:c r="G1482" t="str">
        <x:v>RC Frame</x:v>
      </x:c>
      <x:c r="H1482" t="str">
        <x:v>Raft</x:v>
      </x:c>
      <x:c r="I1482" t="str">
        <x:v>Mixed</x:v>
      </x:c>
      <x:c r="J1482" t="str">
        <x:v>Low</x:v>
      </x:c>
      <x:c r="K1482" t="n">
        <x:v>19311760</x:v>
      </x:c>
      <x:c r="L1482" t="n">
        <x:v>320</x:v>
      </x:c>
      <x:c r="M1482" t="n">
        <x:v>362.5</x:v>
      </x:c>
      <x:c r="N1482" t="n">
        <x:v>31.4</x:v>
      </x:c>
      <x:c r="O1482" t="n">
        <x:v>67.8</x:v>
      </x:c>
      <x:c r="P1482" t="str">
        <x:v>Sunny</x:v>
      </x:c>
      <x:c r="Q1482" t="n">
        <x:v>79</x:v>
      </x:c>
      <x:c r="R1482" t="n">
        <x:v>66.3</x:v>
      </x:c>
      <x:c r="S1482" t="n">
        <x:v>0.0751</x:v>
      </x:c>
      <x:c r="T1482" t="n">
        <x:v>13.8</x:v>
      </x:c>
      <x:c r="U1482" t="n">
        <x:v>2396</x:v>
      </x:c>
      <x:c r="V1482" t="n">
        <x:v>1612</x:v>
      </x:c>
      <x:c r="W1482" t="n">
        <x:v>26.7</x:v>
      </x:c>
    </x:row>
    <x:row r="1483">
      <x:c r="A1483" t="str">
        <x:v>PJT_1482</x:v>
      </x:c>
      <x:c r="B1483" t="str">
        <x:v>Continental</x:v>
      </x:c>
      <x:c r="C1483" t="n">
        <x:v>12430</x:v>
      </x:c>
      <x:c r="D1483" t="n">
        <x:v>11</x:v>
      </x:c>
      <x:c r="E1483" t="str">
        <x:v>Medium</x:v>
      </x:c>
      <x:c r="F1483" t="str">
        <x:v>Commercial</x:v>
      </x:c>
      <x:c r="G1483" t="str">
        <x:v>RC Frame</x:v>
      </x:c>
      <x:c r="H1483" t="str">
        <x:v>Raft</x:v>
      </x:c>
      <x:c r="I1483" t="str">
        <x:v>Sand</x:v>
      </x:c>
      <x:c r="J1483" t="str">
        <x:v>Medium</x:v>
      </x:c>
      <x:c r="K1483" t="n">
        <x:v>27271420</x:v>
      </x:c>
      <x:c r="L1483" t="n">
        <x:v>526</x:v>
      </x:c>
      <x:c r="M1483" t="n">
        <x:v>262.9</x:v>
      </x:c>
      <x:c r="N1483" t="n">
        <x:v>2.4</x:v>
      </x:c>
      <x:c r="O1483" t="n">
        <x:v>75.5</x:v>
      </x:c>
      <x:c r="P1483" t="str">
        <x:v>Rainy</x:v>
      </x:c>
      <x:c r="Q1483" t="n">
        <x:v>91</x:v>
      </x:c>
      <x:c r="R1483" t="n">
        <x:v>77.7</x:v>
      </x:c>
      <x:c r="S1483" t="n">
        <x:v>0.0905</x:v>
      </x:c>
      <x:c r="T1483" t="n">
        <x:v>16.1</x:v>
      </x:c>
      <x:c r="U1483" t="n">
        <x:v>1130</x:v>
      </x:c>
      <x:c r="V1483" t="n">
        <x:v>2194</x:v>
      </x:c>
      <x:c r="W1483" t="n">
        <x:v>42.3</x:v>
      </x:c>
    </x:row>
    <x:row r="1484">
      <x:c r="A1484" t="str">
        <x:v>PJT_1483</x:v>
      </x:c>
      <x:c r="B1484" t="str">
        <x:v>Humid Subtropical</x:v>
      </x:c>
      <x:c r="C1484" t="n">
        <x:v>16430</x:v>
      </x:c>
      <x:c r="D1484" t="n">
        <x:v>10</x:v>
      </x:c>
      <x:c r="E1484" t="str">
        <x:v>Medium</x:v>
      </x:c>
      <x:c r="F1484" t="str">
        <x:v>Hospital</x:v>
      </x:c>
      <x:c r="G1484" t="str">
        <x:v>Shear Wall</x:v>
      </x:c>
      <x:c r="H1484" t="str">
        <x:v>Piles</x:v>
      </x:c>
      <x:c r="I1484" t="str">
        <x:v>Soft Clay</x:v>
      </x:c>
      <x:c r="J1484" t="str">
        <x:v>Medium</x:v>
      </x:c>
      <x:c r="K1484" t="n">
        <x:v>52493850</x:v>
      </x:c>
      <x:c r="L1484" t="n">
        <x:v>882</x:v>
      </x:c>
      <x:c r="M1484" t="n">
        <x:v>188.4</x:v>
      </x:c>
      <x:c r="N1484" t="n">
        <x:v>25.7</x:v>
      </x:c>
      <x:c r="O1484" t="n">
        <x:v>74.4</x:v>
      </x:c>
      <x:c r="P1484" t="str">
        <x:v>Rainy</x:v>
      </x:c>
      <x:c r="Q1484" t="n">
        <x:v>112</x:v>
      </x:c>
      <x:c r="R1484" t="n">
        <x:v>82.9</x:v>
      </x:c>
      <x:c r="S1484" t="n">
        <x:v>0.1113</x:v>
      </x:c>
      <x:c r="T1484" t="n">
        <x:v>20.1</x:v>
      </x:c>
      <x:c r="U1484" t="n">
        <x:v>1643</x:v>
      </x:c>
      <x:c r="V1484" t="n">
        <x:v>3195</x:v>
      </x:c>
      <x:c r="W1484" t="n">
        <x:v>53.7</x:v>
      </x:c>
    </x:row>
    <x:row r="1485">
      <x:c r="A1485" t="str">
        <x:v>PJT_1484</x:v>
      </x:c>
      <x:c r="B1485" t="str">
        <x:v>Mediterranean</x:v>
      </x:c>
      <x:c r="C1485" t="n">
        <x:v>18390</x:v>
      </x:c>
      <x:c r="D1485" t="n">
        <x:v>18</x:v>
      </x:c>
      <x:c r="E1485" t="str">
        <x:v>Medium</x:v>
      </x:c>
      <x:c r="F1485" t="str">
        <x:v>Mixed-use</x:v>
      </x:c>
      <x:c r="G1485" t="str">
        <x:v>Steel</x:v>
      </x:c>
      <x:c r="H1485" t="str">
        <x:v>Piles</x:v>
      </x:c>
      <x:c r="I1485" t="str">
        <x:v>Mixed</x:v>
      </x:c>
      <x:c r="J1485" t="str">
        <x:v>Low</x:v>
      </x:c>
      <x:c r="K1485" t="n">
        <x:v>47887560</x:v>
      </x:c>
      <x:c r="L1485" t="n">
        <x:v>938</x:v>
      </x:c>
      <x:c r="M1485" t="n">
        <x:v>371.2</x:v>
      </x:c>
      <x:c r="N1485" t="n">
        <x:v>14.2</x:v>
      </x:c>
      <x:c r="O1485" t="n">
        <x:v>69.2</x:v>
      </x:c>
      <x:c r="P1485" t="str">
        <x:v>Rainy</x:v>
      </x:c>
      <x:c r="Q1485" t="n">
        <x:v>92</x:v>
      </x:c>
      <x:c r="R1485" t="n">
        <x:v>81</x:v>
      </x:c>
      <x:c r="S1485" t="n">
        <x:v>0.0999</x:v>
      </x:c>
      <x:c r="T1485" t="n">
        <x:v>18.1</x:v>
      </x:c>
      <x:c r="U1485" t="n">
        <x:v>1021.7</x:v>
      </x:c>
      <x:c r="V1485" t="n">
        <x:v>2604</x:v>
      </x:c>
      <x:c r="W1485" t="n">
        <x:v>51</x:v>
      </x:c>
    </x:row>
    <x:row r="1486">
      <x:c r="A1486" t="str">
        <x:v>PJT_1485</x:v>
      </x:c>
      <x:c r="B1486" t="str">
        <x:v>Mediterranean</x:v>
      </x:c>
      <x:c r="C1486" t="n">
        <x:v>17980</x:v>
      </x:c>
      <x:c r="D1486" t="n">
        <x:v>10</x:v>
      </x:c>
      <x:c r="E1486" t="str">
        <x:v>Medium</x:v>
      </x:c>
      <x:c r="F1486" t="str">
        <x:v>Commercial</x:v>
      </x:c>
      <x:c r="G1486" t="str">
        <x:v>RC Frame</x:v>
      </x:c>
      <x:c r="H1486" t="str">
        <x:v>Piles</x:v>
      </x:c>
      <x:c r="I1486" t="str">
        <x:v>Soft Clay</x:v>
      </x:c>
      <x:c r="J1486" t="str">
        <x:v>High</x:v>
      </x:c>
      <x:c r="K1486" t="n">
        <x:v>43008160</x:v>
      </x:c>
      <x:c r="L1486" t="n">
        <x:v>775</x:v>
      </x:c>
      <x:c r="M1486" t="n">
        <x:v>233.6</x:v>
      </x:c>
      <x:c r="N1486" t="n">
        <x:v>21.7</x:v>
      </x:c>
      <x:c r="O1486" t="n">
        <x:v>66.8</x:v>
      </x:c>
      <x:c r="P1486" t="str">
        <x:v>Cloudy</x:v>
      </x:c>
      <x:c r="Q1486" t="n">
        <x:v>80</x:v>
      </x:c>
      <x:c r="R1486" t="n">
        <x:v>81.2</x:v>
      </x:c>
      <x:c r="S1486" t="n">
        <x:v>0.0925</x:v>
      </x:c>
      <x:c r="T1486" t="n">
        <x:v>16.2</x:v>
      </x:c>
      <x:c r="U1486" t="n">
        <x:v>1798</x:v>
      </x:c>
      <x:c r="V1486" t="n">
        <x:v>2392</x:v>
      </x:c>
      <x:c r="W1486" t="n">
        <x:v>43.1</x:v>
      </x:c>
    </x:row>
    <x:row r="1487">
      <x:c r="A1487" t="str">
        <x:v>PJT_1486</x:v>
      </x:c>
      <x:c r="B1487" t="str">
        <x:v>Mediterranean</x:v>
      </x:c>
      <x:c r="C1487" t="n">
        <x:v>9280</x:v>
      </x:c>
      <x:c r="D1487" t="n">
        <x:v>4</x:v>
      </x:c>
      <x:c r="E1487" t="str">
        <x:v>Medium</x:v>
      </x:c>
      <x:c r="F1487" t="str">
        <x:v>School</x:v>
      </x:c>
      <x:c r="G1487" t="str">
        <x:v>RC Frame</x:v>
      </x:c>
      <x:c r="H1487" t="str">
        <x:v>Raft</x:v>
      </x:c>
      <x:c r="I1487" t="str">
        <x:v>Soft Clay</x:v>
      </x:c>
      <x:c r="J1487" t="str">
        <x:v>High</x:v>
      </x:c>
      <x:c r="K1487" t="n">
        <x:v>17344320</x:v>
      </x:c>
      <x:c r="L1487" t="n">
        <x:v>328</x:v>
      </x:c>
      <x:c r="M1487" t="n">
        <x:v>201</x:v>
      </x:c>
      <x:c r="N1487" t="n">
        <x:v>16.2</x:v>
      </x:c>
      <x:c r="O1487" t="n">
        <x:v>73.2</x:v>
      </x:c>
      <x:c r="P1487" t="str">
        <x:v>Rainy</x:v>
      </x:c>
      <x:c r="Q1487" t="n">
        <x:v>80</x:v>
      </x:c>
      <x:c r="R1487" t="n">
        <x:v>74.5</x:v>
      </x:c>
      <x:c r="S1487" t="n">
        <x:v>0.0806</x:v>
      </x:c>
      <x:c r="T1487" t="n">
        <x:v>14.2</x:v>
      </x:c>
      <x:c r="U1487" t="n">
        <x:v>2320</x:v>
      </x:c>
      <x:c r="V1487" t="n">
        <x:v>1869</x:v>
      </x:c>
      <x:c r="W1487" t="n">
        <x:v>35.3</x:v>
      </x:c>
    </x:row>
    <x:row r="1488">
      <x:c r="A1488" t="str">
        <x:v>PJT_1487</x:v>
      </x:c>
      <x:c r="B1488" t="str">
        <x:v>Marine</x:v>
      </x:c>
      <x:c r="C1488" t="n">
        <x:v>11980</x:v>
      </x:c>
      <x:c r="D1488" t="n">
        <x:v>14</x:v>
      </x:c>
      <x:c r="E1488" t="str">
        <x:v>Low</x:v>
      </x:c>
      <x:c r="F1488" t="str">
        <x:v>Residential</x:v>
      </x:c>
      <x:c r="G1488" t="str">
        <x:v>Shear Wall</x:v>
      </x:c>
      <x:c r="H1488" t="str">
        <x:v>Piles</x:v>
      </x:c>
      <x:c r="I1488" t="str">
        <x:v>Soft Clay</x:v>
      </x:c>
      <x:c r="J1488" t="str">
        <x:v>Medium</x:v>
      </x:c>
      <x:c r="K1488" t="n">
        <x:v>18449200</x:v>
      </x:c>
      <x:c r="L1488" t="n">
        <x:v>418</x:v>
      </x:c>
      <x:c r="M1488" t="n">
        <x:v>201.8</x:v>
      </x:c>
      <x:c r="N1488" t="n">
        <x:v>12.1</x:v>
      </x:c>
      <x:c r="O1488" t="n">
        <x:v>61.1</x:v>
      </x:c>
      <x:c r="P1488" t="str">
        <x:v>Sunny</x:v>
      </x:c>
      <x:c r="Q1488" t="n">
        <x:v>61</x:v>
      </x:c>
      <x:c r="R1488" t="n">
        <x:v>68.7</x:v>
      </x:c>
      <x:c r="S1488" t="n">
        <x:v>0.0755</x:v>
      </x:c>
      <x:c r="T1488" t="n">
        <x:v>12.4</x:v>
      </x:c>
      <x:c r="U1488" t="n">
        <x:v>855.7</x:v>
      </x:c>
      <x:c r="V1488" t="n">
        <x:v>1540</x:v>
      </x:c>
      <x:c r="W1488" t="n">
        <x:v>34.9</x:v>
      </x:c>
    </x:row>
    <x:row r="1489">
      <x:c r="A1489" t="str">
        <x:v>PJT_1488</x:v>
      </x:c>
      <x:c r="B1489" t="str">
        <x:v>Marine</x:v>
      </x:c>
      <x:c r="C1489" t="n">
        <x:v>15240</x:v>
      </x:c>
      <x:c r="D1489" t="n">
        <x:v>11</x:v>
      </x:c>
      <x:c r="E1489" t="str">
        <x:v>Medium</x:v>
      </x:c>
      <x:c r="F1489" t="str">
        <x:v>Commercial</x:v>
      </x:c>
      <x:c r="G1489" t="str">
        <x:v>RC Frame</x:v>
      </x:c>
      <x:c r="H1489" t="str">
        <x:v>Raft</x:v>
      </x:c>
      <x:c r="I1489" t="str">
        <x:v>Mixed</x:v>
      </x:c>
      <x:c r="J1489" t="str">
        <x:v>Medium</x:v>
      </x:c>
      <x:c r="K1489" t="n">
        <x:v>34015680</x:v>
      </x:c>
      <x:c r="L1489" t="n">
        <x:v>651</x:v>
      </x:c>
      <x:c r="M1489" t="n">
        <x:v>367.2</x:v>
      </x:c>
      <x:c r="N1489" t="n">
        <x:v>6.5</x:v>
      </x:c>
      <x:c r="O1489" t="n">
        <x:v>80.2</x:v>
      </x:c>
      <x:c r="P1489" t="str">
        <x:v>Rainy</x:v>
      </x:c>
      <x:c r="Q1489" t="n">
        <x:v>106</x:v>
      </x:c>
      <x:c r="R1489" t="n">
        <x:v>75.1</x:v>
      </x:c>
      <x:c r="S1489" t="n">
        <x:v>0.0924</x:v>
      </x:c>
      <x:c r="T1489" t="n">
        <x:v>15.7</x:v>
      </x:c>
      <x:c r="U1489" t="n">
        <x:v>1385.5</x:v>
      </x:c>
      <x:c r="V1489" t="n">
        <x:v>2232</x:v>
      </x:c>
      <x:c r="W1489" t="n">
        <x:v>42.7</x:v>
      </x:c>
    </x:row>
    <x:row r="1490">
      <x:c r="A1490" t="str">
        <x:v>PJT_1489</x:v>
      </x:c>
      <x:c r="B1490" t="str">
        <x:v>Mediterranean</x:v>
      </x:c>
      <x:c r="C1490" t="n">
        <x:v>21080</x:v>
      </x:c>
      <x:c r="D1490" t="n">
        <x:v>13</x:v>
      </x:c>
      <x:c r="E1490" t="str">
        <x:v>Medium</x:v>
      </x:c>
      <x:c r="F1490" t="str">
        <x:v>Mixed-use</x:v>
      </x:c>
      <x:c r="G1490" t="str">
        <x:v>Steel</x:v>
      </x:c>
      <x:c r="H1490" t="str">
        <x:v>Piles</x:v>
      </x:c>
      <x:c r="I1490" t="str">
        <x:v>Sand</x:v>
      </x:c>
      <x:c r="J1490" t="str">
        <x:v>High</x:v>
      </x:c>
      <x:c r="K1490" t="n">
        <x:v>57021400</x:v>
      </x:c>
      <x:c r="L1490" t="n">
        <x:v>1069</x:v>
      </x:c>
      <x:c r="M1490" t="n">
        <x:v>252.3</x:v>
      </x:c>
      <x:c r="N1490" t="n">
        <x:v>21.4</x:v>
      </x:c>
      <x:c r="O1490" t="n">
        <x:v>52.3</x:v>
      </x:c>
      <x:c r="P1490" t="str">
        <x:v>Cloudy</x:v>
      </x:c>
      <x:c r="Q1490" t="n">
        <x:v>92</x:v>
      </x:c>
      <x:c r="R1490" t="n">
        <x:v>78.9</x:v>
      </x:c>
      <x:c r="S1490" t="n">
        <x:v>0.1054</x:v>
      </x:c>
      <x:c r="T1490" t="n">
        <x:v>17.8</x:v>
      </x:c>
      <x:c r="U1490" t="n">
        <x:v>1621.5</x:v>
      </x:c>
      <x:c r="V1490" t="n">
        <x:v>2705</x:v>
      </x:c>
      <x:c r="W1490" t="n">
        <x:v>50.7</x:v>
      </x:c>
    </x:row>
    <x:row r="1491">
      <x:c r="A1491" t="str">
        <x:v>PJT_1490</x:v>
      </x:c>
      <x:c r="B1491" t="str">
        <x:v>Continental</x:v>
      </x:c>
      <x:c r="C1491" t="n">
        <x:v>21080</x:v>
      </x:c>
      <x:c r="D1491" t="n">
        <x:v>16</x:v>
      </x:c>
      <x:c r="E1491" t="str">
        <x:v>High</x:v>
      </x:c>
      <x:c r="F1491" t="str">
        <x:v>Mixed-use</x:v>
      </x:c>
      <x:c r="G1491" t="str">
        <x:v>Steel</x:v>
      </x:c>
      <x:c r="H1491" t="str">
        <x:v>Piles</x:v>
      </x:c>
      <x:c r="I1491" t="str">
        <x:v>Mixed</x:v>
      </x:c>
      <x:c r="J1491" t="str">
        <x:v>High</x:v>
      </x:c>
      <x:c r="K1491" t="n">
        <x:v>62586520</x:v>
      </x:c>
      <x:c r="L1491" t="n">
        <x:v>1162</x:v>
      </x:c>
      <x:c r="M1491" t="n">
        <x:v>419.6</x:v>
      </x:c>
      <x:c r="N1491" t="n">
        <x:v>1.8</x:v>
      </x:c>
      <x:c r="O1491" t="n">
        <x:v>66.8</x:v>
      </x:c>
      <x:c r="P1491" t="str">
        <x:v>Cloudy</x:v>
      </x:c>
      <x:c r="Q1491" t="n">
        <x:v>69</x:v>
      </x:c>
      <x:c r="R1491" t="n">
        <x:v>87.2</x:v>
      </x:c>
      <x:c r="S1491" t="n">
        <x:v>0.1057</x:v>
      </x:c>
      <x:c r="T1491" t="n">
        <x:v>20.7</x:v>
      </x:c>
      <x:c r="U1491" t="n">
        <x:v>1317.5</x:v>
      </x:c>
      <x:c r="V1491" t="n">
        <x:v>2969</x:v>
      </x:c>
      <x:c r="W1491" t="n">
        <x:v>55.1</x:v>
      </x:c>
    </x:row>
    <x:row r="1492">
      <x:c r="A1492" t="str">
        <x:v>PJT_1491</x:v>
      </x:c>
      <x:c r="B1492" t="str">
        <x:v>Mediterranean</x:v>
      </x:c>
      <x:c r="C1492" t="n">
        <x:v>8730</x:v>
      </x:c>
      <x:c r="D1492" t="n">
        <x:v>4</x:v>
      </x:c>
      <x:c r="E1492" t="str">
        <x:v>Low</x:v>
      </x:c>
      <x:c r="F1492" t="str">
        <x:v>School</x:v>
      </x:c>
      <x:c r="G1492" t="str">
        <x:v>RC Frame</x:v>
      </x:c>
      <x:c r="H1492" t="str">
        <x:v>Raft</x:v>
      </x:c>
      <x:c r="I1492" t="str">
        <x:v>Rock</x:v>
      </x:c>
      <x:c r="J1492" t="str">
        <x:v>High</x:v>
      </x:c>
      <x:c r="K1492" t="n">
        <x:v>16141770</x:v>
      </x:c>
      <x:c r="L1492" t="n">
        <x:v>278</x:v>
      </x:c>
      <x:c r="M1492" t="n">
        <x:v>633.3</x:v>
      </x:c>
      <x:c r="N1492" t="n">
        <x:v>14.7</x:v>
      </x:c>
      <x:c r="O1492" t="n">
        <x:v>75.1</x:v>
      </x:c>
      <x:c r="P1492" t="str">
        <x:v>Rainy</x:v>
      </x:c>
      <x:c r="Q1492" t="n">
        <x:v>68</x:v>
      </x:c>
      <x:c r="R1492" t="n">
        <x:v>62</x:v>
      </x:c>
      <x:c r="S1492" t="n">
        <x:v>0.0789</x:v>
      </x:c>
      <x:c r="T1492" t="n">
        <x:v>13.1</x:v>
      </x:c>
      <x:c r="U1492" t="n">
        <x:v>2182.5</x:v>
      </x:c>
      <x:c r="V1492" t="n">
        <x:v>1849</x:v>
      </x:c>
      <x:c r="W1492" t="n">
        <x:v>31.8</x:v>
      </x:c>
    </x:row>
    <x:row r="1493">
      <x:c r="A1493" t="str">
        <x:v>PJT_1492</x:v>
      </x:c>
      <x:c r="B1493" t="str">
        <x:v>Humid Subtropical</x:v>
      </x:c>
      <x:c r="C1493" t="n">
        <x:v>14360</x:v>
      </x:c>
      <x:c r="D1493" t="n">
        <x:v>15</x:v>
      </x:c>
      <x:c r="E1493" t="str">
        <x:v>Medium</x:v>
      </x:c>
      <x:c r="F1493" t="str">
        <x:v>Mixed-use</x:v>
      </x:c>
      <x:c r="G1493" t="str">
        <x:v>Steel</x:v>
      </x:c>
      <x:c r="H1493" t="str">
        <x:v>Piles</x:v>
      </x:c>
      <x:c r="I1493" t="str">
        <x:v>Mixed</x:v>
      </x:c>
      <x:c r="J1493" t="str">
        <x:v>Low</x:v>
      </x:c>
      <x:c r="K1493" t="n">
        <x:v>36402600</x:v>
      </x:c>
      <x:c r="L1493" t="n">
        <x:v>768</x:v>
      </x:c>
      <x:c r="M1493" t="n">
        <x:v>369.6</x:v>
      </x:c>
      <x:c r="N1493" t="n">
        <x:v>21.1</x:v>
      </x:c>
      <x:c r="O1493" t="n">
        <x:v>82.5</x:v>
      </x:c>
      <x:c r="P1493" t="str">
        <x:v>Stormy</x:v>
      </x:c>
      <x:c r="Q1493" t="n">
        <x:v>83</x:v>
      </x:c>
      <x:c r="R1493" t="n">
        <x:v>78.2</x:v>
      </x:c>
      <x:c r="S1493" t="n">
        <x:v>0.1018</x:v>
      </x:c>
      <x:c r="T1493" t="n">
        <x:v>18.5</x:v>
      </x:c>
      <x:c r="U1493" t="n">
        <x:v>957.3</x:v>
      </x:c>
      <x:c r="V1493" t="n">
        <x:v>2535</x:v>
      </x:c>
      <x:c r="W1493" t="n">
        <x:v>53.5</x:v>
      </x:c>
    </x:row>
    <x:row r="1494">
      <x:c r="A1494" t="str">
        <x:v>PJT_1493</x:v>
      </x:c>
      <x:c r="B1494" t="str">
        <x:v>Humid Subtropical</x:v>
      </x:c>
      <x:c r="C1494" t="n">
        <x:v>28740</x:v>
      </x:c>
      <x:c r="D1494" t="n">
        <x:v>19</x:v>
      </x:c>
      <x:c r="E1494" t="str">
        <x:v>Medium</x:v>
      </x:c>
      <x:c r="F1494" t="str">
        <x:v>Commercial</x:v>
      </x:c>
      <x:c r="G1494" t="str">
        <x:v>Steel</x:v>
      </x:c>
      <x:c r="H1494" t="str">
        <x:v>Piles</x:v>
      </x:c>
      <x:c r="I1494" t="str">
        <x:v>Mixed</x:v>
      </x:c>
      <x:c r="J1494" t="str">
        <x:v>High</x:v>
      </x:c>
      <x:c r="K1494" t="n">
        <x:v>76534620</x:v>
      </x:c>
      <x:c r="L1494" t="n">
        <x:v>1357</x:v>
      </x:c>
      <x:c r="M1494" t="n">
        <x:v>308.2</x:v>
      </x:c>
      <x:c r="N1494" t="n">
        <x:v>23.7</x:v>
      </x:c>
      <x:c r="O1494" t="n">
        <x:v>76.3</x:v>
      </x:c>
      <x:c r="P1494" t="str">
        <x:v>Cloudy</x:v>
      </x:c>
      <x:c r="Q1494" t="n">
        <x:v>87</x:v>
      </x:c>
      <x:c r="R1494" t="n">
        <x:v>85</x:v>
      </x:c>
      <x:c r="S1494" t="n">
        <x:v>0.1004</x:v>
      </x:c>
      <x:c r="T1494" t="n">
        <x:v>17</x:v>
      </x:c>
      <x:c r="U1494" t="n">
        <x:v>1512.6</x:v>
      </x:c>
      <x:c r="V1494" t="n">
        <x:v>2663</x:v>
      </x:c>
      <x:c r="W1494" t="n">
        <x:v>47.2</x:v>
      </x:c>
    </x:row>
    <x:row r="1495">
      <x:c r="A1495" t="str">
        <x:v>PJT_1494</x:v>
      </x:c>
      <x:c r="B1495" t="str">
        <x:v>Humid Subtropical</x:v>
      </x:c>
      <x:c r="C1495" t="n">
        <x:v>13510</x:v>
      </x:c>
      <x:c r="D1495" t="n">
        <x:v>13</x:v>
      </x:c>
      <x:c r="E1495" t="str">
        <x:v>Low</x:v>
      </x:c>
      <x:c r="F1495" t="str">
        <x:v>Residential</x:v>
      </x:c>
      <x:c r="G1495" t="str">
        <x:v>Shear Wall</x:v>
      </x:c>
      <x:c r="H1495" t="str">
        <x:v>Raft</x:v>
      </x:c>
      <x:c r="I1495" t="str">
        <x:v>Rock</x:v>
      </x:c>
      <x:c r="J1495" t="str">
        <x:v>High</x:v>
      </x:c>
      <x:c r="K1495" t="n">
        <x:v>21278250</x:v>
      </x:c>
      <x:c r="L1495" t="n">
        <x:v>478</x:v>
      </x:c>
      <x:c r="M1495" t="n">
        <x:v>660.5</x:v>
      </x:c>
      <x:c r="N1495" t="n">
        <x:v>27.3</x:v>
      </x:c>
      <x:c r="O1495" t="n">
        <x:v>64.5</x:v>
      </x:c>
      <x:c r="P1495" t="str">
        <x:v>Cloudy</x:v>
      </x:c>
      <x:c r="Q1495" t="n">
        <x:v>73</x:v>
      </x:c>
      <x:c r="R1495" t="n">
        <x:v>62.1</x:v>
      </x:c>
      <x:c r="S1495" t="n">
        <x:v>0.0758</x:v>
      </x:c>
      <x:c r="T1495" t="n">
        <x:v>12.8</x:v>
      </x:c>
      <x:c r="U1495" t="n">
        <x:v>1039.2</x:v>
      </x:c>
      <x:c r="V1495" t="n">
        <x:v>1575</x:v>
      </x:c>
      <x:c r="W1495" t="n">
        <x:v>35.4</x:v>
      </x:c>
    </x:row>
    <x:row r="1496">
      <x:c r="A1496" t="str">
        <x:v>PJT_1495</x:v>
      </x:c>
      <x:c r="B1496" t="str">
        <x:v>Humid Subtropical</x:v>
      </x:c>
      <x:c r="C1496" t="n">
        <x:v>17550</x:v>
      </x:c>
      <x:c r="D1496" t="n">
        <x:v>17</x:v>
      </x:c>
      <x:c r="E1496" t="str">
        <x:v>Medium</x:v>
      </x:c>
      <x:c r="F1496" t="str">
        <x:v>Residential</x:v>
      </x:c>
      <x:c r="G1496" t="str">
        <x:v>RC Frame</x:v>
      </x:c>
      <x:c r="H1496" t="str">
        <x:v>Piles</x:v>
      </x:c>
      <x:c r="I1496" t="str">
        <x:v>Soft Clay</x:v>
      </x:c>
      <x:c r="J1496" t="str">
        <x:v>Low</x:v>
      </x:c>
      <x:c r="K1496" t="n">
        <x:v>26061750</x:v>
      </x:c>
      <x:c r="L1496" t="n">
        <x:v>718</x:v>
      </x:c>
      <x:c r="M1496" t="n">
        <x:v>214.2</x:v>
      </x:c>
      <x:c r="N1496" t="n">
        <x:v>25.5</x:v>
      </x:c>
      <x:c r="O1496" t="n">
        <x:v>84.5</x:v>
      </x:c>
      <x:c r="P1496" t="str">
        <x:v>Rainy</x:v>
      </x:c>
      <x:c r="Q1496" t="n">
        <x:v>94</x:v>
      </x:c>
      <x:c r="R1496" t="n">
        <x:v>76.8</x:v>
      </x:c>
      <x:c r="S1496" t="n">
        <x:v>0.0819</x:v>
      </x:c>
      <x:c r="T1496" t="n">
        <x:v>14</x:v>
      </x:c>
      <x:c r="U1496" t="n">
        <x:v>1032.4</x:v>
      </x:c>
      <x:c r="V1496" t="n">
        <x:v>1485</x:v>
      </x:c>
      <x:c r="W1496" t="n">
        <x:v>40.9</x:v>
      </x:c>
    </x:row>
    <x:row r="1497">
      <x:c r="A1497" t="str">
        <x:v>PJT_1496</x:v>
      </x:c>
      <x:c r="B1497" t="str">
        <x:v>Continental</x:v>
      </x:c>
      <x:c r="C1497" t="n">
        <x:v>8450</x:v>
      </x:c>
      <x:c r="D1497" t="n">
        <x:v>12</x:v>
      </x:c>
      <x:c r="E1497" t="str">
        <x:v>Medium</x:v>
      </x:c>
      <x:c r="F1497" t="str">
        <x:v>Residential</x:v>
      </x:c>
      <x:c r="G1497" t="str">
        <x:v>RC Frame</x:v>
      </x:c>
      <x:c r="H1497" t="str">
        <x:v>Raft</x:v>
      </x:c>
      <x:c r="I1497" t="str">
        <x:v>Mixed</x:v>
      </x:c>
      <x:c r="J1497" t="str">
        <x:v>Medium</x:v>
      </x:c>
      <x:c r="K1497" t="n">
        <x:v>12337000</x:v>
      </x:c>
      <x:c r="L1497" t="n">
        <x:v>290</x:v>
      </x:c>
      <x:c r="M1497" t="n">
        <x:v>311.4</x:v>
      </x:c>
      <x:c r="N1497" t="n">
        <x:v>23.3</x:v>
      </x:c>
      <x:c r="O1497" t="n">
        <x:v>55.5</x:v>
      </x:c>
      <x:c r="P1497" t="str">
        <x:v>Sunny</x:v>
      </x:c>
      <x:c r="Q1497" t="n">
        <x:v>63</x:v>
      </x:c>
      <x:c r="R1497" t="n">
        <x:v>75.9</x:v>
      </x:c>
      <x:c r="S1497" t="n">
        <x:v>0.0769</x:v>
      </x:c>
      <x:c r="T1497" t="n">
        <x:v>13.2</x:v>
      </x:c>
      <x:c r="U1497" t="n">
        <x:v>704.2</x:v>
      </x:c>
      <x:c r="V1497" t="n">
        <x:v>1460</x:v>
      </x:c>
      <x:c r="W1497" t="n">
        <x:v>34.3</x:v>
      </x:c>
    </x:row>
    <x:row r="1498">
      <x:c r="A1498" t="str">
        <x:v>PJT_1497</x:v>
      </x:c>
      <x:c r="B1498" t="str">
        <x:v>Mediterranean</x:v>
      </x:c>
      <x:c r="C1498" t="n">
        <x:v>23710</x:v>
      </x:c>
      <x:c r="D1498" t="n">
        <x:v>23</x:v>
      </x:c>
      <x:c r="E1498" t="str">
        <x:v>Medium</x:v>
      </x:c>
      <x:c r="F1498" t="str">
        <x:v>Commercial</x:v>
      </x:c>
      <x:c r="G1498" t="str">
        <x:v>Steel</x:v>
      </x:c>
      <x:c r="H1498" t="str">
        <x:v>Piles</x:v>
      </x:c>
      <x:c r="I1498" t="str">
        <x:v>Sand</x:v>
      </x:c>
      <x:c r="J1498" t="str">
        <x:v>Medium</x:v>
      </x:c>
      <x:c r="K1498" t="n">
        <x:v>58397730</x:v>
      </x:c>
      <x:c r="L1498" t="n">
        <x:v>1107</x:v>
      </x:c>
      <x:c r="M1498" t="n">
        <x:v>351.5</x:v>
      </x:c>
      <x:c r="N1498" t="n">
        <x:v>23.3</x:v>
      </x:c>
      <x:c r="O1498" t="n">
        <x:v>43.1</x:v>
      </x:c>
      <x:c r="P1498" t="str">
        <x:v>Sunny</x:v>
      </x:c>
      <x:c r="Q1498" t="n">
        <x:v>65</x:v>
      </x:c>
      <x:c r="R1498" t="n">
        <x:v>85.4</x:v>
      </x:c>
      <x:c r="S1498" t="n">
        <x:v>0.0977</x:v>
      </x:c>
      <x:c r="T1498" t="n">
        <x:v>17.8</x:v>
      </x:c>
      <x:c r="U1498" t="n">
        <x:v>1030.9</x:v>
      </x:c>
      <x:c r="V1498" t="n">
        <x:v>2463</x:v>
      </x:c>
      <x:c r="W1498" t="n">
        <x:v>46.7</x:v>
      </x:c>
    </x:row>
    <x:row r="1499">
      <x:c r="A1499" t="str">
        <x:v>PJT_1498</x:v>
      </x:c>
      <x:c r="B1499" t="str">
        <x:v>Marine</x:v>
      </x:c>
      <x:c r="C1499" t="n">
        <x:v>20760</x:v>
      </x:c>
      <x:c r="D1499" t="n">
        <x:v>15</x:v>
      </x:c>
      <x:c r="E1499" t="str">
        <x:v>Medium</x:v>
      </x:c>
      <x:c r="F1499" t="str">
        <x:v>Mixed-use</x:v>
      </x:c>
      <x:c r="G1499" t="str">
        <x:v>Shear Wall</x:v>
      </x:c>
      <x:c r="H1499" t="str">
        <x:v>Piles</x:v>
      </x:c>
      <x:c r="I1499" t="str">
        <x:v>Sand</x:v>
      </x:c>
      <x:c r="J1499" t="str">
        <x:v>High</x:v>
      </x:c>
      <x:c r="K1499" t="n">
        <x:v>56799360</x:v>
      </x:c>
      <x:c r="L1499" t="n">
        <x:v>1065</x:v>
      </x:c>
      <x:c r="M1499" t="n">
        <x:v>260.2</x:v>
      </x:c>
      <x:c r="N1499" t="n">
        <x:v>0.4</x:v>
      </x:c>
      <x:c r="O1499" t="n">
        <x:v>85.8</x:v>
      </x:c>
      <x:c r="P1499" t="str">
        <x:v>Snowy</x:v>
      </x:c>
      <x:c r="Q1499" t="n">
        <x:v>72</x:v>
      </x:c>
      <x:c r="R1499" t="n">
        <x:v>81.9</x:v>
      </x:c>
      <x:c r="S1499" t="n">
        <x:v>0.1024</x:v>
      </x:c>
      <x:c r="T1499" t="n">
        <x:v>18.7</x:v>
      </x:c>
      <x:c r="U1499" t="n">
        <x:v>1384</x:v>
      </x:c>
      <x:c r="V1499" t="n">
        <x:v>2736</x:v>
      </x:c>
      <x:c r="W1499" t="n">
        <x:v>51.3</x:v>
      </x:c>
    </x:row>
    <x:row r="1500">
      <x:c r="A1500" t="str">
        <x:v>PJT_1499</x:v>
      </x:c>
      <x:c r="B1500" t="str">
        <x:v>Humid Subtropical</x:v>
      </x:c>
      <x:c r="C1500" t="n">
        <x:v>21810</x:v>
      </x:c>
      <x:c r="D1500" t="n">
        <x:v>21</x:v>
      </x:c>
      <x:c r="E1500" t="str">
        <x:v>Medium</x:v>
      </x:c>
      <x:c r="F1500" t="str">
        <x:v>Residential</x:v>
      </x:c>
      <x:c r="G1500" t="str">
        <x:v>RC Frame</x:v>
      </x:c>
      <x:c r="H1500" t="str">
        <x:v>Piles</x:v>
      </x:c>
      <x:c r="I1500" t="str">
        <x:v>Mixed</x:v>
      </x:c>
      <x:c r="J1500" t="str">
        <x:v>Low</x:v>
      </x:c>
      <x:c r="K1500" t="n">
        <x:v>32366040</x:v>
      </x:c>
      <x:c r="L1500" t="n">
        <x:v>846</x:v>
      </x:c>
      <x:c r="M1500" t="n">
        <x:v>301.6</x:v>
      </x:c>
      <x:c r="N1500" t="n">
        <x:v>20.8</x:v>
      </x:c>
      <x:c r="O1500" t="n">
        <x:v>77.4</x:v>
      </x:c>
      <x:c r="P1500" t="str">
        <x:v>Rainy</x:v>
      </x:c>
      <x:c r="Q1500" t="n">
        <x:v>73</x:v>
      </x:c>
      <x:c r="R1500" t="n">
        <x:v>75.3</x:v>
      </x:c>
      <x:c r="S1500" t="n">
        <x:v>0.081</x:v>
      </x:c>
      <x:c r="T1500" t="n">
        <x:v>13.8</x:v>
      </x:c>
      <x:c r="U1500" t="n">
        <x:v>1038.6</x:v>
      </x:c>
      <x:c r="V1500" t="n">
        <x:v>1484</x:v>
      </x:c>
      <x:c r="W1500" t="n">
        <x:v>38.8</x:v>
      </x:c>
    </x:row>
    <x:row r="1501">
      <x:c r="A1501" t="str">
        <x:v>PJT_1500</x:v>
      </x:c>
      <x:c r="B1501" t="str">
        <x:v>Mediterranean</x:v>
      </x:c>
      <x:c r="C1501" t="n">
        <x:v>18950</x:v>
      </x:c>
      <x:c r="D1501" t="n">
        <x:v>12</x:v>
      </x:c>
      <x:c r="E1501" t="str">
        <x:v>Medium</x:v>
      </x:c>
      <x:c r="F1501" t="str">
        <x:v>Commercial</x:v>
      </x:c>
      <x:c r="G1501" t="str">
        <x:v>Steel</x:v>
      </x:c>
      <x:c r="H1501" t="str">
        <x:v>Raft</x:v>
      </x:c>
      <x:c r="I1501" t="str">
        <x:v>Mixed</x:v>
      </x:c>
      <x:c r="J1501" t="str">
        <x:v>Low</x:v>
      </x:c>
      <x:c r="K1501" t="n">
        <x:v>42258500</x:v>
      </x:c>
      <x:c r="L1501" t="n">
        <x:v>868</x:v>
      </x:c>
      <x:c r="M1501" t="n">
        <x:v>332.7</x:v>
      </x:c>
      <x:c r="N1501" t="n">
        <x:v>15.2</x:v>
      </x:c>
      <x:c r="O1501" t="n">
        <x:v>75.8</x:v>
      </x:c>
      <x:c r="P1501" t="str">
        <x:v>Rainy</x:v>
      </x:c>
      <x:c r="Q1501" t="n">
        <x:v>94</x:v>
      </x:c>
      <x:c r="R1501" t="n">
        <x:v>80.2</x:v>
      </x:c>
      <x:c r="S1501" t="n">
        <x:v>0.1003</x:v>
      </x:c>
      <x:c r="T1501" t="n">
        <x:v>17.5</x:v>
      </x:c>
      <x:c r="U1501" t="n">
        <x:v>1579.2</x:v>
      </x:c>
      <x:c r="V1501" t="n">
        <x:v>2230</x:v>
      </x:c>
      <x:c r="W1501" t="n">
        <x:v>45.8</x:v>
      </x:c>
    </x:row>
    <x:row r="1502">
      <x:c r="A1502" t="str">
        <x:v>PJT_1501</x:v>
      </x:c>
      <x:c r="B1502" t="str">
        <x:v>Mediterranean</x:v>
      </x:c>
      <x:c r="C1502" t="n">
        <x:v>24510</x:v>
      </x:c>
      <x:c r="D1502" t="n">
        <x:v>16</x:v>
      </x:c>
      <x:c r="E1502" t="str">
        <x:v>Medium</x:v>
      </x:c>
      <x:c r="F1502" t="str">
        <x:v>Commercial</x:v>
      </x:c>
      <x:c r="G1502" t="str">
        <x:v>Steel</x:v>
      </x:c>
      <x:c r="H1502" t="str">
        <x:v>Piles</x:v>
      </x:c>
      <x:c r="I1502" t="str">
        <x:v>Soft Clay</x:v>
      </x:c>
      <x:c r="J1502" t="str">
        <x:v>High</x:v>
      </x:c>
      <x:c r="K1502" t="n">
        <x:v>66127980</x:v>
      </x:c>
      <x:c r="L1502" t="n">
        <x:v>1194</x:v>
      </x:c>
      <x:c r="M1502" t="n">
        <x:v>227</x:v>
      </x:c>
      <x:c r="N1502" t="n">
        <x:v>9.1</x:v>
      </x:c>
      <x:c r="O1502" t="n">
        <x:v>70.3</x:v>
      </x:c>
      <x:c r="P1502" t="str">
        <x:v>Rainy</x:v>
      </x:c>
      <x:c r="Q1502" t="n">
        <x:v>96</x:v>
      </x:c>
      <x:c r="R1502" t="n">
        <x:v>76.6</x:v>
      </x:c>
      <x:c r="S1502" t="n">
        <x:v>0.0938</x:v>
      </x:c>
      <x:c r="T1502" t="n">
        <x:v>16.6</x:v>
      </x:c>
      <x:c r="U1502" t="n">
        <x:v>1531.9</x:v>
      </x:c>
      <x:c r="V1502" t="n">
        <x:v>2698</x:v>
      </x:c>
      <x:c r="W1502" t="n">
        <x:v>48.7</x:v>
      </x:c>
    </x:row>
    <x:row r="1503">
      <x:c r="A1503" t="str">
        <x:v>PJT_1502</x:v>
      </x:c>
      <x:c r="B1503" t="str">
        <x:v>Marine</x:v>
      </x:c>
      <x:c r="C1503" t="n">
        <x:v>9960</x:v>
      </x:c>
      <x:c r="D1503" t="n">
        <x:v>13</x:v>
      </x:c>
      <x:c r="E1503" t="str">
        <x:v>Medium</x:v>
      </x:c>
      <x:c r="F1503" t="str">
        <x:v>Residential</x:v>
      </x:c>
      <x:c r="G1503" t="str">
        <x:v>RC Frame</x:v>
      </x:c>
      <x:c r="H1503" t="str">
        <x:v>Piles</x:v>
      </x:c>
      <x:c r="I1503" t="str">
        <x:v>Sand</x:v>
      </x:c>
      <x:c r="J1503" t="str">
        <x:v>Medium</x:v>
      </x:c>
      <x:c r="K1503" t="n">
        <x:v>16165080</x:v>
      </x:c>
      <x:c r="L1503" t="n">
        <x:v>404</x:v>
      </x:c>
      <x:c r="M1503" t="n">
        <x:v>274.6</x:v>
      </x:c>
      <x:c r="N1503" t="n">
        <x:v>15</x:v>
      </x:c>
      <x:c r="O1503" t="n">
        <x:v>75.1</x:v>
      </x:c>
      <x:c r="P1503" t="str">
        <x:v>Rainy</x:v>
      </x:c>
      <x:c r="Q1503" t="n">
        <x:v>90</x:v>
      </x:c>
      <x:c r="R1503" t="n">
        <x:v>67.9</x:v>
      </x:c>
      <x:c r="S1503" t="n">
        <x:v>0.0759</x:v>
      </x:c>
      <x:c r="T1503" t="n">
        <x:v>12.6</x:v>
      </x:c>
      <x:c r="U1503" t="n">
        <x:v>766.2</x:v>
      </x:c>
      <x:c r="V1503" t="n">
        <x:v>1623</x:v>
      </x:c>
      <x:c r="W1503" t="n">
        <x:v>40.6</x:v>
      </x:c>
    </x:row>
    <x:row r="1504">
      <x:c r="A1504" t="str">
        <x:v>PJT_1503</x:v>
      </x:c>
      <x:c r="B1504" t="str">
        <x:v>Marine</x:v>
      </x:c>
      <x:c r="C1504" t="n">
        <x:v>21520</x:v>
      </x:c>
      <x:c r="D1504" t="n">
        <x:v>13</x:v>
      </x:c>
      <x:c r="E1504" t="str">
        <x:v>Medium</x:v>
      </x:c>
      <x:c r="F1504" t="str">
        <x:v>Mixed-use</x:v>
      </x:c>
      <x:c r="G1504" t="str">
        <x:v>Steel</x:v>
      </x:c>
      <x:c r="H1504" t="str">
        <x:v>Raft</x:v>
      </x:c>
      <x:c r="I1504" t="str">
        <x:v>Rock</x:v>
      </x:c>
      <x:c r="J1504" t="str">
        <x:v>High</x:v>
      </x:c>
      <x:c r="K1504" t="n">
        <x:v>57996400</x:v>
      </x:c>
      <x:c r="L1504" t="n">
        <x:v>1085</x:v>
      </x:c>
      <x:c r="M1504" t="n">
        <x:v>764.5</x:v>
      </x:c>
      <x:c r="N1504" t="n">
        <x:v>13.6</x:v>
      </x:c>
      <x:c r="O1504" t="n">
        <x:v>89.6</x:v>
      </x:c>
      <x:c r="P1504" t="str">
        <x:v>Rainy</x:v>
      </x:c>
      <x:c r="Q1504" t="n">
        <x:v>93</x:v>
      </x:c>
      <x:c r="R1504" t="n">
        <x:v>80.6</x:v>
      </x:c>
      <x:c r="S1504" t="n">
        <x:v>0.1034</x:v>
      </x:c>
      <x:c r="T1504" t="n">
        <x:v>18.5</x:v>
      </x:c>
      <x:c r="U1504" t="n">
        <x:v>1655.4</x:v>
      </x:c>
      <x:c r="V1504" t="n">
        <x:v>2695</x:v>
      </x:c>
      <x:c r="W1504" t="n">
        <x:v>50.4</x:v>
      </x:c>
    </x:row>
    <x:row r="1505">
      <x:c r="A1505" t="str">
        <x:v>PJT_1504</x:v>
      </x:c>
      <x:c r="B1505" t="str">
        <x:v>Mediterranean</x:v>
      </x:c>
      <x:c r="C1505" t="n">
        <x:v>13380</x:v>
      </x:c>
      <x:c r="D1505" t="n">
        <x:v>5</x:v>
      </x:c>
      <x:c r="E1505" t="str">
        <x:v>Medium</x:v>
      </x:c>
      <x:c r="F1505" t="str">
        <x:v>School</x:v>
      </x:c>
      <x:c r="G1505" t="str">
        <x:v>RC Frame</x:v>
      </x:c>
      <x:c r="H1505" t="str">
        <x:v>Raft</x:v>
      </x:c>
      <x:c r="I1505" t="str">
        <x:v>Soft Clay</x:v>
      </x:c>
      <x:c r="J1505" t="str">
        <x:v>High</x:v>
      </x:c>
      <x:c r="K1505" t="n">
        <x:v>26037480</x:v>
      </x:c>
      <x:c r="L1505" t="n">
        <x:v>439</x:v>
      </x:c>
      <x:c r="M1505" t="n">
        <x:v>144.1</x:v>
      </x:c>
      <x:c r="N1505" t="n">
        <x:v>11.8</x:v>
      </x:c>
      <x:c r="O1505" t="n">
        <x:v>72.5</x:v>
      </x:c>
      <x:c r="P1505" t="str">
        <x:v>Rainy</x:v>
      </x:c>
      <x:c r="Q1505" t="n">
        <x:v>91</x:v>
      </x:c>
      <x:c r="R1505" t="n">
        <x:v>67.7</x:v>
      </x:c>
      <x:c r="S1505" t="n">
        <x:v>0.079</x:v>
      </x:c>
      <x:c r="T1505" t="n">
        <x:v>15.2</x:v>
      </x:c>
      <x:c r="U1505" t="n">
        <x:v>2676</x:v>
      </x:c>
      <x:c r="V1505" t="n">
        <x:v>1946</x:v>
      </x:c>
      <x:c r="W1505" t="n">
        <x:v>32.8</x:v>
      </x:c>
    </x:row>
    <x:row r="1506">
      <x:c r="A1506" t="str">
        <x:v>PJT_1505</x:v>
      </x:c>
      <x:c r="B1506" t="str">
        <x:v>Marine</x:v>
      </x:c>
      <x:c r="C1506" t="n">
        <x:v>6730</x:v>
      </x:c>
      <x:c r="D1506" t="n">
        <x:v>3</x:v>
      </x:c>
      <x:c r="E1506" t="str">
        <x:v>Low</x:v>
      </x:c>
      <x:c r="F1506" t="str">
        <x:v>School</x:v>
      </x:c>
      <x:c r="G1506" t="str">
        <x:v>RC Frame</x:v>
      </x:c>
      <x:c r="H1506" t="str">
        <x:v>Raft</x:v>
      </x:c>
      <x:c r="I1506" t="str">
        <x:v>Mixed</x:v>
      </x:c>
      <x:c r="J1506" t="str">
        <x:v>Medium</x:v>
      </x:c>
      <x:c r="K1506" t="n">
        <x:v>11366970</x:v>
      </x:c>
      <x:c r="L1506" t="n">
        <x:v>182</x:v>
      </x:c>
      <x:c r="M1506" t="n">
        <x:v>331.8</x:v>
      </x:c>
      <x:c r="N1506" t="n">
        <x:v>12.3</x:v>
      </x:c>
      <x:c r="O1506" t="n">
        <x:v>71</x:v>
      </x:c>
      <x:c r="P1506" t="str">
        <x:v>Cloudy</x:v>
      </x:c>
      <x:c r="Q1506" t="n">
        <x:v>55</x:v>
      </x:c>
      <x:c r="R1506" t="n">
        <x:v>67.5</x:v>
      </x:c>
      <x:c r="S1506" t="n">
        <x:v>0.0757</x:v>
      </x:c>
      <x:c r="T1506" t="n">
        <x:v>13.6</x:v>
      </x:c>
      <x:c r="U1506" t="n">
        <x:v>2243.3</x:v>
      </x:c>
      <x:c r="V1506" t="n">
        <x:v>1689</x:v>
      </x:c>
      <x:c r="W1506" t="n">
        <x:v>27</x:v>
      </x:c>
    </x:row>
    <x:row r="1507">
      <x:c r="A1507" t="str">
        <x:v>PJT_1506</x:v>
      </x:c>
      <x:c r="B1507" t="str">
        <x:v>Mediterranean</x:v>
      </x:c>
      <x:c r="C1507" t="n">
        <x:v>11110</x:v>
      </x:c>
      <x:c r="D1507" t="n">
        <x:v>11</x:v>
      </x:c>
      <x:c r="E1507" t="str">
        <x:v>Low</x:v>
      </x:c>
      <x:c r="F1507" t="str">
        <x:v>Residential</x:v>
      </x:c>
      <x:c r="G1507" t="str">
        <x:v>RC Frame</x:v>
      </x:c>
      <x:c r="H1507" t="str">
        <x:v>Raft</x:v>
      </x:c>
      <x:c r="I1507" t="str">
        <x:v>Mixed</x:v>
      </x:c>
      <x:c r="J1507" t="str">
        <x:v>Low</x:v>
      </x:c>
      <x:c r="K1507" t="n">
        <x:v>14687420</x:v>
      </x:c>
      <x:c r="L1507" t="n">
        <x:v>362</x:v>
      </x:c>
      <x:c r="M1507" t="n">
        <x:v>321.7</x:v>
      </x:c>
      <x:c r="N1507" t="n">
        <x:v>19.4</x:v>
      </x:c>
      <x:c r="O1507" t="n">
        <x:v>54.7</x:v>
      </x:c>
      <x:c r="P1507" t="str">
        <x:v>Cloudy</x:v>
      </x:c>
      <x:c r="Q1507" t="n">
        <x:v>76</x:v>
      </x:c>
      <x:c r="R1507" t="n">
        <x:v>63.4</x:v>
      </x:c>
      <x:c r="S1507" t="n">
        <x:v>0.0728</x:v>
      </x:c>
      <x:c r="T1507" t="n">
        <x:v>12.3</x:v>
      </x:c>
      <x:c r="U1507" t="n">
        <x:v>1010</x:v>
      </x:c>
      <x:c r="V1507" t="n">
        <x:v>1322</x:v>
      </x:c>
      <x:c r="W1507" t="n">
        <x:v>32.6</x:v>
      </x:c>
    </x:row>
    <x:row r="1508">
      <x:c r="A1508" t="str">
        <x:v>PJT_1507</x:v>
      </x:c>
      <x:c r="B1508" t="str">
        <x:v>Mediterranean</x:v>
      </x:c>
      <x:c r="C1508" t="n">
        <x:v>2630</x:v>
      </x:c>
      <x:c r="D1508" t="n">
        <x:v>3</x:v>
      </x:c>
      <x:c r="E1508" t="str">
        <x:v>Low</x:v>
      </x:c>
      <x:c r="F1508" t="str">
        <x:v>Residential</x:v>
      </x:c>
      <x:c r="G1508" t="str">
        <x:v>RC Frame</x:v>
      </x:c>
      <x:c r="H1508" t="str">
        <x:v>Strip</x:v>
      </x:c>
      <x:c r="I1508" t="str">
        <x:v>Mixed</x:v>
      </x:c>
      <x:c r="J1508" t="str">
        <x:v>Medium</x:v>
      </x:c>
      <x:c r="K1508" t="n">
        <x:v>3376920</x:v>
      </x:c>
      <x:c r="L1508" t="n">
        <x:v>180</x:v>
      </x:c>
      <x:c r="M1508" t="n">
        <x:v>252.7</x:v>
      </x:c>
      <x:c r="N1508" t="n">
        <x:v>22.4</x:v>
      </x:c>
      <x:c r="O1508" t="n">
        <x:v>54.7</x:v>
      </x:c>
      <x:c r="P1508" t="str">
        <x:v>Cloudy</x:v>
      </x:c>
      <x:c r="Q1508" t="n">
        <x:v>77</x:v>
      </x:c>
      <x:c r="R1508" t="n">
        <x:v>58</x:v>
      </x:c>
      <x:c r="S1508" t="n">
        <x:v>0.0711</x:v>
      </x:c>
      <x:c r="T1508" t="n">
        <x:v>12.9</x:v>
      </x:c>
      <x:c r="U1508" t="n">
        <x:v>876.7</x:v>
      </x:c>
      <x:c r="V1508" t="n">
        <x:v>1284</x:v>
      </x:c>
      <x:c r="W1508" t="n">
        <x:v>29.7</x:v>
      </x:c>
    </x:row>
    <x:row r="1509">
      <x:c r="A1509" t="str">
        <x:v>PJT_1508</x:v>
      </x:c>
      <x:c r="B1509" t="str">
        <x:v>Marine</x:v>
      </x:c>
      <x:c r="C1509" t="n">
        <x:v>16620</x:v>
      </x:c>
      <x:c r="D1509" t="n">
        <x:v>8</x:v>
      </x:c>
      <x:c r="E1509" t="str">
        <x:v>Medium</x:v>
      </x:c>
      <x:c r="F1509" t="str">
        <x:v>Hospital</x:v>
      </x:c>
      <x:c r="G1509" t="str">
        <x:v>RC Frame</x:v>
      </x:c>
      <x:c r="H1509" t="str">
        <x:v>Raft</x:v>
      </x:c>
      <x:c r="I1509" t="str">
        <x:v>Mixed</x:v>
      </x:c>
      <x:c r="J1509" t="str">
        <x:v>Low</x:v>
      </x:c>
      <x:c r="K1509" t="n">
        <x:v>48879420</x:v>
      </x:c>
      <x:c r="L1509" t="n">
        <x:v>858</x:v>
      </x:c>
      <x:c r="M1509" t="n">
        <x:v>319.3</x:v>
      </x:c>
      <x:c r="N1509" t="n">
        <x:v>10.3</x:v>
      </x:c>
      <x:c r="O1509" t="n">
        <x:v>86</x:v>
      </x:c>
      <x:c r="P1509" t="str">
        <x:v>Stormy</x:v>
      </x:c>
      <x:c r="Q1509" t="n">
        <x:v>82</x:v>
      </x:c>
      <x:c r="R1509" t="n">
        <x:v>81.9</x:v>
      </x:c>
      <x:c r="S1509" t="n">
        <x:v>0.1068</x:v>
      </x:c>
      <x:c r="T1509" t="n">
        <x:v>20.4</x:v>
      </x:c>
      <x:c r="U1509" t="n">
        <x:v>2077.5</x:v>
      </x:c>
      <x:c r="V1509" t="n">
        <x:v>2941</x:v>
      </x:c>
      <x:c r="W1509" t="n">
        <x:v>51.6</x:v>
      </x:c>
    </x:row>
    <x:row r="1510">
      <x:c r="A1510" t="str">
        <x:v>PJT_1509</x:v>
      </x:c>
      <x:c r="B1510" t="str">
        <x:v>Mediterranean</x:v>
      </x:c>
      <x:c r="C1510" t="n">
        <x:v>8380</x:v>
      </x:c>
      <x:c r="D1510" t="n">
        <x:v>4</x:v>
      </x:c>
      <x:c r="E1510" t="str">
        <x:v>Low</x:v>
      </x:c>
      <x:c r="F1510" t="str">
        <x:v>School</x:v>
      </x:c>
      <x:c r="G1510" t="str">
        <x:v>RC Frame</x:v>
      </x:c>
      <x:c r="H1510" t="str">
        <x:v>Raft</x:v>
      </x:c>
      <x:c r="I1510" t="str">
        <x:v>Sand</x:v>
      </x:c>
      <x:c r="J1510" t="str">
        <x:v>Medium</x:v>
      </x:c>
      <x:c r="K1510" t="n">
        <x:v>13977840</x:v>
      </x:c>
      <x:c r="L1510" t="n">
        <x:v>228</x:v>
      </x:c>
      <x:c r="M1510" t="n">
        <x:v>269.7</x:v>
      </x:c>
      <x:c r="N1510" t="n">
        <x:v>25.1</x:v>
      </x:c>
      <x:c r="O1510" t="n">
        <x:v>48</x:v>
      </x:c>
      <x:c r="P1510" t="str">
        <x:v>Sunny</x:v>
      </x:c>
      <x:c r="Q1510" t="n">
        <x:v>68</x:v>
      </x:c>
      <x:c r="R1510" t="n">
        <x:v>60.9</x:v>
      </x:c>
      <x:c r="S1510" t="n">
        <x:v>0.0785</x:v>
      </x:c>
      <x:c r="T1510" t="n">
        <x:v>13.2</x:v>
      </x:c>
      <x:c r="U1510" t="n">
        <x:v>2095</x:v>
      </x:c>
      <x:c r="V1510" t="n">
        <x:v>1668</x:v>
      </x:c>
      <x:c r="W1510" t="n">
        <x:v>27.2</x:v>
      </x:c>
    </x:row>
    <x:row r="1511">
      <x:c r="A1511" t="str">
        <x:v>PJT_1510</x:v>
      </x:c>
      <x:c r="B1511" t="str">
        <x:v>Continental</x:v>
      </x:c>
      <x:c r="C1511" t="n">
        <x:v>25430</x:v>
      </x:c>
      <x:c r="D1511" t="n">
        <x:v>14</x:v>
      </x:c>
      <x:c r="E1511" t="str">
        <x:v>Medium</x:v>
      </x:c>
      <x:c r="F1511" t="str">
        <x:v>Commercial</x:v>
      </x:c>
      <x:c r="G1511" t="str">
        <x:v>Steel</x:v>
      </x:c>
      <x:c r="H1511" t="str">
        <x:v>Piles</x:v>
      </x:c>
      <x:c r="I1511" t="str">
        <x:v>Sand</x:v>
      </x:c>
      <x:c r="J1511" t="str">
        <x:v>Low</x:v>
      </x:c>
      <x:c r="K1511" t="n">
        <x:v>59684210</x:v>
      </x:c>
      <x:c r="L1511" t="n">
        <x:v>1132</x:v>
      </x:c>
      <x:c r="M1511" t="n">
        <x:v>301.5</x:v>
      </x:c>
      <x:c r="N1511" t="n">
        <x:v>12.5</x:v>
      </x:c>
      <x:c r="O1511" t="n">
        <x:v>71.3</x:v>
      </x:c>
      <x:c r="P1511" t="str">
        <x:v>Cloudy</x:v>
      </x:c>
      <x:c r="Q1511" t="n">
        <x:v>89</x:v>
      </x:c>
      <x:c r="R1511" t="n">
        <x:v>77.6</x:v>
      </x:c>
      <x:c r="S1511" t="n">
        <x:v>0.0999</x:v>
      </x:c>
      <x:c r="T1511" t="n">
        <x:v>18</x:v>
      </x:c>
      <x:c r="U1511" t="n">
        <x:v>1816.4</x:v>
      </x:c>
      <x:c r="V1511" t="n">
        <x:v>2347</x:v>
      </x:c>
      <x:c r="W1511" t="n">
        <x:v>44.5</x:v>
      </x:c>
    </x:row>
    <x:row r="1512">
      <x:c r="A1512" t="str">
        <x:v>PJT_1511</x:v>
      </x:c>
      <x:c r="B1512" t="str">
        <x:v>Humid Subtropical</x:v>
      </x:c>
      <x:c r="C1512" t="n">
        <x:v>10900</x:v>
      </x:c>
      <x:c r="D1512" t="n">
        <x:v>17</x:v>
      </x:c>
      <x:c r="E1512" t="str">
        <x:v>Medium</x:v>
      </x:c>
      <x:c r="F1512" t="str">
        <x:v>Residential</x:v>
      </x:c>
      <x:c r="G1512" t="str">
        <x:v>Shear Wall</x:v>
      </x:c>
      <x:c r="H1512" t="str">
        <x:v>Piles</x:v>
      </x:c>
      <x:c r="I1512" t="str">
        <x:v>Soft Clay</x:v>
      </x:c>
      <x:c r="J1512" t="str">
        <x:v>Medium</x:v>
      </x:c>
      <x:c r="K1512" t="n">
        <x:v>18094000</x:v>
      </x:c>
      <x:c r="L1512" t="n">
        <x:v>434</x:v>
      </x:c>
      <x:c r="M1512" t="n">
        <x:v>223.9</x:v>
      </x:c>
      <x:c r="N1512" t="n">
        <x:v>23</x:v>
      </x:c>
      <x:c r="O1512" t="n">
        <x:v>80.4</x:v>
      </x:c>
      <x:c r="P1512" t="str">
        <x:v>Cloudy</x:v>
      </x:c>
      <x:c r="Q1512" t="n">
        <x:v>71</x:v>
      </x:c>
      <x:c r="R1512" t="n">
        <x:v>75.3</x:v>
      </x:c>
      <x:c r="S1512" t="n">
        <x:v>0.0846</x:v>
      </x:c>
      <x:c r="T1512" t="n">
        <x:v>14.3</x:v>
      </x:c>
      <x:c r="U1512" t="n">
        <x:v>641.2</x:v>
      </x:c>
      <x:c r="V1512" t="n">
        <x:v>1660</x:v>
      </x:c>
      <x:c r="W1512" t="n">
        <x:v>39.8</x:v>
      </x:c>
    </x:row>
    <x:row r="1513">
      <x:c r="A1513" t="str">
        <x:v>PJT_1512</x:v>
      </x:c>
      <x:c r="B1513" t="str">
        <x:v>Mediterranean</x:v>
      </x:c>
      <x:c r="C1513" t="n">
        <x:v>24060</x:v>
      </x:c>
      <x:c r="D1513" t="n">
        <x:v>18</x:v>
      </x:c>
      <x:c r="E1513" t="str">
        <x:v>Medium</x:v>
      </x:c>
      <x:c r="F1513" t="str">
        <x:v>Mixed-use</x:v>
      </x:c>
      <x:c r="G1513" t="str">
        <x:v>Steel</x:v>
      </x:c>
      <x:c r="H1513" t="str">
        <x:v>Piles</x:v>
      </x:c>
      <x:c r="I1513" t="str">
        <x:v>Mixed</x:v>
      </x:c>
      <x:c r="J1513" t="str">
        <x:v>Low</x:v>
      </x:c>
      <x:c r="K1513" t="n">
        <x:v>63927420</x:v>
      </x:c>
      <x:c r="L1513" t="n">
        <x:v>1270</x:v>
      </x:c>
      <x:c r="M1513" t="n">
        <x:v>374.5</x:v>
      </x:c>
      <x:c r="N1513" t="n">
        <x:v>16.8</x:v>
      </x:c>
      <x:c r="O1513" t="n">
        <x:v>74.1</x:v>
      </x:c>
      <x:c r="P1513" t="str">
        <x:v>Rainy</x:v>
      </x:c>
      <x:c r="Q1513" t="n">
        <x:v>99</x:v>
      </x:c>
      <x:c r="R1513" t="n">
        <x:v>84.3</x:v>
      </x:c>
      <x:c r="S1513" t="n">
        <x:v>0.1037</x:v>
      </x:c>
      <x:c r="T1513" t="n">
        <x:v>17.7</x:v>
      </x:c>
      <x:c r="U1513" t="n">
        <x:v>1336.7</x:v>
      </x:c>
      <x:c r="V1513" t="n">
        <x:v>2657</x:v>
      </x:c>
      <x:c r="W1513" t="n">
        <x:v>52.8</x:v>
      </x:c>
    </x:row>
    <x:row r="1514">
      <x:c r="A1514" t="str">
        <x:v>PJT_1513</x:v>
      </x:c>
      <x:c r="B1514" t="str">
        <x:v>Humid Subtropical</x:v>
      </x:c>
      <x:c r="C1514" t="n">
        <x:v>23410</x:v>
      </x:c>
      <x:c r="D1514" t="n">
        <x:v>23</x:v>
      </x:c>
      <x:c r="E1514" t="str">
        <x:v>High</x:v>
      </x:c>
      <x:c r="F1514" t="str">
        <x:v>Mixed-use</x:v>
      </x:c>
      <x:c r="G1514" t="str">
        <x:v>Steel</x:v>
      </x:c>
      <x:c r="H1514" t="str">
        <x:v>Piles</x:v>
      </x:c>
      <x:c r="I1514" t="str">
        <x:v>Soft Clay</x:v>
      </x:c>
      <x:c r="J1514" t="str">
        <x:v>Medium</x:v>
      </x:c>
      <x:c r="K1514" t="n">
        <x:v>67022830</x:v>
      </x:c>
      <x:c r="L1514" t="n">
        <x:v>1292</x:v>
      </x:c>
      <x:c r="M1514" t="n">
        <x:v>214.8</x:v>
      </x:c>
      <x:c r="N1514" t="n">
        <x:v>33.5</x:v>
      </x:c>
      <x:c r="O1514" t="n">
        <x:v>53.7</x:v>
      </x:c>
      <x:c r="P1514" t="str">
        <x:v>Sunny</x:v>
      </x:c>
      <x:c r="Q1514" t="n">
        <x:v>90</x:v>
      </x:c>
      <x:c r="R1514" t="n">
        <x:v>86.5</x:v>
      </x:c>
      <x:c r="S1514" t="n">
        <x:v>0.1042</x:v>
      </x:c>
      <x:c r="T1514" t="n">
        <x:v>21.2</x:v>
      </x:c>
      <x:c r="U1514" t="n">
        <x:v>1017.8</x:v>
      </x:c>
      <x:c r="V1514" t="n">
        <x:v>2863</x:v>
      </x:c>
      <x:c r="W1514" t="n">
        <x:v>55.2</x:v>
      </x:c>
    </x:row>
    <x:row r="1515">
      <x:c r="A1515" t="str">
        <x:v>PJT_1514</x:v>
      </x:c>
      <x:c r="B1515" t="str">
        <x:v>Continental</x:v>
      </x:c>
      <x:c r="C1515" t="n">
        <x:v>8390</x:v>
      </x:c>
      <x:c r="D1515" t="n">
        <x:v>7</x:v>
      </x:c>
      <x:c r="E1515" t="str">
        <x:v>Low</x:v>
      </x:c>
      <x:c r="F1515" t="str">
        <x:v>Commercial</x:v>
      </x:c>
      <x:c r="G1515" t="str">
        <x:v>RC Frame</x:v>
      </x:c>
      <x:c r="H1515" t="str">
        <x:v>Raft</x:v>
      </x:c>
      <x:c r="I1515" t="str">
        <x:v>Mixed</x:v>
      </x:c>
      <x:c r="J1515" t="str">
        <x:v>Low</x:v>
      </x:c>
      <x:c r="K1515" t="n">
        <x:v>17056870</x:v>
      </x:c>
      <x:c r="L1515" t="n">
        <x:v>307</x:v>
      </x:c>
      <x:c r="M1515" t="n">
        <x:v>324</x:v>
      </x:c>
      <x:c r="N1515" t="n">
        <x:v>11.7</x:v>
      </x:c>
      <x:c r="O1515" t="n">
        <x:v>42.8</x:v>
      </x:c>
      <x:c r="P1515" t="str">
        <x:v>Sunny</x:v>
      </x:c>
      <x:c r="Q1515" t="n">
        <x:v>91</x:v>
      </x:c>
      <x:c r="R1515" t="n">
        <x:v>71.2</x:v>
      </x:c>
      <x:c r="S1515" t="n">
        <x:v>0.0889</x:v>
      </x:c>
      <x:c r="T1515" t="n">
        <x:v>15.9</x:v>
      </x:c>
      <x:c r="U1515" t="n">
        <x:v>1198.6</x:v>
      </x:c>
      <x:c r="V1515" t="n">
        <x:v>2033</x:v>
      </x:c>
      <x:c r="W1515" t="n">
        <x:v>36.6</x:v>
      </x:c>
    </x:row>
    <x:row r="1516">
      <x:c r="A1516" t="str">
        <x:v>PJT_1515</x:v>
      </x:c>
      <x:c r="B1516" t="str">
        <x:v>Continental</x:v>
      </x:c>
      <x:c r="C1516" t="n">
        <x:v>28380</x:v>
      </x:c>
      <x:c r="D1516" t="n">
        <x:v>20</x:v>
      </x:c>
      <x:c r="E1516" t="str">
        <x:v>High</x:v>
      </x:c>
      <x:c r="F1516" t="str">
        <x:v>Mixed-use</x:v>
      </x:c>
      <x:c r="G1516" t="str">
        <x:v>Steel</x:v>
      </x:c>
      <x:c r="H1516" t="str">
        <x:v>Piles</x:v>
      </x:c>
      <x:c r="I1516" t="str">
        <x:v>Mixed</x:v>
      </x:c>
      <x:c r="J1516" t="str">
        <x:v>High</x:v>
      </x:c>
      <x:c r="K1516" t="n">
        <x:v>81734400</x:v>
      </x:c>
      <x:c r="L1516" t="n">
        <x:v>1646</x:v>
      </x:c>
      <x:c r="M1516" t="n">
        <x:v>426</x:v>
      </x:c>
      <x:c r="N1516" t="n">
        <x:v>17.5</x:v>
      </x:c>
      <x:c r="O1516" t="n">
        <x:v>78.2</x:v>
      </x:c>
      <x:c r="P1516" t="str">
        <x:v>Stormy</x:v>
      </x:c>
      <x:c r="Q1516" t="n">
        <x:v>92</x:v>
      </x:c>
      <x:c r="R1516" t="n">
        <x:v>87.5</x:v>
      </x:c>
      <x:c r="S1516" t="n">
        <x:v>0.1053</x:v>
      </x:c>
      <x:c r="T1516" t="n">
        <x:v>21.2</x:v>
      </x:c>
      <x:c r="U1516" t="n">
        <x:v>1419</x:v>
      </x:c>
      <x:c r="V1516" t="n">
        <x:v>2880</x:v>
      </x:c>
      <x:c r="W1516" t="n">
        <x:v>58</x:v>
      </x:c>
    </x:row>
    <x:row r="1517">
      <x:c r="A1517" t="str">
        <x:v>PJT_1516</x:v>
      </x:c>
      <x:c r="B1517" t="str">
        <x:v>Continental</x:v>
      </x:c>
      <x:c r="C1517" t="n">
        <x:v>8280</x:v>
      </x:c>
      <x:c r="D1517" t="n">
        <x:v>10</x:v>
      </x:c>
      <x:c r="E1517" t="str">
        <x:v>Low</x:v>
      </x:c>
      <x:c r="F1517" t="str">
        <x:v>Residential</x:v>
      </x:c>
      <x:c r="G1517" t="str">
        <x:v>RC Frame</x:v>
      </x:c>
      <x:c r="H1517" t="str">
        <x:v>Piles</x:v>
      </x:c>
      <x:c r="I1517" t="str">
        <x:v>Soft Clay</x:v>
      </x:c>
      <x:c r="J1517" t="str">
        <x:v>Low</x:v>
      </x:c>
      <x:c r="K1517" t="n">
        <x:v>11815560</x:v>
      </x:c>
      <x:c r="L1517" t="n">
        <x:v>295</x:v>
      </x:c>
      <x:c r="M1517" t="n">
        <x:v>165.3</x:v>
      </x:c>
      <x:c r="N1517" t="n">
        <x:v>6.9</x:v>
      </x:c>
      <x:c r="O1517" t="n">
        <x:v>61.5</x:v>
      </x:c>
      <x:c r="P1517" t="str">
        <x:v>Cloudy</x:v>
      </x:c>
      <x:c r="Q1517" t="n">
        <x:v>81</x:v>
      </x:c>
      <x:c r="R1517" t="n">
        <x:v>63.2</x:v>
      </x:c>
      <x:c r="S1517" t="n">
        <x:v>0.0722</x:v>
      </x:c>
      <x:c r="T1517" t="n">
        <x:v>13</x:v>
      </x:c>
      <x:c r="U1517" t="n">
        <x:v>828</x:v>
      </x:c>
      <x:c r="V1517" t="n">
        <x:v>1427</x:v>
      </x:c>
      <x:c r="W1517" t="n">
        <x:v>35.6</x:v>
      </x:c>
    </x:row>
    <x:row r="1518">
      <x:c r="A1518" t="str">
        <x:v>PJT_1517</x:v>
      </x:c>
      <x:c r="B1518" t="str">
        <x:v>Continental</x:v>
      </x:c>
      <x:c r="C1518" t="n">
        <x:v>15390</x:v>
      </x:c>
      <x:c r="D1518" t="n">
        <x:v>10</x:v>
      </x:c>
      <x:c r="E1518" t="str">
        <x:v>Medium</x:v>
      </x:c>
      <x:c r="F1518" t="str">
        <x:v>Hospital</x:v>
      </x:c>
      <x:c r="G1518" t="str">
        <x:v>Shear Wall</x:v>
      </x:c>
      <x:c r="H1518" t="str">
        <x:v>Raft</x:v>
      </x:c>
      <x:c r="I1518" t="str">
        <x:v>Mixed</x:v>
      </x:c>
      <x:c r="J1518" t="str">
        <x:v>High</x:v>
      </x:c>
      <x:c r="K1518" t="n">
        <x:v>46847160</x:v>
      </x:c>
      <x:c r="L1518" t="n">
        <x:v>813</x:v>
      </x:c>
      <x:c r="M1518" t="n">
        <x:v>348.9</x:v>
      </x:c>
      <x:c r="N1518" t="n">
        <x:v>9.2</x:v>
      </x:c>
      <x:c r="O1518" t="n">
        <x:v>73.1</x:v>
      </x:c>
      <x:c r="P1518" t="str">
        <x:v>Stormy</x:v>
      </x:c>
      <x:c r="Q1518" t="n">
        <x:v>102</x:v>
      </x:c>
      <x:c r="R1518" t="n">
        <x:v>80.1</x:v>
      </x:c>
      <x:c r="S1518" t="n">
        <x:v>0.1074</x:v>
      </x:c>
      <x:c r="T1518" t="n">
        <x:v>20.1</x:v>
      </x:c>
      <x:c r="U1518" t="n">
        <x:v>1539</x:v>
      </x:c>
      <x:c r="V1518" t="n">
        <x:v>3044</x:v>
      </x:c>
      <x:c r="W1518" t="n">
        <x:v>52.8</x:v>
      </x:c>
    </x:row>
    <x:row r="1519">
      <x:c r="A1519" t="str">
        <x:v>PJT_1518</x:v>
      </x:c>
      <x:c r="B1519" t="str">
        <x:v>Mediterranean</x:v>
      </x:c>
      <x:c r="C1519" t="n">
        <x:v>9020</x:v>
      </x:c>
      <x:c r="D1519" t="n">
        <x:v>4</x:v>
      </x:c>
      <x:c r="E1519" t="str">
        <x:v>Low</x:v>
      </x:c>
      <x:c r="F1519" t="str">
        <x:v>School</x:v>
      </x:c>
      <x:c r="G1519" t="str">
        <x:v>RC Frame</x:v>
      </x:c>
      <x:c r="H1519" t="str">
        <x:v>Raft</x:v>
      </x:c>
      <x:c r="I1519" t="str">
        <x:v>Mixed</x:v>
      </x:c>
      <x:c r="J1519" t="str">
        <x:v>Low</x:v>
      </x:c>
      <x:c r="K1519" t="n">
        <x:v>14828880</x:v>
      </x:c>
      <x:c r="L1519" t="n">
        <x:v>308</x:v>
      </x:c>
      <x:c r="M1519" t="n">
        <x:v>363.9</x:v>
      </x:c>
      <x:c r="N1519" t="n">
        <x:v>10.5</x:v>
      </x:c>
      <x:c r="O1519" t="n">
        <x:v>80.6</x:v>
      </x:c>
      <x:c r="P1519" t="str">
        <x:v>Stormy</x:v>
      </x:c>
      <x:c r="Q1519" t="n">
        <x:v>76</x:v>
      </x:c>
      <x:c r="R1519" t="n">
        <x:v>63.6</x:v>
      </x:c>
      <x:c r="S1519" t="n">
        <x:v>0.0809</x:v>
      </x:c>
      <x:c r="T1519" t="n">
        <x:v>14</x:v>
      </x:c>
      <x:c r="U1519" t="n">
        <x:v>2255</x:v>
      </x:c>
      <x:c r="V1519" t="n">
        <x:v>1644</x:v>
      </x:c>
      <x:c r="W1519" t="n">
        <x:v>34.2</x:v>
      </x:c>
    </x:row>
    <x:row r="1520">
      <x:c r="A1520" t="str">
        <x:v>PJT_1519</x:v>
      </x:c>
      <x:c r="B1520" t="str">
        <x:v>Mediterranean</x:v>
      </x:c>
      <x:c r="C1520" t="n">
        <x:v>29330</x:v>
      </x:c>
      <x:c r="D1520" t="n">
        <x:v>17</x:v>
      </x:c>
      <x:c r="E1520" t="str">
        <x:v>High</x:v>
      </x:c>
      <x:c r="F1520" t="str">
        <x:v>Hospital</x:v>
      </x:c>
      <x:c r="G1520" t="str">
        <x:v>Shear Wall</x:v>
      </x:c>
      <x:c r="H1520" t="str">
        <x:v>Piles</x:v>
      </x:c>
      <x:c r="I1520" t="str">
        <x:v>Mixed</x:v>
      </x:c>
      <x:c r="J1520" t="str">
        <x:v>High</x:v>
      </x:c>
      <x:c r="K1520" t="n">
        <x:v>102889640</x:v>
      </x:c>
      <x:c r="L1520" t="n">
        <x:v>1584</x:v>
      </x:c>
      <x:c r="M1520" t="n">
        <x:v>396.2</x:v>
      </x:c>
      <x:c r="N1520" t="n">
        <x:v>22.6</x:v>
      </x:c>
      <x:c r="O1520" t="n">
        <x:v>51.2</x:v>
      </x:c>
      <x:c r="P1520" t="str">
        <x:v>Sunny</x:v>
      </x:c>
      <x:c r="Q1520" t="n">
        <x:v>75</x:v>
      </x:c>
      <x:c r="R1520" t="n">
        <x:v>87.7</x:v>
      </x:c>
      <x:c r="S1520" t="n">
        <x:v>0.1137</x:v>
      </x:c>
      <x:c r="T1520" t="n">
        <x:v>23.3</x:v>
      </x:c>
      <x:c r="U1520" t="n">
        <x:v>1725.3</x:v>
      </x:c>
      <x:c r="V1520" t="n">
        <x:v>3508</x:v>
      </x:c>
      <x:c r="W1520" t="n">
        <x:v>54</x:v>
      </x:c>
    </x:row>
    <x:row r="1521">
      <x:c r="A1521" t="str">
        <x:v>PJT_1520</x:v>
      </x:c>
      <x:c r="B1521" t="str">
        <x:v>Mediterranean</x:v>
      </x:c>
      <x:c r="C1521" t="n">
        <x:v>16860</x:v>
      </x:c>
      <x:c r="D1521" t="n">
        <x:v>9</x:v>
      </x:c>
      <x:c r="E1521" t="str">
        <x:v>Medium</x:v>
      </x:c>
      <x:c r="F1521" t="str">
        <x:v>Hospital</x:v>
      </x:c>
      <x:c r="G1521" t="str">
        <x:v>Shear Wall</x:v>
      </x:c>
      <x:c r="H1521" t="str">
        <x:v>Raft</x:v>
      </x:c>
      <x:c r="I1521" t="str">
        <x:v>Rock</x:v>
      </x:c>
      <x:c r="J1521" t="str">
        <x:v>High</x:v>
      </x:c>
      <x:c r="K1521" t="n">
        <x:v>54390360</x:v>
      </x:c>
      <x:c r="L1521" t="n">
        <x:v>840</x:v>
      </x:c>
      <x:c r="M1521" t="n">
        <x:v>712.5</x:v>
      </x:c>
      <x:c r="N1521" t="n">
        <x:v>19.5</x:v>
      </x:c>
      <x:c r="O1521" t="n">
        <x:v>56.5</x:v>
      </x:c>
      <x:c r="P1521" t="str">
        <x:v>Cloudy</x:v>
      </x:c>
      <x:c r="Q1521" t="n">
        <x:v>88</x:v>
      </x:c>
      <x:c r="R1521" t="n">
        <x:v>77.2</x:v>
      </x:c>
      <x:c r="S1521" t="n">
        <x:v>0.1065</x:v>
      </x:c>
      <x:c r="T1521" t="n">
        <x:v>21</x:v>
      </x:c>
      <x:c r="U1521" t="n">
        <x:v>1873.3</x:v>
      </x:c>
      <x:c r="V1521" t="n">
        <x:v>3226</x:v>
      </x:c>
      <x:c r="W1521" t="n">
        <x:v>49.8</x:v>
      </x:c>
    </x:row>
    <x:row r="1522">
      <x:c r="A1522" t="str">
        <x:v>PJT_1521</x:v>
      </x:c>
      <x:c r="B1522" t="str">
        <x:v>Continental</x:v>
      </x:c>
      <x:c r="C1522" t="n">
        <x:v>10420</x:v>
      </x:c>
      <x:c r="D1522" t="n">
        <x:v>4</x:v>
      </x:c>
      <x:c r="E1522" t="str">
        <x:v>Low</x:v>
      </x:c>
      <x:c r="F1522" t="str">
        <x:v>School</x:v>
      </x:c>
      <x:c r="G1522" t="str">
        <x:v>RC Frame</x:v>
      </x:c>
      <x:c r="H1522" t="str">
        <x:v>Raft</x:v>
      </x:c>
      <x:c r="I1522" t="str">
        <x:v>Sand</x:v>
      </x:c>
      <x:c r="J1522" t="str">
        <x:v>Low</x:v>
      </x:c>
      <x:c r="K1522" t="n">
        <x:v>15744620</x:v>
      </x:c>
      <x:c r="L1522" t="n">
        <x:v>300</x:v>
      </x:c>
      <x:c r="M1522" t="n">
        <x:v>251.6</x:v>
      </x:c>
      <x:c r="N1522" t="n">
        <x:v>6</x:v>
      </x:c>
      <x:c r="O1522" t="n">
        <x:v>66.2</x:v>
      </x:c>
      <x:c r="P1522" t="str">
        <x:v>Cloudy</x:v>
      </x:c>
      <x:c r="Q1522" t="n">
        <x:v>66</x:v>
      </x:c>
      <x:c r="R1522" t="n">
        <x:v>65</x:v>
      </x:c>
      <x:c r="S1522" t="n">
        <x:v>0.077</x:v>
      </x:c>
      <x:c r="T1522" t="n">
        <x:v>14</x:v>
      </x:c>
      <x:c r="U1522" t="n">
        <x:v>2605</x:v>
      </x:c>
      <x:c r="V1522" t="n">
        <x:v>1511</x:v>
      </x:c>
      <x:c r="W1522" t="n">
        <x:v>28.8</x:v>
      </x:c>
    </x:row>
    <x:row r="1523">
      <x:c r="A1523" t="str">
        <x:v>PJT_1522</x:v>
      </x:c>
      <x:c r="B1523" t="str">
        <x:v>Humid Subtropical</x:v>
      </x:c>
      <x:c r="C1523" t="n">
        <x:v>20650</x:v>
      </x:c>
      <x:c r="D1523" t="n">
        <x:v>23</x:v>
      </x:c>
      <x:c r="E1523" t="str">
        <x:v>High</x:v>
      </x:c>
      <x:c r="F1523" t="str">
        <x:v>Mixed-use</x:v>
      </x:c>
      <x:c r="G1523" t="str">
        <x:v>Steel</x:v>
      </x:c>
      <x:c r="H1523" t="str">
        <x:v>Piles</x:v>
      </x:c>
      <x:c r="I1523" t="str">
        <x:v>Sand</x:v>
      </x:c>
      <x:c r="J1523" t="str">
        <x:v>High</x:v>
      </x:c>
      <x:c r="K1523" t="n">
        <x:v>62011950</x:v>
      </x:c>
      <x:c r="L1523" t="n">
        <x:v>1198</x:v>
      </x:c>
      <x:c r="M1523" t="n">
        <x:v>262.7</x:v>
      </x:c>
      <x:c r="N1523" t="n">
        <x:v>27.9</x:v>
      </x:c>
      <x:c r="O1523" t="n">
        <x:v>89.9</x:v>
      </x:c>
      <x:c r="P1523" t="str">
        <x:v>Stormy</x:v>
      </x:c>
      <x:c r="Q1523" t="n">
        <x:v>86</x:v>
      </x:c>
      <x:c r="R1523" t="n">
        <x:v>91.6</x:v>
      </x:c>
      <x:c r="S1523" t="n">
        <x:v>0.1048</x:v>
      </x:c>
      <x:c r="T1523" t="n">
        <x:v>19.8</x:v>
      </x:c>
      <x:c r="U1523" t="n">
        <x:v>897.8</x:v>
      </x:c>
      <x:c r="V1523" t="n">
        <x:v>3003</x:v>
      </x:c>
      <x:c r="W1523" t="n">
        <x:v>58</x:v>
      </x:c>
    </x:row>
    <x:row r="1524">
      <x:c r="A1524" t="str">
        <x:v>PJT_1523</x:v>
      </x:c>
      <x:c r="B1524" t="str">
        <x:v>Marine</x:v>
      </x:c>
      <x:c r="C1524" t="n">
        <x:v>23930</x:v>
      </x:c>
      <x:c r="D1524" t="n">
        <x:v>21</x:v>
      </x:c>
      <x:c r="E1524" t="str">
        <x:v>Medium</x:v>
      </x:c>
      <x:c r="F1524" t="str">
        <x:v>Mixed-use</x:v>
      </x:c>
      <x:c r="G1524" t="str">
        <x:v>Steel</x:v>
      </x:c>
      <x:c r="H1524" t="str">
        <x:v>Piles</x:v>
      </x:c>
      <x:c r="I1524" t="str">
        <x:v>Soft Clay</x:v>
      </x:c>
      <x:c r="J1524" t="str">
        <x:v>Medium</x:v>
      </x:c>
      <x:c r="K1524" t="n">
        <x:v>64395630</x:v>
      </x:c>
      <x:c r="L1524" t="n">
        <x:v>1264</x:v>
      </x:c>
      <x:c r="M1524" t="n">
        <x:v>207</x:v>
      </x:c>
      <x:c r="N1524" t="n">
        <x:v>11.4</x:v>
      </x:c>
      <x:c r="O1524" t="n">
        <x:v>75.4</x:v>
      </x:c>
      <x:c r="P1524" t="str">
        <x:v>Cloudy</x:v>
      </x:c>
      <x:c r="Q1524" t="n">
        <x:v>70</x:v>
      </x:c>
      <x:c r="R1524" t="n">
        <x:v>82.1</x:v>
      </x:c>
      <x:c r="S1524" t="n">
        <x:v>0.1035</x:v>
      </x:c>
      <x:c r="T1524" t="n">
        <x:v>19.4</x:v>
      </x:c>
      <x:c r="U1524" t="n">
        <x:v>1139.5</x:v>
      </x:c>
      <x:c r="V1524" t="n">
        <x:v>2691</x:v>
      </x:c>
      <x:c r="W1524" t="n">
        <x:v>52.8</x:v>
      </x:c>
    </x:row>
    <x:row r="1525">
      <x:c r="A1525" t="str">
        <x:v>PJT_1524</x:v>
      </x:c>
      <x:c r="B1525" t="str">
        <x:v>Marine</x:v>
      </x:c>
      <x:c r="C1525" t="n">
        <x:v>10760</x:v>
      </x:c>
      <x:c r="D1525" t="n">
        <x:v>8</x:v>
      </x:c>
      <x:c r="E1525" t="str">
        <x:v>Medium</x:v>
      </x:c>
      <x:c r="F1525" t="str">
        <x:v>Commercial</x:v>
      </x:c>
      <x:c r="G1525" t="str">
        <x:v>RC Frame</x:v>
      </x:c>
      <x:c r="H1525" t="str">
        <x:v>Raft</x:v>
      </x:c>
      <x:c r="I1525" t="str">
        <x:v>Mixed</x:v>
      </x:c>
      <x:c r="J1525" t="str">
        <x:v>High</x:v>
      </x:c>
      <x:c r="K1525" t="n">
        <x:v>25060040</x:v>
      </x:c>
      <x:c r="L1525" t="n">
        <x:v>466</x:v>
      </x:c>
      <x:c r="M1525" t="n">
        <x:v>304.4</x:v>
      </x:c>
      <x:c r="N1525" t="n">
        <x:v>9.9</x:v>
      </x:c>
      <x:c r="O1525" t="n">
        <x:v>83</x:v>
      </x:c>
      <x:c r="P1525" t="str">
        <x:v>Stormy</x:v>
      </x:c>
      <x:c r="Q1525" t="n">
        <x:v>85</x:v>
      </x:c>
      <x:c r="R1525" t="n">
        <x:v>74.7</x:v>
      </x:c>
      <x:c r="S1525" t="n">
        <x:v>0.0938</x:v>
      </x:c>
      <x:c r="T1525" t="n">
        <x:v>15.5</x:v>
      </x:c>
      <x:c r="U1525" t="n">
        <x:v>1345</x:v>
      </x:c>
      <x:c r="V1525" t="n">
        <x:v>2329</x:v>
      </x:c>
      <x:c r="W1525" t="n">
        <x:v>43.3</x:v>
      </x:c>
    </x:row>
    <x:row r="1526">
      <x:c r="A1526" t="str">
        <x:v>PJT_1525</x:v>
      </x:c>
      <x:c r="B1526" t="str">
        <x:v>Humid Subtropical</x:v>
      </x:c>
      <x:c r="C1526" t="n">
        <x:v>16380</x:v>
      </x:c>
      <x:c r="D1526" t="n">
        <x:v>11</x:v>
      </x:c>
      <x:c r="E1526" t="str">
        <x:v>Medium</x:v>
      </x:c>
      <x:c r="F1526" t="str">
        <x:v>Hospital</x:v>
      </x:c>
      <x:c r="G1526" t="str">
        <x:v>Shear Wall</x:v>
      </x:c>
      <x:c r="H1526" t="str">
        <x:v>Raft</x:v>
      </x:c>
      <x:c r="I1526" t="str">
        <x:v>Rock</x:v>
      </x:c>
      <x:c r="J1526" t="str">
        <x:v>Medium</x:v>
      </x:c>
      <x:c r="K1526" t="n">
        <x:v>50810760</x:v>
      </x:c>
      <x:c r="L1526" t="n">
        <x:v>819</x:v>
      </x:c>
      <x:c r="M1526" t="n">
        <x:v>598.3</x:v>
      </x:c>
      <x:c r="N1526" t="n">
        <x:v>21.6</x:v>
      </x:c>
      <x:c r="O1526" t="n">
        <x:v>74.5</x:v>
      </x:c>
      <x:c r="P1526" t="str">
        <x:v>Rainy</x:v>
      </x:c>
      <x:c r="Q1526" t="n">
        <x:v>115</x:v>
      </x:c>
      <x:c r="R1526" t="n">
        <x:v>77.8</x:v>
      </x:c>
      <x:c r="S1526" t="n">
        <x:v>0.1053</x:v>
      </x:c>
      <x:c r="T1526" t="n">
        <x:v>20.4</x:v>
      </x:c>
      <x:c r="U1526" t="n">
        <x:v>1489.1</x:v>
      </x:c>
      <x:c r="V1526" t="n">
        <x:v>3102</x:v>
      </x:c>
      <x:c r="W1526" t="n">
        <x:v>50</x:v>
      </x:c>
    </x:row>
    <x:row r="1527">
      <x:c r="A1527" t="str">
        <x:v>PJT_1526</x:v>
      </x:c>
      <x:c r="B1527" t="str">
        <x:v>Humid Subtropical</x:v>
      </x:c>
      <x:c r="C1527" t="n">
        <x:v>16480</x:v>
      </x:c>
      <x:c r="D1527" t="n">
        <x:v>11</x:v>
      </x:c>
      <x:c r="E1527" t="str">
        <x:v>Medium</x:v>
      </x:c>
      <x:c r="F1527" t="str">
        <x:v>Commercial</x:v>
      </x:c>
      <x:c r="G1527" t="str">
        <x:v>RC Frame</x:v>
      </x:c>
      <x:c r="H1527" t="str">
        <x:v>Piles</x:v>
      </x:c>
      <x:c r="I1527" t="str">
        <x:v>Soft Clay</x:v>
      </x:c>
      <x:c r="J1527" t="str">
        <x:v>Low</x:v>
      </x:c>
      <x:c r="K1527" t="n">
        <x:v>35811040</x:v>
      </x:c>
      <x:c r="L1527" t="n">
        <x:v>771</x:v>
      </x:c>
      <x:c r="M1527" t="n">
        <x:v>180.1</x:v>
      </x:c>
      <x:c r="N1527" t="n">
        <x:v>25.1</x:v>
      </x:c>
      <x:c r="O1527" t="n">
        <x:v>86.1</x:v>
      </x:c>
      <x:c r="P1527" t="str">
        <x:v>Stormy</x:v>
      </x:c>
      <x:c r="Q1527" t="n">
        <x:v>85</x:v>
      </x:c>
      <x:c r="R1527" t="n">
        <x:v>75.8</x:v>
      </x:c>
      <x:c r="S1527" t="n">
        <x:v>0.0912</x:v>
      </x:c>
      <x:c r="T1527" t="n">
        <x:v>16.9</x:v>
      </x:c>
      <x:c r="U1527" t="n">
        <x:v>1498.2</x:v>
      </x:c>
      <x:c r="V1527" t="n">
        <x:v>2173</x:v>
      </x:c>
      <x:c r="W1527" t="n">
        <x:v>46.8</x:v>
      </x:c>
    </x:row>
    <x:row r="1528">
      <x:c r="A1528" t="str">
        <x:v>PJT_1527</x:v>
      </x:c>
      <x:c r="B1528" t="str">
        <x:v>Humid Subtropical</x:v>
      </x:c>
      <x:c r="C1528" t="n">
        <x:v>15640</x:v>
      </x:c>
      <x:c r="D1528" t="n">
        <x:v>25</x:v>
      </x:c>
      <x:c r="E1528" t="str">
        <x:v>Medium</x:v>
      </x:c>
      <x:c r="F1528" t="str">
        <x:v>Residential</x:v>
      </x:c>
      <x:c r="G1528" t="str">
        <x:v>Shear Wall</x:v>
      </x:c>
      <x:c r="H1528" t="str">
        <x:v>Piles</x:v>
      </x:c>
      <x:c r="I1528" t="str">
        <x:v>Mixed</x:v>
      </x:c>
      <x:c r="J1528" t="str">
        <x:v>High</x:v>
      </x:c>
      <x:c r="K1528" t="n">
        <x:v>26885160</x:v>
      </x:c>
      <x:c r="L1528" t="n">
        <x:v>651</x:v>
      </x:c>
      <x:c r="M1528" t="n">
        <x:v>326.4</x:v>
      </x:c>
      <x:c r="N1528" t="n">
        <x:v>24.9</x:v>
      </x:c>
      <x:c r="O1528" t="n">
        <x:v>89.9</x:v>
      </x:c>
      <x:c r="P1528" t="str">
        <x:v>Rainy</x:v>
      </x:c>
      <x:c r="Q1528" t="n">
        <x:v>75</x:v>
      </x:c>
      <x:c r="R1528" t="n">
        <x:v>77.7</x:v>
      </x:c>
      <x:c r="S1528" t="n">
        <x:v>0.0853</x:v>
      </x:c>
      <x:c r="T1528" t="n">
        <x:v>14.4</x:v>
      </x:c>
      <x:c r="U1528" t="n">
        <x:v>625.6</x:v>
      </x:c>
      <x:c r="V1528" t="n">
        <x:v>1719</x:v>
      </x:c>
      <x:c r="W1528" t="n">
        <x:v>41.6</x:v>
      </x:c>
    </x:row>
    <x:row r="1529">
      <x:c r="A1529" t="str">
        <x:v>PJT_1528</x:v>
      </x:c>
      <x:c r="B1529" t="str">
        <x:v>Marine</x:v>
      </x:c>
      <x:c r="C1529" t="n">
        <x:v>20720</x:v>
      </x:c>
      <x:c r="D1529" t="n">
        <x:v>15</x:v>
      </x:c>
      <x:c r="E1529" t="str">
        <x:v>Medium</x:v>
      </x:c>
      <x:c r="F1529" t="str">
        <x:v>Mixed-use</x:v>
      </x:c>
      <x:c r="G1529" t="str">
        <x:v>Steel</x:v>
      </x:c>
      <x:c r="H1529" t="str">
        <x:v>Piles</x:v>
      </x:c>
      <x:c r="I1529" t="str">
        <x:v>Soft Clay</x:v>
      </x:c>
      <x:c r="J1529" t="str">
        <x:v>High</x:v>
      </x:c>
      <x:c r="K1529" t="n">
        <x:v>57456560</x:v>
      </x:c>
      <x:c r="L1529" t="n">
        <x:v>1017</x:v>
      </x:c>
      <x:c r="M1529" t="n">
        <x:v>221.6</x:v>
      </x:c>
      <x:c r="N1529" t="n">
        <x:v>17.5</x:v>
      </x:c>
      <x:c r="O1529" t="n">
        <x:v>59.2</x:v>
      </x:c>
      <x:c r="P1529" t="str">
        <x:v>Sunny</x:v>
      </x:c>
      <x:c r="Q1529" t="n">
        <x:v>79</x:v>
      </x:c>
      <x:c r="R1529" t="n">
        <x:v>84.1</x:v>
      </x:c>
      <x:c r="S1529" t="n">
        <x:v>0.0991</x:v>
      </x:c>
      <x:c r="T1529" t="n">
        <x:v>19.1</x:v>
      </x:c>
      <x:c r="U1529" t="n">
        <x:v>1381.3</x:v>
      </x:c>
      <x:c r="V1529" t="n">
        <x:v>2773</x:v>
      </x:c>
      <x:c r="W1529" t="n">
        <x:v>49.1</x:v>
      </x:c>
    </x:row>
    <x:row r="1530">
      <x:c r="A1530" t="str">
        <x:v>PJT_1529</x:v>
      </x:c>
      <x:c r="B1530" t="str">
        <x:v>Continental</x:v>
      </x:c>
      <x:c r="C1530" t="n">
        <x:v>25950</x:v>
      </x:c>
      <x:c r="D1530" t="n">
        <x:v>15</x:v>
      </x:c>
      <x:c r="E1530" t="str">
        <x:v>High</x:v>
      </x:c>
      <x:c r="F1530" t="str">
        <x:v>Mixed-use</x:v>
      </x:c>
      <x:c r="G1530" t="str">
        <x:v>Shear Wall</x:v>
      </x:c>
      <x:c r="H1530" t="str">
        <x:v>Piles</x:v>
      </x:c>
      <x:c r="I1530" t="str">
        <x:v>Sand</x:v>
      </x:c>
      <x:c r="J1530" t="str">
        <x:v>High</x:v>
      </x:c>
      <x:c r="K1530" t="n">
        <x:v>74087250</x:v>
      </x:c>
      <x:c r="L1530" t="n">
        <x:v>1443</x:v>
      </x:c>
      <x:c r="M1530" t="n">
        <x:v>352.2</x:v>
      </x:c>
      <x:c r="N1530" t="n">
        <x:v>10.3</x:v>
      </x:c>
      <x:c r="O1530" t="n">
        <x:v>66.8</x:v>
      </x:c>
      <x:c r="P1530" t="str">
        <x:v>Rainy</x:v>
      </x:c>
      <x:c r="Q1530" t="n">
        <x:v>93</x:v>
      </x:c>
      <x:c r="R1530" t="n">
        <x:v>90.1</x:v>
      </x:c>
      <x:c r="S1530" t="n">
        <x:v>0.1078</x:v>
      </x:c>
      <x:c r="T1530" t="n">
        <x:v>21</x:v>
      </x:c>
      <x:c r="U1530" t="n">
        <x:v>1730</x:v>
      </x:c>
      <x:c r="V1530" t="n">
        <x:v>2855</x:v>
      </x:c>
      <x:c r="W1530" t="n">
        <x:v>55.6</x:v>
      </x:c>
    </x:row>
    <x:row r="1531">
      <x:c r="A1531" t="str">
        <x:v>PJT_1530</x:v>
      </x:c>
      <x:c r="B1531" t="str">
        <x:v>Mediterranean</x:v>
      </x:c>
      <x:c r="C1531" t="n">
        <x:v>11920</x:v>
      </x:c>
      <x:c r="D1531" t="n">
        <x:v>6</x:v>
      </x:c>
      <x:c r="E1531" t="str">
        <x:v>Medium</x:v>
      </x:c>
      <x:c r="F1531" t="str">
        <x:v>Hospital</x:v>
      </x:c>
      <x:c r="G1531" t="str">
        <x:v>Shear Wall</x:v>
      </x:c>
      <x:c r="H1531" t="str">
        <x:v>Raft</x:v>
      </x:c>
      <x:c r="I1531" t="str">
        <x:v>Mixed</x:v>
      </x:c>
      <x:c r="J1531" t="str">
        <x:v>High</x:v>
      </x:c>
      <x:c r="K1531" t="n">
        <x:v>37357280</x:v>
      </x:c>
      <x:c r="L1531" t="n">
        <x:v>581</x:v>
      </x:c>
      <x:c r="M1531" t="n">
        <x:v>325</x:v>
      </x:c>
      <x:c r="N1531" t="n">
        <x:v>11.2</x:v>
      </x:c>
      <x:c r="O1531" t="n">
        <x:v>83.5</x:v>
      </x:c>
      <x:c r="P1531" t="str">
        <x:v>Rainy</x:v>
      </x:c>
      <x:c r="Q1531" t="n">
        <x:v>98</x:v>
      </x:c>
      <x:c r="R1531" t="n">
        <x:v>81.8</x:v>
      </x:c>
      <x:c r="S1531" t="n">
        <x:v>0.1105</x:v>
      </x:c>
      <x:c r="T1531" t="n">
        <x:v>20.4</x:v>
      </x:c>
      <x:c r="U1531" t="n">
        <x:v>1986.7</x:v>
      </x:c>
      <x:c r="V1531" t="n">
        <x:v>3134</x:v>
      </x:c>
      <x:c r="W1531" t="n">
        <x:v>48.7</x:v>
      </x:c>
    </x:row>
    <x:row r="1532">
      <x:c r="A1532" t="str">
        <x:v>PJT_1531</x:v>
      </x:c>
      <x:c r="B1532" t="str">
        <x:v>Marine</x:v>
      </x:c>
      <x:c r="C1532" t="n">
        <x:v>8300</x:v>
      </x:c>
      <x:c r="D1532" t="n">
        <x:v>8</x:v>
      </x:c>
      <x:c r="E1532" t="str">
        <x:v>Low</x:v>
      </x:c>
      <x:c r="F1532" t="str">
        <x:v>Residential</x:v>
      </x:c>
      <x:c r="G1532" t="str">
        <x:v>RC Frame</x:v>
      </x:c>
      <x:c r="H1532" t="str">
        <x:v>Piles</x:v>
      </x:c>
      <x:c r="I1532" t="str">
        <x:v>Soft Clay</x:v>
      </x:c>
      <x:c r="J1532" t="str">
        <x:v>Medium</x:v>
      </x:c>
      <x:c r="K1532" t="n">
        <x:v>12757100</x:v>
      </x:c>
      <x:c r="L1532" t="n">
        <x:v>278</x:v>
      </x:c>
      <x:c r="M1532" t="n">
        <x:v>197.2</x:v>
      </x:c>
      <x:c r="N1532" t="n">
        <x:v>19.6</x:v>
      </x:c>
      <x:c r="O1532" t="n">
        <x:v>54.8</x:v>
      </x:c>
      <x:c r="P1532" t="str">
        <x:v>Sunny</x:v>
      </x:c>
      <x:c r="Q1532" t="n">
        <x:v>65</x:v>
      </x:c>
      <x:c r="R1532" t="n">
        <x:v>62.3</x:v>
      </x:c>
      <x:c r="S1532" t="n">
        <x:v>0.0729</x:v>
      </x:c>
      <x:c r="T1532" t="n">
        <x:v>11.7</x:v>
      </x:c>
      <x:c r="U1532" t="n">
        <x:v>1037.5</x:v>
      </x:c>
      <x:c r="V1532" t="n">
        <x:v>1537</x:v>
      </x:c>
      <x:c r="W1532" t="n">
        <x:v>33.5</x:v>
      </x:c>
    </x:row>
    <x:row r="1533">
      <x:c r="A1533" t="str">
        <x:v>PJT_1532</x:v>
      </x:c>
      <x:c r="B1533" t="str">
        <x:v>Humid Subtropical</x:v>
      </x:c>
      <x:c r="C1533" t="n">
        <x:v>21830</x:v>
      </x:c>
      <x:c r="D1533" t="n">
        <x:v>24</x:v>
      </x:c>
      <x:c r="E1533" t="str">
        <x:v>Medium</x:v>
      </x:c>
      <x:c r="F1533" t="str">
        <x:v>Residential</x:v>
      </x:c>
      <x:c r="G1533" t="str">
        <x:v>Shear Wall</x:v>
      </x:c>
      <x:c r="H1533" t="str">
        <x:v>Piles</x:v>
      </x:c>
      <x:c r="I1533" t="str">
        <x:v>Mixed</x:v>
      </x:c>
      <x:c r="J1533" t="str">
        <x:v>Medium</x:v>
      </x:c>
      <x:c r="K1533" t="n">
        <x:v>36456100</x:v>
      </x:c>
      <x:c r="L1533" t="n">
        <x:v>880</x:v>
      </x:c>
      <x:c r="M1533" t="n">
        <x:v>384.6</x:v>
      </x:c>
      <x:c r="N1533" t="n">
        <x:v>26.4</x:v>
      </x:c>
      <x:c r="O1533" t="n">
        <x:v>66.5</x:v>
      </x:c>
      <x:c r="P1533" t="str">
        <x:v>Sunny</x:v>
      </x:c>
      <x:c r="Q1533" t="n">
        <x:v>94</x:v>
      </x:c>
      <x:c r="R1533" t="n">
        <x:v>72.7</x:v>
      </x:c>
      <x:c r="S1533" t="n">
        <x:v>0.0803</x:v>
      </x:c>
      <x:c r="T1533" t="n">
        <x:v>12.9</x:v>
      </x:c>
      <x:c r="U1533" t="n">
        <x:v>909.6</x:v>
      </x:c>
      <x:c r="V1533" t="n">
        <x:v>1670</x:v>
      </x:c>
      <x:c r="W1533" t="n">
        <x:v>40.3</x:v>
      </x:c>
    </x:row>
    <x:row r="1534">
      <x:c r="A1534" t="str">
        <x:v>PJT_1533</x:v>
      </x:c>
      <x:c r="B1534" t="str">
        <x:v>Continental</x:v>
      </x:c>
      <x:c r="C1534" t="n">
        <x:v>25730</x:v>
      </x:c>
      <x:c r="D1534" t="n">
        <x:v>19</x:v>
      </x:c>
      <x:c r="E1534" t="str">
        <x:v>High</x:v>
      </x:c>
      <x:c r="F1534" t="str">
        <x:v>Mixed-use</x:v>
      </x:c>
      <x:c r="G1534" t="str">
        <x:v>Steel</x:v>
      </x:c>
      <x:c r="H1534" t="str">
        <x:v>Piles</x:v>
      </x:c>
      <x:c r="I1534" t="str">
        <x:v>Soft Clay</x:v>
      </x:c>
      <x:c r="J1534" t="str">
        <x:v>Low</x:v>
      </x:c>
      <x:c r="K1534" t="n">
        <x:v>73664990</x:v>
      </x:c>
      <x:c r="L1534" t="n">
        <x:v>1474</x:v>
      </x:c>
      <x:c r="M1534" t="n">
        <x:v>227</x:v>
      </x:c>
      <x:c r="N1534" t="n">
        <x:v>11</x:v>
      </x:c>
      <x:c r="O1534" t="n">
        <x:v>77.3</x:v>
      </x:c>
      <x:c r="P1534" t="str">
        <x:v>Rainy</x:v>
      </x:c>
      <x:c r="Q1534" t="n">
        <x:v>87</x:v>
      </x:c>
      <x:c r="R1534" t="n">
        <x:v>87.3</x:v>
      </x:c>
      <x:c r="S1534" t="n">
        <x:v>0.1096</x:v>
      </x:c>
      <x:c r="T1534" t="n">
        <x:v>21.1</x:v>
      </x:c>
      <x:c r="U1534" t="n">
        <x:v>1354.2</x:v>
      </x:c>
      <x:c r="V1534" t="n">
        <x:v>2863</x:v>
      </x:c>
      <x:c r="W1534" t="n">
        <x:v>57.3</x:v>
      </x:c>
    </x:row>
    <x:row r="1535">
      <x:c r="A1535" t="str">
        <x:v>PJT_1534</x:v>
      </x:c>
      <x:c r="B1535" t="str">
        <x:v>Continental</x:v>
      </x:c>
      <x:c r="C1535" t="n">
        <x:v>14420</x:v>
      </x:c>
      <x:c r="D1535" t="n">
        <x:v>8</x:v>
      </x:c>
      <x:c r="E1535" t="str">
        <x:v>Medium</x:v>
      </x:c>
      <x:c r="F1535" t="str">
        <x:v>Commercial</x:v>
      </x:c>
      <x:c r="G1535" t="str">
        <x:v>Steel</x:v>
      </x:c>
      <x:c r="H1535" t="str">
        <x:v>Raft</x:v>
      </x:c>
      <x:c r="I1535" t="str">
        <x:v>Mixed</x:v>
      </x:c>
      <x:c r="J1535" t="str">
        <x:v>Low</x:v>
      </x:c>
      <x:c r="K1535" t="n">
        <x:v>31824940</x:v>
      </x:c>
      <x:c r="L1535" t="n">
        <x:v>684</x:v>
      </x:c>
      <x:c r="M1535" t="n">
        <x:v>344.3</x:v>
      </x:c>
      <x:c r="N1535" t="n">
        <x:v>5.2</x:v>
      </x:c>
      <x:c r="O1535" t="n">
        <x:v>70.1</x:v>
      </x:c>
      <x:c r="P1535" t="str">
        <x:v>Stormy</x:v>
      </x:c>
      <x:c r="Q1535" t="n">
        <x:v>100</x:v>
      </x:c>
      <x:c r="R1535" t="n">
        <x:v>75.7</x:v>
      </x:c>
      <x:c r="S1535" t="n">
        <x:v>0.094</x:v>
      </x:c>
      <x:c r="T1535" t="n">
        <x:v>16.6</x:v>
      </x:c>
      <x:c r="U1535" t="n">
        <x:v>1802.5</x:v>
      </x:c>
      <x:c r="V1535" t="n">
        <x:v>2207</x:v>
      </x:c>
      <x:c r="W1535" t="n">
        <x:v>47.4</x:v>
      </x:c>
    </x:row>
    <x:row r="1536">
      <x:c r="A1536" t="str">
        <x:v>PJT_1535</x:v>
      </x:c>
      <x:c r="B1536" t="str">
        <x:v>Humid Subtropical</x:v>
      </x:c>
      <x:c r="C1536" t="n">
        <x:v>12990</x:v>
      </x:c>
      <x:c r="D1536" t="n">
        <x:v>15</x:v>
      </x:c>
      <x:c r="E1536" t="str">
        <x:v>Low</x:v>
      </x:c>
      <x:c r="F1536" t="str">
        <x:v>Residential</x:v>
      </x:c>
      <x:c r="G1536" t="str">
        <x:v>RC Frame</x:v>
      </x:c>
      <x:c r="H1536" t="str">
        <x:v>Piles</x:v>
      </x:c>
      <x:c r="I1536" t="str">
        <x:v>Mixed</x:v>
      </x:c>
      <x:c r="J1536" t="str">
        <x:v>Low</x:v>
      </x:c>
      <x:c r="K1536" t="n">
        <x:v>17978160</x:v>
      </x:c>
      <x:c r="L1536" t="n">
        <x:v>429</x:v>
      </x:c>
      <x:c r="M1536" t="n">
        <x:v>328.5</x:v>
      </x:c>
      <x:c r="N1536" t="n">
        <x:v>27.8</x:v>
      </x:c>
      <x:c r="O1536" t="n">
        <x:v>60.6</x:v>
      </x:c>
      <x:c r="P1536" t="str">
        <x:v>Sunny</x:v>
      </x:c>
      <x:c r="Q1536" t="n">
        <x:v>82</x:v>
      </x:c>
      <x:c r="R1536" t="n">
        <x:v>63.9</x:v>
      </x:c>
      <x:c r="S1536" t="n">
        <x:v>0.0773</x:v>
      </x:c>
      <x:c r="T1536" t="n">
        <x:v>11.5</x:v>
      </x:c>
      <x:c r="U1536" t="n">
        <x:v>866</x:v>
      </x:c>
      <x:c r="V1536" t="n">
        <x:v>1384</x:v>
      </x:c>
      <x:c r="W1536" t="n">
        <x:v>33</x:v>
      </x:c>
    </x:row>
    <x:row r="1537">
      <x:c r="A1537" t="str">
        <x:v>PJT_1536</x:v>
      </x:c>
      <x:c r="B1537" t="str">
        <x:v>Continental</x:v>
      </x:c>
      <x:c r="C1537" t="n">
        <x:v>12080</x:v>
      </x:c>
      <x:c r="D1537" t="n">
        <x:v>15</x:v>
      </x:c>
      <x:c r="E1537" t="str">
        <x:v>Medium</x:v>
      </x:c>
      <x:c r="F1537" t="str">
        <x:v>Residential</x:v>
      </x:c>
      <x:c r="G1537" t="str">
        <x:v>Shear Wall</x:v>
      </x:c>
      <x:c r="H1537" t="str">
        <x:v>Piles</x:v>
      </x:c>
      <x:c r="I1537" t="str">
        <x:v>Soft Clay</x:v>
      </x:c>
      <x:c r="J1537" t="str">
        <x:v>High</x:v>
      </x:c>
      <x:c r="K1537" t="n">
        <x:v>21333280</x:v>
      </x:c>
      <x:c r="L1537" t="n">
        <x:v>447</x:v>
      </x:c>
      <x:c r="M1537" t="n">
        <x:v>190.2</x:v>
      </x:c>
      <x:c r="N1537" t="n">
        <x:v>20.5</x:v>
      </x:c>
      <x:c r="O1537" t="n">
        <x:v>41.4</x:v>
      </x:c>
      <x:c r="P1537" t="str">
        <x:v>Sunny</x:v>
      </x:c>
      <x:c r="Q1537" t="n">
        <x:v>83</x:v>
      </x:c>
      <x:c r="R1537" t="n">
        <x:v>75.1</x:v>
      </x:c>
      <x:c r="S1537" t="n">
        <x:v>0.0838</x:v>
      </x:c>
      <x:c r="T1537" t="n">
        <x:v>13.5</x:v>
      </x:c>
      <x:c r="U1537" t="n">
        <x:v>805.3</x:v>
      </x:c>
      <x:c r="V1537" t="n">
        <x:v>1766</x:v>
      </x:c>
      <x:c r="W1537" t="n">
        <x:v>37</x:v>
      </x:c>
    </x:row>
    <x:row r="1538">
      <x:c r="A1538" t="str">
        <x:v>PJT_1537</x:v>
      </x:c>
      <x:c r="B1538" t="str">
        <x:v>Mediterranean</x:v>
      </x:c>
      <x:c r="C1538" t="n">
        <x:v>37210</x:v>
      </x:c>
      <x:c r="D1538" t="n">
        <x:v>25</x:v>
      </x:c>
      <x:c r="E1538" t="str">
        <x:v>High</x:v>
      </x:c>
      <x:c r="F1538" t="str">
        <x:v>Mixed-use</x:v>
      </x:c>
      <x:c r="G1538" t="str">
        <x:v>Steel</x:v>
      </x:c>
      <x:c r="H1538" t="str">
        <x:v>Piles</x:v>
      </x:c>
      <x:c r="I1538" t="str">
        <x:v>Rock</x:v>
      </x:c>
      <x:c r="J1538" t="str">
        <x:v>Medium</x:v>
      </x:c>
      <x:c r="K1538" t="n">
        <x:v>110550910</x:v>
      </x:c>
      <x:c r="L1538" t="n">
        <x:v>2158</x:v>
      </x:c>
      <x:c r="M1538" t="n">
        <x:v>859.3</x:v>
      </x:c>
      <x:c r="N1538" t="n">
        <x:v>15.2</x:v>
      </x:c>
      <x:c r="O1538" t="n">
        <x:v>73</x:v>
      </x:c>
      <x:c r="P1538" t="str">
        <x:v>Rainy</x:v>
      </x:c>
      <x:c r="Q1538" t="n">
        <x:v>104</x:v>
      </x:c>
      <x:c r="R1538" t="n">
        <x:v>92</x:v>
      </x:c>
      <x:c r="S1538" t="n">
        <x:v>0.1039</x:v>
      </x:c>
      <x:c r="T1538" t="n">
        <x:v>19.4</x:v>
      </x:c>
      <x:c r="U1538" t="n">
        <x:v>1488.4</x:v>
      </x:c>
      <x:c r="V1538" t="n">
        <x:v>2971</x:v>
      </x:c>
      <x:c r="W1538" t="n">
        <x:v>58</x:v>
      </x:c>
    </x:row>
    <x:row r="1539">
      <x:c r="A1539" t="str">
        <x:v>PJT_1538</x:v>
      </x:c>
      <x:c r="B1539" t="str">
        <x:v>Continental</x:v>
      </x:c>
      <x:c r="C1539" t="n">
        <x:v>9790</x:v>
      </x:c>
      <x:c r="D1539" t="n">
        <x:v>5</x:v>
      </x:c>
      <x:c r="E1539" t="str">
        <x:v>Low</x:v>
      </x:c>
      <x:c r="F1539" t="str">
        <x:v>School</x:v>
      </x:c>
      <x:c r="G1539" t="str">
        <x:v>RC Frame</x:v>
      </x:c>
      <x:c r="H1539" t="str">
        <x:v>Raft</x:v>
      </x:c>
      <x:c r="I1539" t="str">
        <x:v>Rock</x:v>
      </x:c>
      <x:c r="J1539" t="str">
        <x:v>Low</x:v>
      </x:c>
      <x:c r="K1539" t="n">
        <x:v>14929750</x:v>
      </x:c>
      <x:c r="L1539" t="n">
        <x:v>284</x:v>
      </x:c>
      <x:c r="M1539" t="n">
        <x:v>595.6</x:v>
      </x:c>
      <x:c r="N1539" t="n">
        <x:v>3.4</x:v>
      </x:c>
      <x:c r="O1539" t="n">
        <x:v>55.6</x:v>
      </x:c>
      <x:c r="P1539" t="str">
        <x:v>Cloudy</x:v>
      </x:c>
      <x:c r="Q1539" t="n">
        <x:v>85</x:v>
      </x:c>
      <x:c r="R1539" t="n">
        <x:v>68.9</x:v>
      </x:c>
      <x:c r="S1539" t="n">
        <x:v>0.08</x:v>
      </x:c>
      <x:c r="T1539" t="n">
        <x:v>13.2</x:v>
      </x:c>
      <x:c r="U1539" t="n">
        <x:v>1958</x:v>
      </x:c>
      <x:c r="V1539" t="n">
        <x:v>1525</x:v>
      </x:c>
      <x:c r="W1539" t="n">
        <x:v>29</x:v>
      </x:c>
    </x:row>
    <x:row r="1540">
      <x:c r="A1540" t="str">
        <x:v>PJT_1539</x:v>
      </x:c>
      <x:c r="B1540" t="str">
        <x:v>Continental</x:v>
      </x:c>
      <x:c r="C1540" t="n">
        <x:v>34030</x:v>
      </x:c>
      <x:c r="D1540" t="n">
        <x:v>24</x:v>
      </x:c>
      <x:c r="E1540" t="str">
        <x:v>High</x:v>
      </x:c>
      <x:c r="F1540" t="str">
        <x:v>Mixed-use</x:v>
      </x:c>
      <x:c r="G1540" t="str">
        <x:v>Steel</x:v>
      </x:c>
      <x:c r="H1540" t="str">
        <x:v>Piles</x:v>
      </x:c>
      <x:c r="I1540" t="str">
        <x:v>Mixed</x:v>
      </x:c>
      <x:c r="J1540" t="str">
        <x:v>Low</x:v>
      </x:c>
      <x:c r="K1540" t="n">
        <x:v>96883410</x:v>
      </x:c>
      <x:c r="L1540" t="n">
        <x:v>1889</x:v>
      </x:c>
      <x:c r="M1540" t="n">
        <x:v>334.6</x:v>
      </x:c>
      <x:c r="N1540" t="n">
        <x:v>13.3</x:v>
      </x:c>
      <x:c r="O1540" t="n">
        <x:v>46.5</x:v>
      </x:c>
      <x:c r="P1540" t="str">
        <x:v>Sunny</x:v>
      </x:c>
      <x:c r="Q1540" t="n">
        <x:v>92</x:v>
      </x:c>
      <x:c r="R1540" t="n">
        <x:v>92</x:v>
      </x:c>
      <x:c r="S1540" t="n">
        <x:v>0.1076</x:v>
      </x:c>
      <x:c r="T1540" t="n">
        <x:v>20.1</x:v>
      </x:c>
      <x:c r="U1540" t="n">
        <x:v>1417.9</x:v>
      </x:c>
      <x:c r="V1540" t="n">
        <x:v>2847</x:v>
      </x:c>
      <x:c r="W1540" t="n">
        <x:v>55.5</x:v>
      </x:c>
    </x:row>
    <x:row r="1541">
      <x:c r="A1541" t="str">
        <x:v>PJT_1540</x:v>
      </x:c>
      <x:c r="B1541" t="str">
        <x:v>Mediterranean</x:v>
      </x:c>
      <x:c r="C1541" t="n">
        <x:v>28080</x:v>
      </x:c>
      <x:c r="D1541" t="n">
        <x:v>21</x:v>
      </x:c>
      <x:c r="E1541" t="str">
        <x:v>Medium</x:v>
      </x:c>
      <x:c r="F1541" t="str">
        <x:v>Mixed-use</x:v>
      </x:c>
      <x:c r="G1541" t="str">
        <x:v>Steel</x:v>
      </x:c>
      <x:c r="H1541" t="str">
        <x:v>Piles</x:v>
      </x:c>
      <x:c r="I1541" t="str">
        <x:v>Soft Clay</x:v>
      </x:c>
      <x:c r="J1541" t="str">
        <x:v>Low</x:v>
      </x:c>
      <x:c r="K1541" t="n">
        <x:v>73738080</x:v>
      </x:c>
      <x:c r="L1541" t="n">
        <x:v>1337</x:v>
      </x:c>
      <x:c r="M1541" t="n">
        <x:v>226.8</x:v>
      </x:c>
      <x:c r="N1541" t="n">
        <x:v>28.7</x:v>
      </x:c>
      <x:c r="O1541" t="n">
        <x:v>50.6</x:v>
      </x:c>
      <x:c r="P1541" t="str">
        <x:v>Sunny</x:v>
      </x:c>
      <x:c r="Q1541" t="n">
        <x:v>91</x:v>
      </x:c>
      <x:c r="R1541" t="n">
        <x:v>85.5</x:v>
      </x:c>
      <x:c r="S1541" t="n">
        <x:v>0.1025</x:v>
      </x:c>
      <x:c r="T1541" t="n">
        <x:v>19</x:v>
      </x:c>
      <x:c r="U1541" t="n">
        <x:v>1337.1</x:v>
      </x:c>
      <x:c r="V1541" t="n">
        <x:v>2626</x:v>
      </x:c>
      <x:c r="W1541" t="n">
        <x:v>47.6</x:v>
      </x:c>
    </x:row>
    <x:row r="1542">
      <x:c r="A1542" t="str">
        <x:v>PJT_1541</x:v>
      </x:c>
      <x:c r="B1542" t="str">
        <x:v>Continental</x:v>
      </x:c>
      <x:c r="C1542" t="n">
        <x:v>20040</x:v>
      </x:c>
      <x:c r="D1542" t="n">
        <x:v>10</x:v>
      </x:c>
      <x:c r="E1542" t="str">
        <x:v>Medium</x:v>
      </x:c>
      <x:c r="F1542" t="str">
        <x:v>Commercial</x:v>
      </x:c>
      <x:c r="G1542" t="str">
        <x:v>Steel</x:v>
      </x:c>
      <x:c r="H1542" t="str">
        <x:v>Raft</x:v>
      </x:c>
      <x:c r="I1542" t="str">
        <x:v>Rock</x:v>
      </x:c>
      <x:c r="J1542" t="str">
        <x:v>Medium</x:v>
      </x:c>
      <x:c r="K1542" t="n">
        <x:v>48075960</x:v>
      </x:c>
      <x:c r="L1542" t="n">
        <x:v>876</x:v>
      </x:c>
      <x:c r="M1542" t="n">
        <x:v>690.1</x:v>
      </x:c>
      <x:c r="N1542" t="n">
        <x:v>6.5</x:v>
      </x:c>
      <x:c r="O1542" t="n">
        <x:v>70.5</x:v>
      </x:c>
      <x:c r="P1542" t="str">
        <x:v>Rainy</x:v>
      </x:c>
      <x:c r="Q1542" t="n">
        <x:v>106</x:v>
      </x:c>
      <x:c r="R1542" t="n">
        <x:v>76.9</x:v>
      </x:c>
      <x:c r="S1542" t="n">
        <x:v>0.0944</x:v>
      </x:c>
      <x:c r="T1542" t="n">
        <x:v>16.1</x:v>
      </x:c>
      <x:c r="U1542" t="n">
        <x:v>2004</x:v>
      </x:c>
      <x:c r="V1542" t="n">
        <x:v>2399</x:v>
      </x:c>
      <x:c r="W1542" t="n">
        <x:v>43.7</x:v>
      </x:c>
    </x:row>
    <x:row r="1543">
      <x:c r="A1543" t="str">
        <x:v>PJT_1542</x:v>
      </x:c>
      <x:c r="B1543" t="str">
        <x:v>Mediterranean</x:v>
      </x:c>
      <x:c r="C1543" t="n">
        <x:v>4430</x:v>
      </x:c>
      <x:c r="D1543" t="n">
        <x:v>5</x:v>
      </x:c>
      <x:c r="E1543" t="str">
        <x:v>Low</x:v>
      </x:c>
      <x:c r="F1543" t="str">
        <x:v>Residential</x:v>
      </x:c>
      <x:c r="G1543" t="str">
        <x:v>RC Frame</x:v>
      </x:c>
      <x:c r="H1543" t="str">
        <x:v>Raft</x:v>
      </x:c>
      <x:c r="I1543" t="str">
        <x:v>Sand</x:v>
      </x:c>
      <x:c r="J1543" t="str">
        <x:v>Low</x:v>
      </x:c>
      <x:c r="K1543" t="n">
        <x:v>5307140</x:v>
      </x:c>
      <x:c r="L1543" t="n">
        <x:v>180</x:v>
      </x:c>
      <x:c r="M1543" t="n">
        <x:v>256.7</x:v>
      </x:c>
      <x:c r="N1543" t="n">
        <x:v>-0.1</x:v>
      </x:c>
      <x:c r="O1543" t="n">
        <x:v>72.2</x:v>
      </x:c>
      <x:c r="P1543" t="str">
        <x:v>Snowy</x:v>
      </x:c>
      <x:c r="Q1543" t="n">
        <x:v>84</x:v>
      </x:c>
      <x:c r="R1543" t="n">
        <x:v>67.4</x:v>
      </x:c>
      <x:c r="S1543" t="n">
        <x:v>0.0746</x:v>
      </x:c>
      <x:c r="T1543" t="n">
        <x:v>12.9</x:v>
      </x:c>
      <x:c r="U1543" t="n">
        <x:v>886</x:v>
      </x:c>
      <x:c r="V1543" t="n">
        <x:v>1198</x:v>
      </x:c>
      <x:c r="W1543" t="n">
        <x:v>34.2</x:v>
      </x:c>
    </x:row>
    <x:row r="1544">
      <x:c r="A1544" t="str">
        <x:v>PJT_1543</x:v>
      </x:c>
      <x:c r="B1544" t="str">
        <x:v>Marine</x:v>
      </x:c>
      <x:c r="C1544" t="n">
        <x:v>18210</x:v>
      </x:c>
      <x:c r="D1544" t="n">
        <x:v>15</x:v>
      </x:c>
      <x:c r="E1544" t="str">
        <x:v>Medium</x:v>
      </x:c>
      <x:c r="F1544" t="str">
        <x:v>Commercial</x:v>
      </x:c>
      <x:c r="G1544" t="str">
        <x:v>Steel</x:v>
      </x:c>
      <x:c r="H1544" t="str">
        <x:v>Piles</x:v>
      </x:c>
      <x:c r="I1544" t="str">
        <x:v>Mixed</x:v>
      </x:c>
      <x:c r="J1544" t="str">
        <x:v>Low</x:v>
      </x:c>
      <x:c r="K1544" t="n">
        <x:v>41937630</x:v>
      </x:c>
      <x:c r="L1544" t="n">
        <x:v>819</x:v>
      </x:c>
      <x:c r="M1544" t="n">
        <x:v>377.3</x:v>
      </x:c>
      <x:c r="N1544" t="n">
        <x:v>10.6</x:v>
      </x:c>
      <x:c r="O1544" t="n">
        <x:v>62.3</x:v>
      </x:c>
      <x:c r="P1544" t="str">
        <x:v>Sunny</x:v>
      </x:c>
      <x:c r="Q1544" t="n">
        <x:v>75</x:v>
      </x:c>
      <x:c r="R1544" t="n">
        <x:v>83.3</x:v>
      </x:c>
      <x:c r="S1544" t="n">
        <x:v>0.0932</x:v>
      </x:c>
      <x:c r="T1544" t="n">
        <x:v>17.3</x:v>
      </x:c>
      <x:c r="U1544" t="n">
        <x:v>1214</x:v>
      </x:c>
      <x:c r="V1544" t="n">
        <x:v>2303</x:v>
      </x:c>
      <x:c r="W1544" t="n">
        <x:v>45</x:v>
      </x:c>
    </x:row>
    <x:row r="1545">
      <x:c r="A1545" t="str">
        <x:v>PJT_1544</x:v>
      </x:c>
      <x:c r="B1545" t="str">
        <x:v>Humid Subtropical</x:v>
      </x:c>
      <x:c r="C1545" t="n">
        <x:v>18090</x:v>
      </x:c>
      <x:c r="D1545" t="n">
        <x:v>11</x:v>
      </x:c>
      <x:c r="E1545" t="str">
        <x:v>Medium</x:v>
      </x:c>
      <x:c r="F1545" t="str">
        <x:v>Commercial</x:v>
      </x:c>
      <x:c r="G1545" t="str">
        <x:v>RC Frame</x:v>
      </x:c>
      <x:c r="H1545" t="str">
        <x:v>Raft</x:v>
      </x:c>
      <x:c r="I1545" t="str">
        <x:v>Sand</x:v>
      </x:c>
      <x:c r="J1545" t="str">
        <x:v>Low</x:v>
      </x:c>
      <x:c r="K1545" t="n">
        <x:v>38115630</x:v>
      </x:c>
      <x:c r="L1545" t="n">
        <x:v>709</x:v>
      </x:c>
      <x:c r="M1545" t="n">
        <x:v>251.7</x:v>
      </x:c>
      <x:c r="N1545" t="n">
        <x:v>21.1</x:v>
      </x:c>
      <x:c r="O1545" t="n">
        <x:v>73</x:v>
      </x:c>
      <x:c r="P1545" t="str">
        <x:v>Cloudy</x:v>
      </x:c>
      <x:c r="Q1545" t="n">
        <x:v>76</x:v>
      </x:c>
      <x:c r="R1545" t="n">
        <x:v>77.8</x:v>
      </x:c>
      <x:c r="S1545" t="n">
        <x:v>0.0925</x:v>
      </x:c>
      <x:c r="T1545" t="n">
        <x:v>17.2</x:v>
      </x:c>
      <x:c r="U1545" t="n">
        <x:v>1644.5</x:v>
      </x:c>
      <x:c r="V1545" t="n">
        <x:v>2107</x:v>
      </x:c>
      <x:c r="W1545" t="n">
        <x:v>39.2</x:v>
      </x:c>
    </x:row>
    <x:row r="1546">
      <x:c r="A1546" t="str">
        <x:v>PJT_1545</x:v>
      </x:c>
      <x:c r="B1546" t="str">
        <x:v>Continental</x:v>
      </x:c>
      <x:c r="C1546" t="n">
        <x:v>31720</x:v>
      </x:c>
      <x:c r="D1546" t="n">
        <x:v>21</x:v>
      </x:c>
      <x:c r="E1546" t="str">
        <x:v>High</x:v>
      </x:c>
      <x:c r="F1546" t="str">
        <x:v>Commercial</x:v>
      </x:c>
      <x:c r="G1546" t="str">
        <x:v>Steel</x:v>
      </x:c>
      <x:c r="H1546" t="str">
        <x:v>Piles</x:v>
      </x:c>
      <x:c r="I1546" t="str">
        <x:v>Mixed</x:v>
      </x:c>
      <x:c r="J1546" t="str">
        <x:v>High</x:v>
      </x:c>
      <x:c r="K1546" t="n">
        <x:v>86119800</x:v>
      </x:c>
      <x:c r="L1546" t="n">
        <x:v>1646</x:v>
      </x:c>
      <x:c r="M1546" t="n">
        <x:v>283.1</x:v>
      </x:c>
      <x:c r="N1546" t="n">
        <x:v>14</x:v>
      </x:c>
      <x:c r="O1546" t="n">
        <x:v>86.6</x:v>
      </x:c>
      <x:c r="P1546" t="str">
        <x:v>Rainy</x:v>
      </x:c>
      <x:c r="Q1546" t="n">
        <x:v>78</x:v>
      </x:c>
      <x:c r="R1546" t="n">
        <x:v>87.8</x:v>
      </x:c>
      <x:c r="S1546" t="n">
        <x:v>0.103</x:v>
      </x:c>
      <x:c r="T1546" t="n">
        <x:v>18.7</x:v>
      </x:c>
      <x:c r="U1546" t="n">
        <x:v>1510.5</x:v>
      </x:c>
      <x:c r="V1546" t="n">
        <x:v>2715</x:v>
      </x:c>
      <x:c r="W1546" t="n">
        <x:v>51.9</x:v>
      </x:c>
    </x:row>
    <x:row r="1547">
      <x:c r="A1547" t="str">
        <x:v>PJT_1546</x:v>
      </x:c>
      <x:c r="B1547" t="str">
        <x:v>Humid Subtropical</x:v>
      </x:c>
      <x:c r="C1547" t="n">
        <x:v>24080</x:v>
      </x:c>
      <x:c r="D1547" t="n">
        <x:v>18</x:v>
      </x:c>
      <x:c r="E1547" t="str">
        <x:v>Medium</x:v>
      </x:c>
      <x:c r="F1547" t="str">
        <x:v>Mixed-use</x:v>
      </x:c>
      <x:c r="G1547" t="str">
        <x:v>Steel</x:v>
      </x:c>
      <x:c r="H1547" t="str">
        <x:v>Piles</x:v>
      </x:c>
      <x:c r="I1547" t="str">
        <x:v>Soft Clay</x:v>
      </x:c>
      <x:c r="J1547" t="str">
        <x:v>Medium</x:v>
      </x:c>
      <x:c r="K1547" t="n">
        <x:v>68363120</x:v>
      </x:c>
      <x:c r="L1547" t="n">
        <x:v>1146</x:v>
      </x:c>
      <x:c r="M1547" t="n">
        <x:v>213.1</x:v>
      </x:c>
      <x:c r="N1547" t="n">
        <x:v>33.6</x:v>
      </x:c>
      <x:c r="O1547" t="n">
        <x:v>68.8</x:v>
      </x:c>
      <x:c r="P1547" t="str">
        <x:v>Sunny</x:v>
      </x:c>
      <x:c r="Q1547" t="n">
        <x:v>104</x:v>
      </x:c>
      <x:c r="R1547" t="n">
        <x:v>87.4</x:v>
      </x:c>
      <x:c r="S1547" t="n">
        <x:v>0.1025</x:v>
      </x:c>
      <x:c r="T1547" t="n">
        <x:v>19</x:v>
      </x:c>
      <x:c r="U1547" t="n">
        <x:v>1337.8</x:v>
      </x:c>
      <x:c r="V1547" t="n">
        <x:v>2839</x:v>
      </x:c>
      <x:c r="W1547" t="n">
        <x:v>47.6</x:v>
      </x:c>
    </x:row>
    <x:row r="1548">
      <x:c r="A1548" t="str">
        <x:v>PJT_1547</x:v>
      </x:c>
      <x:c r="B1548" t="str">
        <x:v>Humid Subtropical</x:v>
      </x:c>
      <x:c r="C1548" t="n">
        <x:v>21620</x:v>
      </x:c>
      <x:c r="D1548" t="n">
        <x:v>17</x:v>
      </x:c>
      <x:c r="E1548" t="str">
        <x:v>High</x:v>
      </x:c>
      <x:c r="F1548" t="str">
        <x:v>Mixed-use</x:v>
      </x:c>
      <x:c r="G1548" t="str">
        <x:v>Steel</x:v>
      </x:c>
      <x:c r="H1548" t="str">
        <x:v>Piles</x:v>
      </x:c>
      <x:c r="I1548" t="str">
        <x:v>Sand</x:v>
      </x:c>
      <x:c r="J1548" t="str">
        <x:v>High</x:v>
      </x:c>
      <x:c r="K1548" t="n">
        <x:v>66243680</x:v>
      </x:c>
      <x:c r="L1548" t="n">
        <x:v>1254</x:v>
      </x:c>
      <x:c r="M1548" t="n">
        <x:v>241.2</x:v>
      </x:c>
      <x:c r="N1548" t="n">
        <x:v>28.9</x:v>
      </x:c>
      <x:c r="O1548" t="n">
        <x:v>83.1</x:v>
      </x:c>
      <x:c r="P1548" t="str">
        <x:v>Stormy</x:v>
      </x:c>
      <x:c r="Q1548" t="n">
        <x:v>90</x:v>
      </x:c>
      <x:c r="R1548" t="n">
        <x:v>89.7</x:v>
      </x:c>
      <x:c r="S1548" t="n">
        <x:v>0.1078</x:v>
      </x:c>
      <x:c r="T1548" t="n">
        <x:v>19.6</x:v>
      </x:c>
      <x:c r="U1548" t="n">
        <x:v>1271.8</x:v>
      </x:c>
      <x:c r="V1548" t="n">
        <x:v>3064</x:v>
      </x:c>
      <x:c r="W1548" t="n">
        <x:v>58</x:v>
      </x:c>
    </x:row>
    <x:row r="1549">
      <x:c r="A1549" t="str">
        <x:v>PJT_1548</x:v>
      </x:c>
      <x:c r="B1549" t="str">
        <x:v>Marine</x:v>
      </x:c>
      <x:c r="C1549" t="n">
        <x:v>20760</x:v>
      </x:c>
      <x:c r="D1549" t="n">
        <x:v>13</x:v>
      </x:c>
      <x:c r="E1549" t="str">
        <x:v>Medium</x:v>
      </x:c>
      <x:c r="F1549" t="str">
        <x:v>Mixed-use</x:v>
      </x:c>
      <x:c r="G1549" t="str">
        <x:v>Steel</x:v>
      </x:c>
      <x:c r="H1549" t="str">
        <x:v>Raft</x:v>
      </x:c>
      <x:c r="I1549" t="str">
        <x:v>Rock</x:v>
      </x:c>
      <x:c r="J1549" t="str">
        <x:v>Low</x:v>
      </x:c>
      <x:c r="K1549" t="n">
        <x:v>50156160</x:v>
      </x:c>
      <x:c r="L1549" t="n">
        <x:v>1011</x:v>
      </x:c>
      <x:c r="M1549" t="n">
        <x:v>755.2</x:v>
      </x:c>
      <x:c r="N1549" t="n">
        <x:v>17.5</x:v>
      </x:c>
      <x:c r="O1549" t="n">
        <x:v>73.8</x:v>
      </x:c>
      <x:c r="P1549" t="str">
        <x:v>Cloudy</x:v>
      </x:c>
      <x:c r="Q1549" t="n">
        <x:v>87</x:v>
      </x:c>
      <x:c r="R1549" t="n">
        <x:v>76.9</x:v>
      </x:c>
      <x:c r="S1549" t="n">
        <x:v>0.1058</x:v>
      </x:c>
      <x:c r="T1549" t="n">
        <x:v>17.8</x:v>
      </x:c>
      <x:c r="U1549" t="n">
        <x:v>1596.9</x:v>
      </x:c>
      <x:c r="V1549" t="n">
        <x:v>2416</x:v>
      </x:c>
      <x:c r="W1549" t="n">
        <x:v>48.7</x:v>
      </x:c>
    </x:row>
    <x:row r="1550">
      <x:c r="A1550" t="str">
        <x:v>PJT_1549</x:v>
      </x:c>
      <x:c r="B1550" t="str">
        <x:v>Humid Subtropical</x:v>
      </x:c>
      <x:c r="C1550" t="n">
        <x:v>20900</x:v>
      </x:c>
      <x:c r="D1550" t="n">
        <x:v>22</x:v>
      </x:c>
      <x:c r="E1550" t="str">
        <x:v>Medium</x:v>
      </x:c>
      <x:c r="F1550" t="str">
        <x:v>Residential</x:v>
      </x:c>
      <x:c r="G1550" t="str">
        <x:v>Shear Wall</x:v>
      </x:c>
      <x:c r="H1550" t="str">
        <x:v>Piles</x:v>
      </x:c>
      <x:c r="I1550" t="str">
        <x:v>Mixed</x:v>
      </x:c>
      <x:c r="J1550" t="str">
        <x:v>Medium</x:v>
      </x:c>
      <x:c r="K1550" t="n">
        <x:v>37118400</x:v>
      </x:c>
      <x:c r="L1550" t="n">
        <x:v>842</x:v>
      </x:c>
      <x:c r="M1550" t="n">
        <x:v>328.5</x:v>
      </x:c>
      <x:c r="N1550" t="n">
        <x:v>29.7</x:v>
      </x:c>
      <x:c r="O1550" t="n">
        <x:v>65.1</x:v>
      </x:c>
      <x:c r="P1550" t="str">
        <x:v>Cloudy</x:v>
      </x:c>
      <x:c r="Q1550" t="n">
        <x:v>73</x:v>
      </x:c>
      <x:c r="R1550" t="n">
        <x:v>78.7</x:v>
      </x:c>
      <x:c r="S1550" t="n">
        <x:v>0.0838</x:v>
      </x:c>
      <x:c r="T1550" t="n">
        <x:v>13.3</x:v>
      </x:c>
      <x:c r="U1550" t="n">
        <x:v>950</x:v>
      </x:c>
      <x:c r="V1550" t="n">
        <x:v>1776</x:v>
      </x:c>
      <x:c r="W1550" t="n">
        <x:v>40.3</x:v>
      </x:c>
    </x:row>
    <x:row r="1551">
      <x:c r="A1551" t="str">
        <x:v>PJT_1550</x:v>
      </x:c>
      <x:c r="B1551" t="str">
        <x:v>Humid Subtropical</x:v>
      </x:c>
      <x:c r="C1551" t="n">
        <x:v>19140</x:v>
      </x:c>
      <x:c r="D1551" t="n">
        <x:v>12</x:v>
      </x:c>
      <x:c r="E1551" t="str">
        <x:v>Medium</x:v>
      </x:c>
      <x:c r="F1551" t="str">
        <x:v>Commercial</x:v>
      </x:c>
      <x:c r="G1551" t="str">
        <x:v>Steel</x:v>
      </x:c>
      <x:c r="H1551" t="str">
        <x:v>Raft</x:v>
      </x:c>
      <x:c r="I1551" t="str">
        <x:v>Rock</x:v>
      </x:c>
      <x:c r="J1551" t="str">
        <x:v>High</x:v>
      </x:c>
      <x:c r="K1551" t="n">
        <x:v>48902700</x:v>
      </x:c>
      <x:c r="L1551" t="n">
        <x:v>836</x:v>
      </x:c>
      <x:c r="M1551" t="n">
        <x:v>642</x:v>
      </x:c>
      <x:c r="N1551" t="n">
        <x:v>18.8</x:v>
      </x:c>
      <x:c r="O1551" t="n">
        <x:v>91.6</x:v>
      </x:c>
      <x:c r="P1551" t="str">
        <x:v>Rainy</x:v>
      </x:c>
      <x:c r="Q1551" t="n">
        <x:v>110</x:v>
      </x:c>
      <x:c r="R1551" t="n">
        <x:v>74.2</x:v>
      </x:c>
      <x:c r="S1551" t="n">
        <x:v>0.0976</x:v>
      </x:c>
      <x:c r="T1551" t="n">
        <x:v>18</x:v>
      </x:c>
      <x:c r="U1551" t="n">
        <x:v>1595</x:v>
      </x:c>
      <x:c r="V1551" t="n">
        <x:v>2555</x:v>
      </x:c>
      <x:c r="W1551" t="n">
        <x:v>43.7</x:v>
      </x:c>
    </x:row>
    <x:row r="1552">
      <x:c r="A1552" t="str">
        <x:v>PJT_1551</x:v>
      </x:c>
      <x:c r="B1552" t="str">
        <x:v>Humid Subtropical</x:v>
      </x:c>
      <x:c r="C1552" t="n">
        <x:v>14650</x:v>
      </x:c>
      <x:c r="D1552" t="n">
        <x:v>10</x:v>
      </x:c>
      <x:c r="E1552" t="str">
        <x:v>Medium</x:v>
      </x:c>
      <x:c r="F1552" t="str">
        <x:v>Commercial</x:v>
      </x:c>
      <x:c r="G1552" t="str">
        <x:v>Steel</x:v>
      </x:c>
      <x:c r="H1552" t="str">
        <x:v>Raft</x:v>
      </x:c>
      <x:c r="I1552" t="str">
        <x:v>Sand</x:v>
      </x:c>
      <x:c r="J1552" t="str">
        <x:v>High</x:v>
      </x:c>
      <x:c r="K1552" t="n">
        <x:v>35511600</x:v>
      </x:c>
      <x:c r="L1552" t="n">
        <x:v>684</x:v>
      </x:c>
      <x:c r="M1552" t="n">
        <x:v>312.5</x:v>
      </x:c>
      <x:c r="N1552" t="n">
        <x:v>23.4</x:v>
      </x:c>
      <x:c r="O1552" t="n">
        <x:v>75.7</x:v>
      </x:c>
      <x:c r="P1552" t="str">
        <x:v>Rainy</x:v>
      </x:c>
      <x:c r="Q1552" t="n">
        <x:v>103</x:v>
      </x:c>
      <x:c r="R1552" t="n">
        <x:v>80.1</x:v>
      </x:c>
      <x:c r="S1552" t="n">
        <x:v>0.0956</x:v>
      </x:c>
      <x:c r="T1552" t="n">
        <x:v>16.3</x:v>
      </x:c>
      <x:c r="U1552" t="n">
        <x:v>1465</x:v>
      </x:c>
      <x:c r="V1552" t="n">
        <x:v>2424</x:v>
      </x:c>
      <x:c r="W1552" t="n">
        <x:v>46.7</x:v>
      </x:c>
    </x:row>
    <x:row r="1553">
      <x:c r="A1553" t="str">
        <x:v>PJT_1552</x:v>
      </x:c>
      <x:c r="B1553" t="str">
        <x:v>Humid Subtropical</x:v>
      </x:c>
      <x:c r="C1553" t="n">
        <x:v>8060</x:v>
      </x:c>
      <x:c r="D1553" t="n">
        <x:v>4</x:v>
      </x:c>
      <x:c r="E1553" t="str">
        <x:v>Low</x:v>
      </x:c>
      <x:c r="F1553" t="str">
        <x:v>School</x:v>
      </x:c>
      <x:c r="G1553" t="str">
        <x:v>RC Frame</x:v>
      </x:c>
      <x:c r="H1553" t="str">
        <x:v>Raft</x:v>
      </x:c>
      <x:c r="I1553" t="str">
        <x:v>Mixed</x:v>
      </x:c>
      <x:c r="J1553" t="str">
        <x:v>Medium</x:v>
      </x:c>
      <x:c r="K1553" t="n">
        <x:v>14040520</x:v>
      </x:c>
      <x:c r="L1553" t="n">
        <x:v>213</x:v>
      </x:c>
      <x:c r="M1553" t="n">
        <x:v>299.4</x:v>
      </x:c>
      <x:c r="N1553" t="n">
        <x:v>33.2</x:v>
      </x:c>
      <x:c r="O1553" t="n">
        <x:v>59.8</x:v>
      </x:c>
      <x:c r="P1553" t="str">
        <x:v>Sunny</x:v>
      </x:c>
      <x:c r="Q1553" t="n">
        <x:v>62</x:v>
      </x:c>
      <x:c r="R1553" t="n">
        <x:v>65.3</x:v>
      </x:c>
      <x:c r="S1553" t="n">
        <x:v>0.0772</x:v>
      </x:c>
      <x:c r="T1553" t="n">
        <x:v>13.9</x:v>
      </x:c>
      <x:c r="U1553" t="n">
        <x:v>2015</x:v>
      </x:c>
      <x:c r="V1553" t="n">
        <x:v>1742</x:v>
      </x:c>
      <x:c r="W1553" t="n">
        <x:v>26.4</x:v>
      </x:c>
    </x:row>
    <x:row r="1554">
      <x:c r="A1554" t="str">
        <x:v>PJT_1553</x:v>
      </x:c>
      <x:c r="B1554" t="str">
        <x:v>Humid Subtropical</x:v>
      </x:c>
      <x:c r="C1554" t="n">
        <x:v>15930</x:v>
      </x:c>
      <x:c r="D1554" t="n">
        <x:v>5</x:v>
      </x:c>
      <x:c r="E1554" t="str">
        <x:v>Low</x:v>
      </x:c>
      <x:c r="F1554" t="str">
        <x:v>School</x:v>
      </x:c>
      <x:c r="G1554" t="str">
        <x:v>RC Frame</x:v>
      </x:c>
      <x:c r="H1554" t="str">
        <x:v>Raft</x:v>
      </x:c>
      <x:c r="I1554" t="str">
        <x:v>Mixed</x:v>
      </x:c>
      <x:c r="J1554" t="str">
        <x:v>Low</x:v>
      </x:c>
      <x:c r="K1554" t="n">
        <x:v>25089750</x:v>
      </x:c>
      <x:c r="L1554" t="n">
        <x:v>483</x:v>
      </x:c>
      <x:c r="M1554" t="n">
        <x:v>360</x:v>
      </x:c>
      <x:c r="N1554" t="n">
        <x:v>22</x:v>
      </x:c>
      <x:c r="O1554" t="n">
        <x:v>66.4</x:v>
      </x:c>
      <x:c r="P1554" t="str">
        <x:v>Cloudy</x:v>
      </x:c>
      <x:c r="Q1554" t="n">
        <x:v>84</x:v>
      </x:c>
      <x:c r="R1554" t="n">
        <x:v>63.3</x:v>
      </x:c>
      <x:c r="S1554" t="n">
        <x:v>0.0772</x:v>
      </x:c>
      <x:c r="T1554" t="n">
        <x:v>13</x:v>
      </x:c>
      <x:c r="U1554" t="n">
        <x:v>3186</x:v>
      </x:c>
      <x:c r="V1554" t="n">
        <x:v>1575</x:v>
      </x:c>
      <x:c r="W1554" t="n">
        <x:v>30.3</x:v>
      </x:c>
    </x:row>
    <x:row r="1555">
      <x:c r="A1555" t="str">
        <x:v>PJT_1554</x:v>
      </x:c>
      <x:c r="B1555" t="str">
        <x:v>Marine</x:v>
      </x:c>
      <x:c r="C1555" t="n">
        <x:v>10350</x:v>
      </x:c>
      <x:c r="D1555" t="n">
        <x:v>11</x:v>
      </x:c>
      <x:c r="E1555" t="str">
        <x:v>Low</x:v>
      </x:c>
      <x:c r="F1555" t="str">
        <x:v>Residential</x:v>
      </x:c>
      <x:c r="G1555" t="str">
        <x:v>RC Frame</x:v>
      </x:c>
      <x:c r="H1555" t="str">
        <x:v>Piles</x:v>
      </x:c>
      <x:c r="I1555" t="str">
        <x:v>Soft Clay</x:v>
      </x:c>
      <x:c r="J1555" t="str">
        <x:v>Low</x:v>
      </x:c>
      <x:c r="K1555" t="n">
        <x:v>15100650</x:v>
      </x:c>
      <x:c r="L1555" t="n">
        <x:v>369</x:v>
      </x:c>
      <x:c r="M1555" t="n">
        <x:v>195.2</x:v>
      </x:c>
      <x:c r="N1555" t="n">
        <x:v>18</x:v>
      </x:c>
      <x:c r="O1555" t="n">
        <x:v>65</x:v>
      </x:c>
      <x:c r="P1555" t="str">
        <x:v>Cloudy</x:v>
      </x:c>
      <x:c r="Q1555" t="n">
        <x:v>61</x:v>
      </x:c>
      <x:c r="R1555" t="n">
        <x:v>66.2</x:v>
      </x:c>
      <x:c r="S1555" t="n">
        <x:v>0.0767</x:v>
      </x:c>
      <x:c r="T1555" t="n">
        <x:v>11.8</x:v>
      </x:c>
      <x:c r="U1555" t="n">
        <x:v>940.9</x:v>
      </x:c>
      <x:c r="V1555" t="n">
        <x:v>1459</x:v>
      </x:c>
      <x:c r="W1555" t="n">
        <x:v>35.7</x:v>
      </x:c>
    </x:row>
    <x:row r="1556">
      <x:c r="A1556" t="str">
        <x:v>PJT_1555</x:v>
      </x:c>
      <x:c r="B1556" t="str">
        <x:v>Marine</x:v>
      </x:c>
      <x:c r="C1556" t="n">
        <x:v>15610</x:v>
      </x:c>
      <x:c r="D1556" t="n">
        <x:v>11</x:v>
      </x:c>
      <x:c r="E1556" t="str">
        <x:v>Medium</x:v>
      </x:c>
      <x:c r="F1556" t="str">
        <x:v>Commercial</x:v>
      </x:c>
      <x:c r="G1556" t="str">
        <x:v>RC Frame</x:v>
      </x:c>
      <x:c r="H1556" t="str">
        <x:v>Piles</x:v>
      </x:c>
      <x:c r="I1556" t="str">
        <x:v>Soft Clay</x:v>
      </x:c>
      <x:c r="J1556" t="str">
        <x:v>Low</x:v>
      </x:c>
      <x:c r="K1556" t="n">
        <x:v>35013230</x:v>
      </x:c>
      <x:c r="L1556" t="n">
        <x:v>699</x:v>
      </x:c>
      <x:c r="M1556" t="n">
        <x:v>161.3</x:v>
      </x:c>
      <x:c r="N1556" t="n">
        <x:v>10.7</x:v>
      </x:c>
      <x:c r="O1556" t="n">
        <x:v>71.9</x:v>
      </x:c>
      <x:c r="P1556" t="str">
        <x:v>Cloudy</x:v>
      </x:c>
      <x:c r="Q1556" t="n">
        <x:v>90</x:v>
      </x:c>
      <x:c r="R1556" t="n">
        <x:v>80.7</x:v>
      </x:c>
      <x:c r="S1556" t="n">
        <x:v>0.088</x:v>
      </x:c>
      <x:c r="T1556" t="n">
        <x:v>16</x:v>
      </x:c>
      <x:c r="U1556" t="n">
        <x:v>1419.1</x:v>
      </x:c>
      <x:c r="V1556" t="n">
        <x:v>2243</x:v>
      </x:c>
      <x:c r="W1556" t="n">
        <x:v>44.8</x:v>
      </x:c>
    </x:row>
    <x:row r="1557">
      <x:c r="A1557" t="str">
        <x:v>PJT_1556</x:v>
      </x:c>
      <x:c r="B1557" t="str">
        <x:v>Marine</x:v>
      </x:c>
      <x:c r="C1557" t="n">
        <x:v>13540</x:v>
      </x:c>
      <x:c r="D1557" t="n">
        <x:v>8</x:v>
      </x:c>
      <x:c r="E1557" t="str">
        <x:v>Medium</x:v>
      </x:c>
      <x:c r="F1557" t="str">
        <x:v>Commercial</x:v>
      </x:c>
      <x:c r="G1557" t="str">
        <x:v>RC Frame</x:v>
      </x:c>
      <x:c r="H1557" t="str">
        <x:v>Raft</x:v>
      </x:c>
      <x:c r="I1557" t="str">
        <x:v>Rock</x:v>
      </x:c>
      <x:c r="J1557" t="str">
        <x:v>Low</x:v>
      </x:c>
      <x:c r="K1557" t="n">
        <x:v>28515240</x:v>
      </x:c>
      <x:c r="L1557" t="n">
        <x:v>590</x:v>
      </x:c>
      <x:c r="M1557" t="n">
        <x:v>605</x:v>
      </x:c>
      <x:c r="N1557" t="n">
        <x:v>13.7</x:v>
      </x:c>
      <x:c r="O1557" t="n">
        <x:v>80</x:v>
      </x:c>
      <x:c r="P1557" t="str">
        <x:v>Rainy</x:v>
      </x:c>
      <x:c r="Q1557" t="n">
        <x:v>74</x:v>
      </x:c>
      <x:c r="R1557" t="n">
        <x:v>75.7</x:v>
      </x:c>
      <x:c r="S1557" t="n">
        <x:v>0.0885</x:v>
      </x:c>
      <x:c r="T1557" t="n">
        <x:v>16.6</x:v>
      </x:c>
      <x:c r="U1557" t="n">
        <x:v>1692.5</x:v>
      </x:c>
      <x:c r="V1557" t="n">
        <x:v>2106</x:v>
      </x:c>
      <x:c r="W1557" t="n">
        <x:v>43.6</x:v>
      </x:c>
    </x:row>
    <x:row r="1558">
      <x:c r="A1558" t="str">
        <x:v>PJT_1557</x:v>
      </x:c>
      <x:c r="B1558" t="str">
        <x:v>Humid Subtropical</x:v>
      </x:c>
      <x:c r="C1558" t="n">
        <x:v>19150</x:v>
      </x:c>
      <x:c r="D1558" t="n">
        <x:v>9</x:v>
      </x:c>
      <x:c r="E1558" t="str">
        <x:v>Medium</x:v>
      </x:c>
      <x:c r="F1558" t="str">
        <x:v>Hospital</x:v>
      </x:c>
      <x:c r="G1558" t="str">
        <x:v>Shear Wall</x:v>
      </x:c>
      <x:c r="H1558" t="str">
        <x:v>Piles</x:v>
      </x:c>
      <x:c r="I1558" t="str">
        <x:v>Soft Clay</x:v>
      </x:c>
      <x:c r="J1558" t="str">
        <x:v>High</x:v>
      </x:c>
      <x:c r="K1558" t="n">
        <x:v>61797050</x:v>
      </x:c>
      <x:c r="L1558" t="n">
        <x:v>1025</x:v>
      </x:c>
      <x:c r="M1558" t="n">
        <x:v>198.8</x:v>
      </x:c>
      <x:c r="N1558" t="n">
        <x:v>27.6</x:v>
      </x:c>
      <x:c r="O1558" t="n">
        <x:v>93.6</x:v>
      </x:c>
      <x:c r="P1558" t="str">
        <x:v>Stormy</x:v>
      </x:c>
      <x:c r="Q1558" t="n">
        <x:v>114</x:v>
      </x:c>
      <x:c r="R1558" t="n">
        <x:v>84.2</x:v>
      </x:c>
      <x:c r="S1558" t="n">
        <x:v>0.1124</x:v>
      </x:c>
      <x:c r="T1558" t="n">
        <x:v>21.9</x:v>
      </x:c>
      <x:c r="U1558" t="n">
        <x:v>2127.8</x:v>
      </x:c>
      <x:c r="V1558" t="n">
        <x:v>3227</x:v>
      </x:c>
      <x:c r="W1558" t="n">
        <x:v>53.5</x:v>
      </x:c>
    </x:row>
    <x:row r="1559">
      <x:c r="A1559" t="str">
        <x:v>PJT_1558</x:v>
      </x:c>
      <x:c r="B1559" t="str">
        <x:v>Continental</x:v>
      </x:c>
      <x:c r="C1559" t="n">
        <x:v>9780</x:v>
      </x:c>
      <x:c r="D1559" t="n">
        <x:v>3</x:v>
      </x:c>
      <x:c r="E1559" t="str">
        <x:v>Medium</x:v>
      </x:c>
      <x:c r="F1559" t="str">
        <x:v>School</x:v>
      </x:c>
      <x:c r="G1559" t="str">
        <x:v>Steel</x:v>
      </x:c>
      <x:c r="H1559" t="str">
        <x:v>Raft</x:v>
      </x:c>
      <x:c r="I1559" t="str">
        <x:v>Mixed</x:v>
      </x:c>
      <x:c r="J1559" t="str">
        <x:v>High</x:v>
      </x:c>
      <x:c r="K1559" t="n">
        <x:v>18777600</x:v>
      </x:c>
      <x:c r="L1559" t="n">
        <x:v>365</x:v>
      </x:c>
      <x:c r="M1559" t="n">
        <x:v>336.2</x:v>
      </x:c>
      <x:c r="N1559" t="n">
        <x:v>8.6</x:v>
      </x:c>
      <x:c r="O1559" t="n">
        <x:v>66.3</x:v>
      </x:c>
      <x:c r="P1559" t="str">
        <x:v>Rainy</x:v>
      </x:c>
      <x:c r="Q1559" t="n">
        <x:v>86</x:v>
      </x:c>
      <x:c r="R1559" t="n">
        <x:v>65.4</x:v>
      </x:c>
      <x:c r="S1559" t="n">
        <x:v>0.0906</x:v>
      </x:c>
      <x:c r="T1559" t="n">
        <x:v>14.3</x:v>
      </x:c>
      <x:c r="U1559" t="n">
        <x:v>3260</x:v>
      </x:c>
      <x:c r="V1559" t="n">
        <x:v>1920</x:v>
      </x:c>
      <x:c r="W1559" t="n">
        <x:v>37.3</x:v>
      </x:c>
    </x:row>
    <x:row r="1560">
      <x:c r="A1560" t="str">
        <x:v>PJT_1559</x:v>
      </x:c>
      <x:c r="B1560" t="str">
        <x:v>Continental</x:v>
      </x:c>
      <x:c r="C1560" t="n">
        <x:v>29690</x:v>
      </x:c>
      <x:c r="D1560" t="n">
        <x:v>17</x:v>
      </x:c>
      <x:c r="E1560" t="str">
        <x:v>Medium</x:v>
      </x:c>
      <x:c r="F1560" t="str">
        <x:v>Mixed-use</x:v>
      </x:c>
      <x:c r="G1560" t="str">
        <x:v>Steel</x:v>
      </x:c>
      <x:c r="H1560" t="str">
        <x:v>Piles</x:v>
      </x:c>
      <x:c r="I1560" t="str">
        <x:v>Sand</x:v>
      </x:c>
      <x:c r="J1560" t="str">
        <x:v>Low</x:v>
      </x:c>
      <x:c r="K1560" t="n">
        <x:v>78886330</x:v>
      </x:c>
      <x:c r="L1560" t="n">
        <x:v>1541</x:v>
      </x:c>
      <x:c r="M1560" t="n">
        <x:v>351.2</x:v>
      </x:c>
      <x:c r="N1560" t="n">
        <x:v>10.1</x:v>
      </x:c>
      <x:c r="O1560" t="n">
        <x:v>74.9</x:v>
      </x:c>
      <x:c r="P1560" t="str">
        <x:v>Rainy</x:v>
      </x:c>
      <x:c r="Q1560" t="n">
        <x:v>91</x:v>
      </x:c>
      <x:c r="R1560" t="n">
        <x:v>77.8</x:v>
      </x:c>
      <x:c r="S1560" t="n">
        <x:v>0.1017</x:v>
      </x:c>
      <x:c r="T1560" t="n">
        <x:v>18.4</x:v>
      </x:c>
      <x:c r="U1560" t="n">
        <x:v>1746.5</x:v>
      </x:c>
      <x:c r="V1560" t="n">
        <x:v>2657</x:v>
      </x:c>
      <x:c r="W1560" t="n">
        <x:v>51.9</x:v>
      </x:c>
    </x:row>
    <x:row r="1561">
      <x:c r="A1561" t="str">
        <x:v>PJT_1560</x:v>
      </x:c>
      <x:c r="B1561" t="str">
        <x:v>Mediterranean</x:v>
      </x:c>
      <x:c r="C1561" t="n">
        <x:v>20180</x:v>
      </x:c>
      <x:c r="D1561" t="n">
        <x:v>17</x:v>
      </x:c>
      <x:c r="E1561" t="str">
        <x:v>Medium</x:v>
      </x:c>
      <x:c r="F1561" t="str">
        <x:v>Mixed-use</x:v>
      </x:c>
      <x:c r="G1561" t="str">
        <x:v>Steel</x:v>
      </x:c>
      <x:c r="H1561" t="str">
        <x:v>Raft</x:v>
      </x:c>
      <x:c r="I1561" t="str">
        <x:v>Rock</x:v>
      </x:c>
      <x:c r="J1561" t="str">
        <x:v>Low</x:v>
      </x:c>
      <x:c r="K1561" t="n">
        <x:v>53719160</x:v>
      </x:c>
      <x:c r="L1561" t="n">
        <x:v>957</x:v>
      </x:c>
      <x:c r="M1561" t="n">
        <x:v>597.9</x:v>
      </x:c>
      <x:c r="N1561" t="n">
        <x:v>25.3</x:v>
      </x:c>
      <x:c r="O1561" t="n">
        <x:v>57.1</x:v>
      </x:c>
      <x:c r="P1561" t="str">
        <x:v>Sunny</x:v>
      </x:c>
      <x:c r="Q1561" t="n">
        <x:v>71</x:v>
      </x:c>
      <x:c r="R1561" t="n">
        <x:v>79.8</x:v>
      </x:c>
      <x:c r="S1561" t="n">
        <x:v>0.0995</x:v>
      </x:c>
      <x:c r="T1561" t="n">
        <x:v>19.3</x:v>
      </x:c>
      <x:c r="U1561" t="n">
        <x:v>1187.1</x:v>
      </x:c>
      <x:c r="V1561" t="n">
        <x:v>2662</x:v>
      </x:c>
      <x:c r="W1561" t="n">
        <x:v>47.4</x:v>
      </x:c>
    </x:row>
    <x:row r="1562">
      <x:c r="A1562" t="str">
        <x:v>PJT_1561</x:v>
      </x:c>
      <x:c r="B1562" t="str">
        <x:v>Humid Subtropical</x:v>
      </x:c>
      <x:c r="C1562" t="n">
        <x:v>17130</x:v>
      </x:c>
      <x:c r="D1562" t="n">
        <x:v>12</x:v>
      </x:c>
      <x:c r="E1562" t="str">
        <x:v>Medium</x:v>
      </x:c>
      <x:c r="F1562" t="str">
        <x:v>Commercial</x:v>
      </x:c>
      <x:c r="G1562" t="str">
        <x:v>RC Frame</x:v>
      </x:c>
      <x:c r="H1562" t="str">
        <x:v>Piles</x:v>
      </x:c>
      <x:c r="I1562" t="str">
        <x:v>Sand</x:v>
      </x:c>
      <x:c r="J1562" t="str">
        <x:v>High</x:v>
      </x:c>
      <x:c r="K1562" t="n">
        <x:v>41249040</x:v>
      </x:c>
      <x:c r="L1562" t="n">
        <x:v>716</x:v>
      </x:c>
      <x:c r="M1562" t="n">
        <x:v>270.6</x:v>
      </x:c>
      <x:c r="N1562" t="n">
        <x:v>27.1</x:v>
      </x:c>
      <x:c r="O1562" t="n">
        <x:v>55.4</x:v>
      </x:c>
      <x:c r="P1562" t="str">
        <x:v>Sunny</x:v>
      </x:c>
      <x:c r="Q1562" t="n">
        <x:v>79</x:v>
      </x:c>
      <x:c r="R1562" t="n">
        <x:v>72.7</x:v>
      </x:c>
      <x:c r="S1562" t="n">
        <x:v>0.0907</x:v>
      </x:c>
      <x:c r="T1562" t="n">
        <x:v>15.5</x:v>
      </x:c>
      <x:c r="U1562" t="n">
        <x:v>1427.5</x:v>
      </x:c>
      <x:c r="V1562" t="n">
        <x:v>2408</x:v>
      </x:c>
      <x:c r="W1562" t="n">
        <x:v>41.8</x:v>
      </x:c>
    </x:row>
    <x:row r="1563">
      <x:c r="A1563" t="str">
        <x:v>PJT_1562</x:v>
      </x:c>
      <x:c r="B1563" t="str">
        <x:v>Continental</x:v>
      </x:c>
      <x:c r="C1563" t="n">
        <x:v>22410</x:v>
      </x:c>
      <x:c r="D1563" t="n">
        <x:v>21</x:v>
      </x:c>
      <x:c r="E1563" t="str">
        <x:v>Medium</x:v>
      </x:c>
      <x:c r="F1563" t="str">
        <x:v>Residential</x:v>
      </x:c>
      <x:c r="G1563" t="str">
        <x:v>RC Frame</x:v>
      </x:c>
      <x:c r="H1563" t="str">
        <x:v>Piles</x:v>
      </x:c>
      <x:c r="I1563" t="str">
        <x:v>Mixed</x:v>
      </x:c>
      <x:c r="J1563" t="str">
        <x:v>Low</x:v>
      </x:c>
      <x:c r="K1563" t="n">
        <x:v>34220070</x:v>
      </x:c>
      <x:c r="L1563" t="n">
        <x:v>887</x:v>
      </x:c>
      <x:c r="M1563" t="n">
        <x:v>333.6</x:v>
      </x:c>
      <x:c r="N1563" t="n">
        <x:v>14.1</x:v>
      </x:c>
      <x:c r="O1563" t="n">
        <x:v>83</x:v>
      </x:c>
      <x:c r="P1563" t="str">
        <x:v>Rainy</x:v>
      </x:c>
      <x:c r="Q1563" t="n">
        <x:v>73</x:v>
      </x:c>
      <x:c r="R1563" t="n">
        <x:v>71</x:v>
      </x:c>
      <x:c r="S1563" t="n">
        <x:v>0.0758</x:v>
      </x:c>
      <x:c r="T1563" t="n">
        <x:v>12.3</x:v>
      </x:c>
      <x:c r="U1563" t="n">
        <x:v>1067.1</x:v>
      </x:c>
      <x:c r="V1563" t="n">
        <x:v>1527</x:v>
      </x:c>
      <x:c r="W1563" t="n">
        <x:v>39.6</x:v>
      </x:c>
    </x:row>
    <x:row r="1564">
      <x:c r="A1564" t="str">
        <x:v>PJT_1563</x:v>
      </x:c>
      <x:c r="B1564" t="str">
        <x:v>Mediterranean</x:v>
      </x:c>
      <x:c r="C1564" t="n">
        <x:v>10480</x:v>
      </x:c>
      <x:c r="D1564" t="n">
        <x:v>14</x:v>
      </x:c>
      <x:c r="E1564" t="str">
        <x:v>Low</x:v>
      </x:c>
      <x:c r="F1564" t="str">
        <x:v>Residential</x:v>
      </x:c>
      <x:c r="G1564" t="str">
        <x:v>Shear Wall</x:v>
      </x:c>
      <x:c r="H1564" t="str">
        <x:v>Piles</x:v>
      </x:c>
      <x:c r="I1564" t="str">
        <x:v>Sand</x:v>
      </x:c>
      <x:c r="J1564" t="str">
        <x:v>High</x:v>
      </x:c>
      <x:c r="K1564" t="n">
        <x:v>17030000</x:v>
      </x:c>
      <x:c r="L1564" t="n">
        <x:v>402</x:v>
      </x:c>
      <x:c r="M1564" t="n">
        <x:v>341.3</x:v>
      </x:c>
      <x:c r="N1564" t="n">
        <x:v>11.8</x:v>
      </x:c>
      <x:c r="O1564" t="n">
        <x:v>82.9</x:v>
      </x:c>
      <x:c r="P1564" t="str">
        <x:v>Stormy</x:v>
      </x:c>
      <x:c r="Q1564" t="n">
        <x:v>92</x:v>
      </x:c>
      <x:c r="R1564" t="n">
        <x:v>65.2</x:v>
      </x:c>
      <x:c r="S1564" t="n">
        <x:v>0.0762</x:v>
      </x:c>
      <x:c r="T1564" t="n">
        <x:v>11.6</x:v>
      </x:c>
      <x:c r="U1564" t="n">
        <x:v>748.6</x:v>
      </x:c>
      <x:c r="V1564" t="n">
        <x:v>1625</x:v>
      </x:c>
      <x:c r="W1564" t="n">
        <x:v>38.4</x:v>
      </x:c>
    </x:row>
    <x:row r="1565">
      <x:c r="A1565" t="str">
        <x:v>PJT_1564</x:v>
      </x:c>
      <x:c r="B1565" t="str">
        <x:v>Continental</x:v>
      </x:c>
      <x:c r="C1565" t="n">
        <x:v>11840</x:v>
      </x:c>
      <x:c r="D1565" t="n">
        <x:v>8</x:v>
      </x:c>
      <x:c r="E1565" t="str">
        <x:v>Medium</x:v>
      </x:c>
      <x:c r="F1565" t="str">
        <x:v>Mixed-use</x:v>
      </x:c>
      <x:c r="G1565" t="str">
        <x:v>Steel</x:v>
      </x:c>
      <x:c r="H1565" t="str">
        <x:v>Piles</x:v>
      </x:c>
      <x:c r="I1565" t="str">
        <x:v>Soft Clay</x:v>
      </x:c>
      <x:c r="J1565" t="str">
        <x:v>Medium</x:v>
      </x:c>
      <x:c r="K1565" t="n">
        <x:v>31091840</x:v>
      </x:c>
      <x:c r="L1565" t="n">
        <x:v>585</x:v>
      </x:c>
      <x:c r="M1565" t="n">
        <x:v>217.5</x:v>
      </x:c>
      <x:c r="N1565" t="n">
        <x:v>1</x:v>
      </x:c>
      <x:c r="O1565" t="n">
        <x:v>58.1</x:v>
      </x:c>
      <x:c r="P1565" t="str">
        <x:v>Cloudy</x:v>
      </x:c>
      <x:c r="Q1565" t="n">
        <x:v>74</x:v>
      </x:c>
      <x:c r="R1565" t="n">
        <x:v>81.7</x:v>
      </x:c>
      <x:c r="S1565" t="n">
        <x:v>0.1033</x:v>
      </x:c>
      <x:c r="T1565" t="n">
        <x:v>18.6</x:v>
      </x:c>
      <x:c r="U1565" t="n">
        <x:v>1480</x:v>
      </x:c>
      <x:c r="V1565" t="n">
        <x:v>2626</x:v>
      </x:c>
      <x:c r="W1565" t="n">
        <x:v>49.4</x:v>
      </x:c>
    </x:row>
    <x:row r="1566">
      <x:c r="A1566" t="str">
        <x:v>PJT_1565</x:v>
      </x:c>
      <x:c r="B1566" t="str">
        <x:v>Humid Subtropical</x:v>
      </x:c>
      <x:c r="C1566" t="n">
        <x:v>15500</x:v>
      </x:c>
      <x:c r="D1566" t="n">
        <x:v>20</x:v>
      </x:c>
      <x:c r="E1566" t="str">
        <x:v>Medium</x:v>
      </x:c>
      <x:c r="F1566" t="str">
        <x:v>Residential</x:v>
      </x:c>
      <x:c r="G1566" t="str">
        <x:v>RC Frame</x:v>
      </x:c>
      <x:c r="H1566" t="str">
        <x:v>Piles</x:v>
      </x:c>
      <x:c r="I1566" t="str">
        <x:v>Sand</x:v>
      </x:c>
      <x:c r="J1566" t="str">
        <x:v>Low</x:v>
      </x:c>
      <x:c r="K1566" t="n">
        <x:v>23420500</x:v>
      </x:c>
      <x:c r="L1566" t="n">
        <x:v>654</x:v>
      </x:c>
      <x:c r="M1566" t="n">
        <x:v>283.3</x:v>
      </x:c>
      <x:c r="N1566" t="n">
        <x:v>23.7</x:v>
      </x:c>
      <x:c r="O1566" t="n">
        <x:v>82.8</x:v>
      </x:c>
      <x:c r="P1566" t="str">
        <x:v>Stormy</x:v>
      </x:c>
      <x:c r="Q1566" t="n">
        <x:v>69</x:v>
      </x:c>
      <x:c r="R1566" t="n">
        <x:v>72.2</x:v>
      </x:c>
      <x:c r="S1566" t="n">
        <x:v>0.0812</x:v>
      </x:c>
      <x:c r="T1566" t="n">
        <x:v>12.5</x:v>
      </x:c>
      <x:c r="U1566" t="n">
        <x:v>775</x:v>
      </x:c>
      <x:c r="V1566" t="n">
        <x:v>1511</x:v>
      </x:c>
      <x:c r="W1566" t="n">
        <x:v>42.2</x:v>
      </x:c>
    </x:row>
    <x:row r="1567">
      <x:c r="A1567" t="str">
        <x:v>PJT_1566</x:v>
      </x:c>
      <x:c r="B1567" t="str">
        <x:v>Marine</x:v>
      </x:c>
      <x:c r="C1567" t="n">
        <x:v>17220</x:v>
      </x:c>
      <x:c r="D1567" t="n">
        <x:v>11</x:v>
      </x:c>
      <x:c r="E1567" t="str">
        <x:v>Medium</x:v>
      </x:c>
      <x:c r="F1567" t="str">
        <x:v>Mixed-use</x:v>
      </x:c>
      <x:c r="G1567" t="str">
        <x:v>Shear Wall</x:v>
      </x:c>
      <x:c r="H1567" t="str">
        <x:v>Raft</x:v>
      </x:c>
      <x:c r="I1567" t="str">
        <x:v>Sand</x:v>
      </x:c>
      <x:c r="J1567" t="str">
        <x:v>Medium</x:v>
      </x:c>
      <x:c r="K1567" t="n">
        <x:v>43050000</x:v>
      </x:c>
      <x:c r="L1567" t="n">
        <x:v>835</x:v>
      </x:c>
      <x:c r="M1567" t="n">
        <x:v>296.1</x:v>
      </x:c>
      <x:c r="N1567" t="n">
        <x:v>11.5</x:v>
      </x:c>
      <x:c r="O1567" t="n">
        <x:v>91.2</x:v>
      </x:c>
      <x:c r="P1567" t="str">
        <x:v>Rainy</x:v>
      </x:c>
      <x:c r="Q1567" t="n">
        <x:v>80</x:v>
      </x:c>
      <x:c r="R1567" t="n">
        <x:v>80.1</x:v>
      </x:c>
      <x:c r="S1567" t="n">
        <x:v>0.0971</x:v>
      </x:c>
      <x:c r="T1567" t="n">
        <x:v>18.1</x:v>
      </x:c>
      <x:c r="U1567" t="n">
        <x:v>1565.5</x:v>
      </x:c>
      <x:c r="V1567" t="n">
        <x:v>2500</x:v>
      </x:c>
      <x:c r="W1567" t="n">
        <x:v>48.5</x:v>
      </x:c>
    </x:row>
    <x:row r="1568">
      <x:c r="A1568" t="str">
        <x:v>PJT_1567</x:v>
      </x:c>
      <x:c r="B1568" t="str">
        <x:v>Mediterranean</x:v>
      </x:c>
      <x:c r="C1568" t="n">
        <x:v>14730</x:v>
      </x:c>
      <x:c r="D1568" t="n">
        <x:v>13</x:v>
      </x:c>
      <x:c r="E1568" t="str">
        <x:v>Low</x:v>
      </x:c>
      <x:c r="F1568" t="str">
        <x:v>Residential</x:v>
      </x:c>
      <x:c r="G1568" t="str">
        <x:v>RC Frame</x:v>
      </x:c>
      <x:c r="H1568" t="str">
        <x:v>Piles</x:v>
      </x:c>
      <x:c r="I1568" t="str">
        <x:v>Soft Clay</x:v>
      </x:c>
      <x:c r="J1568" t="str">
        <x:v>Medium</x:v>
      </x:c>
      <x:c r="K1568" t="n">
        <x:v>22301220</x:v>
      </x:c>
      <x:c r="L1568" t="n">
        <x:v>480</x:v>
      </x:c>
      <x:c r="M1568" t="n">
        <x:v>165.3</x:v>
      </x:c>
      <x:c r="N1568" t="n">
        <x:v>25.9</x:v>
      </x:c>
      <x:c r="O1568" t="n">
        <x:v>53.2</x:v>
      </x:c>
      <x:c r="P1568" t="str">
        <x:v>Sunny</x:v>
      </x:c>
      <x:c r="Q1568" t="n">
        <x:v>80</x:v>
      </x:c>
      <x:c r="R1568" t="n">
        <x:v>63.6</x:v>
      </x:c>
      <x:c r="S1568" t="n">
        <x:v>0.0767</x:v>
      </x:c>
      <x:c r="T1568" t="n">
        <x:v>11.2</x:v>
      </x:c>
      <x:c r="U1568" t="n">
        <x:v>1133.1</x:v>
      </x:c>
      <x:c r="V1568" t="n">
        <x:v>1514</x:v>
      </x:c>
      <x:c r="W1568" t="n">
        <x:v>32.6</x:v>
      </x:c>
    </x:row>
    <x:row r="1569">
      <x:c r="A1569" t="str">
        <x:v>PJT_1568</x:v>
      </x:c>
      <x:c r="B1569" t="str">
        <x:v>Humid Subtropical</x:v>
      </x:c>
      <x:c r="C1569" t="n">
        <x:v>9090</x:v>
      </x:c>
      <x:c r="D1569" t="n">
        <x:v>3</x:v>
      </x:c>
      <x:c r="E1569" t="str">
        <x:v>Low</x:v>
      </x:c>
      <x:c r="F1569" t="str">
        <x:v>School</x:v>
      </x:c>
      <x:c r="G1569" t="str">
        <x:v>RC Frame</x:v>
      </x:c>
      <x:c r="H1569" t="str">
        <x:v>Raft</x:v>
      </x:c>
      <x:c r="I1569" t="str">
        <x:v>Soft Clay</x:v>
      </x:c>
      <x:c r="J1569" t="str">
        <x:v>Low</x:v>
      </x:c>
      <x:c r="K1569" t="n">
        <x:v>15625710</x:v>
      </x:c>
      <x:c r="L1569" t="n">
        <x:v>307</x:v>
      </x:c>
      <x:c r="M1569" t="n">
        <x:v>167.6</x:v>
      </x:c>
      <x:c r="N1569" t="n">
        <x:v>20.1</x:v>
      </x:c>
      <x:c r="O1569" t="n">
        <x:v>90.8</x:v>
      </x:c>
      <x:c r="P1569" t="str">
        <x:v>Stormy</x:v>
      </x:c>
      <x:c r="Q1569" t="n">
        <x:v>92</x:v>
      </x:c>
      <x:c r="R1569" t="n">
        <x:v>65</x:v>
      </x:c>
      <x:c r="S1569" t="n">
        <x:v>0.0749</x:v>
      </x:c>
      <x:c r="T1569" t="n">
        <x:v>12.6</x:v>
      </x:c>
      <x:c r="U1569" t="n">
        <x:v>3030</x:v>
      </x:c>
      <x:c r="V1569" t="n">
        <x:v>1719</x:v>
      </x:c>
      <x:c r="W1569" t="n">
        <x:v>33.8</x:v>
      </x:c>
    </x:row>
    <x:row r="1570">
      <x:c r="A1570" t="str">
        <x:v>PJT_1569</x:v>
      </x:c>
      <x:c r="B1570" t="str">
        <x:v>Continental</x:v>
      </x:c>
      <x:c r="C1570" t="n">
        <x:v>27480</x:v>
      </x:c>
      <x:c r="D1570" t="n">
        <x:v>18</x:v>
      </x:c>
      <x:c r="E1570" t="str">
        <x:v>Medium</x:v>
      </x:c>
      <x:c r="F1570" t="str">
        <x:v>Commercial</x:v>
      </x:c>
      <x:c r="G1570" t="str">
        <x:v>Steel</x:v>
      </x:c>
      <x:c r="H1570" t="str">
        <x:v>Piles</x:v>
      </x:c>
      <x:c r="I1570" t="str">
        <x:v>Sand</x:v>
      </x:c>
      <x:c r="J1570" t="str">
        <x:v>High</x:v>
      </x:c>
      <x:c r="K1570" t="n">
        <x:v>73536480</x:v>
      </x:c>
      <x:c r="L1570" t="n">
        <x:v>1316</x:v>
      </x:c>
      <x:c r="M1570" t="n">
        <x:v>355.4</x:v>
      </x:c>
      <x:c r="N1570" t="n">
        <x:v>20.5</x:v>
      </x:c>
      <x:c r="O1570" t="n">
        <x:v>60.1</x:v>
      </x:c>
      <x:c r="P1570" t="str">
        <x:v>Cloudy</x:v>
      </x:c>
      <x:c r="Q1570" t="n">
        <x:v>91</x:v>
      </x:c>
      <x:c r="R1570" t="n">
        <x:v>84.9</x:v>
      </x:c>
      <x:c r="S1570" t="n">
        <x:v>0.098</x:v>
      </x:c>
      <x:c r="T1570" t="n">
        <x:v>17.8</x:v>
      </x:c>
      <x:c r="U1570" t="n">
        <x:v>1526.7</x:v>
      </x:c>
      <x:c r="V1570" t="n">
        <x:v>2676</x:v>
      </x:c>
      <x:c r="W1570" t="n">
        <x:v>47.9</x:v>
      </x:c>
    </x:row>
    <x:row r="1571">
      <x:c r="A1571" t="str">
        <x:v>PJT_1570</x:v>
      </x:c>
      <x:c r="B1571" t="str">
        <x:v>Marine</x:v>
      </x:c>
      <x:c r="C1571" t="n">
        <x:v>24720</x:v>
      </x:c>
      <x:c r="D1571" t="n">
        <x:v>17</x:v>
      </x:c>
      <x:c r="E1571" t="str">
        <x:v>Medium</x:v>
      </x:c>
      <x:c r="F1571" t="str">
        <x:v>Commercial</x:v>
      </x:c>
      <x:c r="G1571" t="str">
        <x:v>Steel</x:v>
      </x:c>
      <x:c r="H1571" t="str">
        <x:v>Piles</x:v>
      </x:c>
      <x:c r="I1571" t="str">
        <x:v>Mixed</x:v>
      </x:c>
      <x:c r="J1571" t="str">
        <x:v>Medium</x:v>
      </x:c>
      <x:c r="K1571" t="n">
        <x:v>61256160</x:v>
      </x:c>
      <x:c r="L1571" t="n">
        <x:v>1154</x:v>
      </x:c>
      <x:c r="M1571" t="n">
        <x:v>373.4</x:v>
      </x:c>
      <x:c r="N1571" t="n">
        <x:v>14.7</x:v>
      </x:c>
      <x:c r="O1571" t="n">
        <x:v>65.9</x:v>
      </x:c>
      <x:c r="P1571" t="str">
        <x:v>Cloudy</x:v>
      </x:c>
      <x:c r="Q1571" t="n">
        <x:v>94</x:v>
      </x:c>
      <x:c r="R1571" t="n">
        <x:v>83.9</x:v>
      </x:c>
      <x:c r="S1571" t="n">
        <x:v>0.0976</x:v>
      </x:c>
      <x:c r="T1571" t="n">
        <x:v>16.3</x:v>
      </x:c>
      <x:c r="U1571" t="n">
        <x:v>1454.1</x:v>
      </x:c>
      <x:c r="V1571" t="n">
        <x:v>2478</x:v>
      </x:c>
      <x:c r="W1571" t="n">
        <x:v>46.7</x:v>
      </x:c>
    </x:row>
    <x:row r="1572">
      <x:c r="A1572" t="str">
        <x:v>PJT_1571</x:v>
      </x:c>
      <x:c r="B1572" t="str">
        <x:v>Continental</x:v>
      </x:c>
      <x:c r="C1572" t="n">
        <x:v>24290</x:v>
      </x:c>
      <x:c r="D1572" t="n">
        <x:v>14</x:v>
      </x:c>
      <x:c r="E1572" t="str">
        <x:v>Medium</x:v>
      </x:c>
      <x:c r="F1572" t="str">
        <x:v>Commercial</x:v>
      </x:c>
      <x:c r="G1572" t="str">
        <x:v>Steel</x:v>
      </x:c>
      <x:c r="H1572" t="str">
        <x:v>Piles</x:v>
      </x:c>
      <x:c r="I1572" t="str">
        <x:v>Mixed</x:v>
      </x:c>
      <x:c r="J1572" t="str">
        <x:v>Low</x:v>
      </x:c>
      <x:c r="K1572" t="n">
        <x:v>54433890</x:v>
      </x:c>
      <x:c r="L1572" t="n">
        <x:v>1100</x:v>
      </x:c>
      <x:c r="M1572" t="n">
        <x:v>318.7</x:v>
      </x:c>
      <x:c r="N1572" t="n">
        <x:v>20.2</x:v>
      </x:c>
      <x:c r="O1572" t="n">
        <x:v>57.1</x:v>
      </x:c>
      <x:c r="P1572" t="str">
        <x:v>Cloudy</x:v>
      </x:c>
      <x:c r="Q1572" t="n">
        <x:v>97</x:v>
      </x:c>
      <x:c r="R1572" t="n">
        <x:v>74</x:v>
      </x:c>
      <x:c r="S1572" t="n">
        <x:v>0.0948</x:v>
      </x:c>
      <x:c r="T1572" t="n">
        <x:v>17.1</x:v>
      </x:c>
      <x:c r="U1572" t="n">
        <x:v>1735</x:v>
      </x:c>
      <x:c r="V1572" t="n">
        <x:v>2241</x:v>
      </x:c>
      <x:c r="W1572" t="n">
        <x:v>45.3</x:v>
      </x:c>
    </x:row>
    <x:row r="1573">
      <x:c r="A1573" t="str">
        <x:v>PJT_1572</x:v>
      </x:c>
      <x:c r="B1573" t="str">
        <x:v>Continental</x:v>
      </x:c>
      <x:c r="C1573" t="n">
        <x:v>10520</x:v>
      </x:c>
      <x:c r="D1573" t="n">
        <x:v>8</x:v>
      </x:c>
      <x:c r="E1573" t="str">
        <x:v>Medium</x:v>
      </x:c>
      <x:c r="F1573" t="str">
        <x:v>Commercial</x:v>
      </x:c>
      <x:c r="G1573" t="str">
        <x:v>Steel</x:v>
      </x:c>
      <x:c r="H1573" t="str">
        <x:v>Piles</x:v>
      </x:c>
      <x:c r="I1573" t="str">
        <x:v>Soft Clay</x:v>
      </x:c>
      <x:c r="J1573" t="str">
        <x:v>Low</x:v>
      </x:c>
      <x:c r="K1573" t="n">
        <x:v>24269640</x:v>
      </x:c>
      <x:c r="L1573" t="n">
        <x:v>515</x:v>
      </x:c>
      <x:c r="M1573" t="n">
        <x:v>159.2</x:v>
      </x:c>
      <x:c r="N1573" t="n">
        <x:v>8.3</x:v>
      </x:c>
      <x:c r="O1573" t="n">
        <x:v>83.1</x:v>
      </x:c>
      <x:c r="P1573" t="str">
        <x:v>Stormy</x:v>
      </x:c>
      <x:c r="Q1573" t="n">
        <x:v>101</x:v>
      </x:c>
      <x:c r="R1573" t="n">
        <x:v>75.1</x:v>
      </x:c>
      <x:c r="S1573" t="n">
        <x:v>0.0976</x:v>
      </x:c>
      <x:c r="T1573" t="n">
        <x:v>18</x:v>
      </x:c>
      <x:c r="U1573" t="n">
        <x:v>1315</x:v>
      </x:c>
      <x:c r="V1573" t="n">
        <x:v>2307</x:v>
      </x:c>
      <x:c r="W1573" t="n">
        <x:v>49</x:v>
      </x:c>
    </x:row>
    <x:row r="1574">
      <x:c r="A1574" t="str">
        <x:v>PJT_1573</x:v>
      </x:c>
      <x:c r="B1574" t="str">
        <x:v>Continental</x:v>
      </x:c>
      <x:c r="C1574" t="n">
        <x:v>22360</x:v>
      </x:c>
      <x:c r="D1574" t="n">
        <x:v>20</x:v>
      </x:c>
      <x:c r="E1574" t="str">
        <x:v>High</x:v>
      </x:c>
      <x:c r="F1574" t="str">
        <x:v>Mixed-use</x:v>
      </x:c>
      <x:c r="G1574" t="str">
        <x:v>Steel</x:v>
      </x:c>
      <x:c r="H1574" t="str">
        <x:v>Piles</x:v>
      </x:c>
      <x:c r="I1574" t="str">
        <x:v>Mixed</x:v>
      </x:c>
      <x:c r="J1574" t="str">
        <x:v>Low</x:v>
      </x:c>
      <x:c r="K1574" t="n">
        <x:v>63860160</x:v>
      </x:c>
      <x:c r="L1574" t="n">
        <x:v>1232</x:v>
      </x:c>
      <x:c r="M1574" t="n">
        <x:v>346.1</x:v>
      </x:c>
      <x:c r="N1574" t="n">
        <x:v>6.2</x:v>
      </x:c>
      <x:c r="O1574" t="n">
        <x:v>44.9</x:v>
      </x:c>
      <x:c r="P1574" t="str">
        <x:v>Sunny</x:v>
      </x:c>
      <x:c r="Q1574" t="n">
        <x:v>85</x:v>
      </x:c>
      <x:c r="R1574" t="n">
        <x:v>89.6</x:v>
      </x:c>
      <x:c r="S1574" t="n">
        <x:v>0.1107</x:v>
      </x:c>
      <x:c r="T1574" t="n">
        <x:v>20.8</x:v>
      </x:c>
      <x:c r="U1574" t="n">
        <x:v>1118</x:v>
      </x:c>
      <x:c r="V1574" t="n">
        <x:v>2856</x:v>
      </x:c>
      <x:c r="W1574" t="n">
        <x:v>55.1</x:v>
      </x:c>
    </x:row>
    <x:row r="1575">
      <x:c r="A1575" t="str">
        <x:v>PJT_1574</x:v>
      </x:c>
      <x:c r="B1575" t="str">
        <x:v>Mediterranean</x:v>
      </x:c>
      <x:c r="C1575" t="n">
        <x:v>11780</x:v>
      </x:c>
      <x:c r="D1575" t="n">
        <x:v>10</x:v>
      </x:c>
      <x:c r="E1575" t="str">
        <x:v>Medium</x:v>
      </x:c>
      <x:c r="F1575" t="str">
        <x:v>Commercial</x:v>
      </x:c>
      <x:c r="G1575" t="str">
        <x:v>Steel</x:v>
      </x:c>
      <x:c r="H1575" t="str">
        <x:v>Raft</x:v>
      </x:c>
      <x:c r="I1575" t="str">
        <x:v>Mixed</x:v>
      </x:c>
      <x:c r="J1575" t="str">
        <x:v>High</x:v>
      </x:c>
      <x:c r="K1575" t="n">
        <x:v>28107080</x:v>
      </x:c>
      <x:c r="L1575" t="n">
        <x:v>522</x:v>
      </x:c>
      <x:c r="M1575" t="n">
        <x:v>320.8</x:v>
      </x:c>
      <x:c r="N1575" t="n">
        <x:v>16.6</x:v>
      </x:c>
      <x:c r="O1575" t="n">
        <x:v>67.9</x:v>
      </x:c>
      <x:c r="P1575" t="str">
        <x:v>Cloudy</x:v>
      </x:c>
      <x:c r="Q1575" t="n">
        <x:v>78</x:v>
      </x:c>
      <x:c r="R1575" t="n">
        <x:v>78.4</x:v>
      </x:c>
      <x:c r="S1575" t="n">
        <x:v>0.0974</x:v>
      </x:c>
      <x:c r="T1575" t="n">
        <x:v>17.5</x:v>
      </x:c>
      <x:c r="U1575" t="n">
        <x:v>1178</x:v>
      </x:c>
      <x:c r="V1575" t="n">
        <x:v>2386</x:v>
      </x:c>
      <x:c r="W1575" t="n">
        <x:v>44.3</x:v>
      </x:c>
    </x:row>
    <x:row r="1576">
      <x:c r="A1576" t="str">
        <x:v>PJT_1575</x:v>
      </x:c>
      <x:c r="B1576" t="str">
        <x:v>Humid Subtropical</x:v>
      </x:c>
      <x:c r="C1576" t="n">
        <x:v>26090</x:v>
      </x:c>
      <x:c r="D1576" t="n">
        <x:v>14</x:v>
      </x:c>
      <x:c r="E1576" t="str">
        <x:v>Medium</x:v>
      </x:c>
      <x:c r="F1576" t="str">
        <x:v>Commercial</x:v>
      </x:c>
      <x:c r="G1576" t="str">
        <x:v>Steel</x:v>
      </x:c>
      <x:c r="H1576" t="str">
        <x:v>Piles</x:v>
      </x:c>
      <x:c r="I1576" t="str">
        <x:v>Sand</x:v>
      </x:c>
      <x:c r="J1576" t="str">
        <x:v>Medium</x:v>
      </x:c>
      <x:c r="K1576" t="n">
        <x:v>66320780</x:v>
      </x:c>
      <x:c r="L1576" t="n">
        <x:v>1164</x:v>
      </x:c>
      <x:c r="M1576" t="n">
        <x:v>300.4</x:v>
      </x:c>
      <x:c r="N1576" t="n">
        <x:v>34.2</x:v>
      </x:c>
      <x:c r="O1576" t="n">
        <x:v>67.8</x:v>
      </x:c>
      <x:c r="P1576" t="str">
        <x:v>Sunny</x:v>
      </x:c>
      <x:c r="Q1576" t="n">
        <x:v>95</x:v>
      </x:c>
      <x:c r="R1576" t="n">
        <x:v>75</x:v>
      </x:c>
      <x:c r="S1576" t="n">
        <x:v>0.0944</x:v>
      </x:c>
      <x:c r="T1576" t="n">
        <x:v>16.9</x:v>
      </x:c>
      <x:c r="U1576" t="n">
        <x:v>1863.6</x:v>
      </x:c>
      <x:c r="V1576" t="n">
        <x:v>2542</x:v>
      </x:c>
      <x:c r="W1576" t="n">
        <x:v>44.6</x:v>
      </x:c>
    </x:row>
    <x:row r="1577">
      <x:c r="A1577" t="str">
        <x:v>PJT_1576</x:v>
      </x:c>
      <x:c r="B1577" t="str">
        <x:v>Continental</x:v>
      </x:c>
      <x:c r="C1577" t="n">
        <x:v>26550</x:v>
      </x:c>
      <x:c r="D1577" t="n">
        <x:v>18</x:v>
      </x:c>
      <x:c r="E1577" t="str">
        <x:v>Medium</x:v>
      </x:c>
      <x:c r="F1577" t="str">
        <x:v>Commercial</x:v>
      </x:c>
      <x:c r="G1577" t="str">
        <x:v>Steel</x:v>
      </x:c>
      <x:c r="H1577" t="str">
        <x:v>Piles</x:v>
      </x:c>
      <x:c r="I1577" t="str">
        <x:v>Mixed</x:v>
      </x:c>
      <x:c r="J1577" t="str">
        <x:v>High</x:v>
      </x:c>
      <x:c r="K1577" t="n">
        <x:v>67091850</x:v>
      </x:c>
      <x:c r="L1577" t="n">
        <x:v>1224</x:v>
      </x:c>
      <x:c r="M1577" t="n">
        <x:v>346.1</x:v>
      </x:c>
      <x:c r="N1577" t="n">
        <x:v>14.2</x:v>
      </x:c>
      <x:c r="O1577" t="n">
        <x:v>71.2</x:v>
      </x:c>
      <x:c r="P1577" t="str">
        <x:v>Cloudy</x:v>
      </x:c>
      <x:c r="Q1577" t="n">
        <x:v>100</x:v>
      </x:c>
      <x:c r="R1577" t="n">
        <x:v>78.7</x:v>
      </x:c>
      <x:c r="S1577" t="n">
        <x:v>0.0995</x:v>
      </x:c>
      <x:c r="T1577" t="n">
        <x:v>18</x:v>
      </x:c>
      <x:c r="U1577" t="n">
        <x:v>1475</x:v>
      </x:c>
      <x:c r="V1577" t="n">
        <x:v>2527</x:v>
      </x:c>
      <x:c r="W1577" t="n">
        <x:v>46.1</x:v>
      </x:c>
    </x:row>
    <x:row r="1578">
      <x:c r="A1578" t="str">
        <x:v>PJT_1577</x:v>
      </x:c>
      <x:c r="B1578" t="str">
        <x:v>Humid Subtropical</x:v>
      </x:c>
      <x:c r="C1578" t="n">
        <x:v>4960</x:v>
      </x:c>
      <x:c r="D1578" t="n">
        <x:v>5</x:v>
      </x:c>
      <x:c r="E1578" t="str">
        <x:v>Low</x:v>
      </x:c>
      <x:c r="F1578" t="str">
        <x:v>Residential</x:v>
      </x:c>
      <x:c r="G1578" t="str">
        <x:v>RC Frame</x:v>
      </x:c>
      <x:c r="H1578" t="str">
        <x:v>Raft</x:v>
      </x:c>
      <x:c r="I1578" t="str">
        <x:v>Mixed</x:v>
      </x:c>
      <x:c r="J1578" t="str">
        <x:v>Medium</x:v>
      </x:c>
      <x:c r="K1578" t="n">
        <x:v>6527360</x:v>
      </x:c>
      <x:c r="L1578" t="n">
        <x:v>180</x:v>
      </x:c>
      <x:c r="M1578" t="n">
        <x:v>327</x:v>
      </x:c>
      <x:c r="N1578" t="n">
        <x:v>28</x:v>
      </x:c>
      <x:c r="O1578" t="n">
        <x:v>63</x:v>
      </x:c>
      <x:c r="P1578" t="str">
        <x:v>Cloudy</x:v>
      </x:c>
      <x:c r="Q1578" t="n">
        <x:v>80</x:v>
      </x:c>
      <x:c r="R1578" t="n">
        <x:v>66</x:v>
      </x:c>
      <x:c r="S1578" t="n">
        <x:v>0.0713</x:v>
      </x:c>
      <x:c r="T1578" t="n">
        <x:v>12</x:v>
      </x:c>
      <x:c r="U1578" t="n">
        <x:v>992</x:v>
      </x:c>
      <x:c r="V1578" t="n">
        <x:v>1316</x:v>
      </x:c>
      <x:c r="W1578" t="n">
        <x:v>31</x:v>
      </x:c>
    </x:row>
    <x:row r="1579">
      <x:c r="A1579" t="str">
        <x:v>PJT_1578</x:v>
      </x:c>
      <x:c r="B1579" t="str">
        <x:v>Humid Subtropical</x:v>
      </x:c>
      <x:c r="C1579" t="n">
        <x:v>10520</x:v>
      </x:c>
      <x:c r="D1579" t="n">
        <x:v>9</x:v>
      </x:c>
      <x:c r="E1579" t="str">
        <x:v>Low</x:v>
      </x:c>
      <x:c r="F1579" t="str">
        <x:v>Residential</x:v>
      </x:c>
      <x:c r="G1579" t="str">
        <x:v>RC Frame</x:v>
      </x:c>
      <x:c r="H1579" t="str">
        <x:v>Raft</x:v>
      </x:c>
      <x:c r="I1579" t="str">
        <x:v>Rock</x:v>
      </x:c>
      <x:c r="J1579" t="str">
        <x:v>Medium</x:v>
      </x:c>
      <x:c r="K1579" t="n">
        <x:v>15453880</x:v>
      </x:c>
      <x:c r="L1579" t="n">
        <x:v>366</x:v>
      </x:c>
      <x:c r="M1579" t="n">
        <x:v>736.5</x:v>
      </x:c>
      <x:c r="N1579" t="n">
        <x:v>23.8</x:v>
      </x:c>
      <x:c r="O1579" t="n">
        <x:v>79.7</x:v>
      </x:c>
      <x:c r="P1579" t="str">
        <x:v>Rainy</x:v>
      </x:c>
      <x:c r="Q1579" t="n">
        <x:v>104</x:v>
      </x:c>
      <x:c r="R1579" t="n">
        <x:v>61.4</x:v>
      </x:c>
      <x:c r="S1579" t="n">
        <x:v>0.0728</x:v>
      </x:c>
      <x:c r="T1579" t="n">
        <x:v>12.7</x:v>
      </x:c>
      <x:c r="U1579" t="n">
        <x:v>1168.9</x:v>
      </x:c>
      <x:c r="V1579" t="n">
        <x:v>1469</x:v>
      </x:c>
      <x:c r="W1579" t="n">
        <x:v>34.8</x:v>
      </x:c>
    </x:row>
    <x:row r="1580">
      <x:c r="A1580" t="str">
        <x:v>PJT_1579</x:v>
      </x:c>
      <x:c r="B1580" t="str">
        <x:v>Mediterranean</x:v>
      </x:c>
      <x:c r="C1580" t="n">
        <x:v>6520</x:v>
      </x:c>
      <x:c r="D1580" t="n">
        <x:v>3</x:v>
      </x:c>
      <x:c r="E1580" t="str">
        <x:v>Low</x:v>
      </x:c>
      <x:c r="F1580" t="str">
        <x:v>School</x:v>
      </x:c>
      <x:c r="G1580" t="str">
        <x:v>Steel</x:v>
      </x:c>
      <x:c r="H1580" t="str">
        <x:v>Raft</x:v>
      </x:c>
      <x:c r="I1580" t="str">
        <x:v>Sand</x:v>
      </x:c>
      <x:c r="J1580" t="str">
        <x:v>High</x:v>
      </x:c>
      <x:c r="K1580" t="n">
        <x:v>12824840</x:v>
      </x:c>
      <x:c r="L1580" t="n">
        <x:v>196</x:v>
      </x:c>
      <x:c r="M1580" t="n">
        <x:v>255</x:v>
      </x:c>
      <x:c r="N1580" t="n">
        <x:v>31.5</x:v>
      </x:c>
      <x:c r="O1580" t="n">
        <x:v>45.1</x:v>
      </x:c>
      <x:c r="P1580" t="str">
        <x:v>Sunny</x:v>
      </x:c>
      <x:c r="Q1580" t="n">
        <x:v>54</x:v>
      </x:c>
      <x:c r="R1580" t="n">
        <x:v>64.2</x:v>
      </x:c>
      <x:c r="S1580" t="n">
        <x:v>0.083</x:v>
      </x:c>
      <x:c r="T1580" t="n">
        <x:v>13.7</x:v>
      </x:c>
      <x:c r="U1580" t="n">
        <x:v>2173.3</x:v>
      </x:c>
      <x:c r="V1580" t="n">
        <x:v>1967</x:v>
      </x:c>
      <x:c r="W1580" t="n">
        <x:v>30</x:v>
      </x:c>
    </x:row>
    <x:row r="1581">
      <x:c r="A1581" t="str">
        <x:v>PJT_1580</x:v>
      </x:c>
      <x:c r="B1581" t="str">
        <x:v>Mediterranean</x:v>
      </x:c>
      <x:c r="C1581" t="n">
        <x:v>27120</x:v>
      </x:c>
      <x:c r="D1581" t="n">
        <x:v>17</x:v>
      </x:c>
      <x:c r="E1581" t="str">
        <x:v>High</x:v>
      </x:c>
      <x:c r="F1581" t="str">
        <x:v>Mixed-use</x:v>
      </x:c>
      <x:c r="G1581" t="str">
        <x:v>Steel</x:v>
      </x:c>
      <x:c r="H1581" t="str">
        <x:v>Piles</x:v>
      </x:c>
      <x:c r="I1581" t="str">
        <x:v>Mixed</x:v>
      </x:c>
      <x:c r="J1581" t="str">
        <x:v>Low</x:v>
      </x:c>
      <x:c r="K1581" t="n">
        <x:v>76668240</x:v>
      </x:c>
      <x:c r="L1581" t="n">
        <x:v>1478</x:v>
      </x:c>
      <x:c r="M1581" t="n">
        <x:v>370.2</x:v>
      </x:c>
      <x:c r="N1581" t="n">
        <x:v>15.8</x:v>
      </x:c>
      <x:c r="O1581" t="n">
        <x:v>61.6</x:v>
      </x:c>
      <x:c r="P1581" t="str">
        <x:v>Cloudy</x:v>
      </x:c>
      <x:c r="Q1581" t="n">
        <x:v>62</x:v>
      </x:c>
      <x:c r="R1581" t="n">
        <x:v>82.2</x:v>
      </x:c>
      <x:c r="S1581" t="n">
        <x:v>0.1083</x:v>
      </x:c>
      <x:c r="T1581" t="n">
        <x:v>20.5</x:v>
      </x:c>
      <x:c r="U1581" t="n">
        <x:v>1595.3</x:v>
      </x:c>
      <x:c r="V1581" t="n">
        <x:v>2827</x:v>
      </x:c>
      <x:c r="W1581" t="n">
        <x:v>54.5</x:v>
      </x:c>
    </x:row>
    <x:row r="1582">
      <x:c r="A1582" t="str">
        <x:v>PJT_1581</x:v>
      </x:c>
      <x:c r="B1582" t="str">
        <x:v>Continental</x:v>
      </x:c>
      <x:c r="C1582" t="n">
        <x:v>20310</x:v>
      </x:c>
      <x:c r="D1582" t="n">
        <x:v>12</x:v>
      </x:c>
      <x:c r="E1582" t="str">
        <x:v>Medium</x:v>
      </x:c>
      <x:c r="F1582" t="str">
        <x:v>Commercial</x:v>
      </x:c>
      <x:c r="G1582" t="str">
        <x:v>Steel</x:v>
      </x:c>
      <x:c r="H1582" t="str">
        <x:v>Piles</x:v>
      </x:c>
      <x:c r="I1582" t="str">
        <x:v>Mixed</x:v>
      </x:c>
      <x:c r="J1582" t="str">
        <x:v>Low</x:v>
      </x:c>
      <x:c r="K1582" t="n">
        <x:v>47180130</x:v>
      </x:c>
      <x:c r="L1582" t="n">
        <x:v>955</x:v>
      </x:c>
      <x:c r="M1582" t="n">
        <x:v>415</x:v>
      </x:c>
      <x:c r="N1582" t="n">
        <x:v>12.5</x:v>
      </x:c>
      <x:c r="O1582" t="n">
        <x:v>52.6</x:v>
      </x:c>
      <x:c r="P1582" t="str">
        <x:v>Cloudy</x:v>
      </x:c>
      <x:c r="Q1582" t="n">
        <x:v>89</x:v>
      </x:c>
      <x:c r="R1582" t="n">
        <x:v>74.9</x:v>
      </x:c>
      <x:c r="S1582" t="n">
        <x:v>0.0939</x:v>
      </x:c>
      <x:c r="T1582" t="n">
        <x:v>16.9</x:v>
      </x:c>
      <x:c r="U1582" t="n">
        <x:v>1692.5</x:v>
      </x:c>
      <x:c r="V1582" t="n">
        <x:v>2323</x:v>
      </x:c>
      <x:c r="W1582" t="n">
        <x:v>47</x:v>
      </x:c>
    </x:row>
    <x:row r="1583">
      <x:c r="A1583" t="str">
        <x:v>PJT_1582</x:v>
      </x:c>
      <x:c r="B1583" t="str">
        <x:v>Marine</x:v>
      </x:c>
      <x:c r="C1583" t="n">
        <x:v>25370</x:v>
      </x:c>
      <x:c r="D1583" t="n">
        <x:v>16</x:v>
      </x:c>
      <x:c r="E1583" t="str">
        <x:v>High</x:v>
      </x:c>
      <x:c r="F1583" t="str">
        <x:v>Mixed-use</x:v>
      </x:c>
      <x:c r="G1583" t="str">
        <x:v>Steel</x:v>
      </x:c>
      <x:c r="H1583" t="str">
        <x:v>Piles</x:v>
      </x:c>
      <x:c r="I1583" t="str">
        <x:v>Soft Clay</x:v>
      </x:c>
      <x:c r="J1583" t="str">
        <x:v>Medium</x:v>
      </x:c>
      <x:c r="K1583" t="n">
        <x:v>74816130</x:v>
      </x:c>
      <x:c r="L1583" t="n">
        <x:v>1471</x:v>
      </x:c>
      <x:c r="M1583" t="n">
        <x:v>237.7</x:v>
      </x:c>
      <x:c r="N1583" t="n">
        <x:v>1.7</x:v>
      </x:c>
      <x:c r="O1583" t="n">
        <x:v>83.6</x:v>
      </x:c>
      <x:c r="P1583" t="str">
        <x:v>Snowy</x:v>
      </x:c>
      <x:c r="Q1583" t="n">
        <x:v>90</x:v>
      </x:c>
      <x:c r="R1583" t="n">
        <x:v>89.6</x:v>
      </x:c>
      <x:c r="S1583" t="n">
        <x:v>0.1093</x:v>
      </x:c>
      <x:c r="T1583" t="n">
        <x:v>19.8</x:v>
      </x:c>
      <x:c r="U1583" t="n">
        <x:v>1585.6</x:v>
      </x:c>
      <x:c r="V1583" t="n">
        <x:v>2949</x:v>
      </x:c>
      <x:c r="W1583" t="n">
        <x:v>58</x:v>
      </x:c>
    </x:row>
    <x:row r="1584">
      <x:c r="A1584" t="str">
        <x:v>PJT_1583</x:v>
      </x:c>
      <x:c r="B1584" t="str">
        <x:v>Humid Subtropical</x:v>
      </x:c>
      <x:c r="C1584" t="n">
        <x:v>27870</x:v>
      </x:c>
      <x:c r="D1584" t="n">
        <x:v>17</x:v>
      </x:c>
      <x:c r="E1584" t="str">
        <x:v>High</x:v>
      </x:c>
      <x:c r="F1584" t="str">
        <x:v>Mixed-use</x:v>
      </x:c>
      <x:c r="G1584" t="str">
        <x:v>Steel</x:v>
      </x:c>
      <x:c r="H1584" t="str">
        <x:v>Raft</x:v>
      </x:c>
      <x:c r="I1584" t="str">
        <x:v>Rock</x:v>
      </x:c>
      <x:c r="J1584" t="str">
        <x:v>Medium</x:v>
      </x:c>
      <x:c r="K1584" t="n">
        <x:v>81686970</x:v>
      </x:c>
      <x:c r="L1584" t="n">
        <x:v>1541</x:v>
      </x:c>
      <x:c r="M1584" t="n">
        <x:v>647.3</x:v>
      </x:c>
      <x:c r="N1584" t="n">
        <x:v>26.7</x:v>
      </x:c>
      <x:c r="O1584" t="n">
        <x:v>85.9</x:v>
      </x:c>
      <x:c r="P1584" t="str">
        <x:v>Rainy</x:v>
      </x:c>
      <x:c r="Q1584" t="n">
        <x:v>115</x:v>
      </x:c>
      <x:c r="R1584" t="n">
        <x:v>90.1</x:v>
      </x:c>
      <x:c r="S1584" t="n">
        <x:v>0.1057</x:v>
      </x:c>
      <x:c r="T1584" t="n">
        <x:v>20.7</x:v>
      </x:c>
      <x:c r="U1584" t="n">
        <x:v>1639.4</x:v>
      </x:c>
      <x:c r="V1584" t="n">
        <x:v>2931</x:v>
      </x:c>
      <x:c r="W1584" t="n">
        <x:v>55.3</x:v>
      </x:c>
    </x:row>
    <x:row r="1585">
      <x:c r="A1585" t="str">
        <x:v>PJT_1584</x:v>
      </x:c>
      <x:c r="B1585" t="str">
        <x:v>Continental</x:v>
      </x:c>
      <x:c r="C1585" t="n">
        <x:v>23180</x:v>
      </x:c>
      <x:c r="D1585" t="n">
        <x:v>16</x:v>
      </x:c>
      <x:c r="E1585" t="str">
        <x:v>Medium</x:v>
      </x:c>
      <x:c r="F1585" t="str">
        <x:v>Mixed-use</x:v>
      </x:c>
      <x:c r="G1585" t="str">
        <x:v>Steel</x:v>
      </x:c>
      <x:c r="H1585" t="str">
        <x:v>Piles</x:v>
      </x:c>
      <x:c r="I1585" t="str">
        <x:v>Sand</x:v>
      </x:c>
      <x:c r="J1585" t="str">
        <x:v>Low</x:v>
      </x:c>
      <x:c r="K1585" t="n">
        <x:v>62261480</x:v>
      </x:c>
      <x:c r="L1585" t="n">
        <x:v>1210</x:v>
      </x:c>
      <x:c r="M1585" t="n">
        <x:v>271.1</x:v>
      </x:c>
      <x:c r="N1585" t="n">
        <x:v>14.4</x:v>
      </x:c>
      <x:c r="O1585" t="n">
        <x:v>48.9</x:v>
      </x:c>
      <x:c r="P1585" t="str">
        <x:v>Cloudy</x:v>
      </x:c>
      <x:c r="Q1585" t="n">
        <x:v>98</x:v>
      </x:c>
      <x:c r="R1585" t="n">
        <x:v>81.3</x:v>
      </x:c>
      <x:c r="S1585" t="n">
        <x:v>0.1044</x:v>
      </x:c>
      <x:c r="T1585" t="n">
        <x:v>18.8</x:v>
      </x:c>
      <x:c r="U1585" t="n">
        <x:v>1448.8</x:v>
      </x:c>
      <x:c r="V1585" t="n">
        <x:v>2686</x:v>
      </x:c>
      <x:c r="W1585" t="n">
        <x:v>52.2</x:v>
      </x:c>
    </x:row>
    <x:row r="1586">
      <x:c r="A1586" t="str">
        <x:v>PJT_1585</x:v>
      </x:c>
      <x:c r="B1586" t="str">
        <x:v>Marine</x:v>
      </x:c>
      <x:c r="C1586" t="n">
        <x:v>14440</x:v>
      </x:c>
      <x:c r="D1586" t="n">
        <x:v>19</x:v>
      </x:c>
      <x:c r="E1586" t="str">
        <x:v>Low</x:v>
      </x:c>
      <x:c r="F1586" t="str">
        <x:v>Residential</x:v>
      </x:c>
      <x:c r="G1586" t="str">
        <x:v>Shear Wall</x:v>
      </x:c>
      <x:c r="H1586" t="str">
        <x:v>Piles</x:v>
      </x:c>
      <x:c r="I1586" t="str">
        <x:v>Soft Clay</x:v>
      </x:c>
      <x:c r="J1586" t="str">
        <x:v>Medium</x:v>
      </x:c>
      <x:c r="K1586" t="n">
        <x:v>22006560</x:v>
      </x:c>
      <x:c r="L1586" t="n">
        <x:v>544</x:v>
      </x:c>
      <x:c r="M1586" t="n">
        <x:v>179</x:v>
      </x:c>
      <x:c r="N1586" t="n">
        <x:v>15.3</x:v>
      </x:c>
      <x:c r="O1586" t="n">
        <x:v>79.3</x:v>
      </x:c>
      <x:c r="P1586" t="str">
        <x:v>Rainy</x:v>
      </x:c>
      <x:c r="Q1586" t="n">
        <x:v>72</x:v>
      </x:c>
      <x:c r="R1586" t="n">
        <x:v>70.8</x:v>
      </x:c>
      <x:c r="S1586" t="n">
        <x:v>0.0804</x:v>
      </x:c>
      <x:c r="T1586" t="n">
        <x:v>13.1</x:v>
      </x:c>
      <x:c r="U1586" t="n">
        <x:v>760</x:v>
      </x:c>
      <x:c r="V1586" t="n">
        <x:v>1524</x:v>
      </x:c>
      <x:c r="W1586" t="n">
        <x:v>37.7</x:v>
      </x:c>
    </x:row>
    <x:row r="1587">
      <x:c r="A1587" t="str">
        <x:v>PJT_1586</x:v>
      </x:c>
      <x:c r="B1587" t="str">
        <x:v>Humid Subtropical</x:v>
      </x:c>
      <x:c r="C1587" t="n">
        <x:v>21310</x:v>
      </x:c>
      <x:c r="D1587" t="n">
        <x:v>27</x:v>
      </x:c>
      <x:c r="E1587" t="str">
        <x:v>Medium</x:v>
      </x:c>
      <x:c r="F1587" t="str">
        <x:v>Residential</x:v>
      </x:c>
      <x:c r="G1587" t="str">
        <x:v>RC Frame</x:v>
      </x:c>
      <x:c r="H1587" t="str">
        <x:v>Piles</x:v>
      </x:c>
      <x:c r="I1587" t="str">
        <x:v>Mixed</x:v>
      </x:c>
      <x:c r="J1587" t="str">
        <x:v>Low</x:v>
      </x:c>
      <x:c r="K1587" t="n">
        <x:v>34351720</x:v>
      </x:c>
      <x:c r="L1587" t="n">
        <x:v>884</x:v>
      </x:c>
      <x:c r="M1587" t="n">
        <x:v>307.5</x:v>
      </x:c>
      <x:c r="N1587" t="n">
        <x:v>27.6</x:v>
      </x:c>
      <x:c r="O1587" t="n">
        <x:v>85.1</x:v>
      </x:c>
      <x:c r="P1587" t="str">
        <x:v>Rainy</x:v>
      </x:c>
      <x:c r="Q1587" t="n">
        <x:v>70</x:v>
      </x:c>
      <x:c r="R1587" t="n">
        <x:v>82.2</x:v>
      </x:c>
      <x:c r="S1587" t="n">
        <x:v>0.0819</x:v>
      </x:c>
      <x:c r="T1587" t="n">
        <x:v>12.4</x:v>
      </x:c>
      <x:c r="U1587" t="n">
        <x:v>789.3</x:v>
      </x:c>
      <x:c r="V1587" t="n">
        <x:v>1612</x:v>
      </x:c>
      <x:c r="W1587" t="n">
        <x:v>41.5</x:v>
      </x:c>
    </x:row>
    <x:row r="1588">
      <x:c r="A1588" t="str">
        <x:v>PJT_1587</x:v>
      </x:c>
      <x:c r="B1588" t="str">
        <x:v>Humid Subtropical</x:v>
      </x:c>
      <x:c r="C1588" t="n">
        <x:v>10960</x:v>
      </x:c>
      <x:c r="D1588" t="n">
        <x:v>9</x:v>
      </x:c>
      <x:c r="E1588" t="str">
        <x:v>Medium</x:v>
      </x:c>
      <x:c r="F1588" t="str">
        <x:v>Commercial</x:v>
      </x:c>
      <x:c r="G1588" t="str">
        <x:v>RC Frame</x:v>
      </x:c>
      <x:c r="H1588" t="str">
        <x:v>Raft</x:v>
      </x:c>
      <x:c r="I1588" t="str">
        <x:v>Sand</x:v>
      </x:c>
      <x:c r="J1588" t="str">
        <x:v>High</x:v>
      </x:c>
      <x:c r="K1588" t="n">
        <x:v>25701200</x:v>
      </x:c>
      <x:c r="L1588" t="n">
        <x:v>426</x:v>
      </x:c>
      <x:c r="M1588" t="n">
        <x:v>225.1</x:v>
      </x:c>
      <x:c r="N1588" t="n">
        <x:v>28.6</x:v>
      </x:c>
      <x:c r="O1588" t="n">
        <x:v>57.8</x:v>
      </x:c>
      <x:c r="P1588" t="str">
        <x:v>Sunny</x:v>
      </x:c>
      <x:c r="Q1588" t="n">
        <x:v>102</x:v>
      </x:c>
      <x:c r="R1588" t="n">
        <x:v>71.9</x:v>
      </x:c>
      <x:c r="S1588" t="n">
        <x:v>0.0871</x:v>
      </x:c>
      <x:c r="T1588" t="n">
        <x:v>16.6</x:v>
      </x:c>
      <x:c r="U1588" t="n">
        <x:v>1217.8</x:v>
      </x:c>
      <x:c r="V1588" t="n">
        <x:v>2345</x:v>
      </x:c>
      <x:c r="W1588" t="n">
        <x:v>38.9</x:v>
      </x:c>
    </x:row>
    <x:row r="1589">
      <x:c r="A1589" t="str">
        <x:v>PJT_1588</x:v>
      </x:c>
      <x:c r="B1589" t="str">
        <x:v>Mediterranean</x:v>
      </x:c>
      <x:c r="C1589" t="n">
        <x:v>22270</x:v>
      </x:c>
      <x:c r="D1589" t="n">
        <x:v>20</x:v>
      </x:c>
      <x:c r="E1589" t="str">
        <x:v>Medium</x:v>
      </x:c>
      <x:c r="F1589" t="str">
        <x:v>Residential</x:v>
      </x:c>
      <x:c r="G1589" t="str">
        <x:v>Shear Wall</x:v>
      </x:c>
      <x:c r="H1589" t="str">
        <x:v>Piles</x:v>
      </x:c>
      <x:c r="I1589" t="str">
        <x:v>Mixed</x:v>
      </x:c>
      <x:c r="J1589" t="str">
        <x:v>Medium</x:v>
      </x:c>
      <x:c r="K1589" t="n">
        <x:v>35654270</x:v>
      </x:c>
      <x:c r="L1589" t="n">
        <x:v>842</x:v>
      </x:c>
      <x:c r="M1589" t="n">
        <x:v>376.2</x:v>
      </x:c>
      <x:c r="N1589" t="n">
        <x:v>20.4</x:v>
      </x:c>
      <x:c r="O1589" t="n">
        <x:v>42.3</x:v>
      </x:c>
      <x:c r="P1589" t="str">
        <x:v>Sunny</x:v>
      </x:c>
      <x:c r="Q1589" t="n">
        <x:v>86</x:v>
      </x:c>
      <x:c r="R1589" t="n">
        <x:v>78.9</x:v>
      </x:c>
      <x:c r="S1589" t="n">
        <x:v>0.0806</x:v>
      </x:c>
      <x:c r="T1589" t="n">
        <x:v>14</x:v>
      </x:c>
      <x:c r="U1589" t="n">
        <x:v>1113.5</x:v>
      </x:c>
      <x:c r="V1589" t="n">
        <x:v>1601</x:v>
      </x:c>
      <x:c r="W1589" t="n">
        <x:v>37.8</x:v>
      </x:c>
    </x:row>
    <x:row r="1590">
      <x:c r="A1590" t="str">
        <x:v>PJT_1589</x:v>
      </x:c>
      <x:c r="B1590" t="str">
        <x:v>Humid Subtropical</x:v>
      </x:c>
      <x:c r="C1590" t="n">
        <x:v>30630</x:v>
      </x:c>
      <x:c r="D1590" t="n">
        <x:v>24</x:v>
      </x:c>
      <x:c r="E1590" t="str">
        <x:v>High</x:v>
      </x:c>
      <x:c r="F1590" t="str">
        <x:v>Mixed-use</x:v>
      </x:c>
      <x:c r="G1590" t="str">
        <x:v>Steel</x:v>
      </x:c>
      <x:c r="H1590" t="str">
        <x:v>Piles</x:v>
      </x:c>
      <x:c r="I1590" t="str">
        <x:v>Soft Clay</x:v>
      </x:c>
      <x:c r="J1590" t="str">
        <x:v>Medium</x:v>
      </x:c>
      <x:c r="K1590" t="n">
        <x:v>91093620</x:v>
      </x:c>
      <x:c r="L1590" t="n">
        <x:v>1703</x:v>
      </x:c>
      <x:c r="M1590" t="n">
        <x:v>205.2</x:v>
      </x:c>
      <x:c r="N1590" t="n">
        <x:v>29.6</x:v>
      </x:c>
      <x:c r="O1590" t="n">
        <x:v>54.4</x:v>
      </x:c>
      <x:c r="P1590" t="str">
        <x:v>Sunny</x:v>
      </x:c>
      <x:c r="Q1590" t="n">
        <x:v>107</x:v>
      </x:c>
      <x:c r="R1590" t="n">
        <x:v>87.2</x:v>
      </x:c>
      <x:c r="S1590" t="n">
        <x:v>0.1094</x:v>
      </x:c>
      <x:c r="T1590" t="n">
        <x:v>21.2</x:v>
      </x:c>
      <x:c r="U1590" t="n">
        <x:v>1276.2</x:v>
      </x:c>
      <x:c r="V1590" t="n">
        <x:v>2974</x:v>
      </x:c>
      <x:c r="W1590" t="n">
        <x:v>55.6</x:v>
      </x:c>
    </x:row>
    <x:row r="1591">
      <x:c r="A1591" t="str">
        <x:v>PJT_1590</x:v>
      </x:c>
      <x:c r="B1591" t="str">
        <x:v>Marine</x:v>
      </x:c>
      <x:c r="C1591" t="n">
        <x:v>20590</x:v>
      </x:c>
      <x:c r="D1591" t="n">
        <x:v>21</x:v>
      </x:c>
      <x:c r="E1591" t="str">
        <x:v>Medium</x:v>
      </x:c>
      <x:c r="F1591" t="str">
        <x:v>Mixed-use</x:v>
      </x:c>
      <x:c r="G1591" t="str">
        <x:v>Steel</x:v>
      </x:c>
      <x:c r="H1591" t="str">
        <x:v>Piles</x:v>
      </x:c>
      <x:c r="I1591" t="str">
        <x:v>Sand</x:v>
      </x:c>
      <x:c r="J1591" t="str">
        <x:v>Medium</x:v>
      </x:c>
      <x:c r="K1591" t="n">
        <x:v>57343150</x:v>
      </x:c>
      <x:c r="L1591" t="n">
        <x:v>1085</x:v>
      </x:c>
      <x:c r="M1591" t="n">
        <x:v>256.5</x:v>
      </x:c>
      <x:c r="N1591" t="n">
        <x:v>17.6</x:v>
      </x:c>
      <x:c r="O1591" t="n">
        <x:v>62.4</x:v>
      </x:c>
      <x:c r="P1591" t="str">
        <x:v>Cloudy</x:v>
      </x:c>
      <x:c r="Q1591" t="n">
        <x:v>100</x:v>
      </x:c>
      <x:c r="R1591" t="n">
        <x:v>81.1</x:v>
      </x:c>
      <x:c r="S1591" t="n">
        <x:v>0.1023</x:v>
      </x:c>
      <x:c r="T1591" t="n">
        <x:v>19.2</x:v>
      </x:c>
      <x:c r="U1591" t="n">
        <x:v>980.5</x:v>
      </x:c>
      <x:c r="V1591" t="n">
        <x:v>2785</x:v>
      </x:c>
      <x:c r="W1591" t="n">
        <x:v>52.7</x:v>
      </x:c>
    </x:row>
    <x:row r="1592">
      <x:c r="A1592" t="str">
        <x:v>PJT_1591</x:v>
      </x:c>
      <x:c r="B1592" t="str">
        <x:v>Continental</x:v>
      </x:c>
      <x:c r="C1592" t="n">
        <x:v>20720</x:v>
      </x:c>
      <x:c r="D1592" t="n">
        <x:v>16</x:v>
      </x:c>
      <x:c r="E1592" t="str">
        <x:v>Medium</x:v>
      </x:c>
      <x:c r="F1592" t="str">
        <x:v>Commercial</x:v>
      </x:c>
      <x:c r="G1592" t="str">
        <x:v>Steel</x:v>
      </x:c>
      <x:c r="H1592" t="str">
        <x:v>Piles</x:v>
      </x:c>
      <x:c r="I1592" t="str">
        <x:v>Sand</x:v>
      </x:c>
      <x:c r="J1592" t="str">
        <x:v>Low</x:v>
      </x:c>
      <x:c r="K1592" t="n">
        <x:v>50618960</x:v>
      </x:c>
      <x:c r="L1592" t="n">
        <x:v>928</x:v>
      </x:c>
      <x:c r="M1592" t="n">
        <x:v>254</x:v>
      </x:c>
      <x:c r="N1592" t="n">
        <x:v>24.2</x:v>
      </x:c>
      <x:c r="O1592" t="n">
        <x:v>46.3</x:v>
      </x:c>
      <x:c r="P1592" t="str">
        <x:v>Sunny</x:v>
      </x:c>
      <x:c r="Q1592" t="n">
        <x:v>93</x:v>
      </x:c>
      <x:c r="R1592" t="n">
        <x:v>81.4</x:v>
      </x:c>
      <x:c r="S1592" t="n">
        <x:v>0.097</x:v>
      </x:c>
      <x:c r="T1592" t="n">
        <x:v>17.9</x:v>
      </x:c>
      <x:c r="U1592" t="n">
        <x:v>1295</x:v>
      </x:c>
      <x:c r="V1592" t="n">
        <x:v>2443</x:v>
      </x:c>
      <x:c r="W1592" t="n">
        <x:v>44.8</x:v>
      </x:c>
    </x:row>
    <x:row r="1593">
      <x:c r="A1593" t="str">
        <x:v>PJT_1592</x:v>
      </x:c>
      <x:c r="B1593" t="str">
        <x:v>Humid Subtropical</x:v>
      </x:c>
      <x:c r="C1593" t="n">
        <x:v>17500</x:v>
      </x:c>
      <x:c r="D1593" t="n">
        <x:v>16</x:v>
      </x:c>
      <x:c r="E1593" t="str">
        <x:v>High</x:v>
      </x:c>
      <x:c r="F1593" t="str">
        <x:v>Mixed-use</x:v>
      </x:c>
      <x:c r="G1593" t="str">
        <x:v>Steel</x:v>
      </x:c>
      <x:c r="H1593" t="str">
        <x:v>Piles</x:v>
      </x:c>
      <x:c r="I1593" t="str">
        <x:v>Sand</x:v>
      </x:c>
      <x:c r="J1593" t="str">
        <x:v>High</x:v>
      </x:c>
      <x:c r="K1593" t="n">
        <x:v>52605000</x:v>
      </x:c>
      <x:c r="L1593" t="n">
        <x:v>928</x:v>
      </x:c>
      <x:c r="M1593" t="n">
        <x:v>277.4</x:v>
      </x:c>
      <x:c r="N1593" t="n">
        <x:v>27</x:v>
      </x:c>
      <x:c r="O1593" t="n">
        <x:v>70.8</x:v>
      </x:c>
      <x:c r="P1593" t="str">
        <x:v>Sunny</x:v>
      </x:c>
      <x:c r="Q1593" t="n">
        <x:v>91</x:v>
      </x:c>
      <x:c r="R1593" t="n">
        <x:v>82.5</x:v>
      </x:c>
      <x:c r="S1593" t="n">
        <x:v>0.1098</x:v>
      </x:c>
      <x:c r="T1593" t="n">
        <x:v>20.9</x:v>
      </x:c>
      <x:c r="U1593" t="n">
        <x:v>1093.8</x:v>
      </x:c>
      <x:c r="V1593" t="n">
        <x:v>3006</x:v>
      </x:c>
      <x:c r="W1593" t="n">
        <x:v>53</x:v>
      </x:c>
    </x:row>
    <x:row r="1594">
      <x:c r="A1594" t="str">
        <x:v>PJT_1593</x:v>
      </x:c>
      <x:c r="B1594" t="str">
        <x:v>Humid Subtropical</x:v>
      </x:c>
      <x:c r="C1594" t="n">
        <x:v>7390</x:v>
      </x:c>
      <x:c r="D1594" t="n">
        <x:v>4</x:v>
      </x:c>
      <x:c r="E1594" t="str">
        <x:v>Medium</x:v>
      </x:c>
      <x:c r="F1594" t="str">
        <x:v>School</x:v>
      </x:c>
      <x:c r="G1594" t="str">
        <x:v>RC Frame</x:v>
      </x:c>
      <x:c r="H1594" t="str">
        <x:v>Raft</x:v>
      </x:c>
      <x:c r="I1594" t="str">
        <x:v>Mixed</x:v>
      </x:c>
      <x:c r="J1594" t="str">
        <x:v>High</x:v>
      </x:c>
      <x:c r="K1594" t="n">
        <x:v>13715840</x:v>
      </x:c>
      <x:c r="L1594" t="n">
        <x:v>240</x:v>
      </x:c>
      <x:c r="M1594" t="n">
        <x:v>351.5</x:v>
      </x:c>
      <x:c r="N1594" t="n">
        <x:v>25.7</x:v>
      </x:c>
      <x:c r="O1594" t="n">
        <x:v>91.4</x:v>
      </x:c>
      <x:c r="P1594" t="str">
        <x:v>Rainy</x:v>
      </x:c>
      <x:c r="Q1594" t="n">
        <x:v>87</x:v>
      </x:c>
      <x:c r="R1594" t="n">
        <x:v>65.7</x:v>
      </x:c>
      <x:c r="S1594" t="n">
        <x:v>0.0794</x:v>
      </x:c>
      <x:c r="T1594" t="n">
        <x:v>15.4</x:v>
      </x:c>
      <x:c r="U1594" t="n">
        <x:v>1847.5</x:v>
      </x:c>
      <x:c r="V1594" t="n">
        <x:v>1856</x:v>
      </x:c>
      <x:c r="W1594" t="n">
        <x:v>32.5</x:v>
      </x:c>
    </x:row>
    <x:row r="1595">
      <x:c r="A1595" t="str">
        <x:v>PJT_1594</x:v>
      </x:c>
      <x:c r="B1595" t="str">
        <x:v>Humid Subtropical</x:v>
      </x:c>
      <x:c r="C1595" t="n">
        <x:v>26530</x:v>
      </x:c>
      <x:c r="D1595" t="n">
        <x:v>20</x:v>
      </x:c>
      <x:c r="E1595" t="str">
        <x:v>High</x:v>
      </x:c>
      <x:c r="F1595" t="str">
        <x:v>Mixed-use</x:v>
      </x:c>
      <x:c r="G1595" t="str">
        <x:v>Steel</x:v>
      </x:c>
      <x:c r="H1595" t="str">
        <x:v>Piles</x:v>
      </x:c>
      <x:c r="I1595" t="str">
        <x:v>Rock</x:v>
      </x:c>
      <x:c r="J1595" t="str">
        <x:v>Medium</x:v>
      </x:c>
      <x:c r="K1595" t="n">
        <x:v>76724760</x:v>
      </x:c>
      <x:c r="L1595" t="n">
        <x:v>1512</x:v>
      </x:c>
      <x:c r="M1595" t="n">
        <x:v>712.7</x:v>
      </x:c>
      <x:c r="N1595" t="n">
        <x:v>22.5</x:v>
      </x:c>
      <x:c r="O1595" t="n">
        <x:v>81.2</x:v>
      </x:c>
      <x:c r="P1595" t="str">
        <x:v>Cloudy</x:v>
      </x:c>
      <x:c r="Q1595" t="n">
        <x:v>98</x:v>
      </x:c>
      <x:c r="R1595" t="n">
        <x:v>88.4</x:v>
      </x:c>
      <x:c r="S1595" t="n">
        <x:v>0.1056</x:v>
      </x:c>
      <x:c r="T1595" t="n">
        <x:v>20</x:v>
      </x:c>
      <x:c r="U1595" t="n">
        <x:v>1326.5</x:v>
      </x:c>
      <x:c r="V1595" t="n">
        <x:v>2892</x:v>
      </x:c>
      <x:c r="W1595" t="n">
        <x:v>57</x:v>
      </x:c>
    </x:row>
    <x:row r="1596">
      <x:c r="A1596" t="str">
        <x:v>PJT_1595</x:v>
      </x:c>
      <x:c r="B1596" t="str">
        <x:v>Marine</x:v>
      </x:c>
      <x:c r="C1596" t="n">
        <x:v>35590</x:v>
      </x:c>
      <x:c r="D1596" t="n">
        <x:v>23</x:v>
      </x:c>
      <x:c r="E1596" t="str">
        <x:v>High</x:v>
      </x:c>
      <x:c r="F1596" t="str">
        <x:v>Mixed-use</x:v>
      </x:c>
      <x:c r="G1596" t="str">
        <x:v>Steel</x:v>
      </x:c>
      <x:c r="H1596" t="str">
        <x:v>Piles</x:v>
      </x:c>
      <x:c r="I1596" t="str">
        <x:v>Rock</x:v>
      </x:c>
      <x:c r="J1596" t="str">
        <x:v>Low</x:v>
      </x:c>
      <x:c r="K1596" t="n">
        <x:v>99082560</x:v>
      </x:c>
      <x:c r="L1596" t="n">
        <x:v>2025</x:v>
      </x:c>
      <x:c r="M1596" t="n">
        <x:v>700.8</x:v>
      </x:c>
      <x:c r="N1596" t="n">
        <x:v>6.8</x:v>
      </x:c>
      <x:c r="O1596" t="n">
        <x:v>77.6</x:v>
      </x:c>
      <x:c r="P1596" t="str">
        <x:v>Rainy</x:v>
      </x:c>
      <x:c r="Q1596" t="n">
        <x:v>91</x:v>
      </x:c>
      <x:c r="R1596" t="n">
        <x:v>92</x:v>
      </x:c>
      <x:c r="S1596" t="n">
        <x:v>0.1075</x:v>
      </x:c>
      <x:c r="T1596" t="n">
        <x:v>21.3</x:v>
      </x:c>
      <x:c r="U1596" t="n">
        <x:v>1547.4</x:v>
      </x:c>
      <x:c r="V1596" t="n">
        <x:v>2784</x:v>
      </x:c>
      <x:c r="W1596" t="n">
        <x:v>56.9</x:v>
      </x:c>
    </x:row>
    <x:row r="1597">
      <x:c r="A1597" t="str">
        <x:v>PJT_1596</x:v>
      </x:c>
      <x:c r="B1597" t="str">
        <x:v>Mediterranean</x:v>
      </x:c>
      <x:c r="C1597" t="n">
        <x:v>16610</x:v>
      </x:c>
      <x:c r="D1597" t="n">
        <x:v>9</x:v>
      </x:c>
      <x:c r="E1597" t="str">
        <x:v>Medium</x:v>
      </x:c>
      <x:c r="F1597" t="str">
        <x:v>Commercial</x:v>
      </x:c>
      <x:c r="G1597" t="str">
        <x:v>RC Frame</x:v>
      </x:c>
      <x:c r="H1597" t="str">
        <x:v>Raft</x:v>
      </x:c>
      <x:c r="I1597" t="str">
        <x:v>Mixed</x:v>
      </x:c>
      <x:c r="J1597" t="str">
        <x:v>High</x:v>
      </x:c>
      <x:c r="K1597" t="n">
        <x:v>38070120</x:v>
      </x:c>
      <x:c r="L1597" t="n">
        <x:v>703</x:v>
      </x:c>
      <x:c r="M1597" t="n">
        <x:v>334.6</x:v>
      </x:c>
      <x:c r="N1597" t="n">
        <x:v>14.2</x:v>
      </x:c>
      <x:c r="O1597" t="n">
        <x:v>69.9</x:v>
      </x:c>
      <x:c r="P1597" t="str">
        <x:v>Rainy</x:v>
      </x:c>
      <x:c r="Q1597" t="n">
        <x:v>98</x:v>
      </x:c>
      <x:c r="R1597" t="n">
        <x:v>77.9</x:v>
      </x:c>
      <x:c r="S1597" t="n">
        <x:v>0.0876</x:v>
      </x:c>
      <x:c r="T1597" t="n">
        <x:v>16.7</x:v>
      </x:c>
      <x:c r="U1597" t="n">
        <x:v>1845.6</x:v>
      </x:c>
      <x:c r="V1597" t="n">
        <x:v>2292</x:v>
      </x:c>
      <x:c r="W1597" t="n">
        <x:v>42.3</x:v>
      </x:c>
    </x:row>
    <x:row r="1598">
      <x:c r="A1598" t="str">
        <x:v>PJT_1597</x:v>
      </x:c>
      <x:c r="B1598" t="str">
        <x:v>Humid Subtropical</x:v>
      </x:c>
      <x:c r="C1598" t="n">
        <x:v>29580</x:v>
      </x:c>
      <x:c r="D1598" t="n">
        <x:v>13</x:v>
      </x:c>
      <x:c r="E1598" t="str">
        <x:v>Medium</x:v>
      </x:c>
      <x:c r="F1598" t="str">
        <x:v>Hospital</x:v>
      </x:c>
      <x:c r="G1598" t="str">
        <x:v>Shear Wall</x:v>
      </x:c>
      <x:c r="H1598" t="str">
        <x:v>Piles</x:v>
      </x:c>
      <x:c r="I1598" t="str">
        <x:v>Mixed</x:v>
      </x:c>
      <x:c r="J1598" t="str">
        <x:v>Medium</x:v>
      </x:c>
      <x:c r="K1598" t="n">
        <x:v>93679860</x:v>
      </x:c>
      <x:c r="L1598" t="n">
        <x:v>1488</x:v>
      </x:c>
      <x:c r="M1598" t="n">
        <x:v>409.6</x:v>
      </x:c>
      <x:c r="N1598" t="n">
        <x:v>32.8</x:v>
      </x:c>
      <x:c r="O1598" t="n">
        <x:v>55.5</x:v>
      </x:c>
      <x:c r="P1598" t="str">
        <x:v>Sunny</x:v>
      </x:c>
      <x:c r="Q1598" t="n">
        <x:v>72</x:v>
      </x:c>
      <x:c r="R1598" t="n">
        <x:v>81.5</x:v>
      </x:c>
      <x:c r="S1598" t="n">
        <x:v>0.1066</x:v>
      </x:c>
      <x:c r="T1598" t="n">
        <x:v>20.5</x:v>
      </x:c>
      <x:c r="U1598" t="n">
        <x:v>2275.4</x:v>
      </x:c>
      <x:c r="V1598" t="n">
        <x:v>3167</x:v>
      </x:c>
      <x:c r="W1598" t="n">
        <x:v>50.3</x:v>
      </x:c>
    </x:row>
    <x:row r="1599">
      <x:c r="A1599" t="str">
        <x:v>PJT_1598</x:v>
      </x:c>
      <x:c r="B1599" t="str">
        <x:v>Continental</x:v>
      </x:c>
      <x:c r="C1599" t="n">
        <x:v>27230</x:v>
      </x:c>
      <x:c r="D1599" t="n">
        <x:v>16</x:v>
      </x:c>
      <x:c r="E1599" t="str">
        <x:v>High</x:v>
      </x:c>
      <x:c r="F1599" t="str">
        <x:v>Mixed-use</x:v>
      </x:c>
      <x:c r="G1599" t="str">
        <x:v>Steel</x:v>
      </x:c>
      <x:c r="H1599" t="str">
        <x:v>Piles</x:v>
      </x:c>
      <x:c r="I1599" t="str">
        <x:v>Soft Clay</x:v>
      </x:c>
      <x:c r="J1599" t="str">
        <x:v>High</x:v>
      </x:c>
      <x:c r="K1599" t="n">
        <x:v>80573570</x:v>
      </x:c>
      <x:c r="L1599" t="n">
        <x:v>1566</x:v>
      </x:c>
      <x:c r="M1599" t="n">
        <x:v>161.7</x:v>
      </x:c>
      <x:c r="N1599" t="n">
        <x:v>9.2</x:v>
      </x:c>
      <x:c r="O1599" t="n">
        <x:v>70.2</x:v>
      </x:c>
      <x:c r="P1599" t="str">
        <x:v>Stormy</x:v>
      </x:c>
      <x:c r="Q1599" t="n">
        <x:v>89</x:v>
      </x:c>
      <x:c r="R1599" t="n">
        <x:v>83</x:v>
      </x:c>
      <x:c r="S1599" t="n">
        <x:v>0.1077</x:v>
      </x:c>
      <x:c r="T1599" t="n">
        <x:v>20.9</x:v>
      </x:c>
      <x:c r="U1599" t="n">
        <x:v>1701.9</x:v>
      </x:c>
      <x:c r="V1599" t="n">
        <x:v>2959</x:v>
      </x:c>
      <x:c r="W1599" t="n">
        <x:v>57.5</x:v>
      </x:c>
    </x:row>
    <x:row r="1600">
      <x:c r="A1600" t="str">
        <x:v>PJT_1599</x:v>
      </x:c>
      <x:c r="B1600" t="str">
        <x:v>Mediterranean</x:v>
      </x:c>
      <x:c r="C1600" t="n">
        <x:v>7290</x:v>
      </x:c>
      <x:c r="D1600" t="n">
        <x:v>9</x:v>
      </x:c>
      <x:c r="E1600" t="str">
        <x:v>Low</x:v>
      </x:c>
      <x:c r="F1600" t="str">
        <x:v>Residential</x:v>
      </x:c>
      <x:c r="G1600" t="str">
        <x:v>Shear Wall</x:v>
      </x:c>
      <x:c r="H1600" t="str">
        <x:v>Raft</x:v>
      </x:c>
      <x:c r="I1600" t="str">
        <x:v>Rock</x:v>
      </x:c>
      <x:c r="J1600" t="str">
        <x:v>High</x:v>
      </x:c>
      <x:c r="K1600" t="n">
        <x:v>11139120</x:v>
      </x:c>
      <x:c r="L1600" t="n">
        <x:v>222</x:v>
      </x:c>
      <x:c r="M1600" t="n">
        <x:v>722.4</x:v>
      </x:c>
      <x:c r="N1600" t="n">
        <x:v>24.2</x:v>
      </x:c>
      <x:c r="O1600" t="n">
        <x:v>56.8</x:v>
      </x:c>
      <x:c r="P1600" t="str">
        <x:v>Sunny</x:v>
      </x:c>
      <x:c r="Q1600" t="n">
        <x:v>85</x:v>
      </x:c>
      <x:c r="R1600" t="n">
        <x:v>66.4</x:v>
      </x:c>
      <x:c r="S1600" t="n">
        <x:v>0.0743</x:v>
      </x:c>
      <x:c r="T1600" t="n">
        <x:v>12.7</x:v>
      </x:c>
      <x:c r="U1600" t="n">
        <x:v>810</x:v>
      </x:c>
      <x:c r="V1600" t="n">
        <x:v>1528</x:v>
      </x:c>
      <x:c r="W1600" t="n">
        <x:v>30.4</x:v>
      </x:c>
    </x:row>
    <x:row r="1601">
      <x:c r="A1601" t="str">
        <x:v>PJT_1600</x:v>
      </x:c>
      <x:c r="B1601" t="str">
        <x:v>Humid Subtropical</x:v>
      </x:c>
      <x:c r="C1601" t="n">
        <x:v>5960</x:v>
      </x:c>
      <x:c r="D1601" t="n">
        <x:v>8</x:v>
      </x:c>
      <x:c r="E1601" t="str">
        <x:v>Low</x:v>
      </x:c>
      <x:c r="F1601" t="str">
        <x:v>Residential</x:v>
      </x:c>
      <x:c r="G1601" t="str">
        <x:v>RC Frame</x:v>
      </x:c>
      <x:c r="H1601" t="str">
        <x:v>Piles</x:v>
      </x:c>
      <x:c r="I1601" t="str">
        <x:v>Soft Clay</x:v>
      </x:c>
      <x:c r="J1601" t="str">
        <x:v>Medium</x:v>
      </x:c>
      <x:c r="K1601" t="n">
        <x:v>8975760</x:v>
      </x:c>
      <x:c r="L1601" t="n">
        <x:v>184</x:v>
      </x:c>
      <x:c r="M1601" t="n">
        <x:v>211.5</x:v>
      </x:c>
      <x:c r="N1601" t="n">
        <x:v>29.1</x:v>
      </x:c>
      <x:c r="O1601" t="n">
        <x:v>54.5</x:v>
      </x:c>
      <x:c r="P1601" t="str">
        <x:v>Sunny</x:v>
      </x:c>
      <x:c r="Q1601" t="n">
        <x:v>70</x:v>
      </x:c>
      <x:c r="R1601" t="n">
        <x:v>65</x:v>
      </x:c>
      <x:c r="S1601" t="n">
        <x:v>0.0748</x:v>
      </x:c>
      <x:c r="T1601" t="n">
        <x:v>12.2</x:v>
      </x:c>
      <x:c r="U1601" t="n">
        <x:v>745</x:v>
      </x:c>
      <x:c r="V1601" t="n">
        <x:v>1506</x:v>
      </x:c>
      <x:c r="W1601" t="n">
        <x:v>30.9</x:v>
      </x:c>
    </x:row>
    <x:row r="1602">
      <x:c r="A1602" t="str">
        <x:v>PJT_1601</x:v>
      </x:c>
      <x:c r="B1602" t="str">
        <x:v>Continental</x:v>
      </x:c>
      <x:c r="C1602" t="n">
        <x:v>21570</x:v>
      </x:c>
      <x:c r="D1602" t="n">
        <x:v>15</x:v>
      </x:c>
      <x:c r="E1602" t="str">
        <x:v>Medium</x:v>
      </x:c>
      <x:c r="F1602" t="str">
        <x:v>Mixed-use</x:v>
      </x:c>
      <x:c r="G1602" t="str">
        <x:v>Steel</x:v>
      </x:c>
      <x:c r="H1602" t="str">
        <x:v>Piles</x:v>
      </x:c>
      <x:c r="I1602" t="str">
        <x:v>Mixed</x:v>
      </x:c>
      <x:c r="J1602" t="str">
        <x:v>Low</x:v>
      </x:c>
      <x:c r="K1602" t="n">
        <x:v>55585890</x:v>
      </x:c>
      <x:c r="L1602" t="n">
        <x:v>1117</x:v>
      </x:c>
      <x:c r="M1602" t="n">
        <x:v>348.5</x:v>
      </x:c>
      <x:c r="N1602" t="n">
        <x:v>14</x:v>
      </x:c>
      <x:c r="O1602" t="n">
        <x:v>83.4</x:v>
      </x:c>
      <x:c r="P1602" t="str">
        <x:v>Rainy</x:v>
      </x:c>
      <x:c r="Q1602" t="n">
        <x:v>108</x:v>
      </x:c>
      <x:c r="R1602" t="n">
        <x:v>81.7</x:v>
      </x:c>
      <x:c r="S1602" t="n">
        <x:v>0.0986</x:v>
      </x:c>
      <x:c r="T1602" t="n">
        <x:v>19.1</x:v>
      </x:c>
      <x:c r="U1602" t="n">
        <x:v>1438</x:v>
      </x:c>
      <x:c r="V1602" t="n">
        <x:v>2577</x:v>
      </x:c>
      <x:c r="W1602" t="n">
        <x:v>51.8</x:v>
      </x:c>
    </x:row>
    <x:row r="1603">
      <x:c r="A1603" t="str">
        <x:v>PJT_1602</x:v>
      </x:c>
      <x:c r="B1603" t="str">
        <x:v>Mediterranean</x:v>
      </x:c>
      <x:c r="C1603" t="n">
        <x:v>15990</x:v>
      </x:c>
      <x:c r="D1603" t="n">
        <x:v>11</x:v>
      </x:c>
      <x:c r="E1603" t="str">
        <x:v>Medium</x:v>
      </x:c>
      <x:c r="F1603" t="str">
        <x:v>Commercial</x:v>
      </x:c>
      <x:c r="G1603" t="str">
        <x:v>Steel</x:v>
      </x:c>
      <x:c r="H1603" t="str">
        <x:v>Raft</x:v>
      </x:c>
      <x:c r="I1603" t="str">
        <x:v>Mixed</x:v>
      </x:c>
      <x:c r="J1603" t="str">
        <x:v>Low</x:v>
      </x:c>
      <x:c r="K1603" t="n">
        <x:v>35465820</x:v>
      </x:c>
      <x:c r="L1603" t="n">
        <x:v>713</x:v>
      </x:c>
      <x:c r="M1603" t="n">
        <x:v>319.9</x:v>
      </x:c>
      <x:c r="N1603" t="n">
        <x:v>13.9</x:v>
      </x:c>
      <x:c r="O1603" t="n">
        <x:v>68.9</x:v>
      </x:c>
      <x:c r="P1603" t="str">
        <x:v>Rainy</x:v>
      </x:c>
      <x:c r="Q1603" t="n">
        <x:v>77</x:v>
      </x:c>
      <x:c r="R1603" t="n">
        <x:v>73.3</x:v>
      </x:c>
      <x:c r="S1603" t="n">
        <x:v>0.094</x:v>
      </x:c>
      <x:c r="T1603" t="n">
        <x:v>17</x:v>
      </x:c>
      <x:c r="U1603" t="n">
        <x:v>1453.6</x:v>
      </x:c>
      <x:c r="V1603" t="n">
        <x:v>2218</x:v>
      </x:c>
      <x:c r="W1603" t="n">
        <x:v>44.6</x:v>
      </x:c>
    </x:row>
    <x:row r="1604">
      <x:c r="A1604" t="str">
        <x:v>PJT_1603</x:v>
      </x:c>
      <x:c r="B1604" t="str">
        <x:v>Continental</x:v>
      </x:c>
      <x:c r="C1604" t="n">
        <x:v>29620</x:v>
      </x:c>
      <x:c r="D1604" t="n">
        <x:v>19</x:v>
      </x:c>
      <x:c r="E1604" t="str">
        <x:v>Medium</x:v>
      </x:c>
      <x:c r="F1604" t="str">
        <x:v>Mixed-use</x:v>
      </x:c>
      <x:c r="G1604" t="str">
        <x:v>Steel</x:v>
      </x:c>
      <x:c r="H1604" t="str">
        <x:v>Piles</x:v>
      </x:c>
      <x:c r="I1604" t="str">
        <x:v>Sand</x:v>
      </x:c>
      <x:c r="J1604" t="str">
        <x:v>Low</x:v>
      </x:c>
      <x:c r="K1604" t="n">
        <x:v>77604400</x:v>
      </x:c>
      <x:c r="L1604" t="n">
        <x:v>1632</x:v>
      </x:c>
      <x:c r="M1604" t="n">
        <x:v>277.3</x:v>
      </x:c>
      <x:c r="N1604" t="n">
        <x:v>11.9</x:v>
      </x:c>
      <x:c r="O1604" t="n">
        <x:v>89.4</x:v>
      </x:c>
      <x:c r="P1604" t="str">
        <x:v>Stormy</x:v>
      </x:c>
      <x:c r="Q1604" t="n">
        <x:v>108</x:v>
      </x:c>
      <x:c r="R1604" t="n">
        <x:v>88.5</x:v>
      </x:c>
      <x:c r="S1604" t="n">
        <x:v>0.098</x:v>
      </x:c>
      <x:c r="T1604" t="n">
        <x:v>18.8</x:v>
      </x:c>
      <x:c r="U1604" t="n">
        <x:v>1558.9</x:v>
      </x:c>
      <x:c r="V1604" t="n">
        <x:v>2620</x:v>
      </x:c>
      <x:c r="W1604" t="n">
        <x:v>55.1</x:v>
      </x:c>
    </x:row>
    <x:row r="1605">
      <x:c r="A1605" t="str">
        <x:v>PJT_1604</x:v>
      </x:c>
      <x:c r="B1605" t="str">
        <x:v>Mediterranean</x:v>
      </x:c>
      <x:c r="C1605" t="n">
        <x:v>7110</x:v>
      </x:c>
      <x:c r="D1605" t="n">
        <x:v>3</x:v>
      </x:c>
      <x:c r="E1605" t="str">
        <x:v>Low</x:v>
      </x:c>
      <x:c r="F1605" t="str">
        <x:v>School</x:v>
      </x:c>
      <x:c r="G1605" t="str">
        <x:v>RC Frame</x:v>
      </x:c>
      <x:c r="H1605" t="str">
        <x:v>Raft</x:v>
      </x:c>
      <x:c r="I1605" t="str">
        <x:v>Soft Clay</x:v>
      </x:c>
      <x:c r="J1605" t="str">
        <x:v>Medium</x:v>
      </x:c>
      <x:c r="K1605" t="n">
        <x:v>11610630</x:v>
      </x:c>
      <x:c r="L1605" t="n">
        <x:v>223</x:v>
      </x:c>
      <x:c r="M1605" t="n">
        <x:v>163.2</x:v>
      </x:c>
      <x:c r="N1605" t="n">
        <x:v>12.1</x:v>
      </x:c>
      <x:c r="O1605" t="n">
        <x:v>70</x:v>
      </x:c>
      <x:c r="P1605" t="str">
        <x:v>Rainy</x:v>
      </x:c>
      <x:c r="Q1605" t="n">
        <x:v>92</x:v>
      </x:c>
      <x:c r="R1605" t="n">
        <x:v>67</x:v>
      </x:c>
      <x:c r="S1605" t="n">
        <x:v>0.0773</x:v>
      </x:c>
      <x:c r="T1605" t="n">
        <x:v>14.1</x:v>
      </x:c>
      <x:c r="U1605" t="n">
        <x:v>2370</x:v>
      </x:c>
      <x:c r="V1605" t="n">
        <x:v>1633</x:v>
      </x:c>
      <x:c r="W1605" t="n">
        <x:v>31.4</x:v>
      </x:c>
    </x:row>
    <x:row r="1606">
      <x:c r="A1606" t="str">
        <x:v>PJT_1605</x:v>
      </x:c>
      <x:c r="B1606" t="str">
        <x:v>Marine</x:v>
      </x:c>
      <x:c r="C1606" t="n">
        <x:v>19370</x:v>
      </x:c>
      <x:c r="D1606" t="n">
        <x:v>11</x:v>
      </x:c>
      <x:c r="E1606" t="str">
        <x:v>Medium</x:v>
      </x:c>
      <x:c r="F1606" t="str">
        <x:v>Commercial</x:v>
      </x:c>
      <x:c r="G1606" t="str">
        <x:v>Steel</x:v>
      </x:c>
      <x:c r="H1606" t="str">
        <x:v>Raft</x:v>
      </x:c>
      <x:c r="I1606" t="str">
        <x:v>Sand</x:v>
      </x:c>
      <x:c r="J1606" t="str">
        <x:v>High</x:v>
      </x:c>
      <x:c r="K1606" t="n">
        <x:v>46391150</x:v>
      </x:c>
      <x:c r="L1606" t="n">
        <x:v>874</x:v>
      </x:c>
      <x:c r="M1606" t="n">
        <x:v>223.9</x:v>
      </x:c>
      <x:c r="N1606" t="n">
        <x:v>-1.1</x:v>
      </x:c>
      <x:c r="O1606" t="n">
        <x:v>85.3</x:v>
      </x:c>
      <x:c r="P1606" t="str">
        <x:v>Snowy</x:v>
      </x:c>
      <x:c r="Q1606" t="n">
        <x:v>98</x:v>
      </x:c>
      <x:c r="R1606" t="n">
        <x:v>79</x:v>
      </x:c>
      <x:c r="S1606" t="n">
        <x:v>0.0934</x:v>
      </x:c>
      <x:c r="T1606" t="n">
        <x:v>17</x:v>
      </x:c>
      <x:c r="U1606" t="n">
        <x:v>1760.9</x:v>
      </x:c>
      <x:c r="V1606" t="n">
        <x:v>2395</x:v>
      </x:c>
      <x:c r="W1606" t="n">
        <x:v>45.1</x:v>
      </x:c>
    </x:row>
    <x:row r="1607">
      <x:c r="A1607" t="str">
        <x:v>PJT_1606</x:v>
      </x:c>
      <x:c r="B1607" t="str">
        <x:v>Continental</x:v>
      </x:c>
      <x:c r="C1607" t="n">
        <x:v>16700</x:v>
      </x:c>
      <x:c r="D1607" t="n">
        <x:v>10</x:v>
      </x:c>
      <x:c r="E1607" t="str">
        <x:v>Medium</x:v>
      </x:c>
      <x:c r="F1607" t="str">
        <x:v>Hospital</x:v>
      </x:c>
      <x:c r="G1607" t="str">
        <x:v>Shear Wall</x:v>
      </x:c>
      <x:c r="H1607" t="str">
        <x:v>Raft</x:v>
      </x:c>
      <x:c r="I1607" t="str">
        <x:v>Sand</x:v>
      </x:c>
      <x:c r="J1607" t="str">
        <x:v>High</x:v>
      </x:c>
      <x:c r="K1607" t="n">
        <x:v>52271000</x:v>
      </x:c>
      <x:c r="L1607" t="n">
        <x:v>787</x:v>
      </x:c>
      <x:c r="M1607" t="n">
        <x:v>217.5</x:v>
      </x:c>
      <x:c r="N1607" t="n">
        <x:v>11.7</x:v>
      </x:c>
      <x:c r="O1607" t="n">
        <x:v>51.2</x:v>
      </x:c>
      <x:c r="P1607" t="str">
        <x:v>Sunny</x:v>
      </x:c>
      <x:c r="Q1607" t="n">
        <x:v>74</x:v>
      </x:c>
      <x:c r="R1607" t="n">
        <x:v>80.9</x:v>
      </x:c>
      <x:c r="S1607" t="n">
        <x:v>0.111</x:v>
      </x:c>
      <x:c r="T1607" t="n">
        <x:v>21.9</x:v>
      </x:c>
      <x:c r="U1607" t="n">
        <x:v>1670</x:v>
      </x:c>
      <x:c r="V1607" t="n">
        <x:v>3130</x:v>
      </x:c>
      <x:c r="W1607" t="n">
        <x:v>47.1</x:v>
      </x:c>
    </x:row>
    <x:row r="1608">
      <x:c r="A1608" t="str">
        <x:v>PJT_1607</x:v>
      </x:c>
      <x:c r="B1608" t="str">
        <x:v>Marine</x:v>
      </x:c>
      <x:c r="C1608" t="n">
        <x:v>16110</x:v>
      </x:c>
      <x:c r="D1608" t="n">
        <x:v>14</x:v>
      </x:c>
      <x:c r="E1608" t="str">
        <x:v>Medium</x:v>
      </x:c>
      <x:c r="F1608" t="str">
        <x:v>Mixed-use</x:v>
      </x:c>
      <x:c r="G1608" t="str">
        <x:v>Shear Wall</x:v>
      </x:c>
      <x:c r="H1608" t="str">
        <x:v>Piles</x:v>
      </x:c>
      <x:c r="I1608" t="str">
        <x:v>Sand</x:v>
      </x:c>
      <x:c r="J1608" t="str">
        <x:v>Medium</x:v>
      </x:c>
      <x:c r="K1608" t="n">
        <x:v>40275000</x:v>
      </x:c>
      <x:c r="L1608" t="n">
        <x:v>825</x:v>
      </x:c>
      <x:c r="M1608" t="n">
        <x:v>267.6</x:v>
      </x:c>
      <x:c r="N1608" t="n">
        <x:v>16.3</x:v>
      </x:c>
      <x:c r="O1608" t="n">
        <x:v>75.4</x:v>
      </x:c>
      <x:c r="P1608" t="str">
        <x:v>Rainy</x:v>
      </x:c>
      <x:c r="Q1608" t="n">
        <x:v>93</x:v>
      </x:c>
      <x:c r="R1608" t="n">
        <x:v>79.3</x:v>
      </x:c>
      <x:c r="S1608" t="n">
        <x:v>0.1013</x:v>
      </x:c>
      <x:c r="T1608" t="n">
        <x:v>18</x:v>
      </x:c>
      <x:c r="U1608" t="n">
        <x:v>1150.7</x:v>
      </x:c>
      <x:c r="V1608" t="n">
        <x:v>2500</x:v>
      </x:c>
      <x:c r="W1608" t="n">
        <x:v>51.2</x:v>
      </x:c>
    </x:row>
    <x:row r="1609">
      <x:c r="A1609" t="str">
        <x:v>PJT_1608</x:v>
      </x:c>
      <x:c r="B1609" t="str">
        <x:v>Continental</x:v>
      </x:c>
      <x:c r="C1609" t="n">
        <x:v>24160</x:v>
      </x:c>
      <x:c r="D1609" t="n">
        <x:v>25</x:v>
      </x:c>
      <x:c r="E1609" t="str">
        <x:v>Medium</x:v>
      </x:c>
      <x:c r="F1609" t="str">
        <x:v>Residential</x:v>
      </x:c>
      <x:c r="G1609" t="str">
        <x:v>Shear Wall</x:v>
      </x:c>
      <x:c r="H1609" t="str">
        <x:v>Piles</x:v>
      </x:c>
      <x:c r="I1609" t="str">
        <x:v>Mixed</x:v>
      </x:c>
      <x:c r="J1609" t="str">
        <x:v>High</x:v>
      </x:c>
      <x:c r="K1609" t="n">
        <x:v>43077280</x:v>
      </x:c>
      <x:c r="L1609" t="n">
        <x:v>988</x:v>
      </x:c>
      <x:c r="M1609" t="n">
        <x:v>337.5</x:v>
      </x:c>
      <x:c r="N1609" t="n">
        <x:v>11.4</x:v>
      </x:c>
      <x:c r="O1609" t="n">
        <x:v>45.3</x:v>
      </x:c>
      <x:c r="P1609" t="str">
        <x:v>Sunny</x:v>
      </x:c>
      <x:c r="Q1609" t="n">
        <x:v>71</x:v>
      </x:c>
      <x:c r="R1609" t="n">
        <x:v>82.4</x:v>
      </x:c>
      <x:c r="S1609" t="n">
        <x:v>0.0834</x:v>
      </x:c>
      <x:c r="T1609" t="n">
        <x:v>12.6</x:v>
      </x:c>
      <x:c r="U1609" t="n">
        <x:v>966.4</x:v>
      </x:c>
      <x:c r="V1609" t="n">
        <x:v>1783</x:v>
      </x:c>
      <x:c r="W1609" t="n">
        <x:v>40.9</x:v>
      </x:c>
    </x:row>
    <x:row r="1610">
      <x:c r="A1610" t="str">
        <x:v>PJT_1609</x:v>
      </x:c>
      <x:c r="B1610" t="str">
        <x:v>Mediterranean</x:v>
      </x:c>
      <x:c r="C1610" t="n">
        <x:v>13450</x:v>
      </x:c>
      <x:c r="D1610" t="n">
        <x:v>14</x:v>
      </x:c>
      <x:c r="E1610" t="str">
        <x:v>Medium</x:v>
      </x:c>
      <x:c r="F1610" t="str">
        <x:v>Commercial</x:v>
      </x:c>
      <x:c r="G1610" t="str">
        <x:v>Steel</x:v>
      </x:c>
      <x:c r="H1610" t="str">
        <x:v>Raft</x:v>
      </x:c>
      <x:c r="I1610" t="str">
        <x:v>Mixed</x:v>
      </x:c>
      <x:c r="J1610" t="str">
        <x:v>Medium</x:v>
      </x:c>
      <x:c r="K1610" t="n">
        <x:v>32091700</x:v>
      </x:c>
      <x:c r="L1610" t="n">
        <x:v>584</x:v>
      </x:c>
      <x:c r="M1610" t="n">
        <x:v>343.2</x:v>
      </x:c>
      <x:c r="N1610" t="n">
        <x:v>25.3</x:v>
      </x:c>
      <x:c r="O1610" t="n">
        <x:v>50.1</x:v>
      </x:c>
      <x:c r="P1610" t="str">
        <x:v>Sunny</x:v>
      </x:c>
      <x:c r="Q1610" t="n">
        <x:v>68</x:v>
      </x:c>
      <x:c r="R1610" t="n">
        <x:v>81.5</x:v>
      </x:c>
      <x:c r="S1610" t="n">
        <x:v>0.095</x:v>
      </x:c>
      <x:c r="T1610" t="n">
        <x:v>18</x:v>
      </x:c>
      <x:c r="U1610" t="n">
        <x:v>960.7</x:v>
      </x:c>
      <x:c r="V1610" t="n">
        <x:v>2386</x:v>
      </x:c>
      <x:c r="W1610" t="n">
        <x:v>43.4</x:v>
      </x:c>
    </x:row>
    <x:row r="1611">
      <x:c r="A1611" t="str">
        <x:v>PJT_1610</x:v>
      </x:c>
      <x:c r="B1611" t="str">
        <x:v>Continental</x:v>
      </x:c>
      <x:c r="C1611" t="n">
        <x:v>15080</x:v>
      </x:c>
      <x:c r="D1611" t="n">
        <x:v>5</x:v>
      </x:c>
      <x:c r="E1611" t="str">
        <x:v>Low</x:v>
      </x:c>
      <x:c r="F1611" t="str">
        <x:v>School</x:v>
      </x:c>
      <x:c r="G1611" t="str">
        <x:v>RC Frame</x:v>
      </x:c>
      <x:c r="H1611" t="str">
        <x:v>Raft</x:v>
      </x:c>
      <x:c r="I1611" t="str">
        <x:v>Soft Clay</x:v>
      </x:c>
      <x:c r="J1611" t="str">
        <x:v>Low</x:v>
      </x:c>
      <x:c r="K1611" t="n">
        <x:v>23464480</x:v>
      </x:c>
      <x:c r="L1611" t="n">
        <x:v>467</x:v>
      </x:c>
      <x:c r="M1611" t="n">
        <x:v>199.5</x:v>
      </x:c>
      <x:c r="N1611" t="n">
        <x:v>14.1</x:v>
      </x:c>
      <x:c r="O1611" t="n">
        <x:v>75.2</x:v>
      </x:c>
      <x:c r="P1611" t="str">
        <x:v>Stormy</x:v>
      </x:c>
      <x:c r="Q1611" t="n">
        <x:v>71</x:v>
      </x:c>
      <x:c r="R1611" t="n">
        <x:v>60.7</x:v>
      </x:c>
      <x:c r="S1611" t="n">
        <x:v>0.0795</x:v>
      </x:c>
      <x:c r="T1611" t="n">
        <x:v>14.3</x:v>
      </x:c>
      <x:c r="U1611" t="n">
        <x:v>3016</x:v>
      </x:c>
      <x:c r="V1611" t="n">
        <x:v>1556</x:v>
      </x:c>
      <x:c r="W1611" t="n">
        <x:v>31</x:v>
      </x:c>
    </x:row>
    <x:row r="1612">
      <x:c r="A1612" t="str">
        <x:v>PJT_1611</x:v>
      </x:c>
      <x:c r="B1612" t="str">
        <x:v>Marine</x:v>
      </x:c>
      <x:c r="C1612" t="n">
        <x:v>28910</x:v>
      </x:c>
      <x:c r="D1612" t="n">
        <x:v>20</x:v>
      </x:c>
      <x:c r="E1612" t="str">
        <x:v>Medium</x:v>
      </x:c>
      <x:c r="F1612" t="str">
        <x:v>Commercial</x:v>
      </x:c>
      <x:c r="G1612" t="str">
        <x:v>Steel</x:v>
      </x:c>
      <x:c r="H1612" t="str">
        <x:v>Piles</x:v>
      </x:c>
      <x:c r="I1612" t="str">
        <x:v>Mixed</x:v>
      </x:c>
      <x:c r="J1612" t="str">
        <x:v>Medium</x:v>
      </x:c>
      <x:c r="K1612" t="n">
        <x:v>73865050</x:v>
      </x:c>
      <x:c r="L1612" t="n">
        <x:v>1396</x:v>
      </x:c>
      <x:c r="M1612" t="n">
        <x:v>372.7</x:v>
      </x:c>
      <x:c r="N1612" t="n">
        <x:v>14.7</x:v>
      </x:c>
      <x:c r="O1612" t="n">
        <x:v>69.5</x:v>
      </x:c>
      <x:c r="P1612" t="str">
        <x:v>Cloudy</x:v>
      </x:c>
      <x:c r="Q1612" t="n">
        <x:v>85</x:v>
      </x:c>
      <x:c r="R1612" t="n">
        <x:v>76.1</x:v>
      </x:c>
      <x:c r="S1612" t="n">
        <x:v>0.0995</x:v>
      </x:c>
      <x:c r="T1612" t="n">
        <x:v>17.2</x:v>
      </x:c>
      <x:c r="U1612" t="n">
        <x:v>1445.5</x:v>
      </x:c>
      <x:c r="V1612" t="n">
        <x:v>2555</x:v>
      </x:c>
      <x:c r="W1612" t="n">
        <x:v>48.3</x:v>
      </x:c>
    </x:row>
    <x:row r="1613">
      <x:c r="A1613" t="str">
        <x:v>PJT_1612</x:v>
      </x:c>
      <x:c r="B1613" t="str">
        <x:v>Mediterranean</x:v>
      </x:c>
      <x:c r="C1613" t="n">
        <x:v>12770</x:v>
      </x:c>
      <x:c r="D1613" t="n">
        <x:v>19</x:v>
      </x:c>
      <x:c r="E1613" t="str">
        <x:v>Medium</x:v>
      </x:c>
      <x:c r="F1613" t="str">
        <x:v>Residential</x:v>
      </x:c>
      <x:c r="G1613" t="str">
        <x:v>Shear Wall</x:v>
      </x:c>
      <x:c r="H1613" t="str">
        <x:v>Piles</x:v>
      </x:c>
      <x:c r="I1613" t="str">
        <x:v>Mixed</x:v>
      </x:c>
      <x:c r="J1613" t="str">
        <x:v>High</x:v>
      </x:c>
      <x:c r="K1613" t="n">
        <x:v>22245340</x:v>
      </x:c>
      <x:c r="L1613" t="n">
        <x:v>515</x:v>
      </x:c>
      <x:c r="M1613" t="n">
        <x:v>368.9</x:v>
      </x:c>
      <x:c r="N1613" t="n">
        <x:v>13.7</x:v>
      </x:c>
      <x:c r="O1613" t="n">
        <x:v>80.3</x:v>
      </x:c>
      <x:c r="P1613" t="str">
        <x:v>Rainy</x:v>
      </x:c>
      <x:c r="Q1613" t="n">
        <x:v>69</x:v>
      </x:c>
      <x:c r="R1613" t="n">
        <x:v>72.4</x:v>
      </x:c>
      <x:c r="S1613" t="n">
        <x:v>0.0842</x:v>
      </x:c>
      <x:c r="T1613" t="n">
        <x:v>13.1</x:v>
      </x:c>
      <x:c r="U1613" t="n">
        <x:v>672.1</x:v>
      </x:c>
      <x:c r="V1613" t="n">
        <x:v>1742</x:v>
      </x:c>
      <x:c r="W1613" t="n">
        <x:v>40.3</x:v>
      </x:c>
    </x:row>
    <x:row r="1614">
      <x:c r="A1614" t="str">
        <x:v>PJT_1613</x:v>
      </x:c>
      <x:c r="B1614" t="str">
        <x:v>Humid Subtropical</x:v>
      </x:c>
      <x:c r="C1614" t="n">
        <x:v>15240</x:v>
      </x:c>
      <x:c r="D1614" t="n">
        <x:v>9</x:v>
      </x:c>
      <x:c r="E1614" t="str">
        <x:v>Low</x:v>
      </x:c>
      <x:c r="F1614" t="str">
        <x:v>Commercial</x:v>
      </x:c>
      <x:c r="G1614" t="str">
        <x:v>RC Frame</x:v>
      </x:c>
      <x:c r="H1614" t="str">
        <x:v>Piles</x:v>
      </x:c>
      <x:c r="I1614" t="str">
        <x:v>Soft Clay</x:v>
      </x:c>
      <x:c r="J1614" t="str">
        <x:v>Low</x:v>
      </x:c>
      <x:c r="K1614" t="n">
        <x:v>33040320</x:v>
      </x:c>
      <x:c r="L1614" t="n">
        <x:v>625</x:v>
      </x:c>
      <x:c r="M1614" t="n">
        <x:v>169.8</x:v>
      </x:c>
      <x:c r="N1614" t="n">
        <x:v>28.5</x:v>
      </x:c>
      <x:c r="O1614" t="n">
        <x:v>65.3</x:v>
      </x:c>
      <x:c r="P1614" t="str">
        <x:v>Cloudy</x:v>
      </x:c>
      <x:c r="Q1614" t="n">
        <x:v>100</x:v>
      </x:c>
      <x:c r="R1614" t="n">
        <x:v>67.9</x:v>
      </x:c>
      <x:c r="S1614" t="n">
        <x:v>0.0868</x:v>
      </x:c>
      <x:c r="T1614" t="n">
        <x:v>14.5</x:v>
      </x:c>
      <x:c r="U1614" t="n">
        <x:v>1693.3</x:v>
      </x:c>
      <x:c r="V1614" t="n">
        <x:v>2168</x:v>
      </x:c>
      <x:c r="W1614" t="n">
        <x:v>41</x:v>
      </x:c>
    </x:row>
    <x:row r="1615">
      <x:c r="A1615" t="str">
        <x:v>PJT_1614</x:v>
      </x:c>
      <x:c r="B1615" t="str">
        <x:v>Mediterranean</x:v>
      </x:c>
      <x:c r="C1615" t="n">
        <x:v>20420</x:v>
      </x:c>
      <x:c r="D1615" t="n">
        <x:v>10</x:v>
      </x:c>
      <x:c r="E1615" t="str">
        <x:v>High</x:v>
      </x:c>
      <x:c r="F1615" t="str">
        <x:v>Hospital</x:v>
      </x:c>
      <x:c r="G1615" t="str">
        <x:v>Shear Wall</x:v>
      </x:c>
      <x:c r="H1615" t="str">
        <x:v>Raft</x:v>
      </x:c>
      <x:c r="I1615" t="str">
        <x:v>Rock</x:v>
      </x:c>
      <x:c r="J1615" t="str">
        <x:v>High</x:v>
      </x:c>
      <x:c r="K1615" t="n">
        <x:v>69325900</x:v>
      </x:c>
      <x:c r="L1615" t="n">
        <x:v>1043</x:v>
      </x:c>
      <x:c r="M1615" t="n">
        <x:v>761.4</x:v>
      </x:c>
      <x:c r="N1615" t="n">
        <x:v>22.4</x:v>
      </x:c>
      <x:c r="O1615" t="n">
        <x:v>57.5</x:v>
      </x:c>
      <x:c r="P1615" t="str">
        <x:v>Sunny</x:v>
      </x:c>
      <x:c r="Q1615" t="n">
        <x:v>74</x:v>
      </x:c>
      <x:c r="R1615" t="n">
        <x:v>89.4</x:v>
      </x:c>
      <x:c r="S1615" t="n">
        <x:v>0.1101</x:v>
      </x:c>
      <x:c r="T1615" t="n">
        <x:v>22.2</x:v>
      </x:c>
      <x:c r="U1615" t="n">
        <x:v>2042</x:v>
      </x:c>
      <x:c r="V1615" t="n">
        <x:v>3395</x:v>
      </x:c>
      <x:c r="W1615" t="n">
        <x:v>51.1</x:v>
      </x:c>
    </x:row>
    <x:row r="1616">
      <x:c r="A1616" t="str">
        <x:v>PJT_1615</x:v>
      </x:c>
      <x:c r="B1616" t="str">
        <x:v>Continental</x:v>
      </x:c>
      <x:c r="C1616" t="n">
        <x:v>17710</x:v>
      </x:c>
      <x:c r="D1616" t="n">
        <x:v>11</x:v>
      </x:c>
      <x:c r="E1616" t="str">
        <x:v>High</x:v>
      </x:c>
      <x:c r="F1616" t="str">
        <x:v>Hospital</x:v>
      </x:c>
      <x:c r="G1616" t="str">
        <x:v>Shear Wall</x:v>
      </x:c>
      <x:c r="H1616" t="str">
        <x:v>Raft</x:v>
      </x:c>
      <x:c r="I1616" t="str">
        <x:v>Rock</x:v>
      </x:c>
      <x:c r="J1616" t="str">
        <x:v>High</x:v>
      </x:c>
      <x:c r="K1616" t="n">
        <x:v>56866810</x:v>
      </x:c>
      <x:c r="L1616" t="n">
        <x:v>969</x:v>
      </x:c>
      <x:c r="M1616" t="n">
        <x:v>699.6</x:v>
      </x:c>
      <x:c r="N1616" t="n">
        <x:v>2.7</x:v>
      </x:c>
      <x:c r="O1616" t="n">
        <x:v>65.3</x:v>
      </x:c>
      <x:c r="P1616" t="str">
        <x:v>Rainy</x:v>
      </x:c>
      <x:c r="Q1616" t="n">
        <x:v>88</x:v>
      </x:c>
      <x:c r="R1616" t="n">
        <x:v>88.1</x:v>
      </x:c>
      <x:c r="S1616" t="n">
        <x:v>0.1113</x:v>
      </x:c>
      <x:c r="T1616" t="n">
        <x:v>22.8</x:v>
      </x:c>
      <x:c r="U1616" t="n">
        <x:v>1610</x:v>
      </x:c>
      <x:c r="V1616" t="n">
        <x:v>3211</x:v>
      </x:c>
      <x:c r="W1616" t="n">
        <x:v>54.7</x:v>
      </x:c>
    </x:row>
    <x:row r="1617">
      <x:c r="A1617" t="str">
        <x:v>PJT_1616</x:v>
      </x:c>
      <x:c r="B1617" t="str">
        <x:v>Continental</x:v>
      </x:c>
      <x:c r="C1617" t="n">
        <x:v>18470</x:v>
      </x:c>
      <x:c r="D1617" t="n">
        <x:v>11</x:v>
      </x:c>
      <x:c r="E1617" t="str">
        <x:v>Medium</x:v>
      </x:c>
      <x:c r="F1617" t="str">
        <x:v>Commercial</x:v>
      </x:c>
      <x:c r="G1617" t="str">
        <x:v>RC Frame</x:v>
      </x:c>
      <x:c r="H1617" t="str">
        <x:v>Raft</x:v>
      </x:c>
      <x:c r="I1617" t="str">
        <x:v>Sand</x:v>
      </x:c>
      <x:c r="J1617" t="str">
        <x:v>Low</x:v>
      </x:c>
      <x:c r="K1617" t="n">
        <x:v>38048200</x:v>
      </x:c>
      <x:c r="L1617" t="n">
        <x:v>778</x:v>
      </x:c>
      <x:c r="M1617" t="n">
        <x:v>313.1</x:v>
      </x:c>
      <x:c r="N1617" t="n">
        <x:v>20.9</x:v>
      </x:c>
      <x:c r="O1617" t="n">
        <x:v>66.6</x:v>
      </x:c>
      <x:c r="P1617" t="str">
        <x:v>Cloudy</x:v>
      </x:c>
      <x:c r="Q1617" t="n">
        <x:v>80</x:v>
      </x:c>
      <x:c r="R1617" t="n">
        <x:v>76.5</x:v>
      </x:c>
      <x:c r="S1617" t="n">
        <x:v>0.0908</x:v>
      </x:c>
      <x:c r="T1617" t="n">
        <x:v>16.1</x:v>
      </x:c>
      <x:c r="U1617" t="n">
        <x:v>1679.1</x:v>
      </x:c>
      <x:c r="V1617" t="n">
        <x:v>2060</x:v>
      </x:c>
      <x:c r="W1617" t="n">
        <x:v>42.1</x:v>
      </x:c>
    </x:row>
    <x:row r="1618">
      <x:c r="A1618" t="str">
        <x:v>PJT_1617</x:v>
      </x:c>
      <x:c r="B1618" t="str">
        <x:v>Mediterranean</x:v>
      </x:c>
      <x:c r="C1618" t="n">
        <x:v>8210</x:v>
      </x:c>
      <x:c r="D1618" t="n">
        <x:v>7</x:v>
      </x:c>
      <x:c r="E1618" t="str">
        <x:v>Medium</x:v>
      </x:c>
      <x:c r="F1618" t="str">
        <x:v>Commercial</x:v>
      </x:c>
      <x:c r="G1618" t="str">
        <x:v>RC Frame</x:v>
      </x:c>
      <x:c r="H1618" t="str">
        <x:v>Raft</x:v>
      </x:c>
      <x:c r="I1618" t="str">
        <x:v>Sand</x:v>
      </x:c>
      <x:c r="J1618" t="str">
        <x:v>High</x:v>
      </x:c>
      <x:c r="K1618" t="n">
        <x:v>18587440</x:v>
      </x:c>
      <x:c r="L1618" t="n">
        <x:v>343</x:v>
      </x:c>
      <x:c r="M1618" t="n">
        <x:v>244.9</x:v>
      </x:c>
      <x:c r="N1618" t="n">
        <x:v>16.7</x:v>
      </x:c>
      <x:c r="O1618" t="n">
        <x:v>54.1</x:v>
      </x:c>
      <x:c r="P1618" t="str">
        <x:v>Cloudy</x:v>
      </x:c>
      <x:c r="Q1618" t="n">
        <x:v>75</x:v>
      </x:c>
      <x:c r="R1618" t="n">
        <x:v>73.2</x:v>
      </x:c>
      <x:c r="S1618" t="n">
        <x:v>0.0904</x:v>
      </x:c>
      <x:c r="T1618" t="n">
        <x:v>15.7</x:v>
      </x:c>
      <x:c r="U1618" t="n">
        <x:v>1172.9</x:v>
      </x:c>
      <x:c r="V1618" t="n">
        <x:v>2264</x:v>
      </x:c>
      <x:c r="W1618" t="n">
        <x:v>41.8</x:v>
      </x:c>
    </x:row>
    <x:row r="1619">
      <x:c r="A1619" t="str">
        <x:v>PJT_1618</x:v>
      </x:c>
      <x:c r="B1619" t="str">
        <x:v>Humid Subtropical</x:v>
      </x:c>
      <x:c r="C1619" t="n">
        <x:v>18230</x:v>
      </x:c>
      <x:c r="D1619" t="n">
        <x:v>17</x:v>
      </x:c>
      <x:c r="E1619" t="str">
        <x:v>Medium</x:v>
      </x:c>
      <x:c r="F1619" t="str">
        <x:v>Residential</x:v>
      </x:c>
      <x:c r="G1619" t="str">
        <x:v>Shear Wall</x:v>
      </x:c>
      <x:c r="H1619" t="str">
        <x:v>Piles</x:v>
      </x:c>
      <x:c r="I1619" t="str">
        <x:v>Soft Clay</x:v>
      </x:c>
      <x:c r="J1619" t="str">
        <x:v>High</x:v>
      </x:c>
      <x:c r="K1619" t="n">
        <x:v>31428520</x:v>
      </x:c>
      <x:c r="L1619" t="n">
        <x:v>747</x:v>
      </x:c>
      <x:c r="M1619" t="n">
        <x:v>164.6</x:v>
      </x:c>
      <x:c r="N1619" t="n">
        <x:v>26.4</x:v>
      </x:c>
      <x:c r="O1619" t="n">
        <x:v>89.5</x:v>
      </x:c>
      <x:c r="P1619" t="str">
        <x:v>Rainy</x:v>
      </x:c>
      <x:c r="Q1619" t="n">
        <x:v>79</x:v>
      </x:c>
      <x:c r="R1619" t="n">
        <x:v>72.5</x:v>
      </x:c>
      <x:c r="S1619" t="n">
        <x:v>0.0838</x:v>
      </x:c>
      <x:c r="T1619" t="n">
        <x:v>13.9</x:v>
      </x:c>
      <x:c r="U1619" t="n">
        <x:v>1072.4</x:v>
      </x:c>
      <x:c r="V1619" t="n">
        <x:v>1724</x:v>
      </x:c>
      <x:c r="W1619" t="n">
        <x:v>41</x:v>
      </x:c>
    </x:row>
    <x:row r="1620">
      <x:c r="A1620" t="str">
        <x:v>PJT_1619</x:v>
      </x:c>
      <x:c r="B1620" t="str">
        <x:v>Continental</x:v>
      </x:c>
      <x:c r="C1620" t="n">
        <x:v>16450</x:v>
      </x:c>
      <x:c r="D1620" t="n">
        <x:v>16</x:v>
      </x:c>
      <x:c r="E1620" t="str">
        <x:v>Medium</x:v>
      </x:c>
      <x:c r="F1620" t="str">
        <x:v>Mixed-use</x:v>
      </x:c>
      <x:c r="G1620" t="str">
        <x:v>Shear Wall</x:v>
      </x:c>
      <x:c r="H1620" t="str">
        <x:v>Piles</x:v>
      </x:c>
      <x:c r="I1620" t="str">
        <x:v>Soft Clay</x:v>
      </x:c>
      <x:c r="J1620" t="str">
        <x:v>Low</x:v>
      </x:c>
      <x:c r="K1620" t="n">
        <x:v>42802900</x:v>
      </x:c>
      <x:c r="L1620" t="n">
        <x:v>799</x:v>
      </x:c>
      <x:c r="M1620" t="n">
        <x:v>195.8</x:v>
      </x:c>
      <x:c r="N1620" t="n">
        <x:v>27.1</x:v>
      </x:c>
      <x:c r="O1620" t="n">
        <x:v>63.3</x:v>
      </x:c>
      <x:c r="P1620" t="str">
        <x:v>Sunny</x:v>
      </x:c>
      <x:c r="Q1620" t="n">
        <x:v>71</x:v>
      </x:c>
      <x:c r="R1620" t="n">
        <x:v>84.1</x:v>
      </x:c>
      <x:c r="S1620" t="n">
        <x:v>0.1003</x:v>
      </x:c>
      <x:c r="T1620" t="n">
        <x:v>19.2</x:v>
      </x:c>
      <x:c r="U1620" t="n">
        <x:v>1028.1</x:v>
      </x:c>
      <x:c r="V1620" t="n">
        <x:v>2602</x:v>
      </x:c>
      <x:c r="W1620" t="n">
        <x:v>48.6</x:v>
      </x:c>
    </x:row>
    <x:row r="1621">
      <x:c r="A1621" t="str">
        <x:v>PJT_1620</x:v>
      </x:c>
      <x:c r="B1621" t="str">
        <x:v>Humid Subtropical</x:v>
      </x:c>
      <x:c r="C1621" t="n">
        <x:v>23310</x:v>
      </x:c>
      <x:c r="D1621" t="n">
        <x:v>13</x:v>
      </x:c>
      <x:c r="E1621" t="str">
        <x:v>Medium</x:v>
      </x:c>
      <x:c r="F1621" t="str">
        <x:v>Commercial</x:v>
      </x:c>
      <x:c r="G1621" t="str">
        <x:v>Steel</x:v>
      </x:c>
      <x:c r="H1621" t="str">
        <x:v>Piles</x:v>
      </x:c>
      <x:c r="I1621" t="str">
        <x:v>Mixed</x:v>
      </x:c>
      <x:c r="J1621" t="str">
        <x:v>High</x:v>
      </x:c>
      <x:c r="K1621" t="n">
        <x:v>59370570</x:v>
      </x:c>
      <x:c r="L1621" t="n">
        <x:v>1026</x:v>
      </x:c>
      <x:c r="M1621" t="n">
        <x:v>320.3</x:v>
      </x:c>
      <x:c r="N1621" t="n">
        <x:v>30.8</x:v>
      </x:c>
      <x:c r="O1621" t="n">
        <x:v>62.6</x:v>
      </x:c>
      <x:c r="P1621" t="str">
        <x:v>Sunny</x:v>
      </x:c>
      <x:c r="Q1621" t="n">
        <x:v>100</x:v>
      </x:c>
      <x:c r="R1621" t="n">
        <x:v>80</x:v>
      </x:c>
      <x:c r="S1621" t="n">
        <x:v>0.0945</x:v>
      </x:c>
      <x:c r="T1621" t="n">
        <x:v>17.6</x:v>
      </x:c>
      <x:c r="U1621" t="n">
        <x:v>1793.1</x:v>
      </x:c>
      <x:c r="V1621" t="n">
        <x:v>2547</x:v>
      </x:c>
      <x:c r="W1621" t="n">
        <x:v>44</x:v>
      </x:c>
    </x:row>
    <x:row r="1622">
      <x:c r="A1622" t="str">
        <x:v>PJT_1621</x:v>
      </x:c>
      <x:c r="B1622" t="str">
        <x:v>Mediterranean</x:v>
      </x:c>
      <x:c r="C1622" t="n">
        <x:v>10780</x:v>
      </x:c>
      <x:c r="D1622" t="n">
        <x:v>7</x:v>
      </x:c>
      <x:c r="E1622" t="str">
        <x:v>Medium</x:v>
      </x:c>
      <x:c r="F1622" t="str">
        <x:v>Commercial</x:v>
      </x:c>
      <x:c r="G1622" t="str">
        <x:v>RC Frame</x:v>
      </x:c>
      <x:c r="H1622" t="str">
        <x:v>Raft</x:v>
      </x:c>
      <x:c r="I1622" t="str">
        <x:v>Rock</x:v>
      </x:c>
      <x:c r="J1622" t="str">
        <x:v>Low</x:v>
      </x:c>
      <x:c r="K1622" t="n">
        <x:v>22045100</x:v>
      </x:c>
      <x:c r="L1622" t="n">
        <x:v>427</x:v>
      </x:c>
      <x:c r="M1622" t="n">
        <x:v>645.7</x:v>
      </x:c>
      <x:c r="N1622" t="n">
        <x:v>19.2</x:v>
      </x:c>
      <x:c r="O1622" t="n">
        <x:v>57.7</x:v>
      </x:c>
      <x:c r="P1622" t="str">
        <x:v>Sunny</x:v>
      </x:c>
      <x:c r="Q1622" t="n">
        <x:v>96</x:v>
      </x:c>
      <x:c r="R1622" t="n">
        <x:v>74.8</x:v>
      </x:c>
      <x:c r="S1622" t="n">
        <x:v>0.093</x:v>
      </x:c>
      <x:c r="T1622" t="n">
        <x:v>16.1</x:v>
      </x:c>
      <x:c r="U1622" t="n">
        <x:v>1540</x:v>
      </x:c>
      <x:c r="V1622" t="n">
        <x:v>2045</x:v>
      </x:c>
      <x:c r="W1622" t="n">
        <x:v>39.6</x:v>
      </x:c>
    </x:row>
    <x:row r="1623">
      <x:c r="A1623" t="str">
        <x:v>PJT_1622</x:v>
      </x:c>
      <x:c r="B1623" t="str">
        <x:v>Humid Subtropical</x:v>
      </x:c>
      <x:c r="C1623" t="n">
        <x:v>23180</x:v>
      </x:c>
      <x:c r="D1623" t="n">
        <x:v>16</x:v>
      </x:c>
      <x:c r="E1623" t="str">
        <x:v>Medium</x:v>
      </x:c>
      <x:c r="F1623" t="str">
        <x:v>Mixed-use</x:v>
      </x:c>
      <x:c r="G1623" t="str">
        <x:v>Shear Wall</x:v>
      </x:c>
      <x:c r="H1623" t="str">
        <x:v>Piles</x:v>
      </x:c>
      <x:c r="I1623" t="str">
        <x:v>Mixed</x:v>
      </x:c>
      <x:c r="J1623" t="str">
        <x:v>Low</x:v>
      </x:c>
      <x:c r="K1623" t="n">
        <x:v>60314360</x:v>
      </x:c>
      <x:c r="L1623" t="n">
        <x:v>1212</x:v>
      </x:c>
      <x:c r="M1623" t="n">
        <x:v>324.5</x:v>
      </x:c>
      <x:c r="N1623" t="n">
        <x:v>25.8</x:v>
      </x:c>
      <x:c r="O1623" t="n">
        <x:v>89.7</x:v>
      </x:c>
      <x:c r="P1623" t="str">
        <x:v>Stormy</x:v>
      </x:c>
      <x:c r="Q1623" t="n">
        <x:v>83</x:v>
      </x:c>
      <x:c r="R1623" t="n">
        <x:v>80.8</x:v>
      </x:c>
      <x:c r="S1623" t="n">
        <x:v>0.0996</x:v>
      </x:c>
      <x:c r="T1623" t="n">
        <x:v>17.8</x:v>
      </x:c>
      <x:c r="U1623" t="n">
        <x:v>1448.8</x:v>
      </x:c>
      <x:c r="V1623" t="n">
        <x:v>2602</x:v>
      </x:c>
      <x:c r="W1623" t="n">
        <x:v>52.3</x:v>
      </x:c>
    </x:row>
    <x:row r="1624">
      <x:c r="A1624" t="str">
        <x:v>PJT_1623</x:v>
      </x:c>
      <x:c r="B1624" t="str">
        <x:v>Continental</x:v>
      </x:c>
      <x:c r="C1624" t="n">
        <x:v>7850</x:v>
      </x:c>
      <x:c r="D1624" t="n">
        <x:v>7</x:v>
      </x:c>
      <x:c r="E1624" t="str">
        <x:v>Low</x:v>
      </x:c>
      <x:c r="F1624" t="str">
        <x:v>Residential</x:v>
      </x:c>
      <x:c r="G1624" t="str">
        <x:v>RC Frame</x:v>
      </x:c>
      <x:c r="H1624" t="str">
        <x:v>Raft</x:v>
      </x:c>
      <x:c r="I1624" t="str">
        <x:v>Sand</x:v>
      </x:c>
      <x:c r="J1624" t="str">
        <x:v>Low</x:v>
      </x:c>
      <x:c r="K1624" t="n">
        <x:v>10377700</x:v>
      </x:c>
      <x:c r="L1624" t="n">
        <x:v>244</x:v>
      </x:c>
      <x:c r="M1624" t="n">
        <x:v>238.3</x:v>
      </x:c>
      <x:c r="N1624" t="n">
        <x:v>12.2</x:v>
      </x:c>
      <x:c r="O1624" t="n">
        <x:v>67.9</x:v>
      </x:c>
      <x:c r="P1624" t="str">
        <x:v>Cloudy</x:v>
      </x:c>
      <x:c r="Q1624" t="n">
        <x:v>57</x:v>
      </x:c>
      <x:c r="R1624" t="n">
        <x:v>63.7</x:v>
      </x:c>
      <x:c r="S1624" t="n">
        <x:v>0.0748</x:v>
      </x:c>
      <x:c r="T1624" t="n">
        <x:v>12.3</x:v>
      </x:c>
      <x:c r="U1624" t="n">
        <x:v>1121.4</x:v>
      </x:c>
      <x:c r="V1624" t="n">
        <x:v>1322</x:v>
      </x:c>
      <x:c r="W1624" t="n">
        <x:v>31.1</x:v>
      </x:c>
    </x:row>
    <x:row r="1625">
      <x:c r="A1625" t="str">
        <x:v>PJT_1624</x:v>
      </x:c>
      <x:c r="B1625" t="str">
        <x:v>Continental</x:v>
      </x:c>
      <x:c r="C1625" t="n">
        <x:v>22810</x:v>
      </x:c>
      <x:c r="D1625" t="n">
        <x:v>19</x:v>
      </x:c>
      <x:c r="E1625" t="str">
        <x:v>Medium</x:v>
      </x:c>
      <x:c r="F1625" t="str">
        <x:v>Commercial</x:v>
      </x:c>
      <x:c r="G1625" t="str">
        <x:v>Steel</x:v>
      </x:c>
      <x:c r="H1625" t="str">
        <x:v>Piles</x:v>
      </x:c>
      <x:c r="I1625" t="str">
        <x:v>Mixed</x:v>
      </x:c>
      <x:c r="J1625" t="str">
        <x:v>Low</x:v>
      </x:c>
      <x:c r="K1625" t="n">
        <x:v>53785980</x:v>
      </x:c>
      <x:c r="L1625" t="n">
        <x:v>1138</x:v>
      </x:c>
      <x:c r="M1625" t="n">
        <x:v>396.9</x:v>
      </x:c>
      <x:c r="N1625" t="n">
        <x:v>2.8</x:v>
      </x:c>
      <x:c r="O1625" t="n">
        <x:v>81.4</x:v>
      </x:c>
      <x:c r="P1625" t="str">
        <x:v>Rainy</x:v>
      </x:c>
      <x:c r="Q1625" t="n">
        <x:v>106</x:v>
      </x:c>
      <x:c r="R1625" t="n">
        <x:v>78.2</x:v>
      </x:c>
      <x:c r="S1625" t="n">
        <x:v>0.0997</x:v>
      </x:c>
      <x:c r="T1625" t="n">
        <x:v>18</x:v>
      </x:c>
      <x:c r="U1625" t="n">
        <x:v>1200.5</x:v>
      </x:c>
      <x:c r="V1625" t="n">
        <x:v>2358</x:v>
      </x:c>
      <x:c r="W1625" t="n">
        <x:v>49.9</x:v>
      </x:c>
    </x:row>
    <x:row r="1626">
      <x:c r="A1626" t="str">
        <x:v>PJT_1625</x:v>
      </x:c>
      <x:c r="B1626" t="str">
        <x:v>Continental</x:v>
      </x:c>
      <x:c r="C1626" t="n">
        <x:v>15700</x:v>
      </x:c>
      <x:c r="D1626" t="n">
        <x:v>17</x:v>
      </x:c>
      <x:c r="E1626" t="str">
        <x:v>Medium</x:v>
      </x:c>
      <x:c r="F1626" t="str">
        <x:v>Commercial</x:v>
      </x:c>
      <x:c r="G1626" t="str">
        <x:v>Steel</x:v>
      </x:c>
      <x:c r="H1626" t="str">
        <x:v>Piles</x:v>
      </x:c>
      <x:c r="I1626" t="str">
        <x:v>Sand</x:v>
      </x:c>
      <x:c r="J1626" t="str">
        <x:v>High</x:v>
      </x:c>
      <x:c r="K1626" t="n">
        <x:v>41228200</x:v>
      </x:c>
      <x:c r="L1626" t="n">
        <x:v>785</x:v>
      </x:c>
      <x:c r="M1626" t="n">
        <x:v>345.9</x:v>
      </x:c>
      <x:c r="N1626" t="n">
        <x:v>15.7</x:v>
      </x:c>
      <x:c r="O1626" t="n">
        <x:v>71.7</x:v>
      </x:c>
      <x:c r="P1626" t="str">
        <x:v>Stormy</x:v>
      </x:c>
      <x:c r="Q1626" t="n">
        <x:v>90</x:v>
      </x:c>
      <x:c r="R1626" t="n">
        <x:v>77.7</x:v>
      </x:c>
      <x:c r="S1626" t="n">
        <x:v>0.0978</x:v>
      </x:c>
      <x:c r="T1626" t="n">
        <x:v>17.4</x:v>
      </x:c>
      <x:c r="U1626" t="n">
        <x:v>923.5</x:v>
      </x:c>
      <x:c r="V1626" t="n">
        <x:v>2626</x:v>
      </x:c>
      <x:c r="W1626" t="n">
        <x:v>50</x:v>
      </x:c>
    </x:row>
    <x:row r="1627">
      <x:c r="A1627" t="str">
        <x:v>PJT_1626</x:v>
      </x:c>
      <x:c r="B1627" t="str">
        <x:v>Marine</x:v>
      </x:c>
      <x:c r="C1627" t="n">
        <x:v>17550</x:v>
      </x:c>
      <x:c r="D1627" t="n">
        <x:v>15</x:v>
      </x:c>
      <x:c r="E1627" t="str">
        <x:v>Medium</x:v>
      </x:c>
      <x:c r="F1627" t="str">
        <x:v>Commercial</x:v>
      </x:c>
      <x:c r="G1627" t="str">
        <x:v>Steel</x:v>
      </x:c>
      <x:c r="H1627" t="str">
        <x:v>Piles</x:v>
      </x:c>
      <x:c r="I1627" t="str">
        <x:v>Sand</x:v>
      </x:c>
      <x:c r="J1627" t="str">
        <x:v>Medium</x:v>
      </x:c>
      <x:c r="K1627" t="n">
        <x:v>44331300</x:v>
      </x:c>
      <x:c r="L1627" t="n">
        <x:v>781</x:v>
      </x:c>
      <x:c r="M1627" t="n">
        <x:v>312.9</x:v>
      </x:c>
      <x:c r="N1627" t="n">
        <x:v>15.9</x:v>
      </x:c>
      <x:c r="O1627" t="n">
        <x:v>70</x:v>
      </x:c>
      <x:c r="P1627" t="str">
        <x:v>Cloudy</x:v>
      </x:c>
      <x:c r="Q1627" t="n">
        <x:v>78</x:v>
      </x:c>
      <x:c r="R1627" t="n">
        <x:v>81.8</x:v>
      </x:c>
      <x:c r="S1627" t="n">
        <x:v>0.0979</x:v>
      </x:c>
      <x:c r="T1627" t="n">
        <x:v>18</x:v>
      </x:c>
      <x:c r="U1627" t="n">
        <x:v>1170</x:v>
      </x:c>
      <x:c r="V1627" t="n">
        <x:v>2526</x:v>
      </x:c>
      <x:c r="W1627" t="n">
        <x:v>44.5</x:v>
      </x:c>
    </x:row>
    <x:row r="1628">
      <x:c r="A1628" t="str">
        <x:v>PJT_1627</x:v>
      </x:c>
      <x:c r="B1628" t="str">
        <x:v>Marine</x:v>
      </x:c>
      <x:c r="C1628" t="n">
        <x:v>17690</x:v>
      </x:c>
      <x:c r="D1628" t="n">
        <x:v>14</x:v>
      </x:c>
      <x:c r="E1628" t="str">
        <x:v>Medium</x:v>
      </x:c>
      <x:c r="F1628" t="str">
        <x:v>Commercial</x:v>
      </x:c>
      <x:c r="G1628" t="str">
        <x:v>Steel</x:v>
      </x:c>
      <x:c r="H1628" t="str">
        <x:v>Piles</x:v>
      </x:c>
      <x:c r="I1628" t="str">
        <x:v>Sand</x:v>
      </x:c>
      <x:c r="J1628" t="str">
        <x:v>Medium</x:v>
      </x:c>
      <x:c r="K1628" t="n">
        <x:v>44914910</x:v>
      </x:c>
      <x:c r="L1628" t="n">
        <x:v>800</x:v>
      </x:c>
      <x:c r="M1628" t="n">
        <x:v>235</x:v>
      </x:c>
      <x:c r="N1628" t="n">
        <x:v>14.7</x:v>
      </x:c>
      <x:c r="O1628" t="n">
        <x:v>65.4</x:v>
      </x:c>
      <x:c r="P1628" t="str">
        <x:v>Cloudy</x:v>
      </x:c>
      <x:c r="Q1628" t="n">
        <x:v>87</x:v>
      </x:c>
      <x:c r="R1628" t="n">
        <x:v>77.4</x:v>
      </x:c>
      <x:c r="S1628" t="n">
        <x:v>0.0977</x:v>
      </x:c>
      <x:c r="T1628" t="n">
        <x:v>17.7</x:v>
      </x:c>
      <x:c r="U1628" t="n">
        <x:v>1263.6</x:v>
      </x:c>
      <x:c r="V1628" t="n">
        <x:v>2539</x:v>
      </x:c>
      <x:c r="W1628" t="n">
        <x:v>45.2</x:v>
      </x:c>
    </x:row>
    <x:row r="1629">
      <x:c r="A1629" t="str">
        <x:v>PJT_1628</x:v>
      </x:c>
      <x:c r="B1629" t="str">
        <x:v>Marine</x:v>
      </x:c>
      <x:c r="C1629" t="n">
        <x:v>27230</x:v>
      </x:c>
      <x:c r="D1629" t="n">
        <x:v>20</x:v>
      </x:c>
      <x:c r="E1629" t="str">
        <x:v>High</x:v>
      </x:c>
      <x:c r="F1629" t="str">
        <x:v>Mixed-use</x:v>
      </x:c>
      <x:c r="G1629" t="str">
        <x:v>Steel</x:v>
      </x:c>
      <x:c r="H1629" t="str">
        <x:v>Piles</x:v>
      </x:c>
      <x:c r="I1629" t="str">
        <x:v>Mixed</x:v>
      </x:c>
      <x:c r="J1629" t="str">
        <x:v>High</x:v>
      </x:c>
      <x:c r="K1629" t="n">
        <x:v>80600800</x:v>
      </x:c>
      <x:c r="L1629" t="n">
        <x:v>1579</x:v>
      </x:c>
      <x:c r="M1629" t="n">
        <x:v>407.2</x:v>
      </x:c>
      <x:c r="N1629" t="n">
        <x:v>13.8</x:v>
      </x:c>
      <x:c r="O1629" t="n">
        <x:v>79.7</x:v>
      </x:c>
      <x:c r="P1629" t="str">
        <x:v>Stormy</x:v>
      </x:c>
      <x:c r="Q1629" t="n">
        <x:v>73</x:v>
      </x:c>
      <x:c r="R1629" t="n">
        <x:v>87</x:v>
      </x:c>
      <x:c r="S1629" t="n">
        <x:v>0.111</x:v>
      </x:c>
      <x:c r="T1629" t="n">
        <x:v>20.1</x:v>
      </x:c>
      <x:c r="U1629" t="n">
        <x:v>1361.5</x:v>
      </x:c>
      <x:c r="V1629" t="n">
        <x:v>2960</x:v>
      </x:c>
      <x:c r="W1629" t="n">
        <x:v>58</x:v>
      </x:c>
    </x:row>
    <x:row r="1630">
      <x:c r="A1630" t="str">
        <x:v>PJT_1629</x:v>
      </x:c>
      <x:c r="B1630" t="str">
        <x:v>Continental</x:v>
      </x:c>
      <x:c r="C1630" t="n">
        <x:v>13570</x:v>
      </x:c>
      <x:c r="D1630" t="n">
        <x:v>5</x:v>
      </x:c>
      <x:c r="E1630" t="str">
        <x:v>Low</x:v>
      </x:c>
      <x:c r="F1630" t="str">
        <x:v>School</x:v>
      </x:c>
      <x:c r="G1630" t="str">
        <x:v>RC Frame</x:v>
      </x:c>
      <x:c r="H1630" t="str">
        <x:v>Raft</x:v>
      </x:c>
      <x:c r="I1630" t="str">
        <x:v>Soft Clay</x:v>
      </x:c>
      <x:c r="J1630" t="str">
        <x:v>High</x:v>
      </x:c>
      <x:c r="K1630" t="n">
        <x:v>23896770</x:v>
      </x:c>
      <x:c r="L1630" t="n">
        <x:v>427</x:v>
      </x:c>
      <x:c r="M1630" t="n">
        <x:v>170.2</x:v>
      </x:c>
      <x:c r="N1630" t="n">
        <x:v>19.4</x:v>
      </x:c>
      <x:c r="O1630" t="n">
        <x:v>86.3</x:v>
      </x:c>
      <x:c r="P1630" t="str">
        <x:v>Stormy</x:v>
      </x:c>
      <x:c r="Q1630" t="n">
        <x:v>87</x:v>
      </x:c>
      <x:c r="R1630" t="n">
        <x:v>65.5</x:v>
      </x:c>
      <x:c r="S1630" t="n">
        <x:v>0.0805</x:v>
      </x:c>
      <x:c r="T1630" t="n">
        <x:v>12.6</x:v>
      </x:c>
      <x:c r="U1630" t="n">
        <x:v>2714</x:v>
      </x:c>
      <x:c r="V1630" t="n">
        <x:v>1761</x:v>
      </x:c>
      <x:c r="W1630" t="n">
        <x:v>31.5</x:v>
      </x:c>
    </x:row>
    <x:row r="1631">
      <x:c r="A1631" t="str">
        <x:v>PJT_1630</x:v>
      </x:c>
      <x:c r="B1631" t="str">
        <x:v>Humid Subtropical</x:v>
      </x:c>
      <x:c r="C1631" t="n">
        <x:v>19620</x:v>
      </x:c>
      <x:c r="D1631" t="n">
        <x:v>13</x:v>
      </x:c>
      <x:c r="E1631" t="str">
        <x:v>Medium</x:v>
      </x:c>
      <x:c r="F1631" t="str">
        <x:v>Commercial</x:v>
      </x:c>
      <x:c r="G1631" t="str">
        <x:v>Steel</x:v>
      </x:c>
      <x:c r="H1631" t="str">
        <x:v>Raft</x:v>
      </x:c>
      <x:c r="I1631" t="str">
        <x:v>Rock</x:v>
      </x:c>
      <x:c r="J1631" t="str">
        <x:v>Low</x:v>
      </x:c>
      <x:c r="K1631" t="n">
        <x:v>46499400</x:v>
      </x:c>
      <x:c r="L1631" t="n">
        <x:v>789</x:v>
      </x:c>
      <x:c r="M1631" t="n">
        <x:v>743.5</x:v>
      </x:c>
      <x:c r="N1631" t="n">
        <x:v>31.4</x:v>
      </x:c>
      <x:c r="O1631" t="n">
        <x:v>64</x:v>
      </x:c>
      <x:c r="P1631" t="str">
        <x:v>Sunny</x:v>
      </x:c>
      <x:c r="Q1631" t="n">
        <x:v>88</x:v>
      </x:c>
      <x:c r="R1631" t="n">
        <x:v>81.5</x:v>
      </x:c>
      <x:c r="S1631" t="n">
        <x:v>0.0934</x:v>
      </x:c>
      <x:c r="T1631" t="n">
        <x:v>18</x:v>
      </x:c>
      <x:c r="U1631" t="n">
        <x:v>1509.2</x:v>
      </x:c>
      <x:c r="V1631" t="n">
        <x:v>2370</x:v>
      </x:c>
      <x:c r="W1631" t="n">
        <x:v>40.2</x:v>
      </x:c>
    </x:row>
    <x:row r="1632">
      <x:c r="A1632" t="str">
        <x:v>PJT_1631</x:v>
      </x:c>
      <x:c r="B1632" t="str">
        <x:v>Continental</x:v>
      </x:c>
      <x:c r="C1632" t="n">
        <x:v>21210</x:v>
      </x:c>
      <x:c r="D1632" t="n">
        <x:v>23</x:v>
      </x:c>
      <x:c r="E1632" t="str">
        <x:v>Medium</x:v>
      </x:c>
      <x:c r="F1632" t="str">
        <x:v>Residential</x:v>
      </x:c>
      <x:c r="G1632" t="str">
        <x:v>Shear Wall</x:v>
      </x:c>
      <x:c r="H1632" t="str">
        <x:v>Piles</x:v>
      </x:c>
      <x:c r="I1632" t="str">
        <x:v>Mixed</x:v>
      </x:c>
      <x:c r="J1632" t="str">
        <x:v>Medium</x:v>
      </x:c>
      <x:c r="K1632" t="n">
        <x:v>35208600</x:v>
      </x:c>
      <x:c r="L1632" t="n">
        <x:v>933</x:v>
      </x:c>
      <x:c r="M1632" t="n">
        <x:v>285.3</x:v>
      </x:c>
      <x:c r="N1632" t="n">
        <x:v>9.8</x:v>
      </x:c>
      <x:c r="O1632" t="n">
        <x:v>69.7</x:v>
      </x:c>
      <x:c r="P1632" t="str">
        <x:v>Stormy</x:v>
      </x:c>
      <x:c r="Q1632" t="n">
        <x:v>85</x:v>
      </x:c>
      <x:c r="R1632" t="n">
        <x:v>71.9</x:v>
      </x:c>
      <x:c r="S1632" t="n">
        <x:v>0.0831</x:v>
      </x:c>
      <x:c r="T1632" t="n">
        <x:v>13.9</x:v>
      </x:c>
      <x:c r="U1632" t="n">
        <x:v>922.2</x:v>
      </x:c>
      <x:c r="V1632" t="n">
        <x:v>1660</x:v>
      </x:c>
      <x:c r="W1632" t="n">
        <x:v>44</x:v>
      </x:c>
    </x:row>
    <x:row r="1633">
      <x:c r="A1633" t="str">
        <x:v>PJT_1632</x:v>
      </x:c>
      <x:c r="B1633" t="str">
        <x:v>Continental</x:v>
      </x:c>
      <x:c r="C1633" t="n">
        <x:v>33040</x:v>
      </x:c>
      <x:c r="D1633" t="n">
        <x:v>21</x:v>
      </x:c>
      <x:c r="E1633" t="str">
        <x:v>High</x:v>
      </x:c>
      <x:c r="F1633" t="str">
        <x:v>Mixed-use</x:v>
      </x:c>
      <x:c r="G1633" t="str">
        <x:v>Steel</x:v>
      </x:c>
      <x:c r="H1633" t="str">
        <x:v>Piles</x:v>
      </x:c>
      <x:c r="I1633" t="str">
        <x:v>Mixed</x:v>
      </x:c>
      <x:c r="J1633" t="str">
        <x:v>High</x:v>
      </x:c>
      <x:c r="K1633" t="n">
        <x:v>95849040</x:v>
      </x:c>
      <x:c r="L1633" t="n">
        <x:v>1821</x:v>
      </x:c>
      <x:c r="M1633" t="n">
        <x:v>411.3</x:v>
      </x:c>
      <x:c r="N1633" t="n">
        <x:v>4.1</x:v>
      </x:c>
      <x:c r="O1633" t="n">
        <x:v>55.5</x:v>
      </x:c>
      <x:c r="P1633" t="str">
        <x:v>Cloudy</x:v>
      </x:c>
      <x:c r="Q1633" t="n">
        <x:v>100</x:v>
      </x:c>
      <x:c r="R1633" t="n">
        <x:v>86.5</x:v>
      </x:c>
      <x:c r="S1633" t="n">
        <x:v>0.1031</x:v>
      </x:c>
      <x:c r="T1633" t="n">
        <x:v>20.4</x:v>
      </x:c>
      <x:c r="U1633" t="n">
        <x:v>1573.3</x:v>
      </x:c>
      <x:c r="V1633" t="n">
        <x:v>2901</x:v>
      </x:c>
      <x:c r="W1633" t="n">
        <x:v>55.1</x:v>
      </x:c>
    </x:row>
    <x:row r="1634">
      <x:c r="A1634" t="str">
        <x:v>PJT_1633</x:v>
      </x:c>
      <x:c r="B1634" t="str">
        <x:v>Humid Subtropical</x:v>
      </x:c>
      <x:c r="C1634" t="n">
        <x:v>5310</x:v>
      </x:c>
      <x:c r="D1634" t="n">
        <x:v>3</x:v>
      </x:c>
      <x:c r="E1634" t="str">
        <x:v>Low</x:v>
      </x:c>
      <x:c r="F1634" t="str">
        <x:v>School</x:v>
      </x:c>
      <x:c r="G1634" t="str">
        <x:v>RC Frame</x:v>
      </x:c>
      <x:c r="H1634" t="str">
        <x:v>Raft</x:v>
      </x:c>
      <x:c r="I1634" t="str">
        <x:v>Soft Clay</x:v>
      </x:c>
      <x:c r="J1634" t="str">
        <x:v>Medium</x:v>
      </x:c>
      <x:c r="K1634" t="n">
        <x:v>9180990</x:v>
      </x:c>
      <x:c r="L1634" t="n">
        <x:v>180</x:v>
      </x:c>
      <x:c r="M1634" t="n">
        <x:v>165.2</x:v>
      </x:c>
      <x:c r="N1634" t="n">
        <x:v>24.3</x:v>
      </x:c>
      <x:c r="O1634" t="n">
        <x:v>74.4</x:v>
      </x:c>
      <x:c r="P1634" t="str">
        <x:v>Rainy</x:v>
      </x:c>
      <x:c r="Q1634" t="n">
        <x:v>91</x:v>
      </x:c>
      <x:c r="R1634" t="n">
        <x:v>68.9</x:v>
      </x:c>
      <x:c r="S1634" t="n">
        <x:v>0.0747</x:v>
      </x:c>
      <x:c r="T1634" t="n">
        <x:v>13.6</x:v>
      </x:c>
      <x:c r="U1634" t="n">
        <x:v>1770</x:v>
      </x:c>
      <x:c r="V1634" t="n">
        <x:v>1729</x:v>
      </x:c>
      <x:c r="W1634" t="n">
        <x:v>29.9</x:v>
      </x:c>
    </x:row>
    <x:row r="1635">
      <x:c r="A1635" t="str">
        <x:v>PJT_1634</x:v>
      </x:c>
      <x:c r="B1635" t="str">
        <x:v>Humid Subtropical</x:v>
      </x:c>
      <x:c r="C1635" t="n">
        <x:v>21370</x:v>
      </x:c>
      <x:c r="D1635" t="n">
        <x:v>17</x:v>
      </x:c>
      <x:c r="E1635" t="str">
        <x:v>Medium</x:v>
      </x:c>
      <x:c r="F1635" t="str">
        <x:v>Mixed-use</x:v>
      </x:c>
      <x:c r="G1635" t="str">
        <x:v>Steel</x:v>
      </x:c>
      <x:c r="H1635" t="str">
        <x:v>Piles</x:v>
      </x:c>
      <x:c r="I1635" t="str">
        <x:v>Mixed</x:v>
      </x:c>
      <x:c r="J1635" t="str">
        <x:v>Low</x:v>
      </x:c>
      <x:c r="K1635" t="n">
        <x:v>58938460</x:v>
      </x:c>
      <x:c r="L1635" t="n">
        <x:v>1182</x:v>
      </x:c>
      <x:c r="M1635" t="n">
        <x:v>320.5</x:v>
      </x:c>
      <x:c r="N1635" t="n">
        <x:v>26.3</x:v>
      </x:c>
      <x:c r="O1635" t="n">
        <x:v>85.8</x:v>
      </x:c>
      <x:c r="P1635" t="str">
        <x:v>Stormy</x:v>
      </x:c>
      <x:c r="Q1635" t="n">
        <x:v>108</x:v>
      </x:c>
      <x:c r="R1635" t="n">
        <x:v>81.7</x:v>
      </x:c>
      <x:c r="S1635" t="n">
        <x:v>0.1028</x:v>
      </x:c>
      <x:c r="T1635" t="n">
        <x:v>18.5</x:v>
      </x:c>
      <x:c r="U1635" t="n">
        <x:v>1257.1</x:v>
      </x:c>
      <x:c r="V1635" t="n">
        <x:v>2758</x:v>
      </x:c>
      <x:c r="W1635" t="n">
        <x:v>55.3</x:v>
      </x:c>
    </x:row>
    <x:row r="1636">
      <x:c r="A1636" t="str">
        <x:v>PJT_1635</x:v>
      </x:c>
      <x:c r="B1636" t="str">
        <x:v>Continental</x:v>
      </x:c>
      <x:c r="C1636" t="n">
        <x:v>24790</x:v>
      </x:c>
      <x:c r="D1636" t="n">
        <x:v>17</x:v>
      </x:c>
      <x:c r="E1636" t="str">
        <x:v>Medium</x:v>
      </x:c>
      <x:c r="F1636" t="str">
        <x:v>Commercial</x:v>
      </x:c>
      <x:c r="G1636" t="str">
        <x:v>Steel</x:v>
      </x:c>
      <x:c r="H1636" t="str">
        <x:v>Piles</x:v>
      </x:c>
      <x:c r="I1636" t="str">
        <x:v>Soft Clay</x:v>
      </x:c>
      <x:c r="J1636" t="str">
        <x:v>Medium</x:v>
      </x:c>
      <x:c r="K1636" t="n">
        <x:v>61503990</x:v>
      </x:c>
      <x:c r="L1636" t="n">
        <x:v>1207</x:v>
      </x:c>
      <x:c r="M1636" t="n">
        <x:v>228.8</x:v>
      </x:c>
      <x:c r="N1636" t="n">
        <x:v>12.8</x:v>
      </x:c>
      <x:c r="O1636" t="n">
        <x:v>79.7</x:v>
      </x:c>
      <x:c r="P1636" t="str">
        <x:v>Rainy</x:v>
      </x:c>
      <x:c r="Q1636" t="n">
        <x:v>94</x:v>
      </x:c>
      <x:c r="R1636" t="n">
        <x:v>77.2</x:v>
      </x:c>
      <x:c r="S1636" t="n">
        <x:v>0.0939</x:v>
      </x:c>
      <x:c r="T1636" t="n">
        <x:v>16.9</x:v>
      </x:c>
      <x:c r="U1636" t="n">
        <x:v>1458.2</x:v>
      </x:c>
      <x:c r="V1636" t="n">
        <x:v>2481</x:v>
      </x:c>
      <x:c r="W1636" t="n">
        <x:v>48.7</x:v>
      </x:c>
    </x:row>
    <x:row r="1637">
      <x:c r="A1637" t="str">
        <x:v>PJT_1636</x:v>
      </x:c>
      <x:c r="B1637" t="str">
        <x:v>Continental</x:v>
      </x:c>
      <x:c r="C1637" t="n">
        <x:v>9950</x:v>
      </x:c>
      <x:c r="D1637" t="n">
        <x:v>4</x:v>
      </x:c>
      <x:c r="E1637" t="str">
        <x:v>Low</x:v>
      </x:c>
      <x:c r="F1637" t="str">
        <x:v>School</x:v>
      </x:c>
      <x:c r="G1637" t="str">
        <x:v>RC Frame</x:v>
      </x:c>
      <x:c r="H1637" t="str">
        <x:v>Raft</x:v>
      </x:c>
      <x:c r="I1637" t="str">
        <x:v>Rock</x:v>
      </x:c>
      <x:c r="J1637" t="str">
        <x:v>Low</x:v>
      </x:c>
      <x:c r="K1637" t="n">
        <x:v>14925000</x:v>
      </x:c>
      <x:c r="L1637" t="n">
        <x:v>328</x:v>
      </x:c>
      <x:c r="M1637" t="n">
        <x:v>678.3</x:v>
      </x:c>
      <x:c r="N1637" t="n">
        <x:v>19.5</x:v>
      </x:c>
      <x:c r="O1637" t="n">
        <x:v>82.9</x:v>
      </x:c>
      <x:c r="P1637" t="str">
        <x:v>Stormy</x:v>
      </x:c>
      <x:c r="Q1637" t="n">
        <x:v>98</x:v>
      </x:c>
      <x:c r="R1637" t="n">
        <x:v>61.1</x:v>
      </x:c>
      <x:c r="S1637" t="n">
        <x:v>0.0779</x:v>
      </x:c>
      <x:c r="T1637" t="n">
        <x:v>13</x:v>
      </x:c>
      <x:c r="U1637" t="n">
        <x:v>2487.5</x:v>
      </x:c>
      <x:c r="V1637" t="n">
        <x:v>1500</x:v>
      </x:c>
      <x:c r="W1637" t="n">
        <x:v>33</x:v>
      </x:c>
    </x:row>
    <x:row r="1638">
      <x:c r="A1638" t="str">
        <x:v>PJT_1637</x:v>
      </x:c>
      <x:c r="B1638" t="str">
        <x:v>Mediterranean</x:v>
      </x:c>
      <x:c r="C1638" t="n">
        <x:v>6580</x:v>
      </x:c>
      <x:c r="D1638" t="n">
        <x:v>7</x:v>
      </x:c>
      <x:c r="E1638" t="str">
        <x:v>Low</x:v>
      </x:c>
      <x:c r="F1638" t="str">
        <x:v>Residential</x:v>
      </x:c>
      <x:c r="G1638" t="str">
        <x:v>RC Frame</x:v>
      </x:c>
      <x:c r="H1638" t="str">
        <x:v>Raft</x:v>
      </x:c>
      <x:c r="I1638" t="str">
        <x:v>Mixed</x:v>
      </x:c>
      <x:c r="J1638" t="str">
        <x:v>High</x:v>
      </x:c>
      <x:c r="K1638" t="n">
        <x:v>9580480</x:v>
      </x:c>
      <x:c r="L1638" t="n">
        <x:v>187</x:v>
      </x:c>
      <x:c r="M1638" t="n">
        <x:v>366.6</x:v>
      </x:c>
      <x:c r="N1638" t="n">
        <x:v>23</x:v>
      </x:c>
      <x:c r="O1638" t="n">
        <x:v>45</x:v>
      </x:c>
      <x:c r="P1638" t="str">
        <x:v>Sunny</x:v>
      </x:c>
      <x:c r="Q1638" t="n">
        <x:v>69</x:v>
      </x:c>
      <x:c r="R1638" t="n">
        <x:v>67.3</x:v>
      </x:c>
      <x:c r="S1638" t="n">
        <x:v>0.0733</x:v>
      </x:c>
      <x:c r="T1638" t="n">
        <x:v>11.6</x:v>
      </x:c>
      <x:c r="U1638" t="n">
        <x:v>940</x:v>
      </x:c>
      <x:c r="V1638" t="n">
        <x:v>1456</x:v>
      </x:c>
      <x:c r="W1638" t="n">
        <x:v>28.4</x:v>
      </x:c>
    </x:row>
    <x:row r="1639">
      <x:c r="A1639" t="str">
        <x:v>PJT_1638</x:v>
      </x:c>
      <x:c r="B1639" t="str">
        <x:v>Continental</x:v>
      </x:c>
      <x:c r="C1639" t="n">
        <x:v>31940</x:v>
      </x:c>
      <x:c r="D1639" t="n">
        <x:v>19</x:v>
      </x:c>
      <x:c r="E1639" t="str">
        <x:v>High</x:v>
      </x:c>
      <x:c r="F1639" t="str">
        <x:v>Mixed-use</x:v>
      </x:c>
      <x:c r="G1639" t="str">
        <x:v>Steel</x:v>
      </x:c>
      <x:c r="H1639" t="str">
        <x:v>Piles</x:v>
      </x:c>
      <x:c r="I1639" t="str">
        <x:v>Sand</x:v>
      </x:c>
      <x:c r="J1639" t="str">
        <x:v>Low</x:v>
      </x:c>
      <x:c r="K1639" t="n">
        <x:v>88409920</x:v>
      </x:c>
      <x:c r="L1639" t="n">
        <x:v>1837</x:v>
      </x:c>
      <x:c r="M1639" t="n">
        <x:v>252.9</x:v>
      </x:c>
      <x:c r="N1639" t="n">
        <x:v>5.5</x:v>
      </x:c>
      <x:c r="O1639" t="n">
        <x:v>78.3</x:v>
      </x:c>
      <x:c r="P1639" t="str">
        <x:v>Rainy</x:v>
      </x:c>
      <x:c r="Q1639" t="n">
        <x:v>80</x:v>
      </x:c>
      <x:c r="R1639" t="n">
        <x:v>86.9</x:v>
      </x:c>
      <x:c r="S1639" t="n">
        <x:v>0.1034</x:v>
      </x:c>
      <x:c r="T1639" t="n">
        <x:v>19.3</x:v>
      </x:c>
      <x:c r="U1639" t="n">
        <x:v>1681.1</x:v>
      </x:c>
      <x:c r="V1639" t="n">
        <x:v>2768</x:v>
      </x:c>
      <x:c r="W1639" t="n">
        <x:v>57.5</x:v>
      </x:c>
    </x:row>
    <x:row r="1640">
      <x:c r="A1640" t="str">
        <x:v>PJT_1639</x:v>
      </x:c>
      <x:c r="B1640" t="str">
        <x:v>Continental</x:v>
      </x:c>
      <x:c r="C1640" t="n">
        <x:v>14950</x:v>
      </x:c>
      <x:c r="D1640" t="n">
        <x:v>15</x:v>
      </x:c>
      <x:c r="E1640" t="str">
        <x:v>Medium</x:v>
      </x:c>
      <x:c r="F1640" t="str">
        <x:v>Residential</x:v>
      </x:c>
      <x:c r="G1640" t="str">
        <x:v>Shear Wall</x:v>
      </x:c>
      <x:c r="H1640" t="str">
        <x:v>Raft</x:v>
      </x:c>
      <x:c r="I1640" t="str">
        <x:v>Rock</x:v>
      </x:c>
      <x:c r="J1640" t="str">
        <x:v>High</x:v>
      </x:c>
      <x:c r="K1640" t="n">
        <x:v>23351900</x:v>
      </x:c>
      <x:c r="L1640" t="n">
        <x:v>535</x:v>
      </x:c>
      <x:c r="M1640" t="n">
        <x:v>634.3</x:v>
      </x:c>
      <x:c r="N1640" t="n">
        <x:v>11.9</x:v>
      </x:c>
      <x:c r="O1640" t="n">
        <x:v>60.2</x:v>
      </x:c>
      <x:c r="P1640" t="str">
        <x:v>Cloudy</x:v>
      </x:c>
      <x:c r="Q1640" t="n">
        <x:v>85</x:v>
      </x:c>
      <x:c r="R1640" t="n">
        <x:v>76.3</x:v>
      </x:c>
      <x:c r="S1640" t="n">
        <x:v>0.084</x:v>
      </x:c>
      <x:c r="T1640" t="n">
        <x:v>14.2</x:v>
      </x:c>
      <x:c r="U1640" t="n">
        <x:v>996.7</x:v>
      </x:c>
      <x:c r="V1640" t="n">
        <x:v>1562</x:v>
      </x:c>
      <x:c r="W1640" t="n">
        <x:v>35.8</x:v>
      </x:c>
    </x:row>
    <x:row r="1641">
      <x:c r="A1641" t="str">
        <x:v>PJT_1640</x:v>
      </x:c>
      <x:c r="B1641" t="str">
        <x:v>Mediterranean</x:v>
      </x:c>
      <x:c r="C1641" t="n">
        <x:v>19180</x:v>
      </x:c>
      <x:c r="D1641" t="n">
        <x:v>14</x:v>
      </x:c>
      <x:c r="E1641" t="str">
        <x:v>Medium</x:v>
      </x:c>
      <x:c r="F1641" t="str">
        <x:v>Mixed-use</x:v>
      </x:c>
      <x:c r="G1641" t="str">
        <x:v>Shear Wall</x:v>
      </x:c>
      <x:c r="H1641" t="str">
        <x:v>Piles</x:v>
      </x:c>
      <x:c r="I1641" t="str">
        <x:v>Sand</x:v>
      </x:c>
      <x:c r="J1641" t="str">
        <x:v>High</x:v>
      </x:c>
      <x:c r="K1641" t="n">
        <x:v>49637840</x:v>
      </x:c>
      <x:c r="L1641" t="n">
        <x:v>1001</x:v>
      </x:c>
      <x:c r="M1641" t="n">
        <x:v>356.9</x:v>
      </x:c>
      <x:c r="N1641" t="n">
        <x:v>15.5</x:v>
      </x:c>
      <x:c r="O1641" t="n">
        <x:v>68.6</x:v>
      </x:c>
      <x:c r="P1641" t="str">
        <x:v>Rainy</x:v>
      </x:c>
      <x:c r="Q1641" t="n">
        <x:v>95</x:v>
      </x:c>
      <x:c r="R1641" t="n">
        <x:v>81.5</x:v>
      </x:c>
      <x:c r="S1641" t="n">
        <x:v>0.1015</x:v>
      </x:c>
      <x:c r="T1641" t="n">
        <x:v>17.2</x:v>
      </x:c>
      <x:c r="U1641" t="n">
        <x:v>1370</x:v>
      </x:c>
      <x:c r="V1641" t="n">
        <x:v>2588</x:v>
      </x:c>
      <x:c r="W1641" t="n">
        <x:v>52.2</x:v>
      </x:c>
    </x:row>
    <x:row r="1642">
      <x:c r="A1642" t="str">
        <x:v>PJT_1641</x:v>
      </x:c>
      <x:c r="B1642" t="str">
        <x:v>Mediterranean</x:v>
      </x:c>
      <x:c r="C1642" t="n">
        <x:v>12800</x:v>
      </x:c>
      <x:c r="D1642" t="n">
        <x:v>14</x:v>
      </x:c>
      <x:c r="E1642" t="str">
        <x:v>Medium</x:v>
      </x:c>
      <x:c r="F1642" t="str">
        <x:v>Residential</x:v>
      </x:c>
      <x:c r="G1642" t="str">
        <x:v>Shear Wall</x:v>
      </x:c>
      <x:c r="H1642" t="str">
        <x:v>Raft</x:v>
      </x:c>
      <x:c r="I1642" t="str">
        <x:v>Mixed</x:v>
      </x:c>
      <x:c r="J1642" t="str">
        <x:v>High</x:v>
      </x:c>
      <x:c r="K1642" t="n">
        <x:v>20531200</x:v>
      </x:c>
      <x:c r="L1642" t="n">
        <x:v>434</x:v>
      </x:c>
      <x:c r="M1642" t="n">
        <x:v>340.2</x:v>
      </x:c>
      <x:c r="N1642" t="n">
        <x:v>28.3</x:v>
      </x:c>
      <x:c r="O1642" t="n">
        <x:v>55.8</x:v>
      </x:c>
      <x:c r="P1642" t="str">
        <x:v>Sunny</x:v>
      </x:c>
      <x:c r="Q1642" t="n">
        <x:v>74</x:v>
      </x:c>
      <x:c r="R1642" t="n">
        <x:v>74.5</x:v>
      </x:c>
      <x:c r="S1642" t="n">
        <x:v>0.0803</x:v>
      </x:c>
      <x:c r="T1642" t="n">
        <x:v>14</x:v>
      </x:c>
      <x:c r="U1642" t="n">
        <x:v>914.3</x:v>
      </x:c>
      <x:c r="V1642" t="n">
        <x:v>1604</x:v>
      </x:c>
      <x:c r="W1642" t="n">
        <x:v>33.9</x:v>
      </x:c>
    </x:row>
    <x:row r="1643">
      <x:c r="A1643" t="str">
        <x:v>PJT_1642</x:v>
      </x:c>
      <x:c r="B1643" t="str">
        <x:v>Marine</x:v>
      </x:c>
      <x:c r="C1643" t="n">
        <x:v>37760</x:v>
      </x:c>
      <x:c r="D1643" t="n">
        <x:v>29</x:v>
      </x:c>
      <x:c r="E1643" t="str">
        <x:v>High</x:v>
      </x:c>
      <x:c r="F1643" t="str">
        <x:v>Mixed-use</x:v>
      </x:c>
      <x:c r="G1643" t="str">
        <x:v>Steel</x:v>
      </x:c>
      <x:c r="H1643" t="str">
        <x:v>Piles</x:v>
      </x:c>
      <x:c r="I1643" t="str">
        <x:v>Rock</x:v>
      </x:c>
      <x:c r="J1643" t="str">
        <x:v>Low</x:v>
      </x:c>
      <x:c r="K1643" t="n">
        <x:v>106898560</x:v>
      </x:c>
      <x:c r="L1643" t="n">
        <x:v>2111</x:v>
      </x:c>
      <x:c r="M1643" t="n">
        <x:v>668.2</x:v>
      </x:c>
      <x:c r="N1643" t="n">
        <x:v>18</x:v>
      </x:c>
      <x:c r="O1643" t="n">
        <x:v>68.1</x:v>
      </x:c>
      <x:c r="P1643" t="str">
        <x:v>Cloudy</x:v>
      </x:c>
      <x:c r="Q1643" t="n">
        <x:v>73</x:v>
      </x:c>
      <x:c r="R1643" t="n">
        <x:v>91</x:v>
      </x:c>
      <x:c r="S1643" t="n">
        <x:v>0.1078</x:v>
      </x:c>
      <x:c r="T1643" t="n">
        <x:v>19.4</x:v>
      </x:c>
      <x:c r="U1643" t="n">
        <x:v>1302.1</x:v>
      </x:c>
      <x:c r="V1643" t="n">
        <x:v>2831</x:v>
      </x:c>
      <x:c r="W1643" t="n">
        <x:v>55.9</x:v>
      </x:c>
    </x:row>
    <x:row r="1644">
      <x:c r="A1644" t="str">
        <x:v>PJT_1643</x:v>
      </x:c>
      <x:c r="B1644" t="str">
        <x:v>Mediterranean</x:v>
      </x:c>
      <x:c r="C1644" t="n">
        <x:v>6600</x:v>
      </x:c>
      <x:c r="D1644" t="n">
        <x:v>6</x:v>
      </x:c>
      <x:c r="E1644" t="str">
        <x:v>Medium</x:v>
      </x:c>
      <x:c r="F1644" t="str">
        <x:v>Commercial</x:v>
      </x:c>
      <x:c r="G1644" t="str">
        <x:v>RC Frame</x:v>
      </x:c>
      <x:c r="H1644" t="str">
        <x:v>Raft</x:v>
      </x:c>
      <x:c r="I1644" t="str">
        <x:v>Mixed</x:v>
      </x:c>
      <x:c r="J1644" t="str">
        <x:v>Low</x:v>
      </x:c>
      <x:c r="K1644" t="n">
        <x:v>14295600</x:v>
      </x:c>
      <x:c r="L1644" t="n">
        <x:v>292</x:v>
      </x:c>
      <x:c r="M1644" t="n">
        <x:v>265.5</x:v>
      </x:c>
      <x:c r="N1644" t="n">
        <x:v>11.6</x:v>
      </x:c>
      <x:c r="O1644" t="n">
        <x:v>80.5</x:v>
      </x:c>
      <x:c r="P1644" t="str">
        <x:v>Stormy</x:v>
      </x:c>
      <x:c r="Q1644" t="n">
        <x:v>102</x:v>
      </x:c>
      <x:c r="R1644" t="n">
        <x:v>75.7</x:v>
      </x:c>
      <x:c r="S1644" t="n">
        <x:v>0.0899</x:v>
      </x:c>
      <x:c r="T1644" t="n">
        <x:v>16.8</x:v>
      </x:c>
      <x:c r="U1644" t="n">
        <x:v>1100</x:v>
      </x:c>
      <x:c r="V1644" t="n">
        <x:v>2166</x:v>
      </x:c>
      <x:c r="W1644" t="n">
        <x:v>44.3</x:v>
      </x:c>
    </x:row>
    <x:row r="1645">
      <x:c r="A1645" t="str">
        <x:v>PJT_1644</x:v>
      </x:c>
      <x:c r="B1645" t="str">
        <x:v>Humid Subtropical</x:v>
      </x:c>
      <x:c r="C1645" t="n">
        <x:v>15790</x:v>
      </x:c>
      <x:c r="D1645" t="n">
        <x:v>19</x:v>
      </x:c>
      <x:c r="E1645" t="str">
        <x:v>Medium</x:v>
      </x:c>
      <x:c r="F1645" t="str">
        <x:v>Residential</x:v>
      </x:c>
      <x:c r="G1645" t="str">
        <x:v>RC Frame</x:v>
      </x:c>
      <x:c r="H1645" t="str">
        <x:v>Piles</x:v>
      </x:c>
      <x:c r="I1645" t="str">
        <x:v>Rock</x:v>
      </x:c>
      <x:c r="J1645" t="str">
        <x:v>Low</x:v>
      </x:c>
      <x:c r="K1645" t="n">
        <x:v>24127120</x:v>
      </x:c>
      <x:c r="L1645" t="n">
        <x:v>584</x:v>
      </x:c>
      <x:c r="M1645" t="n">
        <x:v>811.9</x:v>
      </x:c>
      <x:c r="N1645" t="n">
        <x:v>27.2</x:v>
      </x:c>
      <x:c r="O1645" t="n">
        <x:v>55.5</x:v>
      </x:c>
      <x:c r="P1645" t="str">
        <x:v>Sunny</x:v>
      </x:c>
      <x:c r="Q1645" t="n">
        <x:v>88</x:v>
      </x:c>
      <x:c r="R1645" t="n">
        <x:v>70.7</x:v>
      </x:c>
      <x:c r="S1645" t="n">
        <x:v>0.0811</x:v>
      </x:c>
      <x:c r="T1645" t="n">
        <x:v>12.7</x:v>
      </x:c>
      <x:c r="U1645" t="n">
        <x:v>831.1</x:v>
      </x:c>
      <x:c r="V1645" t="n">
        <x:v>1528</x:v>
      </x:c>
      <x:c r="W1645" t="n">
        <x:v>37</x:v>
      </x:c>
    </x:row>
    <x:row r="1646">
      <x:c r="A1646" t="str">
        <x:v>PJT_1645</x:v>
      </x:c>
      <x:c r="B1646" t="str">
        <x:v>Mediterranean</x:v>
      </x:c>
      <x:c r="C1646" t="n">
        <x:v>20370</x:v>
      </x:c>
      <x:c r="D1646" t="n">
        <x:v>17</x:v>
      </x:c>
      <x:c r="E1646" t="str">
        <x:v>High</x:v>
      </x:c>
      <x:c r="F1646" t="str">
        <x:v>Mixed-use</x:v>
      </x:c>
      <x:c r="G1646" t="str">
        <x:v>Shear Wall</x:v>
      </x:c>
      <x:c r="H1646" t="str">
        <x:v>Piles</x:v>
      </x:c>
      <x:c r="I1646" t="str">
        <x:v>Mixed</x:v>
      </x:c>
      <x:c r="J1646" t="str">
        <x:v>Low</x:v>
      </x:c>
      <x:c r="K1646" t="n">
        <x:v>55671210</x:v>
      </x:c>
      <x:c r="L1646" t="n">
        <x:v>1159</x:v>
      </x:c>
      <x:c r="M1646" t="n">
        <x:v>303.4</x:v>
      </x:c>
      <x:c r="N1646" t="n">
        <x:v>8</x:v>
      </x:c>
      <x:c r="O1646" t="n">
        <x:v>85.2</x:v>
      </x:c>
      <x:c r="P1646" t="str">
        <x:v>Stormy</x:v>
      </x:c>
      <x:c r="Q1646" t="n">
        <x:v>106</x:v>
      </x:c>
      <x:c r="R1646" t="n">
        <x:v>82.8</x:v>
      </x:c>
      <x:c r="S1646" t="n">
        <x:v>0.1082</x:v>
      </x:c>
      <x:c r="T1646" t="n">
        <x:v>20.6</x:v>
      </x:c>
      <x:c r="U1646" t="n">
        <x:v>1198.2</x:v>
      </x:c>
      <x:c r="V1646" t="n">
        <x:v>2733</x:v>
      </x:c>
      <x:c r="W1646" t="n">
        <x:v>56.9</x:v>
      </x:c>
    </x:row>
    <x:row r="1647">
      <x:c r="A1647" t="str">
        <x:v>PJT_1646</x:v>
      </x:c>
      <x:c r="B1647" t="str">
        <x:v>Continental</x:v>
      </x:c>
      <x:c r="C1647" t="n">
        <x:v>39990</x:v>
      </x:c>
      <x:c r="D1647" t="n">
        <x:v>24</x:v>
      </x:c>
      <x:c r="E1647" t="str">
        <x:v>High</x:v>
      </x:c>
      <x:c r="F1647" t="str">
        <x:v>Mixed-use</x:v>
      </x:c>
      <x:c r="G1647" t="str">
        <x:v>Steel</x:v>
      </x:c>
      <x:c r="H1647" t="str">
        <x:v>Piles</x:v>
      </x:c>
      <x:c r="I1647" t="str">
        <x:v>Rock</x:v>
      </x:c>
      <x:c r="J1647" t="str">
        <x:v>Low</x:v>
      </x:c>
      <x:c r="K1647" t="n">
        <x:v>115211190</x:v>
      </x:c>
      <x:c r="L1647" t="n">
        <x:v>2319</x:v>
      </x:c>
      <x:c r="M1647" t="n">
        <x:v>731.8</x:v>
      </x:c>
      <x:c r="N1647" t="n">
        <x:v>-4.3</x:v>
      </x:c>
      <x:c r="O1647" t="n">
        <x:v>62.6</x:v>
      </x:c>
      <x:c r="P1647" t="str">
        <x:v>Snowy</x:v>
      </x:c>
      <x:c r="Q1647" t="n">
        <x:v>90</x:v>
      </x:c>
      <x:c r="R1647" t="n">
        <x:v>90.1</x:v>
      </x:c>
      <x:c r="S1647" t="n">
        <x:v>0.1091</x:v>
      </x:c>
      <x:c r="T1647" t="n">
        <x:v>20.4</x:v>
      </x:c>
      <x:c r="U1647" t="n">
        <x:v>1666.2</x:v>
      </x:c>
      <x:c r="V1647" t="n">
        <x:v>2881</x:v>
      </x:c>
      <x:c r="W1647" t="n">
        <x:v>58</x:v>
      </x:c>
    </x:row>
    <x:row r="1648">
      <x:c r="A1648" t="str">
        <x:v>PJT_1647</x:v>
      </x:c>
      <x:c r="B1648" t="str">
        <x:v>Humid Subtropical</x:v>
      </x:c>
      <x:c r="C1648" t="n">
        <x:v>9980</x:v>
      </x:c>
      <x:c r="D1648" t="n">
        <x:v>8</x:v>
      </x:c>
      <x:c r="E1648" t="str">
        <x:v>Medium</x:v>
      </x:c>
      <x:c r="F1648" t="str">
        <x:v>Commercial</x:v>
      </x:c>
      <x:c r="G1648" t="str">
        <x:v>RC Frame</x:v>
      </x:c>
      <x:c r="H1648" t="str">
        <x:v>Raft</x:v>
      </x:c>
      <x:c r="I1648" t="str">
        <x:v>Mixed</x:v>
      </x:c>
      <x:c r="J1648" t="str">
        <x:v>Medium</x:v>
      </x:c>
      <x:c r="K1648" t="n">
        <x:v>22864180</x:v>
      </x:c>
      <x:c r="L1648" t="n">
        <x:v>420</x:v>
      </x:c>
      <x:c r="M1648" t="n">
        <x:v>292.5</x:v>
      </x:c>
      <x:c r="N1648" t="n">
        <x:v>27.1</x:v>
      </x:c>
      <x:c r="O1648" t="n">
        <x:v>77</x:v>
      </x:c>
      <x:c r="P1648" t="str">
        <x:v>Cloudy</x:v>
      </x:c>
      <x:c r="Q1648" t="n">
        <x:v>101</x:v>
      </x:c>
      <x:c r="R1648" t="n">
        <x:v>75.6</x:v>
      </x:c>
      <x:c r="S1648" t="n">
        <x:v>0.0912</x:v>
      </x:c>
      <x:c r="T1648" t="n">
        <x:v>16.3</x:v>
      </x:c>
      <x:c r="U1648" t="n">
        <x:v>1247.5</x:v>
      </x:c>
      <x:c r="V1648" t="n">
        <x:v>2291</x:v>
      </x:c>
      <x:c r="W1648" t="n">
        <x:v>42.1</x:v>
      </x:c>
    </x:row>
    <x:row r="1649">
      <x:c r="A1649" t="str">
        <x:v>PJT_1648</x:v>
      </x:c>
      <x:c r="B1649" t="str">
        <x:v>Humid Subtropical</x:v>
      </x:c>
      <x:c r="C1649" t="n">
        <x:v>10330</x:v>
      </x:c>
      <x:c r="D1649" t="n">
        <x:v>14</x:v>
      </x:c>
      <x:c r="E1649" t="str">
        <x:v>Medium</x:v>
      </x:c>
      <x:c r="F1649" t="str">
        <x:v>Residential</x:v>
      </x:c>
      <x:c r="G1649" t="str">
        <x:v>RC Frame</x:v>
      </x:c>
      <x:c r="H1649" t="str">
        <x:v>Raft</x:v>
      </x:c>
      <x:c r="I1649" t="str">
        <x:v>Mixed</x:v>
      </x:c>
      <x:c r="J1649" t="str">
        <x:v>Low</x:v>
      </x:c>
      <x:c r="K1649" t="n">
        <x:v>15773910</x:v>
      </x:c>
      <x:c r="L1649" t="n">
        <x:v>401</x:v>
      </x:c>
      <x:c r="M1649" t="n">
        <x:v>353.1</x:v>
      </x:c>
      <x:c r="N1649" t="n">
        <x:v>21.5</x:v>
      </x:c>
      <x:c r="O1649" t="n">
        <x:v>77.9</x:v>
      </x:c>
      <x:c r="P1649" t="str">
        <x:v>Rainy</x:v>
      </x:c>
      <x:c r="Q1649" t="n">
        <x:v>97</x:v>
      </x:c>
      <x:c r="R1649" t="n">
        <x:v>68.3</x:v>
      </x:c>
      <x:c r="S1649" t="n">
        <x:v>0.0812</x:v>
      </x:c>
      <x:c r="T1649" t="n">
        <x:v>12.4</x:v>
      </x:c>
      <x:c r="U1649" t="n">
        <x:v>737.9</x:v>
      </x:c>
      <x:c r="V1649" t="n">
        <x:v>1527</x:v>
      </x:c>
      <x:c r="W1649" t="n">
        <x:v>38.8</x:v>
      </x:c>
    </x:row>
    <x:row r="1650">
      <x:c r="A1650" t="str">
        <x:v>PJT_1649</x:v>
      </x:c>
      <x:c r="B1650" t="str">
        <x:v>Marine</x:v>
      </x:c>
      <x:c r="C1650" t="n">
        <x:v>24480</x:v>
      </x:c>
      <x:c r="D1650" t="n">
        <x:v>16</x:v>
      </x:c>
      <x:c r="E1650" t="str">
        <x:v>Medium</x:v>
      </x:c>
      <x:c r="F1650" t="str">
        <x:v>Mixed-use</x:v>
      </x:c>
      <x:c r="G1650" t="str">
        <x:v>Shear Wall</x:v>
      </x:c>
      <x:c r="H1650" t="str">
        <x:v>Piles</x:v>
      </x:c>
      <x:c r="I1650" t="str">
        <x:v>Mixed</x:v>
      </x:c>
      <x:c r="J1650" t="str">
        <x:v>Low</x:v>
      </x:c>
      <x:c r="K1650" t="n">
        <x:v>65410560</x:v>
      </x:c>
      <x:c r="L1650" t="n">
        <x:v>1244</x:v>
      </x:c>
      <x:c r="M1650" t="n">
        <x:v>284.4</x:v>
      </x:c>
      <x:c r="N1650" t="n">
        <x:v>15.7</x:v>
      </x:c>
      <x:c r="O1650" t="n">
        <x:v>86.2</x:v>
      </x:c>
      <x:c r="P1650" t="str">
        <x:v>Rainy</x:v>
      </x:c>
      <x:c r="Q1650" t="n">
        <x:v>82</x:v>
      </x:c>
      <x:c r="R1650" t="n">
        <x:v>84.8</x:v>
      </x:c>
      <x:c r="S1650" t="n">
        <x:v>0.1015</x:v>
      </x:c>
      <x:c r="T1650" t="n">
        <x:v>17.8</x:v>
      </x:c>
      <x:c r="U1650" t="n">
        <x:v>1530</x:v>
      </x:c>
      <x:c r="V1650" t="n">
        <x:v>2672</x:v>
      </x:c>
      <x:c r="W1650" t="n">
        <x:v>50.8</x:v>
      </x:c>
    </x:row>
    <x:row r="1651">
      <x:c r="A1651" t="str">
        <x:v>PJT_1650</x:v>
      </x:c>
      <x:c r="B1651" t="str">
        <x:v>Continental</x:v>
      </x:c>
      <x:c r="C1651" t="n">
        <x:v>16760</x:v>
      </x:c>
      <x:c r="D1651" t="n">
        <x:v>17</x:v>
      </x:c>
      <x:c r="E1651" t="str">
        <x:v>High</x:v>
      </x:c>
      <x:c r="F1651" t="str">
        <x:v>Mixed-use</x:v>
      </x:c>
      <x:c r="G1651" t="str">
        <x:v>Steel</x:v>
      </x:c>
      <x:c r="H1651" t="str">
        <x:v>Piles</x:v>
      </x:c>
      <x:c r="I1651" t="str">
        <x:v>Sand</x:v>
      </x:c>
      <x:c r="J1651" t="str">
        <x:v>Medium</x:v>
      </x:c>
      <x:c r="K1651" t="n">
        <x:v>49173840</x:v>
      </x:c>
      <x:c r="L1651" t="n">
        <x:v>892</x:v>
      </x:c>
      <x:c r="M1651" t="n">
        <x:v>289.1</x:v>
      </x:c>
      <x:c r="N1651" t="n">
        <x:v>15.8</x:v>
      </x:c>
      <x:c r="O1651" t="n">
        <x:v>45.5</x:v>
      </x:c>
      <x:c r="P1651" t="str">
        <x:v>Sunny</x:v>
      </x:c>
      <x:c r="Q1651" t="n">
        <x:v>96</x:v>
      </x:c>
      <x:c r="R1651" t="n">
        <x:v>82.4</x:v>
      </x:c>
      <x:c r="S1651" t="n">
        <x:v>0.1094</x:v>
      </x:c>
      <x:c r="T1651" t="n">
        <x:v>19.7</x:v>
      </x:c>
      <x:c r="U1651" t="n">
        <x:v>985.9</x:v>
      </x:c>
      <x:c r="V1651" t="n">
        <x:v>2934</x:v>
      </x:c>
      <x:c r="W1651" t="n">
        <x:v>53.2</x:v>
      </x:c>
    </x:row>
    <x:row r="1652">
      <x:c r="A1652" t="str">
        <x:v>PJT_1651</x:v>
      </x:c>
      <x:c r="B1652" t="str">
        <x:v>Continental</x:v>
      </x:c>
      <x:c r="C1652" t="n">
        <x:v>14380</x:v>
      </x:c>
      <x:c r="D1652" t="n">
        <x:v>9</x:v>
      </x:c>
      <x:c r="E1652" t="str">
        <x:v>Medium</x:v>
      </x:c>
      <x:c r="F1652" t="str">
        <x:v>Mixed-use</x:v>
      </x:c>
      <x:c r="G1652" t="str">
        <x:v>Steel</x:v>
      </x:c>
      <x:c r="H1652" t="str">
        <x:v>Raft</x:v>
      </x:c>
      <x:c r="I1652" t="str">
        <x:v>Rock</x:v>
      </x:c>
      <x:c r="J1652" t="str">
        <x:v>Low</x:v>
      </x:c>
      <x:c r="K1652" t="n">
        <x:v>34641420</x:v>
      </x:c>
      <x:c r="L1652" t="n">
        <x:v>656</x:v>
      </x:c>
      <x:c r="M1652" t="n">
        <x:v>772.8</x:v>
      </x:c>
      <x:c r="N1652" t="n">
        <x:v>8.2</x:v>
      </x:c>
      <x:c r="O1652" t="n">
        <x:v>67.5</x:v>
      </x:c>
      <x:c r="P1652" t="str">
        <x:v>Cloudy</x:v>
      </x:c>
      <x:c r="Q1652" t="n">
        <x:v>76</x:v>
      </x:c>
      <x:c r="R1652" t="n">
        <x:v>82.9</x:v>
      </x:c>
      <x:c r="S1652" t="n">
        <x:v>0.0996</x:v>
      </x:c>
      <x:c r="T1652" t="n">
        <x:v>17.8</x:v>
      </x:c>
      <x:c r="U1652" t="n">
        <x:v>1597.8</x:v>
      </x:c>
      <x:c r="V1652" t="n">
        <x:v>2409</x:v>
      </x:c>
      <x:c r="W1652" t="n">
        <x:v>45.6</x:v>
      </x:c>
    </x:row>
    <x:row r="1653">
      <x:c r="A1653" t="str">
        <x:v>PJT_1652</x:v>
      </x:c>
      <x:c r="B1653" t="str">
        <x:v>Humid Subtropical</x:v>
      </x:c>
      <x:c r="C1653" t="n">
        <x:v>12160</x:v>
      </x:c>
      <x:c r="D1653" t="n">
        <x:v>4</x:v>
      </x:c>
      <x:c r="E1653" t="str">
        <x:v>Low</x:v>
      </x:c>
      <x:c r="F1653" t="str">
        <x:v>School</x:v>
      </x:c>
      <x:c r="G1653" t="str">
        <x:v>RC Frame</x:v>
      </x:c>
      <x:c r="H1653" t="str">
        <x:v>Raft</x:v>
      </x:c>
      <x:c r="I1653" t="str">
        <x:v>Mixed</x:v>
      </x:c>
      <x:c r="J1653" t="str">
        <x:v>Medium</x:v>
      </x:c>
      <x:c r="K1653" t="n">
        <x:v>19978880</x:v>
      </x:c>
      <x:c r="L1653" t="n">
        <x:v>332</x:v>
      </x:c>
      <x:c r="M1653" t="n">
        <x:v>365.5</x:v>
      </x:c>
      <x:c r="N1653" t="n">
        <x:v>28.3</x:v>
      </x:c>
      <x:c r="O1653" t="n">
        <x:v>69</x:v>
      </x:c>
      <x:c r="P1653" t="str">
        <x:v>Sunny</x:v>
      </x:c>
      <x:c r="Q1653" t="n">
        <x:v>84</x:v>
      </x:c>
      <x:c r="R1653" t="n">
        <x:v>66.5</x:v>
      </x:c>
      <x:c r="S1653" t="n">
        <x:v>0.0763</x:v>
      </x:c>
      <x:c r="T1653" t="n">
        <x:v>12.4</x:v>
      </x:c>
      <x:c r="U1653" t="n">
        <x:v>3040</x:v>
      </x:c>
      <x:c r="V1653" t="n">
        <x:v>1643</x:v>
      </x:c>
      <x:c r="W1653" t="n">
        <x:v>27.3</x:v>
      </x:c>
    </x:row>
    <x:row r="1654">
      <x:c r="A1654" t="str">
        <x:v>PJT_1653</x:v>
      </x:c>
      <x:c r="B1654" t="str">
        <x:v>Humid Subtropical</x:v>
      </x:c>
      <x:c r="C1654" t="n">
        <x:v>6320</x:v>
      </x:c>
      <x:c r="D1654" t="n">
        <x:v>7</x:v>
      </x:c>
      <x:c r="E1654" t="str">
        <x:v>Low</x:v>
      </x:c>
      <x:c r="F1654" t="str">
        <x:v>Residential</x:v>
      </x:c>
      <x:c r="G1654" t="str">
        <x:v>RC Frame</x:v>
      </x:c>
      <x:c r="H1654" t="str">
        <x:v>Raft</x:v>
      </x:c>
      <x:c r="I1654" t="str">
        <x:v>Mixed</x:v>
      </x:c>
      <x:c r="J1654" t="str">
        <x:v>Low</x:v>
      </x:c>
      <x:c r="K1654" t="n">
        <x:v>8841680</x:v>
      </x:c>
      <x:c r="L1654" t="n">
        <x:v>201</x:v>
      </x:c>
      <x:c r="M1654" t="n">
        <x:v>350.9</x:v>
      </x:c>
      <x:c r="N1654" t="n">
        <x:v>23.9</x:v>
      </x:c>
      <x:c r="O1654" t="n">
        <x:v>67.1</x:v>
      </x:c>
      <x:c r="P1654" t="str">
        <x:v>Cloudy</x:v>
      </x:c>
      <x:c r="Q1654" t="n">
        <x:v>84</x:v>
      </x:c>
      <x:c r="R1654" t="n">
        <x:v>61.8</x:v>
      </x:c>
      <x:c r="S1654" t="n">
        <x:v>0.0726</x:v>
      </x:c>
      <x:c r="T1654" t="n">
        <x:v>11.2</x:v>
      </x:c>
      <x:c r="U1654" t="n">
        <x:v>902.9</x:v>
      </x:c>
      <x:c r="V1654" t="n">
        <x:v>1399</x:v>
      </x:c>
      <x:c r="W1654" t="n">
        <x:v>31.8</x:v>
      </x:c>
    </x:row>
    <x:row r="1655">
      <x:c r="A1655" t="str">
        <x:v>PJT_1654</x:v>
      </x:c>
      <x:c r="B1655" t="str">
        <x:v>Continental</x:v>
      </x:c>
      <x:c r="C1655" t="n">
        <x:v>17600</x:v>
      </x:c>
      <x:c r="D1655" t="n">
        <x:v>17</x:v>
      </x:c>
      <x:c r="E1655" t="str">
        <x:v>High</x:v>
      </x:c>
      <x:c r="F1655" t="str">
        <x:v>Mixed-use</x:v>
      </x:c>
      <x:c r="G1655" t="str">
        <x:v>Shear Wall</x:v>
      </x:c>
      <x:c r="H1655" t="str">
        <x:v>Piles</x:v>
      </x:c>
      <x:c r="I1655" t="str">
        <x:v>Mixed</x:v>
      </x:c>
      <x:c r="J1655" t="str">
        <x:v>Low</x:v>
      </x:c>
      <x:c r="K1655" t="n">
        <x:v>48048000</x:v>
      </x:c>
      <x:c r="L1655" t="n">
        <x:v>906</x:v>
      </x:c>
      <x:c r="M1655" t="n">
        <x:v>409.2</x:v>
      </x:c>
      <x:c r="N1655" t="n">
        <x:v>16.2</x:v>
      </x:c>
      <x:c r="O1655" t="n">
        <x:v>58</x:v>
      </x:c>
      <x:c r="P1655" t="str">
        <x:v>Sunny</x:v>
      </x:c>
      <x:c r="Q1655" t="n">
        <x:v>80</x:v>
      </x:c>
      <x:c r="R1655" t="n">
        <x:v>90.2</x:v>
      </x:c>
      <x:c r="S1655" t="n">
        <x:v>0.1021</x:v>
      </x:c>
      <x:c r="T1655" t="n">
        <x:v>20.3</x:v>
      </x:c>
      <x:c r="U1655" t="n">
        <x:v>1035.3</x:v>
      </x:c>
      <x:c r="V1655" t="n">
        <x:v>2730</x:v>
      </x:c>
      <x:c r="W1655" t="n">
        <x:v>51.5</x:v>
      </x:c>
    </x:row>
    <x:row r="1656">
      <x:c r="A1656" t="str">
        <x:v>PJT_1655</x:v>
      </x:c>
      <x:c r="B1656" t="str">
        <x:v>Humid Subtropical</x:v>
      </x:c>
      <x:c r="C1656" t="n">
        <x:v>18450</x:v>
      </x:c>
      <x:c r="D1656" t="n">
        <x:v>15</x:v>
      </x:c>
      <x:c r="E1656" t="str">
        <x:v>Medium</x:v>
      </x:c>
      <x:c r="F1656" t="str">
        <x:v>Mixed-use</x:v>
      </x:c>
      <x:c r="G1656" t="str">
        <x:v>Steel</x:v>
      </x:c>
      <x:c r="H1656" t="str">
        <x:v>Piles</x:v>
      </x:c>
      <x:c r="I1656" t="str">
        <x:v>Mixed</x:v>
      </x:c>
      <x:c r="J1656" t="str">
        <x:v>High</x:v>
      </x:c>
      <x:c r="K1656" t="n">
        <x:v>51955200</x:v>
      </x:c>
      <x:c r="L1656" t="n">
        <x:v>1007</x:v>
      </x:c>
      <x:c r="M1656" t="n">
        <x:v>326.7</x:v>
      </x:c>
      <x:c r="N1656" t="n">
        <x:v>25.4</x:v>
      </x:c>
      <x:c r="O1656" t="n">
        <x:v>93.8</x:v>
      </x:c>
      <x:c r="P1656" t="str">
        <x:v>Stormy</x:v>
      </x:c>
      <x:c r="Q1656" t="n">
        <x:v>93</x:v>
      </x:c>
      <x:c r="R1656" t="n">
        <x:v>78.7</x:v>
      </x:c>
      <x:c r="S1656" t="n">
        <x:v>0.0997</x:v>
      </x:c>
      <x:c r="T1656" t="n">
        <x:v>19</x:v>
      </x:c>
      <x:c r="U1656" t="n">
        <x:v>1230</x:v>
      </x:c>
      <x:c r="V1656" t="n">
        <x:v>2816</x:v>
      </x:c>
      <x:c r="W1656" t="n">
        <x:v>54.6</x:v>
      </x:c>
    </x:row>
    <x:row r="1657">
      <x:c r="A1657" t="str">
        <x:v>PJT_1656</x:v>
      </x:c>
      <x:c r="B1657" t="str">
        <x:v>Continental</x:v>
      </x:c>
      <x:c r="C1657" t="n">
        <x:v>20350</x:v>
      </x:c>
      <x:c r="D1657" t="n">
        <x:v>14</x:v>
      </x:c>
      <x:c r="E1657" t="str">
        <x:v>Medium</x:v>
      </x:c>
      <x:c r="F1657" t="str">
        <x:v>Mixed-use</x:v>
      </x:c>
      <x:c r="G1657" t="str">
        <x:v>Steel</x:v>
      </x:c>
      <x:c r="H1657" t="str">
        <x:v>Piles</x:v>
      </x:c>
      <x:c r="I1657" t="str">
        <x:v>Soft Clay</x:v>
      </x:c>
      <x:c r="J1657" t="str">
        <x:v>Low</x:v>
      </x:c>
      <x:c r="K1657" t="n">
        <x:v>52686150</x:v>
      </x:c>
      <x:c r="L1657" t="n">
        <x:v>983</x:v>
      </x:c>
      <x:c r="M1657" t="n">
        <x:v>226.2</x:v>
      </x:c>
      <x:c r="N1657" t="n">
        <x:v>13.7</x:v>
      </x:c>
      <x:c r="O1657" t="n">
        <x:v>53</x:v>
      </x:c>
      <x:c r="P1657" t="str">
        <x:v>Cloudy</x:v>
      </x:c>
      <x:c r="Q1657" t="n">
        <x:v>76</x:v>
      </x:c>
      <x:c r="R1657" t="n">
        <x:v>82.5</x:v>
      </x:c>
      <x:c r="S1657" t="n">
        <x:v>0.1034</x:v>
      </x:c>
      <x:c r="T1657" t="n">
        <x:v>18.8</x:v>
      </x:c>
      <x:c r="U1657" t="n">
        <x:v>1453.6</x:v>
      </x:c>
      <x:c r="V1657" t="n">
        <x:v>2589</x:v>
      </x:c>
      <x:c r="W1657" t="n">
        <x:v>48.3</x:v>
      </x:c>
    </x:row>
    <x:row r="1658">
      <x:c r="A1658" t="str">
        <x:v>PJT_1657</x:v>
      </x:c>
      <x:c r="B1658" t="str">
        <x:v>Humid Subtropical</x:v>
      </x:c>
      <x:c r="C1658" t="n">
        <x:v>27240</x:v>
      </x:c>
      <x:c r="D1658" t="n">
        <x:v>19</x:v>
      </x:c>
      <x:c r="E1658" t="str">
        <x:v>Medium</x:v>
      </x:c>
      <x:c r="F1658" t="str">
        <x:v>Mixed-use</x:v>
      </x:c>
      <x:c r="G1658" t="str">
        <x:v>Steel</x:v>
      </x:c>
      <x:c r="H1658" t="str">
        <x:v>Piles</x:v>
      </x:c>
      <x:c r="I1658" t="str">
        <x:v>Soft Clay</x:v>
      </x:c>
      <x:c r="J1658" t="str">
        <x:v>Low</x:v>
      </x:c>
      <x:c r="K1658" t="n">
        <x:v>73411800</x:v>
      </x:c>
      <x:c r="L1658" t="n">
        <x:v>1351</x:v>
      </x:c>
      <x:c r="M1658" t="n">
        <x:v>183.9</x:v>
      </x:c>
      <x:c r="N1658" t="n">
        <x:v>28.6</x:v>
      </x:c>
      <x:c r="O1658" t="n">
        <x:v>71.4</x:v>
      </x:c>
      <x:c r="P1658" t="str">
        <x:v>Cloudy</x:v>
      </x:c>
      <x:c r="Q1658" t="n">
        <x:v>92</x:v>
      </x:c>
      <x:c r="R1658" t="n">
        <x:v>82.6</x:v>
      </x:c>
      <x:c r="S1658" t="n">
        <x:v>0.0996</x:v>
      </x:c>
      <x:c r="T1658" t="n">
        <x:v>18.1</x:v>
      </x:c>
      <x:c r="U1658" t="n">
        <x:v>1433.7</x:v>
      </x:c>
      <x:c r="V1658" t="n">
        <x:v>2695</x:v>
      </x:c>
      <x:c r="W1658" t="n">
        <x:v>49.6</x:v>
      </x:c>
    </x:row>
    <x:row r="1659">
      <x:c r="A1659" t="str">
        <x:v>PJT_1658</x:v>
      </x:c>
      <x:c r="B1659" t="str">
        <x:v>Marine</x:v>
      </x:c>
      <x:c r="C1659" t="n">
        <x:v>6160</x:v>
      </x:c>
      <x:c r="D1659" t="n">
        <x:v>10</x:v>
      </x:c>
      <x:c r="E1659" t="str">
        <x:v>Low</x:v>
      </x:c>
      <x:c r="F1659" t="str">
        <x:v>Residential</x:v>
      </x:c>
      <x:c r="G1659" t="str">
        <x:v>Shear Wall</x:v>
      </x:c>
      <x:c r="H1659" t="str">
        <x:v>Raft</x:v>
      </x:c>
      <x:c r="I1659" t="str">
        <x:v>Mixed</x:v>
      </x:c>
      <x:c r="J1659" t="str">
        <x:v>High</x:v>
      </x:c>
      <x:c r="K1659" t="n">
        <x:v>9178400</x:v>
      </x:c>
      <x:c r="L1659" t="n">
        <x:v>202</x:v>
      </x:c>
      <x:c r="M1659" t="n">
        <x:v>268.1</x:v>
      </x:c>
      <x:c r="N1659" t="n">
        <x:v>18</x:v>
      </x:c>
      <x:c r="O1659" t="n">
        <x:v>63.2</x:v>
      </x:c>
      <x:c r="P1659" t="str">
        <x:v>Cloudy</x:v>
      </x:c>
      <x:c r="Q1659" t="n">
        <x:v>59</x:v>
      </x:c>
      <x:c r="R1659" t="n">
        <x:v>67.9</x:v>
      </x:c>
      <x:c r="S1659" t="n">
        <x:v>0.0819</x:v>
      </x:c>
      <x:c r="T1659" t="n">
        <x:v>12.1</x:v>
      </x:c>
      <x:c r="U1659" t="n">
        <x:v>616</x:v>
      </x:c>
      <x:c r="V1659" t="n">
        <x:v>1490</x:v>
      </x:c>
      <x:c r="W1659" t="n">
        <x:v>32.8</x:v>
      </x:c>
    </x:row>
    <x:row r="1660">
      <x:c r="A1660" t="str">
        <x:v>PJT_1659</x:v>
      </x:c>
      <x:c r="B1660" t="str">
        <x:v>Marine</x:v>
      </x:c>
      <x:c r="C1660" t="n">
        <x:v>9800</x:v>
      </x:c>
      <x:c r="D1660" t="n">
        <x:v>13</x:v>
      </x:c>
      <x:c r="E1660" t="str">
        <x:v>Medium</x:v>
      </x:c>
      <x:c r="F1660" t="str">
        <x:v>Residential</x:v>
      </x:c>
      <x:c r="G1660" t="str">
        <x:v>RC Frame</x:v>
      </x:c>
      <x:c r="H1660" t="str">
        <x:v>Piles</x:v>
      </x:c>
      <x:c r="I1660" t="str">
        <x:v>Soft Clay</x:v>
      </x:c>
      <x:c r="J1660" t="str">
        <x:v>Medium</x:v>
      </x:c>
      <x:c r="K1660" t="n">
        <x:v>16483600</x:v>
      </x:c>
      <x:c r="L1660" t="n">
        <x:v>338</x:v>
      </x:c>
      <x:c r="M1660" t="n">
        <x:v>162.1</x:v>
      </x:c>
      <x:c r="N1660" t="n">
        <x:v>16.1</x:v>
      </x:c>
      <x:c r="O1660" t="n">
        <x:v>55.3</x:v>
      </x:c>
      <x:c r="P1660" t="str">
        <x:v>Sunny</x:v>
      </x:c>
      <x:c r="Q1660" t="n">
        <x:v>69</x:v>
      </x:c>
      <x:c r="R1660" t="n">
        <x:v>67.4</x:v>
      </x:c>
      <x:c r="S1660" t="n">
        <x:v>0.0788</x:v>
      </x:c>
      <x:c r="T1660" t="n">
        <x:v>13.6</x:v>
      </x:c>
      <x:c r="U1660" t="n">
        <x:v>753.8</x:v>
      </x:c>
      <x:c r="V1660" t="n">
        <x:v>1682</x:v>
      </x:c>
      <x:c r="W1660" t="n">
        <x:v>34.5</x:v>
      </x:c>
    </x:row>
    <x:row r="1661">
      <x:c r="A1661" t="str">
        <x:v>PJT_1660</x:v>
      </x:c>
      <x:c r="B1661" t="str">
        <x:v>Mediterranean</x:v>
      </x:c>
      <x:c r="C1661" t="n">
        <x:v>15880</x:v>
      </x:c>
      <x:c r="D1661" t="n">
        <x:v>15</x:v>
      </x:c>
      <x:c r="E1661" t="str">
        <x:v>Medium</x:v>
      </x:c>
      <x:c r="F1661" t="str">
        <x:v>Residential</x:v>
      </x:c>
      <x:c r="G1661" t="str">
        <x:v>Shear Wall</x:v>
      </x:c>
      <x:c r="H1661" t="str">
        <x:v>Piles</x:v>
      </x:c>
      <x:c r="I1661" t="str">
        <x:v>Sand</x:v>
      </x:c>
      <x:c r="J1661" t="str">
        <x:v>High</x:v>
      </x:c>
      <x:c r="K1661" t="n">
        <x:v>27154800</x:v>
      </x:c>
      <x:c r="L1661" t="n">
        <x:v>626</x:v>
      </x:c>
      <x:c r="M1661" t="n">
        <x:v>253.6</x:v>
      </x:c>
      <x:c r="N1661" t="n">
        <x:v>14.8</x:v>
      </x:c>
      <x:c r="O1661" t="n">
        <x:v>53.4</x:v>
      </x:c>
      <x:c r="P1661" t="str">
        <x:v>Cloudy</x:v>
      </x:c>
      <x:c r="Q1661" t="n">
        <x:v>81</x:v>
      </x:c>
      <x:c r="R1661" t="n">
        <x:v>75.2</x:v>
      </x:c>
      <x:c r="S1661" t="n">
        <x:v>0.0837</x:v>
      </x:c>
      <x:c r="T1661" t="n">
        <x:v>14.1</x:v>
      </x:c>
      <x:c r="U1661" t="n">
        <x:v>1058.7</x:v>
      </x:c>
      <x:c r="V1661" t="n">
        <x:v>1710</x:v>
      </x:c>
      <x:c r="W1661" t="n">
        <x:v>39.4</x:v>
      </x:c>
    </x:row>
    <x:row r="1662">
      <x:c r="A1662" t="str">
        <x:v>PJT_1661</x:v>
      </x:c>
      <x:c r="B1662" t="str">
        <x:v>Continental</x:v>
      </x:c>
      <x:c r="C1662" t="n">
        <x:v>10330</x:v>
      </x:c>
      <x:c r="D1662" t="n">
        <x:v>4</x:v>
      </x:c>
      <x:c r="E1662" t="str">
        <x:v>Low</x:v>
      </x:c>
      <x:c r="F1662" t="str">
        <x:v>School</x:v>
      </x:c>
      <x:c r="G1662" t="str">
        <x:v>RC Frame</x:v>
      </x:c>
      <x:c r="H1662" t="str">
        <x:v>Raft</x:v>
      </x:c>
      <x:c r="I1662" t="str">
        <x:v>Soft Clay</x:v>
      </x:c>
      <x:c r="J1662" t="str">
        <x:v>Medium</x:v>
      </x:c>
      <x:c r="K1662" t="n">
        <x:v>16331730</x:v>
      </x:c>
      <x:c r="L1662" t="n">
        <x:v>302</x:v>
      </x:c>
      <x:c r="M1662" t="n">
        <x:v>181.2</x:v>
      </x:c>
      <x:c r="N1662" t="n">
        <x:v>19</x:v>
      </x:c>
      <x:c r="O1662" t="n">
        <x:v>55.9</x:v>
      </x:c>
      <x:c r="P1662" t="str">
        <x:v>Cloudy</x:v>
      </x:c>
      <x:c r="Q1662" t="n">
        <x:v>68</x:v>
      </x:c>
      <x:c r="R1662" t="n">
        <x:v>66.8</x:v>
      </x:c>
      <x:c r="S1662" t="n">
        <x:v>0.0806</x:v>
      </x:c>
      <x:c r="T1662" t="n">
        <x:v>12.8</x:v>
      </x:c>
      <x:c r="U1662" t="n">
        <x:v>2582.5</x:v>
      </x:c>
      <x:c r="V1662" t="n">
        <x:v>1581</x:v>
      </x:c>
      <x:c r="W1662" t="n">
        <x:v>29.2</x:v>
      </x:c>
    </x:row>
    <x:row r="1663">
      <x:c r="A1663" t="str">
        <x:v>PJT_1662</x:v>
      </x:c>
      <x:c r="B1663" t="str">
        <x:v>Mediterranean</x:v>
      </x:c>
      <x:c r="C1663" t="n">
        <x:v>14580</x:v>
      </x:c>
      <x:c r="D1663" t="n">
        <x:v>9</x:v>
      </x:c>
      <x:c r="E1663" t="str">
        <x:v>Medium</x:v>
      </x:c>
      <x:c r="F1663" t="str">
        <x:v>Commercial</x:v>
      </x:c>
      <x:c r="G1663" t="str">
        <x:v>Steel</x:v>
      </x:c>
      <x:c r="H1663" t="str">
        <x:v>Raft</x:v>
      </x:c>
      <x:c r="I1663" t="str">
        <x:v>Mixed</x:v>
      </x:c>
      <x:c r="J1663" t="str">
        <x:v>Medium</x:v>
      </x:c>
      <x:c r="K1663" t="n">
        <x:v>35560620</x:v>
      </x:c>
      <x:c r="L1663" t="n">
        <x:v>653</x:v>
      </x:c>
      <x:c r="M1663" t="n">
        <x:v>376.3</x:v>
      </x:c>
      <x:c r="N1663" t="n">
        <x:v>-0.1</x:v>
      </x:c>
      <x:c r="O1663" t="n">
        <x:v>64.9</x:v>
      </x:c>
      <x:c r="P1663" t="str">
        <x:v>Snowy</x:v>
      </x:c>
      <x:c r="Q1663" t="n">
        <x:v>68</x:v>
      </x:c>
      <x:c r="R1663" t="n">
        <x:v>78</x:v>
      </x:c>
      <x:c r="S1663" t="n">
        <x:v>0.0943</x:v>
      </x:c>
      <x:c r="T1663" t="n">
        <x:v>18.1</x:v>
      </x:c>
      <x:c r="U1663" t="n">
        <x:v>1620</x:v>
      </x:c>
      <x:c r="V1663" t="n">
        <x:v>2439</x:v>
      </x:c>
      <x:c r="W1663" t="n">
        <x:v>44.8</x:v>
      </x:c>
    </x:row>
    <x:row r="1664">
      <x:c r="A1664" t="str">
        <x:v>PJT_1663</x:v>
      </x:c>
      <x:c r="B1664" t="str">
        <x:v>Mediterranean</x:v>
      </x:c>
      <x:c r="C1664" t="n">
        <x:v>18470</x:v>
      </x:c>
      <x:c r="D1664" t="n">
        <x:v>10</x:v>
      </x:c>
      <x:c r="E1664" t="str">
        <x:v>Medium</x:v>
      </x:c>
      <x:c r="F1664" t="str">
        <x:v>Hospital</x:v>
      </x:c>
      <x:c r="G1664" t="str">
        <x:v>Steel</x:v>
      </x:c>
      <x:c r="H1664" t="str">
        <x:v>Raft</x:v>
      </x:c>
      <x:c r="I1664" t="str">
        <x:v>Sand</x:v>
      </x:c>
      <x:c r="J1664" t="str">
        <x:v>Low</x:v>
      </x:c>
      <x:c r="K1664" t="n">
        <x:v>58346730</x:v>
      </x:c>
      <x:c r="L1664" t="n">
        <x:v>922</x:v>
      </x:c>
      <x:c r="M1664" t="n">
        <x:v>248.4</x:v>
      </x:c>
      <x:c r="N1664" t="n">
        <x:v>21.9</x:v>
      </x:c>
      <x:c r="O1664" t="n">
        <x:v>64.6</x:v>
      </x:c>
      <x:c r="P1664" t="str">
        <x:v>Cloudy</x:v>
      </x:c>
      <x:c r="Q1664" t="n">
        <x:v>94</x:v>
      </x:c>
      <x:c r="R1664" t="n">
        <x:v>77.5</x:v>
      </x:c>
      <x:c r="S1664" t="n">
        <x:v>0.1127</x:v>
      </x:c>
      <x:c r="T1664" t="n">
        <x:v>20.3</x:v>
      </x:c>
      <x:c r="U1664" t="n">
        <x:v>1847</x:v>
      </x:c>
      <x:c r="V1664" t="n">
        <x:v>3159</x:v>
      </x:c>
      <x:c r="W1664" t="n">
        <x:v>49.9</x:v>
      </x:c>
    </x:row>
    <x:row r="1665">
      <x:c r="A1665" t="str">
        <x:v>PJT_1664</x:v>
      </x:c>
      <x:c r="B1665" t="str">
        <x:v>Mediterranean</x:v>
      </x:c>
      <x:c r="C1665" t="n">
        <x:v>17570</x:v>
      </x:c>
      <x:c r="D1665" t="n">
        <x:v>11</x:v>
      </x:c>
      <x:c r="E1665" t="str">
        <x:v>Medium</x:v>
      </x:c>
      <x:c r="F1665" t="str">
        <x:v>Mixed-use</x:v>
      </x:c>
      <x:c r="G1665" t="str">
        <x:v>Steel</x:v>
      </x:c>
      <x:c r="H1665" t="str">
        <x:v>Raft</x:v>
      </x:c>
      <x:c r="I1665" t="str">
        <x:v>Sand</x:v>
      </x:c>
      <x:c r="J1665" t="str">
        <x:v>Medium</x:v>
      </x:c>
      <x:c r="K1665" t="n">
        <x:v>45154900</x:v>
      </x:c>
      <x:c r="L1665" t="n">
        <x:v>799</x:v>
      </x:c>
      <x:c r="M1665" t="n">
        <x:v>252.8</x:v>
      </x:c>
      <x:c r="N1665" t="n">
        <x:v>31</x:v>
      </x:c>
      <x:c r="O1665" t="n">
        <x:v>61.8</x:v>
      </x:c>
      <x:c r="P1665" t="str">
        <x:v>Sunny</x:v>
      </x:c>
      <x:c r="Q1665" t="n">
        <x:v>98</x:v>
      </x:c>
      <x:c r="R1665" t="n">
        <x:v>76.3</x:v>
      </x:c>
      <x:c r="S1665" t="n">
        <x:v>0.1012</x:v>
      </x:c>
      <x:c r="T1665" t="n">
        <x:v>18</x:v>
      </x:c>
      <x:c r="U1665" t="n">
        <x:v>1597.3</x:v>
      </x:c>
      <x:c r="V1665" t="n">
        <x:v>2570</x:v>
      </x:c>
      <x:c r="W1665" t="n">
        <x:v>45.5</x:v>
      </x:c>
    </x:row>
    <x:row r="1666">
      <x:c r="A1666" t="str">
        <x:v>PJT_1665</x:v>
      </x:c>
      <x:c r="B1666" t="str">
        <x:v>Humid Subtropical</x:v>
      </x:c>
      <x:c r="C1666" t="n">
        <x:v>12820</x:v>
      </x:c>
      <x:c r="D1666" t="n">
        <x:v>17</x:v>
      </x:c>
      <x:c r="E1666" t="str">
        <x:v>Medium</x:v>
      </x:c>
      <x:c r="F1666" t="str">
        <x:v>Residential</x:v>
      </x:c>
      <x:c r="G1666" t="str">
        <x:v>Shear Wall</x:v>
      </x:c>
      <x:c r="H1666" t="str">
        <x:v>Raft</x:v>
      </x:c>
      <x:c r="I1666" t="str">
        <x:v>Rock</x:v>
      </x:c>
      <x:c r="J1666" t="str">
        <x:v>High</x:v>
      </x:c>
      <x:c r="K1666" t="n">
        <x:v>21268380</x:v>
      </x:c>
      <x:c r="L1666" t="n">
        <x:v>494</x:v>
      </x:c>
      <x:c r="M1666" t="n">
        <x:v>634.5</x:v>
      </x:c>
      <x:c r="N1666" t="n">
        <x:v>19.1</x:v>
      </x:c>
      <x:c r="O1666" t="n">
        <x:v>89.3</x:v>
      </x:c>
      <x:c r="P1666" t="str">
        <x:v>Rainy</x:v>
      </x:c>
      <x:c r="Q1666" t="n">
        <x:v>84</x:v>
      </x:c>
      <x:c r="R1666" t="n">
        <x:v>72.8</x:v>
      </x:c>
      <x:c r="S1666" t="n">
        <x:v>0.0843</x:v>
      </x:c>
      <x:c r="T1666" t="n">
        <x:v>12.8</x:v>
      </x:c>
      <x:c r="U1666" t="n">
        <x:v>754.1</x:v>
      </x:c>
      <x:c r="V1666" t="n">
        <x:v>1659</x:v>
      </x:c>
      <x:c r="W1666" t="n">
        <x:v>38.5</x:v>
      </x:c>
    </x:row>
    <x:row r="1667">
      <x:c r="A1667" t="str">
        <x:v>PJT_1666</x:v>
      </x:c>
      <x:c r="B1667" t="str">
        <x:v>Continental</x:v>
      </x:c>
      <x:c r="C1667" t="n">
        <x:v>22760</x:v>
      </x:c>
      <x:c r="D1667" t="n">
        <x:v>13</x:v>
      </x:c>
      <x:c r="E1667" t="str">
        <x:v>Medium</x:v>
      </x:c>
      <x:c r="F1667" t="str">
        <x:v>Mixed-use</x:v>
      </x:c>
      <x:c r="G1667" t="str">
        <x:v>Steel</x:v>
      </x:c>
      <x:c r="H1667" t="str">
        <x:v>Piles</x:v>
      </x:c>
      <x:c r="I1667" t="str">
        <x:v>Soft Clay</x:v>
      </x:c>
      <x:c r="J1667" t="str">
        <x:v>Medium</x:v>
      </x:c>
      <x:c r="K1667" t="n">
        <x:v>58971160</x:v>
      </x:c>
      <x:c r="L1667" t="n">
        <x:v>1147</x:v>
      </x:c>
      <x:c r="M1667" t="n">
        <x:v>178.4</x:v>
      </x:c>
      <x:c r="N1667" t="n">
        <x:v>11.1</x:v>
      </x:c>
      <x:c r="O1667" t="n">
        <x:v>76.8</x:v>
      </x:c>
      <x:c r="P1667" t="str">
        <x:v>Rainy</x:v>
      </x:c>
      <x:c r="Q1667" t="n">
        <x:v>90</x:v>
      </x:c>
      <x:c r="R1667" t="n">
        <x:v>82.3</x:v>
      </x:c>
      <x:c r="S1667" t="n">
        <x:v>0.1037</x:v>
      </x:c>
      <x:c r="T1667" t="n">
        <x:v>18.4</x:v>
      </x:c>
      <x:c r="U1667" t="n">
        <x:v>1750.8</x:v>
      </x:c>
      <x:c r="V1667" t="n">
        <x:v>2591</x:v>
      </x:c>
      <x:c r="W1667" t="n">
        <x:v>50.4</x:v>
      </x:c>
    </x:row>
    <x:row r="1668">
      <x:c r="A1668" t="str">
        <x:v>PJT_1667</x:v>
      </x:c>
      <x:c r="B1668" t="str">
        <x:v>Humid Subtropical</x:v>
      </x:c>
      <x:c r="C1668" t="n">
        <x:v>17610</x:v>
      </x:c>
      <x:c r="D1668" t="n">
        <x:v>18</x:v>
      </x:c>
      <x:c r="E1668" t="str">
        <x:v>Low</x:v>
      </x:c>
      <x:c r="F1668" t="str">
        <x:v>Residential</x:v>
      </x:c>
      <x:c r="G1668" t="str">
        <x:v>RC Frame</x:v>
      </x:c>
      <x:c r="H1668" t="str">
        <x:v>Piles</x:v>
      </x:c>
      <x:c r="I1668" t="str">
        <x:v>Mixed</x:v>
      </x:c>
      <x:c r="J1668" t="str">
        <x:v>Low</x:v>
      </x:c>
      <x:c r="K1668" t="n">
        <x:v>25569720</x:v>
      </x:c>
      <x:c r="L1668" t="n">
        <x:v>646</x:v>
      </x:c>
      <x:c r="M1668" t="n">
        <x:v>300.8</x:v>
      </x:c>
      <x:c r="N1668" t="n">
        <x:v>22.9</x:v>
      </x:c>
      <x:c r="O1668" t="n">
        <x:v>64.9</x:v>
      </x:c>
      <x:c r="P1668" t="str">
        <x:v>Cloudy</x:v>
      </x:c>
      <x:c r="Q1668" t="n">
        <x:v>78</x:v>
      </x:c>
      <x:c r="R1668" t="n">
        <x:v>66.7</x:v>
      </x:c>
      <x:c r="S1668" t="n">
        <x:v>0.0761</x:v>
      </x:c>
      <x:c r="T1668" t="n">
        <x:v>12.6</x:v>
      </x:c>
      <x:c r="U1668" t="n">
        <x:v>978.3</x:v>
      </x:c>
      <x:c r="V1668" t="n">
        <x:v>1452</x:v>
      </x:c>
      <x:c r="W1668" t="n">
        <x:v>36.7</x:v>
      </x:c>
    </x:row>
    <x:row r="1669">
      <x:c r="A1669" t="str">
        <x:v>PJT_1668</x:v>
      </x:c>
      <x:c r="B1669" t="str">
        <x:v>Humid Subtropical</x:v>
      </x:c>
      <x:c r="C1669" t="n">
        <x:v>11630</x:v>
      </x:c>
      <x:c r="D1669" t="n">
        <x:v>9</x:v>
      </x:c>
      <x:c r="E1669" t="str">
        <x:v>Medium</x:v>
      </x:c>
      <x:c r="F1669" t="str">
        <x:v>Commercial</x:v>
      </x:c>
      <x:c r="G1669" t="str">
        <x:v>RC Frame</x:v>
      </x:c>
      <x:c r="H1669" t="str">
        <x:v>Raft</x:v>
      </x:c>
      <x:c r="I1669" t="str">
        <x:v>Rock</x:v>
      </x:c>
      <x:c r="J1669" t="str">
        <x:v>High</x:v>
      </x:c>
      <x:c r="K1669" t="n">
        <x:v>25760450</x:v>
      </x:c>
      <x:c r="L1669" t="n">
        <x:v>506</x:v>
      </x:c>
      <x:c r="M1669" t="n">
        <x:v>709.3</x:v>
      </x:c>
      <x:c r="N1669" t="n">
        <x:v>23.7</x:v>
      </x:c>
      <x:c r="O1669" t="n">
        <x:v>77.8</x:v>
      </x:c>
      <x:c r="P1669" t="str">
        <x:v>Rainy</x:v>
      </x:c>
      <x:c r="Q1669" t="n">
        <x:v>106</x:v>
      </x:c>
      <x:c r="R1669" t="n">
        <x:v>72.2</x:v>
      </x:c>
      <x:c r="S1669" t="n">
        <x:v>0.0923</x:v>
      </x:c>
      <x:c r="T1669" t="n">
        <x:v>16.4</x:v>
      </x:c>
      <x:c r="U1669" t="n">
        <x:v>1292.2</x:v>
      </x:c>
      <x:c r="V1669" t="n">
        <x:v>2215</x:v>
      </x:c>
      <x:c r="W1669" t="n">
        <x:v>43.5</x:v>
      </x:c>
    </x:row>
    <x:row r="1670">
      <x:c r="A1670" t="str">
        <x:v>PJT_1669</x:v>
      </x:c>
      <x:c r="B1670" t="str">
        <x:v>Marine</x:v>
      </x:c>
      <x:c r="C1670" t="n">
        <x:v>23700</x:v>
      </x:c>
      <x:c r="D1670" t="n">
        <x:v>15</x:v>
      </x:c>
      <x:c r="E1670" t="str">
        <x:v>Medium</x:v>
      </x:c>
      <x:c r="F1670" t="str">
        <x:v>Mixed-use</x:v>
      </x:c>
      <x:c r="G1670" t="str">
        <x:v>Shear Wall</x:v>
      </x:c>
      <x:c r="H1670" t="str">
        <x:v>Raft</x:v>
      </x:c>
      <x:c r="I1670" t="str">
        <x:v>Rock</x:v>
      </x:c>
      <x:c r="J1670" t="str">
        <x:v>Low</x:v>
      </x:c>
      <x:c r="K1670" t="n">
        <x:v>56714100</x:v>
      </x:c>
      <x:c r="L1670" t="n">
        <x:v>1218</x:v>
      </x:c>
      <x:c r="M1670" t="n">
        <x:v>667.2</x:v>
      </x:c>
      <x:c r="N1670" t="n">
        <x:v>12.7</x:v>
      </x:c>
      <x:c r="O1670" t="n">
        <x:v>85.5</x:v>
      </x:c>
      <x:c r="P1670" t="str">
        <x:v>Stormy</x:v>
      </x:c>
      <x:c r="Q1670" t="n">
        <x:v>90</x:v>
      </x:c>
      <x:c r="R1670" t="n">
        <x:v>81.3</x:v>
      </x:c>
      <x:c r="S1670" t="n">
        <x:v>0.0964</x:v>
      </x:c>
      <x:c r="T1670" t="n">
        <x:v>18.8</x:v>
      </x:c>
      <x:c r="U1670" t="n">
        <x:v>1580</x:v>
      </x:c>
      <x:c r="V1670" t="n">
        <x:v>2393</x:v>
      </x:c>
      <x:c r="W1670" t="n">
        <x:v>51.4</x:v>
      </x:c>
    </x:row>
    <x:row r="1671">
      <x:c r="A1671" t="str">
        <x:v>PJT_1670</x:v>
      </x:c>
      <x:c r="B1671" t="str">
        <x:v>Continental</x:v>
      </x:c>
      <x:c r="C1671" t="n">
        <x:v>31810</x:v>
      </x:c>
      <x:c r="D1671" t="n">
        <x:v>16</x:v>
      </x:c>
      <x:c r="E1671" t="str">
        <x:v>High</x:v>
      </x:c>
      <x:c r="F1671" t="str">
        <x:v>Mixed-use</x:v>
      </x:c>
      <x:c r="G1671" t="str">
        <x:v>Steel</x:v>
      </x:c>
      <x:c r="H1671" t="str">
        <x:v>Piles</x:v>
      </x:c>
      <x:c r="I1671" t="str">
        <x:v>Mixed</x:v>
      </x:c>
      <x:c r="J1671" t="str">
        <x:v>Medium</x:v>
      </x:c>
      <x:c r="K1671" t="n">
        <x:v>89831440</x:v>
      </x:c>
      <x:c r="L1671" t="n">
        <x:v>1699</x:v>
      </x:c>
      <x:c r="M1671" t="n">
        <x:v>349.9</x:v>
      </x:c>
      <x:c r="N1671" t="n">
        <x:v>24.7</x:v>
      </x:c>
      <x:c r="O1671" t="n">
        <x:v>43.1</x:v>
      </x:c>
      <x:c r="P1671" t="str">
        <x:v>Sunny</x:v>
      </x:c>
      <x:c r="Q1671" t="n">
        <x:v>99</x:v>
      </x:c>
      <x:c r="R1671" t="n">
        <x:v>85</x:v>
      </x:c>
      <x:c r="S1671" t="n">
        <x:v>0.1031</x:v>
      </x:c>
      <x:c r="T1671" t="n">
        <x:v>20.3</x:v>
      </x:c>
      <x:c r="U1671" t="n">
        <x:v>1988.1</x:v>
      </x:c>
      <x:c r="V1671" t="n">
        <x:v>2824</x:v>
      </x:c>
      <x:c r="W1671" t="n">
        <x:v>53.4</x:v>
      </x:c>
    </x:row>
    <x:row r="1672">
      <x:c r="A1672" t="str">
        <x:v>PJT_1671</x:v>
      </x:c>
      <x:c r="B1672" t="str">
        <x:v>Mediterranean</x:v>
      </x:c>
      <x:c r="C1672" t="n">
        <x:v>6650</x:v>
      </x:c>
      <x:c r="D1672" t="n">
        <x:v>6</x:v>
      </x:c>
      <x:c r="E1672" t="str">
        <x:v>Low</x:v>
      </x:c>
      <x:c r="F1672" t="str">
        <x:v>Residential</x:v>
      </x:c>
      <x:c r="G1672" t="str">
        <x:v>RC Frame</x:v>
      </x:c>
      <x:c r="H1672" t="str">
        <x:v>Raft</x:v>
      </x:c>
      <x:c r="I1672" t="str">
        <x:v>Mixed</x:v>
      </x:c>
      <x:c r="J1672" t="str">
        <x:v>High</x:v>
      </x:c>
      <x:c r="K1672" t="n">
        <x:v>9968350</x:v>
      </x:c>
      <x:c r="L1672" t="n">
        <x:v>195</x:v>
      </x:c>
      <x:c r="M1672" t="n">
        <x:v>287.5</x:v>
      </x:c>
      <x:c r="N1672" t="n">
        <x:v>24.9</x:v>
      </x:c>
      <x:c r="O1672" t="n">
        <x:v>60.6</x:v>
      </x:c>
      <x:c r="P1672" t="str">
        <x:v>Sunny</x:v>
      </x:c>
      <x:c r="Q1672" t="n">
        <x:v>63</x:v>
      </x:c>
      <x:c r="R1672" t="n">
        <x:v>59.7</x:v>
      </x:c>
      <x:c r="S1672" t="n">
        <x:v>0.0723</x:v>
      </x:c>
      <x:c r="T1672" t="n">
        <x:v>11.3</x:v>
      </x:c>
      <x:c r="U1672" t="n">
        <x:v>1108.3</x:v>
      </x:c>
      <x:c r="V1672" t="n">
        <x:v>1499</x:v>
      </x:c>
      <x:c r="W1672" t="n">
        <x:v>29.3</x:v>
      </x:c>
    </x:row>
    <x:row r="1673">
      <x:c r="A1673" t="str">
        <x:v>PJT_1672</x:v>
      </x:c>
      <x:c r="B1673" t="str">
        <x:v>Mediterranean</x:v>
      </x:c>
      <x:c r="C1673" t="n">
        <x:v>20590</x:v>
      </x:c>
      <x:c r="D1673" t="n">
        <x:v>15</x:v>
      </x:c>
      <x:c r="E1673" t="str">
        <x:v>Medium</x:v>
      </x:c>
      <x:c r="F1673" t="str">
        <x:v>Commercial</x:v>
      </x:c>
      <x:c r="G1673" t="str">
        <x:v>Steel</x:v>
      </x:c>
      <x:c r="H1673" t="str">
        <x:v>Piles</x:v>
      </x:c>
      <x:c r="I1673" t="str">
        <x:v>Sand</x:v>
      </x:c>
      <x:c r="J1673" t="str">
        <x:v>High</x:v>
      </x:c>
      <x:c r="K1673" t="n">
        <x:v>52010340</x:v>
      </x:c>
      <x:c r="L1673" t="n">
        <x:v>896</x:v>
      </x:c>
      <x:c r="M1673" t="n">
        <x:v>286.6</x:v>
      </x:c>
      <x:c r="N1673" t="n">
        <x:v>30.2</x:v>
      </x:c>
      <x:c r="O1673" t="n">
        <x:v>49.9</x:v>
      </x:c>
      <x:c r="P1673" t="str">
        <x:v>Sunny</x:v>
      </x:c>
      <x:c r="Q1673" t="n">
        <x:v>75</x:v>
      </x:c>
      <x:c r="R1673" t="n">
        <x:v>77.9</x:v>
      </x:c>
      <x:c r="S1673" t="n">
        <x:v>0.099</x:v>
      </x:c>
      <x:c r="T1673" t="n">
        <x:v>16.8</x:v>
      </x:c>
      <x:c r="U1673" t="n">
        <x:v>1372.7</x:v>
      </x:c>
      <x:c r="V1673" t="n">
        <x:v>2526</x:v>
      </x:c>
      <x:c r="W1673" t="n">
        <x:v>43.5</x:v>
      </x:c>
    </x:row>
    <x:row r="1674">
      <x:c r="A1674" t="str">
        <x:v>PJT_1673</x:v>
      </x:c>
      <x:c r="B1674" t="str">
        <x:v>Continental</x:v>
      </x:c>
      <x:c r="C1674" t="n">
        <x:v>21610</x:v>
      </x:c>
      <x:c r="D1674" t="n">
        <x:v>16</x:v>
      </x:c>
      <x:c r="E1674" t="str">
        <x:v>Medium</x:v>
      </x:c>
      <x:c r="F1674" t="str">
        <x:v>Mixed-use</x:v>
      </x:c>
      <x:c r="G1674" t="str">
        <x:v>Steel</x:v>
      </x:c>
      <x:c r="H1674" t="str">
        <x:v>Piles</x:v>
      </x:c>
      <x:c r="I1674" t="str">
        <x:v>Soft Clay</x:v>
      </x:c>
      <x:c r="J1674" t="str">
        <x:v>Medium</x:v>
      </x:c>
      <x:c r="K1674" t="n">
        <x:v>58282170</x:v>
      </x:c>
      <x:c r="L1674" t="n">
        <x:v>1022</x:v>
      </x:c>
      <x:c r="M1674" t="n">
        <x:v>215.4</x:v>
      </x:c>
      <x:c r="N1674" t="n">
        <x:v>9</x:v>
      </x:c>
      <x:c r="O1674" t="n">
        <x:v>48.6</x:v>
      </x:c>
      <x:c r="P1674" t="str">
        <x:v>Sunny</x:v>
      </x:c>
      <x:c r="Q1674" t="n">
        <x:v>94</x:v>
      </x:c>
      <x:c r="R1674" t="n">
        <x:v>85.9</x:v>
      </x:c>
      <x:c r="S1674" t="n">
        <x:v>0.0982</x:v>
      </x:c>
      <x:c r="T1674" t="n">
        <x:v>18.4</x:v>
      </x:c>
      <x:c r="U1674" t="n">
        <x:v>1350.6</x:v>
      </x:c>
      <x:c r="V1674" t="n">
        <x:v>2697</x:v>
      </x:c>
      <x:c r="W1674" t="n">
        <x:v>47.3</x:v>
      </x:c>
    </x:row>
    <x:row r="1675">
      <x:c r="A1675" t="str">
        <x:v>PJT_1674</x:v>
      </x:c>
      <x:c r="B1675" t="str">
        <x:v>Mediterranean</x:v>
      </x:c>
      <x:c r="C1675" t="n">
        <x:v>20370</x:v>
      </x:c>
      <x:c r="D1675" t="n">
        <x:v>10</x:v>
      </x:c>
      <x:c r="E1675" t="str">
        <x:v>Medium</x:v>
      </x:c>
      <x:c r="F1675" t="str">
        <x:v>Hospital</x:v>
      </x:c>
      <x:c r="G1675" t="str">
        <x:v>Shear Wall</x:v>
      </x:c>
      <x:c r="H1675" t="str">
        <x:v>Piles</x:v>
      </x:c>
      <x:c r="I1675" t="str">
        <x:v>Mixed</x:v>
      </x:c>
      <x:c r="J1675" t="str">
        <x:v>High</x:v>
      </x:c>
      <x:c r="K1675" t="n">
        <x:v>64471050</x:v>
      </x:c>
      <x:c r="L1675" t="n">
        <x:v>988</x:v>
      </x:c>
      <x:c r="M1675" t="n">
        <x:v>328.7</x:v>
      </x:c>
      <x:c r="N1675" t="n">
        <x:v>24.5</x:v>
      </x:c>
      <x:c r="O1675" t="n">
        <x:v>46.8</x:v>
      </x:c>
      <x:c r="P1675" t="str">
        <x:v>Sunny</x:v>
      </x:c>
      <x:c r="Q1675" t="n">
        <x:v>72</x:v>
      </x:c>
      <x:c r="R1675" t="n">
        <x:v>79.6</x:v>
      </x:c>
      <x:c r="S1675" t="n">
        <x:v>0.1066</x:v>
      </x:c>
      <x:c r="T1675" t="n">
        <x:v>21.3</x:v>
      </x:c>
      <x:c r="U1675" t="n">
        <x:v>2037</x:v>
      </x:c>
      <x:c r="V1675" t="n">
        <x:v>3165</x:v>
      </x:c>
      <x:c r="W1675" t="n">
        <x:v>48.5</x:v>
      </x:c>
    </x:row>
    <x:row r="1676">
      <x:c r="A1676" t="str">
        <x:v>PJT_1675</x:v>
      </x:c>
      <x:c r="B1676" t="str">
        <x:v>Mediterranean</x:v>
      </x:c>
      <x:c r="C1676" t="n">
        <x:v>5400</x:v>
      </x:c>
      <x:c r="D1676" t="n">
        <x:v>2</x:v>
      </x:c>
      <x:c r="E1676" t="str">
        <x:v>Low</x:v>
      </x:c>
      <x:c r="F1676" t="str">
        <x:v>School</x:v>
      </x:c>
      <x:c r="G1676" t="str">
        <x:v>RC Frame</x:v>
      </x:c>
      <x:c r="H1676" t="str">
        <x:v>Strip</x:v>
      </x:c>
      <x:c r="I1676" t="str">
        <x:v>Sand</x:v>
      </x:c>
      <x:c r="J1676" t="str">
        <x:v>Medium</x:v>
      </x:c>
      <x:c r="K1676" t="n">
        <x:v>8618400</x:v>
      </x:c>
      <x:c r="L1676" t="n">
        <x:v>180</x:v>
      </x:c>
      <x:c r="M1676" t="n">
        <x:v>228</x:v>
      </x:c>
      <x:c r="N1676" t="n">
        <x:v>23.9</x:v>
      </x:c>
      <x:c r="O1676" t="n">
        <x:v>56.4</x:v>
      </x:c>
      <x:c r="P1676" t="str">
        <x:v>Cloudy</x:v>
      </x:c>
      <x:c r="Q1676" t="n">
        <x:v>76</x:v>
      </x:c>
      <x:c r="R1676" t="n">
        <x:v>62.6</x:v>
      </x:c>
      <x:c r="S1676" t="n">
        <x:v>0.0779</x:v>
      </x:c>
      <x:c r="T1676" t="n">
        <x:v>13.6</x:v>
      </x:c>
      <x:c r="U1676" t="n">
        <x:v>2700</x:v>
      </x:c>
      <x:c r="V1676" t="n">
        <x:v>1596</x:v>
      </x:c>
      <x:c r="W1676" t="n">
        <x:v>26.3</x:v>
      </x:c>
    </x:row>
    <x:row r="1677">
      <x:c r="A1677" t="str">
        <x:v>PJT_1676</x:v>
      </x:c>
      <x:c r="B1677" t="str">
        <x:v>Mediterranean</x:v>
      </x:c>
      <x:c r="C1677" t="n">
        <x:v>10840</x:v>
      </x:c>
      <x:c r="D1677" t="n">
        <x:v>10</x:v>
      </x:c>
      <x:c r="E1677" t="str">
        <x:v>Medium</x:v>
      </x:c>
      <x:c r="F1677" t="str">
        <x:v>Commercial</x:v>
      </x:c>
      <x:c r="G1677" t="str">
        <x:v>Steel</x:v>
      </x:c>
      <x:c r="H1677" t="str">
        <x:v>Raft</x:v>
      </x:c>
      <x:c r="I1677" t="str">
        <x:v>Sand</x:v>
      </x:c>
      <x:c r="J1677" t="str">
        <x:v>Medium</x:v>
      </x:c>
      <x:c r="K1677" t="n">
        <x:v>24617640</x:v>
      </x:c>
      <x:c r="L1677" t="n">
        <x:v>494</x:v>
      </x:c>
      <x:c r="M1677" t="n">
        <x:v>270.2</x:v>
      </x:c>
      <x:c r="N1677" t="n">
        <x:v>10.2</x:v>
      </x:c>
      <x:c r="O1677" t="n">
        <x:v>72</x:v>
      </x:c>
      <x:c r="P1677" t="str">
        <x:v>Rainy</x:v>
      </x:c>
      <x:c r="Q1677" t="n">
        <x:v>82</x:v>
      </x:c>
      <x:c r="R1677" t="n">
        <x:v>80.2</x:v>
      </x:c>
      <x:c r="S1677" t="n">
        <x:v>0.0967</x:v>
      </x:c>
      <x:c r="T1677" t="n">
        <x:v>17.3</x:v>
      </x:c>
      <x:c r="U1677" t="n">
        <x:v>1084</x:v>
      </x:c>
      <x:c r="V1677" t="n">
        <x:v>2271</x:v>
      </x:c>
      <x:c r="W1677" t="n">
        <x:v>45.6</x:v>
      </x:c>
    </x:row>
    <x:row r="1678">
      <x:c r="A1678" t="str">
        <x:v>PJT_1677</x:v>
      </x:c>
      <x:c r="B1678" t="str">
        <x:v>Continental</x:v>
      </x:c>
      <x:c r="C1678" t="n">
        <x:v>24610</x:v>
      </x:c>
      <x:c r="D1678" t="n">
        <x:v>14</x:v>
      </x:c>
      <x:c r="E1678" t="str">
        <x:v>Medium</x:v>
      </x:c>
      <x:c r="F1678" t="str">
        <x:v>Mixed-use</x:v>
      </x:c>
      <x:c r="G1678" t="str">
        <x:v>Shear Wall</x:v>
      </x:c>
      <x:c r="H1678" t="str">
        <x:v>Piles</x:v>
      </x:c>
      <x:c r="I1678" t="str">
        <x:v>Soft Clay</x:v>
      </x:c>
      <x:c r="J1678" t="str">
        <x:v>Low</x:v>
      </x:c>
      <x:c r="K1678" t="n">
        <x:v>58694850</x:v>
      </x:c>
      <x:c r="L1678" t="n">
        <x:v>1191</x:v>
      </x:c>
      <x:c r="M1678" t="n">
        <x:v>232.4</x:v>
      </x:c>
      <x:c r="N1678" t="n">
        <x:v>19.6</x:v>
      </x:c>
      <x:c r="O1678" t="n">
        <x:v>54.3</x:v>
      </x:c>
      <x:c r="P1678" t="str">
        <x:v>Sunny</x:v>
      </x:c>
      <x:c r="Q1678" t="n">
        <x:v>97</x:v>
      </x:c>
      <x:c r="R1678" t="n">
        <x:v>84.8</x:v>
      </x:c>
      <x:c r="S1678" t="n">
        <x:v>0.0992</x:v>
      </x:c>
      <x:c r="T1678" t="n">
        <x:v>17.6</x:v>
      </x:c>
      <x:c r="U1678" t="n">
        <x:v>1757.9</x:v>
      </x:c>
      <x:c r="V1678" t="n">
        <x:v>2385</x:v>
      </x:c>
      <x:c r="W1678" t="n">
        <x:v>48.4</x:v>
      </x:c>
    </x:row>
    <x:row r="1679">
      <x:c r="A1679" t="str">
        <x:v>PJT_1678</x:v>
      </x:c>
      <x:c r="B1679" t="str">
        <x:v>Marine</x:v>
      </x:c>
      <x:c r="C1679" t="n">
        <x:v>12780</x:v>
      </x:c>
      <x:c r="D1679" t="n">
        <x:v>13</x:v>
      </x:c>
      <x:c r="E1679" t="str">
        <x:v>Low</x:v>
      </x:c>
      <x:c r="F1679" t="str">
        <x:v>Residential</x:v>
      </x:c>
      <x:c r="G1679" t="str">
        <x:v>RC Frame</x:v>
      </x:c>
      <x:c r="H1679" t="str">
        <x:v>Raft</x:v>
      </x:c>
      <x:c r="I1679" t="str">
        <x:v>Mixed</x:v>
      </x:c>
      <x:c r="J1679" t="str">
        <x:v>Medium</x:v>
      </x:c>
      <x:c r="K1679" t="n">
        <x:v>18799380</x:v>
      </x:c>
      <x:c r="L1679" t="n">
        <x:v>390</x:v>
      </x:c>
      <x:c r="M1679" t="n">
        <x:v>268.2</x:v>
      </x:c>
      <x:c r="N1679" t="n">
        <x:v>14.9</x:v>
      </x:c>
      <x:c r="O1679" t="n">
        <x:v>79.9</x:v>
      </x:c>
      <x:c r="P1679" t="str">
        <x:v>Cloudy</x:v>
      </x:c>
      <x:c r="Q1679" t="n">
        <x:v>81</x:v>
      </x:c>
      <x:c r="R1679" t="n">
        <x:v>65.1</x:v>
      </x:c>
      <x:c r="S1679" t="n">
        <x:v>0.0703</x:v>
      </x:c>
      <x:c r="T1679" t="n">
        <x:v>11.2</x:v>
      </x:c>
      <x:c r="U1679" t="n">
        <x:v>983.1</x:v>
      </x:c>
      <x:c r="V1679" t="n">
        <x:v>1471</x:v>
      </x:c>
      <x:c r="W1679" t="n">
        <x:v>30.5</x:v>
      </x:c>
    </x:row>
    <x:row r="1680">
      <x:c r="A1680" t="str">
        <x:v>PJT_1679</x:v>
      </x:c>
      <x:c r="B1680" t="str">
        <x:v>Continental</x:v>
      </x:c>
      <x:c r="C1680" t="n">
        <x:v>7740</x:v>
      </x:c>
      <x:c r="D1680" t="n">
        <x:v>8</x:v>
      </x:c>
      <x:c r="E1680" t="str">
        <x:v>Low</x:v>
      </x:c>
      <x:c r="F1680" t="str">
        <x:v>Residential</x:v>
      </x:c>
      <x:c r="G1680" t="str">
        <x:v>RC Frame</x:v>
      </x:c>
      <x:c r="H1680" t="str">
        <x:v>Raft</x:v>
      </x:c>
      <x:c r="I1680" t="str">
        <x:v>Rock</x:v>
      </x:c>
      <x:c r="J1680" t="str">
        <x:v>Low</x:v>
      </x:c>
      <x:c r="K1680" t="n">
        <x:v>10031040</x:v>
      </x:c>
      <x:c r="L1680" t="n">
        <x:v>231</x:v>
      </x:c>
      <x:c r="M1680" t="n">
        <x:v>764</x:v>
      </x:c>
      <x:c r="N1680" t="n">
        <x:v>7</x:v>
      </x:c>
      <x:c r="O1680" t="n">
        <x:v>45.4</x:v>
      </x:c>
      <x:c r="P1680" t="str">
        <x:v>Sunny</x:v>
      </x:c>
      <x:c r="Q1680" t="n">
        <x:v>79</x:v>
      </x:c>
      <x:c r="R1680" t="n">
        <x:v>60.3</x:v>
      </x:c>
      <x:c r="S1680" t="n">
        <x:v>0.0764</x:v>
      </x:c>
      <x:c r="T1680" t="n">
        <x:v>11.5</x:v>
      </x:c>
      <x:c r="U1680" t="n">
        <x:v>967.5</x:v>
      </x:c>
      <x:c r="V1680" t="n">
        <x:v>1296</x:v>
      </x:c>
      <x:c r="W1680" t="n">
        <x:v>29.9</x:v>
      </x:c>
    </x:row>
    <x:row r="1681">
      <x:c r="A1681" t="str">
        <x:v>PJT_1680</x:v>
      </x:c>
      <x:c r="B1681" t="str">
        <x:v>Mediterranean</x:v>
      </x:c>
      <x:c r="C1681" t="n">
        <x:v>14650</x:v>
      </x:c>
      <x:c r="D1681" t="n">
        <x:v>17</x:v>
      </x:c>
      <x:c r="E1681" t="str">
        <x:v>Medium</x:v>
      </x:c>
      <x:c r="F1681" t="str">
        <x:v>Residential</x:v>
      </x:c>
      <x:c r="G1681" t="str">
        <x:v>Shear Wall</x:v>
      </x:c>
      <x:c r="H1681" t="str">
        <x:v>Piles</x:v>
      </x:c>
      <x:c r="I1681" t="str">
        <x:v>Soft Clay</x:v>
      </x:c>
      <x:c r="J1681" t="str">
        <x:v>Medium</x:v>
      </x:c>
      <x:c r="K1681" t="n">
        <x:v>23586500</x:v>
      </x:c>
      <x:c r="L1681" t="n">
        <x:v>595</x:v>
      </x:c>
      <x:c r="M1681" t="n">
        <x:v>216.6</x:v>
      </x:c>
      <x:c r="N1681" t="n">
        <x:v>16.5</x:v>
      </x:c>
      <x:c r="O1681" t="n">
        <x:v>76.2</x:v>
      </x:c>
      <x:c r="P1681" t="str">
        <x:v>Rainy</x:v>
      </x:c>
      <x:c r="Q1681" t="n">
        <x:v>93</x:v>
      </x:c>
      <x:c r="R1681" t="n">
        <x:v>72.6</x:v>
      </x:c>
      <x:c r="S1681" t="n">
        <x:v>0.0846</x:v>
      </x:c>
      <x:c r="T1681" t="n">
        <x:v>14.1</x:v>
      </x:c>
      <x:c r="U1681" t="n">
        <x:v>861.8</x:v>
      </x:c>
      <x:c r="V1681" t="n">
        <x:v>1610</x:v>
      </x:c>
      <x:c r="W1681" t="n">
        <x:v>40.6</x:v>
      </x:c>
    </x:row>
    <x:row r="1682">
      <x:c r="A1682" t="str">
        <x:v>PJT_1681</x:v>
      </x:c>
      <x:c r="B1682" t="str">
        <x:v>Continental</x:v>
      </x:c>
      <x:c r="C1682" t="n">
        <x:v>7590</x:v>
      </x:c>
      <x:c r="D1682" t="n">
        <x:v>6</x:v>
      </x:c>
      <x:c r="E1682" t="str">
        <x:v>Low</x:v>
      </x:c>
      <x:c r="F1682" t="str">
        <x:v>Commercial</x:v>
      </x:c>
      <x:c r="G1682" t="str">
        <x:v>RC Frame</x:v>
      </x:c>
      <x:c r="H1682" t="str">
        <x:v>Raft</x:v>
      </x:c>
      <x:c r="I1682" t="str">
        <x:v>Soft Clay</x:v>
      </x:c>
      <x:c r="J1682" t="str">
        <x:v>Low</x:v>
      </x:c>
      <x:c r="K1682" t="n">
        <x:v>15498780</x:v>
      </x:c>
      <x:c r="L1682" t="n">
        <x:v>292</x:v>
      </x:c>
      <x:c r="M1682" t="n">
        <x:v>185.4</x:v>
      </x:c>
      <x:c r="N1682" t="n">
        <x:v>17.5</x:v>
      </x:c>
      <x:c r="O1682" t="n">
        <x:v>70.7</x:v>
      </x:c>
      <x:c r="P1682" t="str">
        <x:v>Rainy</x:v>
      </x:c>
      <x:c r="Q1682" t="n">
        <x:v>104</x:v>
      </x:c>
      <x:c r="R1682" t="n">
        <x:v>66.7</x:v>
      </x:c>
      <x:c r="S1682" t="n">
        <x:v>0.0857</x:v>
      </x:c>
      <x:c r="T1682" t="n">
        <x:v>14.3</x:v>
      </x:c>
      <x:c r="U1682" t="n">
        <x:v>1265</x:v>
      </x:c>
      <x:c r="V1682" t="n">
        <x:v>2042</x:v>
      </x:c>
      <x:c r="W1682" t="n">
        <x:v>38.5</x:v>
      </x:c>
    </x:row>
    <x:row r="1683">
      <x:c r="A1683" t="str">
        <x:v>PJT_1682</x:v>
      </x:c>
      <x:c r="B1683" t="str">
        <x:v>Mediterranean</x:v>
      </x:c>
      <x:c r="C1683" t="n">
        <x:v>22230</x:v>
      </x:c>
      <x:c r="D1683" t="n">
        <x:v>15</x:v>
      </x:c>
      <x:c r="E1683" t="str">
        <x:v>Medium</x:v>
      </x:c>
      <x:c r="F1683" t="str">
        <x:v>Mixed-use</x:v>
      </x:c>
      <x:c r="G1683" t="str">
        <x:v>Steel</x:v>
      </x:c>
      <x:c r="H1683" t="str">
        <x:v>Piles</x:v>
      </x:c>
      <x:c r="I1683" t="str">
        <x:v>Mixed</x:v>
      </x:c>
      <x:c r="J1683" t="str">
        <x:v>Medium</x:v>
      </x:c>
      <x:c r="K1683" t="n">
        <x:v>59265180</x:v>
      </x:c>
      <x:c r="L1683" t="n">
        <x:v>1094</x:v>
      </x:c>
      <x:c r="M1683" t="n">
        <x:v>283.9</x:v>
      </x:c>
      <x:c r="N1683" t="n">
        <x:v>15.5</x:v>
      </x:c>
      <x:c r="O1683" t="n">
        <x:v>53.1</x:v>
      </x:c>
      <x:c r="P1683" t="str">
        <x:v>Cloudy</x:v>
      </x:c>
      <x:c r="Q1683" t="n">
        <x:v>85</x:v>
      </x:c>
      <x:c r="R1683" t="n">
        <x:v>80.2</x:v>
      </x:c>
      <x:c r="S1683" t="n">
        <x:v>0.1039</x:v>
      </x:c>
      <x:c r="T1683" t="n">
        <x:v>18.3</x:v>
      </x:c>
      <x:c r="U1683" t="n">
        <x:v>1482</x:v>
      </x:c>
      <x:c r="V1683" t="n">
        <x:v>2666</x:v>
      </x:c>
      <x:c r="W1683" t="n">
        <x:v>49.2</x:v>
      </x:c>
    </x:row>
    <x:row r="1684">
      <x:c r="A1684" t="str">
        <x:v>PJT_1683</x:v>
      </x:c>
      <x:c r="B1684" t="str">
        <x:v>Marine</x:v>
      </x:c>
      <x:c r="C1684" t="n">
        <x:v>17830</x:v>
      </x:c>
      <x:c r="D1684" t="n">
        <x:v>11</x:v>
      </x:c>
      <x:c r="E1684" t="str">
        <x:v>Medium</x:v>
      </x:c>
      <x:c r="F1684" t="str">
        <x:v>Commercial</x:v>
      </x:c>
      <x:c r="G1684" t="str">
        <x:v>Steel</x:v>
      </x:c>
      <x:c r="H1684" t="str">
        <x:v>Raft</x:v>
      </x:c>
      <x:c r="I1684" t="str">
        <x:v>Mixed</x:v>
      </x:c>
      <x:c r="J1684" t="str">
        <x:v>Low</x:v>
      </x:c>
      <x:c r="K1684" t="n">
        <x:v>41579560</x:v>
      </x:c>
      <x:c r="L1684" t="n">
        <x:v>808</x:v>
      </x:c>
      <x:c r="M1684" t="n">
        <x:v>338.5</x:v>
      </x:c>
      <x:c r="N1684" t="n">
        <x:v>15.4</x:v>
      </x:c>
      <x:c r="O1684" t="n">
        <x:v>78.8</x:v>
      </x:c>
      <x:c r="P1684" t="str">
        <x:v>Rainy</x:v>
      </x:c>
      <x:c r="Q1684" t="n">
        <x:v>73</x:v>
      </x:c>
      <x:c r="R1684" t="n">
        <x:v>81.2</x:v>
      </x:c>
      <x:c r="S1684" t="n">
        <x:v>0.0964</x:v>
      </x:c>
      <x:c r="T1684" t="n">
        <x:v>17.8</x:v>
      </x:c>
      <x:c r="U1684" t="n">
        <x:v>1620.9</x:v>
      </x:c>
      <x:c r="V1684" t="n">
        <x:v>2332</x:v>
      </x:c>
      <x:c r="W1684" t="n">
        <x:v>45.3</x:v>
      </x:c>
    </x:row>
    <x:row r="1685">
      <x:c r="A1685" t="str">
        <x:v>PJT_1684</x:v>
      </x:c>
      <x:c r="B1685" t="str">
        <x:v>Mediterranean</x:v>
      </x:c>
      <x:c r="C1685" t="n">
        <x:v>4800</x:v>
      </x:c>
      <x:c r="D1685" t="n">
        <x:v>2</x:v>
      </x:c>
      <x:c r="E1685" t="str">
        <x:v>Low</x:v>
      </x:c>
      <x:c r="F1685" t="str">
        <x:v>School</x:v>
      </x:c>
      <x:c r="G1685" t="str">
        <x:v>Steel</x:v>
      </x:c>
      <x:c r="H1685" t="str">
        <x:v>Raft</x:v>
      </x:c>
      <x:c r="I1685" t="str">
        <x:v>Mixed</x:v>
      </x:c>
      <x:c r="J1685" t="str">
        <x:v>High</x:v>
      </x:c>
      <x:c r="K1685" t="n">
        <x:v>9278400</x:v>
      </x:c>
      <x:c r="L1685" t="n">
        <x:v>180</x:v>
      </x:c>
      <x:c r="M1685" t="n">
        <x:v>360.3</x:v>
      </x:c>
      <x:c r="N1685" t="n">
        <x:v>28.5</x:v>
      </x:c>
      <x:c r="O1685" t="n">
        <x:v>43.1</x:v>
      </x:c>
      <x:c r="P1685" t="str">
        <x:v>Sunny</x:v>
      </x:c>
      <x:c r="Q1685" t="n">
        <x:v>81</x:v>
      </x:c>
      <x:c r="R1685" t="n">
        <x:v>59.7</x:v>
      </x:c>
      <x:c r="S1685" t="n">
        <x:v>0.083</x:v>
      </x:c>
      <x:c r="T1685" t="n">
        <x:v>13.8</x:v>
      </x:c>
      <x:c r="U1685" t="n">
        <x:v>2400</x:v>
      </x:c>
      <x:c r="V1685" t="n">
        <x:v>1933</x:v>
      </x:c>
      <x:c r="W1685" t="n">
        <x:v>30.6</x:v>
      </x:c>
    </x:row>
    <x:row r="1686">
      <x:c r="A1686" t="str">
        <x:v>PJT_1685</x:v>
      </x:c>
      <x:c r="B1686" t="str">
        <x:v>Marine</x:v>
      </x:c>
      <x:c r="C1686" t="n">
        <x:v>12470</x:v>
      </x:c>
      <x:c r="D1686" t="n">
        <x:v>9</x:v>
      </x:c>
      <x:c r="E1686" t="str">
        <x:v>Medium</x:v>
      </x:c>
      <x:c r="F1686" t="str">
        <x:v>Commercial</x:v>
      </x:c>
      <x:c r="G1686" t="str">
        <x:v>RC Frame</x:v>
      </x:c>
      <x:c r="H1686" t="str">
        <x:v>Raft</x:v>
      </x:c>
      <x:c r="I1686" t="str">
        <x:v>Mixed</x:v>
      </x:c>
      <x:c r="J1686" t="str">
        <x:v>Low</x:v>
      </x:c>
      <x:c r="K1686" t="n">
        <x:v>26486280</x:v>
      </x:c>
      <x:c r="L1686" t="n">
        <x:v>514</x:v>
      </x:c>
      <x:c r="M1686" t="n">
        <x:v>266.9</x:v>
      </x:c>
      <x:c r="N1686" t="n">
        <x:v>9</x:v>
      </x:c>
      <x:c r="O1686" t="n">
        <x:v>64.6</x:v>
      </x:c>
      <x:c r="P1686" t="str">
        <x:v>Cloudy</x:v>
      </x:c>
      <x:c r="Q1686" t="n">
        <x:v>82</x:v>
      </x:c>
      <x:c r="R1686" t="n">
        <x:v>71.4</x:v>
      </x:c>
      <x:c r="S1686" t="n">
        <x:v>0.0887</x:v>
      </x:c>
      <x:c r="T1686" t="n">
        <x:v>16.1</x:v>
      </x:c>
      <x:c r="U1686" t="n">
        <x:v>1385.6</x:v>
      </x:c>
      <x:c r="V1686" t="n">
        <x:v>2124</x:v>
      </x:c>
      <x:c r="W1686" t="n">
        <x:v>41.2</x:v>
      </x:c>
    </x:row>
    <x:row r="1687">
      <x:c r="A1687" t="str">
        <x:v>PJT_1686</x:v>
      </x:c>
      <x:c r="B1687" t="str">
        <x:v>Continental</x:v>
      </x:c>
      <x:c r="C1687" t="n">
        <x:v>23140</x:v>
      </x:c>
      <x:c r="D1687" t="n">
        <x:v>18</x:v>
      </x:c>
      <x:c r="E1687" t="str">
        <x:v>Low</x:v>
      </x:c>
      <x:c r="F1687" t="str">
        <x:v>Residential</x:v>
      </x:c>
      <x:c r="G1687" t="str">
        <x:v>RC Frame</x:v>
      </x:c>
      <x:c r="H1687" t="str">
        <x:v>Piles</x:v>
      </x:c>
      <x:c r="I1687" t="str">
        <x:v>Mixed</x:v>
      </x:c>
      <x:c r="J1687" t="str">
        <x:v>Low</x:v>
      </x:c>
      <x:c r="K1687" t="n">
        <x:v>31215860</x:v>
      </x:c>
      <x:c r="L1687" t="n">
        <x:v>852</x:v>
      </x:c>
      <x:c r="M1687" t="n">
        <x:v>355.5</x:v>
      </x:c>
      <x:c r="N1687" t="n">
        <x:v>-5.5</x:v>
      </x:c>
      <x:c r="O1687" t="n">
        <x:v>73</x:v>
      </x:c>
      <x:c r="P1687" t="str">
        <x:v>Snowy</x:v>
      </x:c>
      <x:c r="Q1687" t="n">
        <x:v>78</x:v>
      </x:c>
      <x:c r="R1687" t="n">
        <x:v>69.2</x:v>
      </x:c>
      <x:c r="S1687" t="n">
        <x:v>0.0763</x:v>
      </x:c>
      <x:c r="T1687" t="n">
        <x:v>12.9</x:v>
      </x:c>
      <x:c r="U1687" t="n">
        <x:v>1285.6</x:v>
      </x:c>
      <x:c r="V1687" t="n">
        <x:v>1349</x:v>
      </x:c>
      <x:c r="W1687" t="n">
        <x:v>36.8</x:v>
      </x:c>
    </x:row>
    <x:row r="1688">
      <x:c r="A1688" t="str">
        <x:v>PJT_1687</x:v>
      </x:c>
      <x:c r="B1688" t="str">
        <x:v>Continental</x:v>
      </x:c>
      <x:c r="C1688" t="n">
        <x:v>32910</x:v>
      </x:c>
      <x:c r="D1688" t="n">
        <x:v>22</x:v>
      </x:c>
      <x:c r="E1688" t="str">
        <x:v>High</x:v>
      </x:c>
      <x:c r="F1688" t="str">
        <x:v>Mixed-use</x:v>
      </x:c>
      <x:c r="G1688" t="str">
        <x:v>Steel</x:v>
      </x:c>
      <x:c r="H1688" t="str">
        <x:v>Piles</x:v>
      </x:c>
      <x:c r="I1688" t="str">
        <x:v>Soft Clay</x:v>
      </x:c>
      <x:c r="J1688" t="str">
        <x:v>Medium</x:v>
      </x:c>
      <x:c r="K1688" t="n">
        <x:v>94912440</x:v>
      </x:c>
      <x:c r="L1688" t="n">
        <x:v>1876</x:v>
      </x:c>
      <x:c r="M1688" t="n">
        <x:v>221.1</x:v>
      </x:c>
      <x:c r="N1688" t="n">
        <x:v>2.4</x:v>
      </x:c>
      <x:c r="O1688" t="n">
        <x:v>80.4</x:v>
      </x:c>
      <x:c r="P1688" t="str">
        <x:v>Rainy</x:v>
      </x:c>
      <x:c r="Q1688" t="n">
        <x:v>104</x:v>
      </x:c>
      <x:c r="R1688" t="n">
        <x:v>85.5</x:v>
      </x:c>
      <x:c r="S1688" t="n">
        <x:v>0.1033</x:v>
      </x:c>
      <x:c r="T1688" t="n">
        <x:v>20</x:v>
      </x:c>
      <x:c r="U1688" t="n">
        <x:v>1495.9</x:v>
      </x:c>
      <x:c r="V1688" t="n">
        <x:v>2884</x:v>
      </x:c>
      <x:c r="W1688" t="n">
        <x:v>57</x:v>
      </x:c>
    </x:row>
    <x:row r="1689">
      <x:c r="A1689" t="str">
        <x:v>PJT_1688</x:v>
      </x:c>
      <x:c r="B1689" t="str">
        <x:v>Continental</x:v>
      </x:c>
      <x:c r="C1689" t="n">
        <x:v>20480</x:v>
      </x:c>
      <x:c r="D1689" t="n">
        <x:v>13</x:v>
      </x:c>
      <x:c r="E1689" t="str">
        <x:v>Medium</x:v>
      </x:c>
      <x:c r="F1689" t="str">
        <x:v>Mixed-use</x:v>
      </x:c>
      <x:c r="G1689" t="str">
        <x:v>Shear Wall</x:v>
      </x:c>
      <x:c r="H1689" t="str">
        <x:v>Piles</x:v>
      </x:c>
      <x:c r="I1689" t="str">
        <x:v>Sand</x:v>
      </x:c>
      <x:c r="J1689" t="str">
        <x:v>High</x:v>
      </x:c>
      <x:c r="K1689" t="n">
        <x:v>52899840</x:v>
      </x:c>
      <x:c r="L1689" t="n">
        <x:v>1087</x:v>
      </x:c>
      <x:c r="M1689" t="n">
        <x:v>313.9</x:v>
      </x:c>
      <x:c r="N1689" t="n">
        <x:v>-9.4</x:v>
      </x:c>
      <x:c r="O1689" t="n">
        <x:v>66.1</x:v>
      </x:c>
      <x:c r="P1689" t="str">
        <x:v>Snowy</x:v>
      </x:c>
      <x:c r="Q1689" t="n">
        <x:v>79</x:v>
      </x:c>
      <x:c r="R1689" t="n">
        <x:v>78.2</x:v>
      </x:c>
      <x:c r="S1689" t="n">
        <x:v>0.0991</x:v>
      </x:c>
      <x:c r="T1689" t="n">
        <x:v>19.1</x:v>
      </x:c>
      <x:c r="U1689" t="n">
        <x:v>1575.4</x:v>
      </x:c>
      <x:c r="V1689" t="n">
        <x:v>2583</x:v>
      </x:c>
      <x:c r="W1689" t="n">
        <x:v>53.1</x:v>
      </x:c>
    </x:row>
    <x:row r="1690">
      <x:c r="A1690" t="str">
        <x:v>PJT_1689</x:v>
      </x:c>
      <x:c r="B1690" t="str">
        <x:v>Mediterranean</x:v>
      </x:c>
      <x:c r="C1690" t="n">
        <x:v>13910</x:v>
      </x:c>
      <x:c r="D1690" t="n">
        <x:v>16</x:v>
      </x:c>
      <x:c r="E1690" t="str">
        <x:v>Medium</x:v>
      </x:c>
      <x:c r="F1690" t="str">
        <x:v>Mixed-use</x:v>
      </x:c>
      <x:c r="G1690" t="str">
        <x:v>Steel</x:v>
      </x:c>
      <x:c r="H1690" t="str">
        <x:v>Piles</x:v>
      </x:c>
      <x:c r="I1690" t="str">
        <x:v>Mixed</x:v>
      </x:c>
      <x:c r="J1690" t="str">
        <x:v>High</x:v>
      </x:c>
      <x:c r="K1690" t="n">
        <x:v>39629590</x:v>
      </x:c>
      <x:c r="L1690" t="n">
        <x:v>705</x:v>
      </x:c>
      <x:c r="M1690" t="n">
        <x:v>357.5</x:v>
      </x:c>
      <x:c r="N1690" t="n">
        <x:v>22.8</x:v>
      </x:c>
      <x:c r="O1690" t="n">
        <x:v>53.5</x:v>
      </x:c>
      <x:c r="P1690" t="str">
        <x:v>Cloudy</x:v>
      </x:c>
      <x:c r="Q1690" t="n">
        <x:v>71</x:v>
      </x:c>
      <x:c r="R1690" t="n">
        <x:v>78</x:v>
      </x:c>
      <x:c r="S1690" t="n">
        <x:v>0.1048</x:v>
      </x:c>
      <x:c r="T1690" t="n">
        <x:v>19.5</x:v>
      </x:c>
      <x:c r="U1690" t="n">
        <x:v>869.4</x:v>
      </x:c>
      <x:c r="V1690" t="n">
        <x:v>2849</x:v>
      </x:c>
      <x:c r="W1690" t="n">
        <x:v>50.7</x:v>
      </x:c>
    </x:row>
    <x:row r="1691">
      <x:c r="A1691" t="str">
        <x:v>PJT_1690</x:v>
      </x:c>
      <x:c r="B1691" t="str">
        <x:v>Mediterranean</x:v>
      </x:c>
      <x:c r="C1691" t="n">
        <x:v>17940</x:v>
      </x:c>
      <x:c r="D1691" t="n">
        <x:v>18</x:v>
      </x:c>
      <x:c r="E1691" t="str">
        <x:v>Medium</x:v>
      </x:c>
      <x:c r="F1691" t="str">
        <x:v>Mixed-use</x:v>
      </x:c>
      <x:c r="G1691" t="str">
        <x:v>Steel</x:v>
      </x:c>
      <x:c r="H1691" t="str">
        <x:v>Piles</x:v>
      </x:c>
      <x:c r="I1691" t="str">
        <x:v>Mixed</x:v>
      </x:c>
      <x:c r="J1691" t="str">
        <x:v>Low</x:v>
      </x:c>
      <x:c r="K1691" t="n">
        <x:v>47810100</x:v>
      </x:c>
      <x:c r="L1691" t="n">
        <x:v>960</x:v>
      </x:c>
      <x:c r="M1691" t="n">
        <x:v>323.3</x:v>
      </x:c>
      <x:c r="N1691" t="n">
        <x:v>16.4</x:v>
      </x:c>
      <x:c r="O1691" t="n">
        <x:v>74.6</x:v>
      </x:c>
      <x:c r="P1691" t="str">
        <x:v>Rainy</x:v>
      </x:c>
      <x:c r="Q1691" t="n">
        <x:v>87</x:v>
      </x:c>
      <x:c r="R1691" t="n">
        <x:v>80.2</x:v>
      </x:c>
      <x:c r="S1691" t="n">
        <x:v>0.1001</x:v>
      </x:c>
      <x:c r="T1691" t="n">
        <x:v>18.8</x:v>
      </x:c>
      <x:c r="U1691" t="n">
        <x:v>996.7</x:v>
      </x:c>
      <x:c r="V1691" t="n">
        <x:v>2665</x:v>
      </x:c>
      <x:c r="W1691" t="n">
        <x:v>53.5</x:v>
      </x:c>
    </x:row>
    <x:row r="1692">
      <x:c r="A1692" t="str">
        <x:v>PJT_1691</x:v>
      </x:c>
      <x:c r="B1692" t="str">
        <x:v>Mediterranean</x:v>
      </x:c>
      <x:c r="C1692" t="n">
        <x:v>14270</x:v>
      </x:c>
      <x:c r="D1692" t="n">
        <x:v>7</x:v>
      </x:c>
      <x:c r="E1692" t="str">
        <x:v>Medium</x:v>
      </x:c>
      <x:c r="F1692" t="str">
        <x:v>Hospital</x:v>
      </x:c>
      <x:c r="G1692" t="str">
        <x:v>RC Frame</x:v>
      </x:c>
      <x:c r="H1692" t="str">
        <x:v>Raft</x:v>
      </x:c>
      <x:c r="I1692" t="str">
        <x:v>Mixed</x:v>
      </x:c>
      <x:c r="J1692" t="str">
        <x:v>Low</x:v>
      </x:c>
      <x:c r="K1692" t="n">
        <x:v>40883550</x:v>
      </x:c>
      <x:c r="L1692" t="n">
        <x:v>636</x:v>
      </x:c>
      <x:c r="M1692" t="n">
        <x:v>272.8</x:v>
      </x:c>
      <x:c r="N1692" t="n">
        <x:v>29.2</x:v>
      </x:c>
      <x:c r="O1692" t="n">
        <x:v>42.6</x:v>
      </x:c>
      <x:c r="P1692" t="str">
        <x:v>Sunny</x:v>
      </x:c>
      <x:c r="Q1692" t="n">
        <x:v>70</x:v>
      </x:c>
      <x:c r="R1692" t="n">
        <x:v>78.9</x:v>
      </x:c>
      <x:c r="S1692" t="n">
        <x:v>0.1054</x:v>
      </x:c>
      <x:c r="T1692" t="n">
        <x:v>20.8</x:v>
      </x:c>
      <x:c r="U1692" t="n">
        <x:v>2038.6</x:v>
      </x:c>
      <x:c r="V1692" t="n">
        <x:v>2865</x:v>
      </x:c>
      <x:c r="W1692" t="n">
        <x:v>44.6</x:v>
      </x:c>
    </x:row>
    <x:row r="1693">
      <x:c r="A1693" t="str">
        <x:v>PJT_1692</x:v>
      </x:c>
      <x:c r="B1693" t="str">
        <x:v>Humid Subtropical</x:v>
      </x:c>
      <x:c r="C1693" t="n">
        <x:v>9110</x:v>
      </x:c>
      <x:c r="D1693" t="n">
        <x:v>12</x:v>
      </x:c>
      <x:c r="E1693" t="str">
        <x:v>Low</x:v>
      </x:c>
      <x:c r="F1693" t="str">
        <x:v>Residential</x:v>
      </x:c>
      <x:c r="G1693" t="str">
        <x:v>RC Frame</x:v>
      </x:c>
      <x:c r="H1693" t="str">
        <x:v>Piles</x:v>
      </x:c>
      <x:c r="I1693" t="str">
        <x:v>Soft Clay</x:v>
      </x:c>
      <x:c r="J1693" t="str">
        <x:v>Low</x:v>
      </x:c>
      <x:c r="K1693" t="n">
        <x:v>12781330</x:v>
      </x:c>
      <x:c r="L1693" t="n">
        <x:v>320</x:v>
      </x:c>
      <x:c r="M1693" t="n">
        <x:v>200.1</x:v>
      </x:c>
      <x:c r="N1693" t="n">
        <x:v>25.7</x:v>
      </x:c>
      <x:c r="O1693" t="n">
        <x:v>63</x:v>
      </x:c>
      <x:c r="P1693" t="str">
        <x:v>Cloudy</x:v>
      </x:c>
      <x:c r="Q1693" t="n">
        <x:v>74</x:v>
      </x:c>
      <x:c r="R1693" t="n">
        <x:v>65.7</x:v>
      </x:c>
      <x:c r="S1693" t="n">
        <x:v>0.0703</x:v>
      </x:c>
      <x:c r="T1693" t="n">
        <x:v>12.3</x:v>
      </x:c>
      <x:c r="U1693" t="n">
        <x:v>759.2</x:v>
      </x:c>
      <x:c r="V1693" t="n">
        <x:v>1403</x:v>
      </x:c>
      <x:c r="W1693" t="n">
        <x:v>35.1</x:v>
      </x:c>
    </x:row>
    <x:row r="1694">
      <x:c r="A1694" t="str">
        <x:v>PJT_1693</x:v>
      </x:c>
      <x:c r="B1694" t="str">
        <x:v>Marine</x:v>
      </x:c>
      <x:c r="C1694" t="n">
        <x:v>16500</x:v>
      </x:c>
      <x:c r="D1694" t="n">
        <x:v>9</x:v>
      </x:c>
      <x:c r="E1694" t="str">
        <x:v>Medium</x:v>
      </x:c>
      <x:c r="F1694" t="str">
        <x:v>Hospital</x:v>
      </x:c>
      <x:c r="G1694" t="str">
        <x:v>Steel</x:v>
      </x:c>
      <x:c r="H1694" t="str">
        <x:v>Raft</x:v>
      </x:c>
      <x:c r="I1694" t="str">
        <x:v>Mixed</x:v>
      </x:c>
      <x:c r="J1694" t="str">
        <x:v>Low</x:v>
      </x:c>
      <x:c r="K1694" t="n">
        <x:v>52041000</x:v>
      </x:c>
      <x:c r="L1694" t="n">
        <x:v>820</x:v>
      </x:c>
      <x:c r="M1694" t="n">
        <x:v>336.7</x:v>
      </x:c>
      <x:c r="N1694" t="n">
        <x:v>15.4</x:v>
      </x:c>
      <x:c r="O1694" t="n">
        <x:v>77.4</x:v>
      </x:c>
      <x:c r="P1694" t="str">
        <x:v>Rainy</x:v>
      </x:c>
      <x:c r="Q1694" t="n">
        <x:v>82</x:v>
      </x:c>
      <x:c r="R1694" t="n">
        <x:v>79.4</x:v>
      </x:c>
      <x:c r="S1694" t="n">
        <x:v>0.1101</x:v>
      </x:c>
      <x:c r="T1694" t="n">
        <x:v>21.7</x:v>
      </x:c>
      <x:c r="U1694" t="n">
        <x:v>1833.3</x:v>
      </x:c>
      <x:c r="V1694" t="n">
        <x:v>3154</x:v>
      </x:c>
      <x:c r="W1694" t="n">
        <x:v>49.7</x:v>
      </x:c>
    </x:row>
    <x:row r="1695">
      <x:c r="A1695" t="str">
        <x:v>PJT_1694</x:v>
      </x:c>
      <x:c r="B1695" t="str">
        <x:v>Continental</x:v>
      </x:c>
      <x:c r="C1695" t="n">
        <x:v>18600</x:v>
      </x:c>
      <x:c r="D1695" t="n">
        <x:v>12</x:v>
      </x:c>
      <x:c r="E1695" t="str">
        <x:v>Medium</x:v>
      </x:c>
      <x:c r="F1695" t="str">
        <x:v>Hospital</x:v>
      </x:c>
      <x:c r="G1695" t="str">
        <x:v>Steel</x:v>
      </x:c>
      <x:c r="H1695" t="str">
        <x:v>Piles</x:v>
      </x:c>
      <x:c r="I1695" t="str">
        <x:v>Soft Clay</x:v>
      </x:c>
      <x:c r="J1695" t="str">
        <x:v>Low</x:v>
      </x:c>
      <x:c r="K1695" t="n">
        <x:v>57399600</x:v>
      </x:c>
      <x:c r="L1695" t="n">
        <x:v>986</x:v>
      </x:c>
      <x:c r="M1695" t="n">
        <x:v>228.6</x:v>
      </x:c>
      <x:c r="N1695" t="n">
        <x:v>6.8</x:v>
      </x:c>
      <x:c r="O1695" t="n">
        <x:v>65.4</x:v>
      </x:c>
      <x:c r="P1695" t="str">
        <x:v>Rainy</x:v>
      </x:c>
      <x:c r="Q1695" t="n">
        <x:v>102</x:v>
      </x:c>
      <x:c r="R1695" t="n">
        <x:v>87.1</x:v>
      </x:c>
      <x:c r="S1695" t="n">
        <x:v>0.1148</x:v>
      </x:c>
      <x:c r="T1695" t="n">
        <x:v>21.7</x:v>
      </x:c>
      <x:c r="U1695" t="n">
        <x:v>1550</x:v>
      </x:c>
      <x:c r="V1695" t="n">
        <x:v>3086</x:v>
      </x:c>
      <x:c r="W1695" t="n">
        <x:v>53</x:v>
      </x:c>
    </x:row>
    <x:row r="1696">
      <x:c r="A1696" t="str">
        <x:v>PJT_1695</x:v>
      </x:c>
      <x:c r="B1696" t="str">
        <x:v>Humid Subtropical</x:v>
      </x:c>
      <x:c r="C1696" t="n">
        <x:v>12460</x:v>
      </x:c>
      <x:c r="D1696" t="n">
        <x:v>7</x:v>
      </x:c>
      <x:c r="E1696" t="str">
        <x:v>Medium</x:v>
      </x:c>
      <x:c r="F1696" t="str">
        <x:v>Commercial</x:v>
      </x:c>
      <x:c r="G1696" t="str">
        <x:v>RC Frame</x:v>
      </x:c>
      <x:c r="H1696" t="str">
        <x:v>Raft</x:v>
      </x:c>
      <x:c r="I1696" t="str">
        <x:v>Mixed</x:v>
      </x:c>
      <x:c r="J1696" t="str">
        <x:v>Low</x:v>
      </x:c>
      <x:c r="K1696" t="n">
        <x:v>27810720</x:v>
      </x:c>
      <x:c r="L1696" t="n">
        <x:v>483</x:v>
      </x:c>
      <x:c r="M1696" t="n">
        <x:v>289.2</x:v>
      </x:c>
      <x:c r="N1696" t="n">
        <x:v>32.8</x:v>
      </x:c>
      <x:c r="O1696" t="n">
        <x:v>65.1</x:v>
      </x:c>
      <x:c r="P1696" t="str">
        <x:v>Sunny</x:v>
      </x:c>
      <x:c r="Q1696" t="n">
        <x:v>86</x:v>
      </x:c>
      <x:c r="R1696" t="n">
        <x:v>70.3</x:v>
      </x:c>
      <x:c r="S1696" t="n">
        <x:v>0.0873</x:v>
      </x:c>
      <x:c r="T1696" t="n">
        <x:v>16.3</x:v>
      </x:c>
      <x:c r="U1696" t="n">
        <x:v>1780</x:v>
      </x:c>
      <x:c r="V1696" t="n">
        <x:v>2232</x:v>
      </x:c>
      <x:c r="W1696" t="n">
        <x:v>38.8</x:v>
      </x:c>
    </x:row>
    <x:row r="1697">
      <x:c r="A1697" t="str">
        <x:v>PJT_1696</x:v>
      </x:c>
      <x:c r="B1697" t="str">
        <x:v>Mediterranean</x:v>
      </x:c>
      <x:c r="C1697" t="n">
        <x:v>10120</x:v>
      </x:c>
      <x:c r="D1697" t="n">
        <x:v>8</x:v>
      </x:c>
      <x:c r="E1697" t="str">
        <x:v>Low</x:v>
      </x:c>
      <x:c r="F1697" t="str">
        <x:v>Residential</x:v>
      </x:c>
      <x:c r="G1697" t="str">
        <x:v>RC Frame</x:v>
      </x:c>
      <x:c r="H1697" t="str">
        <x:v>Piles</x:v>
      </x:c>
      <x:c r="I1697" t="str">
        <x:v>Soft Clay</x:v>
      </x:c>
      <x:c r="J1697" t="str">
        <x:v>Medium</x:v>
      </x:c>
      <x:c r="K1697" t="n">
        <x:v>15321680</x:v>
      </x:c>
      <x:c r="L1697" t="n">
        <x:v>365</x:v>
      </x:c>
      <x:c r="M1697" t="n">
        <x:v>230.8</x:v>
      </x:c>
      <x:c r="N1697" t="n">
        <x:v>11</x:v>
      </x:c>
      <x:c r="O1697" t="n">
        <x:v>83.5</x:v>
      </x:c>
      <x:c r="P1697" t="str">
        <x:v>Stormy</x:v>
      </x:c>
      <x:c r="Q1697" t="n">
        <x:v>92</x:v>
      </x:c>
      <x:c r="R1697" t="n">
        <x:v>61.1</x:v>
      </x:c>
      <x:c r="S1697" t="n">
        <x:v>0.0768</x:v>
      </x:c>
      <x:c r="T1697" t="n">
        <x:v>12.7</x:v>
      </x:c>
      <x:c r="U1697" t="n">
        <x:v>1265</x:v>
      </x:c>
      <x:c r="V1697" t="n">
        <x:v>1514</x:v>
      </x:c>
      <x:c r="W1697" t="n">
        <x:v>36.1</x:v>
      </x:c>
    </x:row>
    <x:row r="1698">
      <x:c r="A1698" t="str">
        <x:v>PJT_1697</x:v>
      </x:c>
      <x:c r="B1698" t="str">
        <x:v>Continental</x:v>
      </x:c>
      <x:c r="C1698" t="n">
        <x:v>10690</x:v>
      </x:c>
      <x:c r="D1698" t="n">
        <x:v>8</x:v>
      </x:c>
      <x:c r="E1698" t="str">
        <x:v>Medium</x:v>
      </x:c>
      <x:c r="F1698" t="str">
        <x:v>Commercial</x:v>
      </x:c>
      <x:c r="G1698" t="str">
        <x:v>RC Frame</x:v>
      </x:c>
      <x:c r="H1698" t="str">
        <x:v>Raft</x:v>
      </x:c>
      <x:c r="I1698" t="str">
        <x:v>Mixed</x:v>
      </x:c>
      <x:c r="J1698" t="str">
        <x:v>High</x:v>
      </x:c>
      <x:c r="K1698" t="n">
        <x:v>24415960</x:v>
      </x:c>
      <x:c r="L1698" t="n">
        <x:v>466</x:v>
      </x:c>
      <x:c r="M1698" t="n">
        <x:v>338.1</x:v>
      </x:c>
      <x:c r="N1698" t="n">
        <x:v>14.9</x:v>
      </x:c>
      <x:c r="O1698" t="n">
        <x:v>86.9</x:v>
      </x:c>
      <x:c r="P1698" t="str">
        <x:v>Stormy</x:v>
      </x:c>
      <x:c r="Q1698" t="n">
        <x:v>97</x:v>
      </x:c>
      <x:c r="R1698" t="n">
        <x:v>75.7</x:v>
      </x:c>
      <x:c r="S1698" t="n">
        <x:v>0.0936</x:v>
      </x:c>
      <x:c r="T1698" t="n">
        <x:v>15.8</x:v>
      </x:c>
      <x:c r="U1698" t="n">
        <x:v>1336.2</x:v>
      </x:c>
      <x:c r="V1698" t="n">
        <x:v>2284</x:v>
      </x:c>
      <x:c r="W1698" t="n">
        <x:v>43.6</x:v>
      </x:c>
    </x:row>
    <x:row r="1699">
      <x:c r="A1699" t="str">
        <x:v>PJT_1698</x:v>
      </x:c>
      <x:c r="B1699" t="str">
        <x:v>Marine</x:v>
      </x:c>
      <x:c r="C1699" t="n">
        <x:v>18380</x:v>
      </x:c>
      <x:c r="D1699" t="n">
        <x:v>11</x:v>
      </x:c>
      <x:c r="E1699" t="str">
        <x:v>High</x:v>
      </x:c>
      <x:c r="F1699" t="str">
        <x:v>Hospital</x:v>
      </x:c>
      <x:c r="G1699" t="str">
        <x:v>Shear Wall</x:v>
      </x:c>
      <x:c r="H1699" t="str">
        <x:v>Piles</x:v>
      </x:c>
      <x:c r="I1699" t="str">
        <x:v>Soft Clay</x:v>
      </x:c>
      <x:c r="J1699" t="str">
        <x:v>High</x:v>
      </x:c>
      <x:c r="K1699" t="n">
        <x:v>64311620</x:v>
      </x:c>
      <x:c r="L1699" t="n">
        <x:v>1027</x:v>
      </x:c>
      <x:c r="M1699" t="n">
        <x:v>197.6</x:v>
      </x:c>
      <x:c r="N1699" t="n">
        <x:v>11.2</x:v>
      </x:c>
      <x:c r="O1699" t="n">
        <x:v>75.3</x:v>
      </x:c>
      <x:c r="P1699" t="str">
        <x:v>Cloudy</x:v>
      </x:c>
      <x:c r="Q1699" t="n">
        <x:v>98</x:v>
      </x:c>
      <x:c r="R1699" t="n">
        <x:v>84</x:v>
      </x:c>
      <x:c r="S1699" t="n">
        <x:v>0.1174</x:v>
      </x:c>
      <x:c r="T1699" t="n">
        <x:v>23.6</x:v>
      </x:c>
      <x:c r="U1699" t="n">
        <x:v>1670.9</x:v>
      </x:c>
      <x:c r="V1699" t="n">
        <x:v>3499</x:v>
      </x:c>
      <x:c r="W1699" t="n">
        <x:v>55.9</x:v>
      </x:c>
    </x:row>
    <x:row r="1700">
      <x:c r="A1700" t="str">
        <x:v>PJT_1699</x:v>
      </x:c>
      <x:c r="B1700" t="str">
        <x:v>Continental</x:v>
      </x:c>
      <x:c r="C1700" t="n">
        <x:v>17830</x:v>
      </x:c>
      <x:c r="D1700" t="n">
        <x:v>15</x:v>
      </x:c>
      <x:c r="E1700" t="str">
        <x:v>Low</x:v>
      </x:c>
      <x:c r="F1700" t="str">
        <x:v>Residential</x:v>
      </x:c>
      <x:c r="G1700" t="str">
        <x:v>Shear Wall</x:v>
      </x:c>
      <x:c r="H1700" t="str">
        <x:v>Raft</x:v>
      </x:c>
      <x:c r="I1700" t="str">
        <x:v>Rock</x:v>
      </x:c>
      <x:c r="J1700" t="str">
        <x:v>Medium</x:v>
      </x:c>
      <x:c r="K1700" t="n">
        <x:v>25800010</x:v>
      </x:c>
      <x:c r="L1700" t="n">
        <x:v>667</x:v>
      </x:c>
      <x:c r="M1700" t="n">
        <x:v>630.3</x:v>
      </x:c>
      <x:c r="N1700" t="n">
        <x:v>-1.8</x:v>
      </x:c>
      <x:c r="O1700" t="n">
        <x:v>74</x:v>
      </x:c>
      <x:c r="P1700" t="str">
        <x:v>Snowy</x:v>
      </x:c>
      <x:c r="Q1700" t="n">
        <x:v>75</x:v>
      </x:c>
      <x:c r="R1700" t="n">
        <x:v>66.8</x:v>
      </x:c>
      <x:c r="S1700" t="n">
        <x:v>0.08</x:v>
      </x:c>
      <x:c r="T1700" t="n">
        <x:v>11.7</x:v>
      </x:c>
      <x:c r="U1700" t="n">
        <x:v>1188.7</x:v>
      </x:c>
      <x:c r="V1700" t="n">
        <x:v>1447</x:v>
      </x:c>
      <x:c r="W1700" t="n">
        <x:v>37.4</x:v>
      </x:c>
    </x:row>
    <x:row r="1701">
      <x:c r="A1701" t="str">
        <x:v>PJT_1700</x:v>
      </x:c>
      <x:c r="B1701" t="str">
        <x:v>Mediterranean</x:v>
      </x:c>
      <x:c r="C1701" t="n">
        <x:v>7260</x:v>
      </x:c>
      <x:c r="D1701" t="n">
        <x:v>10</x:v>
      </x:c>
      <x:c r="E1701" t="str">
        <x:v>Low</x:v>
      </x:c>
      <x:c r="F1701" t="str">
        <x:v>Residential</x:v>
      </x:c>
      <x:c r="G1701" t="str">
        <x:v>Shear Wall</x:v>
      </x:c>
      <x:c r="H1701" t="str">
        <x:v>Piles</x:v>
      </x:c>
      <x:c r="I1701" t="str">
        <x:v>Soft Clay</x:v>
      </x:c>
      <x:c r="J1701" t="str">
        <x:v>High</x:v>
      </x:c>
      <x:c r="K1701" t="n">
        <x:v>12414600</x:v>
      </x:c>
      <x:c r="L1701" t="n">
        <x:v>277</x:v>
      </x:c>
      <x:c r="M1701" t="n">
        <x:v>238.9</x:v>
      </x:c>
      <x:c r="N1701" t="n">
        <x:v>10.7</x:v>
      </x:c>
      <x:c r="O1701" t="n">
        <x:v>74.9</x:v>
      </x:c>
      <x:c r="P1701" t="str">
        <x:v>Rainy</x:v>
      </x:c>
      <x:c r="Q1701" t="n">
        <x:v>79</x:v>
      </x:c>
      <x:c r="R1701" t="n">
        <x:v>68.7</x:v>
      </x:c>
      <x:c r="S1701" t="n">
        <x:v>0.0768</x:v>
      </x:c>
      <x:c r="T1701" t="n">
        <x:v>12.6</x:v>
      </x:c>
      <x:c r="U1701" t="n">
        <x:v>726</x:v>
      </x:c>
      <x:c r="V1701" t="n">
        <x:v>1710</x:v>
      </x:c>
      <x:c r="W1701" t="n">
        <x:v>38.2</x:v>
      </x:c>
    </x:row>
    <x:row r="1702">
      <x:c r="A1702" t="str">
        <x:v>PJT_1701</x:v>
      </x:c>
      <x:c r="B1702" t="str">
        <x:v>Humid Subtropical</x:v>
      </x:c>
      <x:c r="C1702" t="n">
        <x:v>12720</x:v>
      </x:c>
      <x:c r="D1702" t="n">
        <x:v>15</x:v>
      </x:c>
      <x:c r="E1702" t="str">
        <x:v>Low</x:v>
      </x:c>
      <x:c r="F1702" t="str">
        <x:v>Residential</x:v>
      </x:c>
      <x:c r="G1702" t="str">
        <x:v>RC Frame</x:v>
      </x:c>
      <x:c r="H1702" t="str">
        <x:v>Piles</x:v>
      </x:c>
      <x:c r="I1702" t="str">
        <x:v>Sand</x:v>
      </x:c>
      <x:c r="J1702" t="str">
        <x:v>Low</x:v>
      </x:c>
      <x:c r="K1702" t="n">
        <x:v>17006640</x:v>
      </x:c>
      <x:c r="L1702" t="n">
        <x:v>439</x:v>
      </x:c>
      <x:c r="M1702" t="n">
        <x:v>249.9</x:v>
      </x:c>
      <x:c r="N1702" t="n">
        <x:v>28.1</x:v>
      </x:c>
      <x:c r="O1702" t="n">
        <x:v>64</x:v>
      </x:c>
      <x:c r="P1702" t="str">
        <x:v>Sunny</x:v>
      </x:c>
      <x:c r="Q1702" t="n">
        <x:v>80</x:v>
      </x:c>
      <x:c r="R1702" t="n">
        <x:v>68.8</x:v>
      </x:c>
      <x:c r="S1702" t="n">
        <x:v>0.0716</x:v>
      </x:c>
      <x:c r="T1702" t="n">
        <x:v>12.2</x:v>
      </x:c>
      <x:c r="U1702" t="n">
        <x:v>848</x:v>
      </x:c>
      <x:c r="V1702" t="n">
        <x:v>1337</x:v>
      </x:c>
      <x:c r="W1702" t="n">
        <x:v>34.5</x:v>
      </x:c>
    </x:row>
    <x:row r="1703">
      <x:c r="A1703" t="str">
        <x:v>PJT_1702</x:v>
      </x:c>
      <x:c r="B1703" t="str">
        <x:v>Continental</x:v>
      </x:c>
      <x:c r="C1703" t="n">
        <x:v>15730</x:v>
      </x:c>
      <x:c r="D1703" t="n">
        <x:v>15</x:v>
      </x:c>
      <x:c r="E1703" t="str">
        <x:v>Medium</x:v>
      </x:c>
      <x:c r="F1703" t="str">
        <x:v>Mixed-use</x:v>
      </x:c>
      <x:c r="G1703" t="str">
        <x:v>Steel</x:v>
      </x:c>
      <x:c r="H1703" t="str">
        <x:v>Piles</x:v>
      </x:c>
      <x:c r="I1703" t="str">
        <x:v>Sand</x:v>
      </x:c>
      <x:c r="J1703" t="str">
        <x:v>Low</x:v>
      </x:c>
      <x:c r="K1703" t="n">
        <x:v>40300260</x:v>
      </x:c>
      <x:c r="L1703" t="n">
        <x:v>766</x:v>
      </x:c>
      <x:c r="M1703" t="n">
        <x:v>259.7</x:v>
      </x:c>
      <x:c r="N1703" t="n">
        <x:v>22.8</x:v>
      </x:c>
      <x:c r="O1703" t="n">
        <x:v>44.3</x:v>
      </x:c>
      <x:c r="P1703" t="str">
        <x:v>Sunny</x:v>
      </x:c>
      <x:c r="Q1703" t="n">
        <x:v>80</x:v>
      </x:c>
      <x:c r="R1703" t="n">
        <x:v>79.7</x:v>
      </x:c>
      <x:c r="S1703" t="n">
        <x:v>0.0992</x:v>
      </x:c>
      <x:c r="T1703" t="n">
        <x:v>18.6</x:v>
      </x:c>
      <x:c r="U1703" t="n">
        <x:v>1048.7</x:v>
      </x:c>
      <x:c r="V1703" t="n">
        <x:v>2562</x:v>
      </x:c>
      <x:c r="W1703" t="n">
        <x:v>48.7</x:v>
      </x:c>
    </x:row>
    <x:row r="1704">
      <x:c r="A1704" t="str">
        <x:v>PJT_1703</x:v>
      </x:c>
      <x:c r="B1704" t="str">
        <x:v>Mediterranean</x:v>
      </x:c>
      <x:c r="C1704" t="n">
        <x:v>13170</x:v>
      </x:c>
      <x:c r="D1704" t="n">
        <x:v>11</x:v>
      </x:c>
      <x:c r="E1704" t="str">
        <x:v>Low</x:v>
      </x:c>
      <x:c r="F1704" t="str">
        <x:v>Residential</x:v>
      </x:c>
      <x:c r="G1704" t="str">
        <x:v>RC Frame</x:v>
      </x:c>
      <x:c r="H1704" t="str">
        <x:v>Raft</x:v>
      </x:c>
      <x:c r="I1704" t="str">
        <x:v>Sand</x:v>
      </x:c>
      <x:c r="J1704" t="str">
        <x:v>Low</x:v>
      </x:c>
      <x:c r="K1704" t="n">
        <x:v>17410740</x:v>
      </x:c>
      <x:c r="L1704" t="n">
        <x:v>416</x:v>
      </x:c>
      <x:c r="M1704" t="n">
        <x:v>276.3</x:v>
      </x:c>
      <x:c r="N1704" t="n">
        <x:v>31.8</x:v>
      </x:c>
      <x:c r="O1704" t="n">
        <x:v>53.4</x:v>
      </x:c>
      <x:c r="P1704" t="str">
        <x:v>Sunny</x:v>
      </x:c>
      <x:c r="Q1704" t="n">
        <x:v>51</x:v>
      </x:c>
      <x:c r="R1704" t="n">
        <x:v>70.3</x:v>
      </x:c>
      <x:c r="S1704" t="n">
        <x:v>0.0778</x:v>
      </x:c>
      <x:c r="T1704" t="n">
        <x:v>12.9</x:v>
      </x:c>
      <x:c r="U1704" t="n">
        <x:v>1197.3</x:v>
      </x:c>
      <x:c r="V1704" t="n">
        <x:v>1322</x:v>
      </x:c>
      <x:c r="W1704" t="n">
        <x:v>31.6</x:v>
      </x:c>
    </x:row>
    <x:row r="1705">
      <x:c r="A1705" t="str">
        <x:v>PJT_1704</x:v>
      </x:c>
      <x:c r="B1705" t="str">
        <x:v>Humid Subtropical</x:v>
      </x:c>
      <x:c r="C1705" t="n">
        <x:v>15540</x:v>
      </x:c>
      <x:c r="D1705" t="n">
        <x:v>11</x:v>
      </x:c>
      <x:c r="E1705" t="str">
        <x:v>Medium</x:v>
      </x:c>
      <x:c r="F1705" t="str">
        <x:v>Mixed-use</x:v>
      </x:c>
      <x:c r="G1705" t="str">
        <x:v>Shear Wall</x:v>
      </x:c>
      <x:c r="H1705" t="str">
        <x:v>Raft</x:v>
      </x:c>
      <x:c r="I1705" t="str">
        <x:v>Rock</x:v>
      </x:c>
      <x:c r="J1705" t="str">
        <x:v>Medium</x:v>
      </x:c>
      <x:c r="K1705" t="n">
        <x:v>37668960</x:v>
      </x:c>
      <x:c r="L1705" t="n">
        <x:v>721</x:v>
      </x:c>
      <x:c r="M1705" t="n">
        <x:v>624.2</x:v>
      </x:c>
      <x:c r="N1705" t="n">
        <x:v>33.1</x:v>
      </x:c>
      <x:c r="O1705" t="n">
        <x:v>68.8</x:v>
      </x:c>
      <x:c r="P1705" t="str">
        <x:v>Sunny</x:v>
      </x:c>
      <x:c r="Q1705" t="n">
        <x:v>98</x:v>
      </x:c>
      <x:c r="R1705" t="n">
        <x:v>83.1</x:v>
      </x:c>
      <x:c r="S1705" t="n">
        <x:v>0.0963</x:v>
      </x:c>
      <x:c r="T1705" t="n">
        <x:v>17.9</x:v>
      </x:c>
      <x:c r="U1705" t="n">
        <x:v>1412.7</x:v>
      </x:c>
      <x:c r="V1705" t="n">
        <x:v>2424</x:v>
      </x:c>
      <x:c r="W1705" t="n">
        <x:v>46.4</x:v>
      </x:c>
    </x:row>
    <x:row r="1706">
      <x:c r="A1706" t="str">
        <x:v>PJT_1705</x:v>
      </x:c>
      <x:c r="B1706" t="str">
        <x:v>Continental</x:v>
      </x:c>
      <x:c r="C1706" t="n">
        <x:v>21330</x:v>
      </x:c>
      <x:c r="D1706" t="n">
        <x:v>12</x:v>
      </x:c>
      <x:c r="E1706" t="str">
        <x:v>Medium</x:v>
      </x:c>
      <x:c r="F1706" t="str">
        <x:v>Commercial</x:v>
      </x:c>
      <x:c r="G1706" t="str">
        <x:v>Steel</x:v>
      </x:c>
      <x:c r="H1706" t="str">
        <x:v>Piles</x:v>
      </x:c>
      <x:c r="I1706" t="str">
        <x:v>Sand</x:v>
      </x:c>
      <x:c r="J1706" t="str">
        <x:v>High</x:v>
      </x:c>
      <x:c r="K1706" t="n">
        <x:v>52087860</x:v>
      </x:c>
      <x:c r="L1706" t="n">
        <x:v>939</x:v>
      </x:c>
      <x:c r="M1706" t="n">
        <x:v>282.3</x:v>
      </x:c>
      <x:c r="N1706" t="n">
        <x:v>13.9</x:v>
      </x:c>
      <x:c r="O1706" t="n">
        <x:v>60.4</x:v>
      </x:c>
      <x:c r="P1706" t="str">
        <x:v>Sunny</x:v>
      </x:c>
      <x:c r="Q1706" t="n">
        <x:v>79</x:v>
      </x:c>
      <x:c r="R1706" t="n">
        <x:v>75.2</x:v>
      </x:c>
      <x:c r="S1706" t="n">
        <x:v>0.094</x:v>
      </x:c>
      <x:c r="T1706" t="n">
        <x:v>17.2</x:v>
      </x:c>
      <x:c r="U1706" t="n">
        <x:v>1777.5</x:v>
      </x:c>
      <x:c r="V1706" t="n">
        <x:v>2442</x:v>
      </x:c>
      <x:c r="W1706" t="n">
        <x:v>44</x:v>
      </x:c>
    </x:row>
    <x:row r="1707">
      <x:c r="A1707" t="str">
        <x:v>PJT_1706</x:v>
      </x:c>
      <x:c r="B1707" t="str">
        <x:v>Marine</x:v>
      </x:c>
      <x:c r="C1707" t="n">
        <x:v>17050</x:v>
      </x:c>
      <x:c r="D1707" t="n">
        <x:v>17</x:v>
      </x:c>
      <x:c r="E1707" t="str">
        <x:v>Medium</x:v>
      </x:c>
      <x:c r="F1707" t="str">
        <x:v>Mixed-use</x:v>
      </x:c>
      <x:c r="G1707" t="str">
        <x:v>Steel</x:v>
      </x:c>
      <x:c r="H1707" t="str">
        <x:v>Piles</x:v>
      </x:c>
      <x:c r="I1707" t="str">
        <x:v>Mixed</x:v>
      </x:c>
      <x:c r="J1707" t="str">
        <x:v>Medium</x:v>
      </x:c>
      <x:c r="K1707" t="n">
        <x:v>47006850</x:v>
      </x:c>
      <x:c r="L1707" t="n">
        <x:v>914</x:v>
      </x:c>
      <x:c r="M1707" t="n">
        <x:v>306.9</x:v>
      </x:c>
      <x:c r="N1707" t="n">
        <x:v>11.8</x:v>
      </x:c>
      <x:c r="O1707" t="n">
        <x:v>89.5</x:v>
      </x:c>
      <x:c r="P1707" t="str">
        <x:v>Stormy</x:v>
      </x:c>
      <x:c r="Q1707" t="n">
        <x:v>103</x:v>
      </x:c>
      <x:c r="R1707" t="n">
        <x:v>77.7</x:v>
      </x:c>
      <x:c r="S1707" t="n">
        <x:v>0.1017</x:v>
      </x:c>
      <x:c r="T1707" t="n">
        <x:v>18.6</x:v>
      </x:c>
      <x:c r="U1707" t="n">
        <x:v>1002.9</x:v>
      </x:c>
      <x:c r="V1707" t="n">
        <x:v>2757</x:v>
      </x:c>
      <x:c r="W1707" t="n">
        <x:v>53.6</x:v>
      </x:c>
    </x:row>
    <x:row r="1708">
      <x:c r="A1708" t="str">
        <x:v>PJT_1707</x:v>
      </x:c>
      <x:c r="B1708" t="str">
        <x:v>Humid Subtropical</x:v>
      </x:c>
      <x:c r="C1708" t="n">
        <x:v>27100</x:v>
      </x:c>
      <x:c r="D1708" t="n">
        <x:v>20</x:v>
      </x:c>
      <x:c r="E1708" t="str">
        <x:v>Medium</x:v>
      </x:c>
      <x:c r="F1708" t="str">
        <x:v>Commercial</x:v>
      </x:c>
      <x:c r="G1708" t="str">
        <x:v>Steel</x:v>
      </x:c>
      <x:c r="H1708" t="str">
        <x:v>Piles</x:v>
      </x:c>
      <x:c r="I1708" t="str">
        <x:v>Mixed</x:v>
      </x:c>
      <x:c r="J1708" t="str">
        <x:v>Medium</x:v>
      </x:c>
      <x:c r="K1708" t="n">
        <x:v>71760800</x:v>
      </x:c>
      <x:c r="L1708" t="n">
        <x:v>1209</x:v>
      </x:c>
      <x:c r="M1708" t="n">
        <x:v>415</x:v>
      </x:c>
      <x:c r="N1708" t="n">
        <x:v>28</x:v>
      </x:c>
      <x:c r="O1708" t="n">
        <x:v>58.7</x:v>
      </x:c>
      <x:c r="P1708" t="str">
        <x:v>Sunny</x:v>
      </x:c>
      <x:c r="Q1708" t="n">
        <x:v>104</x:v>
      </x:c>
      <x:c r="R1708" t="n">
        <x:v>81.9</x:v>
      </x:c>
      <x:c r="S1708" t="n">
        <x:v>0.0931</x:v>
      </x:c>
      <x:c r="T1708" t="n">
        <x:v>16.4</x:v>
      </x:c>
      <x:c r="U1708" t="n">
        <x:v>1355</x:v>
      </x:c>
      <x:c r="V1708" t="n">
        <x:v>2648</x:v>
      </x:c>
      <x:c r="W1708" t="n">
        <x:v>44.6</x:v>
      </x:c>
    </x:row>
    <x:row r="1709">
      <x:c r="A1709" t="str">
        <x:v>PJT_1708</x:v>
      </x:c>
      <x:c r="B1709" t="str">
        <x:v>Humid Subtropical</x:v>
      </x:c>
      <x:c r="C1709" t="n">
        <x:v>16230</x:v>
      </x:c>
      <x:c r="D1709" t="n">
        <x:v>18</x:v>
      </x:c>
      <x:c r="E1709" t="str">
        <x:v>Medium</x:v>
      </x:c>
      <x:c r="F1709" t="str">
        <x:v>Mixed-use</x:v>
      </x:c>
      <x:c r="G1709" t="str">
        <x:v>Steel</x:v>
      </x:c>
      <x:c r="H1709" t="str">
        <x:v>Piles</x:v>
      </x:c>
      <x:c r="I1709" t="str">
        <x:v>Soft Clay</x:v>
      </x:c>
      <x:c r="J1709" t="str">
        <x:v>Low</x:v>
      </x:c>
      <x:c r="K1709" t="n">
        <x:v>43885920</x:v>
      </x:c>
      <x:c r="L1709" t="n">
        <x:v>797</x:v>
      </x:c>
      <x:c r="M1709" t="n">
        <x:v>156.7</x:v>
      </x:c>
      <x:c r="N1709" t="n">
        <x:v>31.9</x:v>
      </x:c>
      <x:c r="O1709" t="n">
        <x:v>70.5</x:v>
      </x:c>
      <x:c r="P1709" t="str">
        <x:v>Sunny</x:v>
      </x:c>
      <x:c r="Q1709" t="n">
        <x:v>93</x:v>
      </x:c>
      <x:c r="R1709" t="n">
        <x:v>84.7</x:v>
      </x:c>
      <x:c r="S1709" t="n">
        <x:v>0.1026</x:v>
      </x:c>
      <x:c r="T1709" t="n">
        <x:v>17.6</x:v>
      </x:c>
      <x:c r="U1709" t="n">
        <x:v>901.7</x:v>
      </x:c>
      <x:c r="V1709" t="n">
        <x:v>2704</x:v>
      </x:c>
      <x:c r="W1709" t="n">
        <x:v>49.1</x:v>
      </x:c>
    </x:row>
    <x:row r="1710">
      <x:c r="A1710" t="str">
        <x:v>PJT_1709</x:v>
      </x:c>
      <x:c r="B1710" t="str">
        <x:v>Humid Subtropical</x:v>
      </x:c>
      <x:c r="C1710" t="n">
        <x:v>28320</x:v>
      </x:c>
      <x:c r="D1710" t="n">
        <x:v>20</x:v>
      </x:c>
      <x:c r="E1710" t="str">
        <x:v>Medium</x:v>
      </x:c>
      <x:c r="F1710" t="str">
        <x:v>Mixed-use</x:v>
      </x:c>
      <x:c r="G1710" t="str">
        <x:v>Steel</x:v>
      </x:c>
      <x:c r="H1710" t="str">
        <x:v>Piles</x:v>
      </x:c>
      <x:c r="I1710" t="str">
        <x:v>Soft Clay</x:v>
      </x:c>
      <x:c r="J1710" t="str">
        <x:v>Medium</x:v>
      </x:c>
      <x:c r="K1710" t="n">
        <x:v>79550880</x:v>
      </x:c>
      <x:c r="L1710" t="n">
        <x:v>1436</x:v>
      </x:c>
      <x:c r="M1710" t="n">
        <x:v>172</x:v>
      </x:c>
      <x:c r="N1710" t="n">
        <x:v>34.8</x:v>
      </x:c>
      <x:c r="O1710" t="n">
        <x:v>57.7</x:v>
      </x:c>
      <x:c r="P1710" t="str">
        <x:v>Sunny</x:v>
      </x:c>
      <x:c r="Q1710" t="n">
        <x:v>76</x:v>
      </x:c>
      <x:c r="R1710" t="n">
        <x:v>83.9</x:v>
      </x:c>
      <x:c r="S1710" t="n">
        <x:v>0.1037</x:v>
      </x:c>
      <x:c r="T1710" t="n">
        <x:v>18.2</x:v>
      </x:c>
      <x:c r="U1710" t="n">
        <x:v>1416</x:v>
      </x:c>
      <x:c r="V1710" t="n">
        <x:v>2809</x:v>
      </x:c>
      <x:c r="W1710" t="n">
        <x:v>50.7</x:v>
      </x:c>
    </x:row>
    <x:row r="1711">
      <x:c r="A1711" t="str">
        <x:v>PJT_1710</x:v>
      </x:c>
      <x:c r="B1711" t="str">
        <x:v>Humid Subtropical</x:v>
      </x:c>
      <x:c r="C1711" t="n">
        <x:v>31250</x:v>
      </x:c>
      <x:c r="D1711" t="n">
        <x:v>14</x:v>
      </x:c>
      <x:c r="E1711" t="str">
        <x:v>Medium</x:v>
      </x:c>
      <x:c r="F1711" t="str">
        <x:v>Hospital</x:v>
      </x:c>
      <x:c r="G1711" t="str">
        <x:v>Steel</x:v>
      </x:c>
      <x:c r="H1711" t="str">
        <x:v>Piles</x:v>
      </x:c>
      <x:c r="I1711" t="str">
        <x:v>Sand</x:v>
      </x:c>
      <x:c r="J1711" t="str">
        <x:v>Low</x:v>
      </x:c>
      <x:c r="K1711" t="n">
        <x:v>101281250</x:v>
      </x:c>
      <x:c r="L1711" t="n">
        <x:v>1606</x:v>
      </x:c>
      <x:c r="M1711" t="n">
        <x:v>322.6</x:v>
      </x:c>
      <x:c r="N1711" t="n">
        <x:v>27.4</x:v>
      </x:c>
      <x:c r="O1711" t="n">
        <x:v>64</x:v>
      </x:c>
      <x:c r="P1711" t="str">
        <x:v>Cloudy</x:v>
      </x:c>
      <x:c r="Q1711" t="n">
        <x:v>101</x:v>
      </x:c>
      <x:c r="R1711" t="n">
        <x:v>78.1</x:v>
      </x:c>
      <x:c r="S1711" t="n">
        <x:v>0.1132</x:v>
      </x:c>
      <x:c r="T1711" t="n">
        <x:v>22.1</x:v>
      </x:c>
      <x:c r="U1711" t="n">
        <x:v>2232.1</x:v>
      </x:c>
      <x:c r="V1711" t="n">
        <x:v>3241</x:v>
      </x:c>
      <x:c r="W1711" t="n">
        <x:v>51.4</x:v>
      </x:c>
    </x:row>
    <x:row r="1712">
      <x:c r="A1712" t="str">
        <x:v>PJT_1711</x:v>
      </x:c>
      <x:c r="B1712" t="str">
        <x:v>Mediterranean</x:v>
      </x:c>
      <x:c r="C1712" t="n">
        <x:v>12190</x:v>
      </x:c>
      <x:c r="D1712" t="n">
        <x:v>8</x:v>
      </x:c>
      <x:c r="E1712" t="str">
        <x:v>Medium</x:v>
      </x:c>
      <x:c r="F1712" t="str">
        <x:v>Mixed-use</x:v>
      </x:c>
      <x:c r="G1712" t="str">
        <x:v>Steel</x:v>
      </x:c>
      <x:c r="H1712" t="str">
        <x:v>Raft</x:v>
      </x:c>
      <x:c r="I1712" t="str">
        <x:v>Sand</x:v>
      </x:c>
      <x:c r="J1712" t="str">
        <x:v>Medium</x:v>
      </x:c>
      <x:c r="K1712" t="n">
        <x:v>32193790</x:v>
      </x:c>
      <x:c r="L1712" t="n">
        <x:v>579</x:v>
      </x:c>
      <x:c r="M1712" t="n">
        <x:v>262.6</x:v>
      </x:c>
      <x:c r="N1712" t="n">
        <x:v>20.8</x:v>
      </x:c>
      <x:c r="O1712" t="n">
        <x:v>63.2</x:v>
      </x:c>
      <x:c r="P1712" t="str">
        <x:v>Cloudy</x:v>
      </x:c>
      <x:c r="Q1712" t="n">
        <x:v>90</x:v>
      </x:c>
      <x:c r="R1712" t="n">
        <x:v>81.4</x:v>
      </x:c>
      <x:c r="S1712" t="n">
        <x:v>0.1</x:v>
      </x:c>
      <x:c r="T1712" t="n">
        <x:v>17.6</x:v>
      </x:c>
      <x:c r="U1712" t="n">
        <x:v>1523.8</x:v>
      </x:c>
      <x:c r="V1712" t="n">
        <x:v>2641</x:v>
      </x:c>
      <x:c r="W1712" t="n">
        <x:v>47.5</x:v>
      </x:c>
    </x:row>
    <x:row r="1713">
      <x:c r="A1713" t="str">
        <x:v>PJT_1712</x:v>
      </x:c>
      <x:c r="B1713" t="str">
        <x:v>Continental</x:v>
      </x:c>
      <x:c r="C1713" t="n">
        <x:v>24220</x:v>
      </x:c>
      <x:c r="D1713" t="n">
        <x:v>20</x:v>
      </x:c>
      <x:c r="E1713" t="str">
        <x:v>High</x:v>
      </x:c>
      <x:c r="F1713" t="str">
        <x:v>Mixed-use</x:v>
      </x:c>
      <x:c r="G1713" t="str">
        <x:v>Steel</x:v>
      </x:c>
      <x:c r="H1713" t="str">
        <x:v>Piles</x:v>
      </x:c>
      <x:c r="I1713" t="str">
        <x:v>Sand</x:v>
      </x:c>
      <x:c r="J1713" t="str">
        <x:v>Low</x:v>
      </x:c>
      <x:c r="K1713" t="n">
        <x:v>67912880</x:v>
      </x:c>
      <x:c r="L1713" t="n">
        <x:v>1405</x:v>
      </x:c>
      <x:c r="M1713" t="n">
        <x:v>256.4</x:v>
      </x:c>
      <x:c r="N1713" t="n">
        <x:v>13</x:v>
      </x:c>
      <x:c r="O1713" t="n">
        <x:v>73.7</x:v>
      </x:c>
      <x:c r="P1713" t="str">
        <x:v>Stormy</x:v>
      </x:c>
      <x:c r="Q1713" t="n">
        <x:v>111</x:v>
      </x:c>
      <x:c r="R1713" t="n">
        <x:v>84.3</x:v>
      </x:c>
      <x:c r="S1713" t="n">
        <x:v>0.1032</x:v>
      </x:c>
      <x:c r="T1713" t="n">
        <x:v>21.1</x:v>
      </x:c>
      <x:c r="U1713" t="n">
        <x:v>1211</x:v>
      </x:c>
      <x:c r="V1713" t="n">
        <x:v>2804</x:v>
      </x:c>
      <x:c r="W1713" t="n">
        <x:v>58</x:v>
      </x:c>
    </x:row>
    <x:row r="1714">
      <x:c r="A1714" t="str">
        <x:v>PJT_1713</x:v>
      </x:c>
      <x:c r="B1714" t="str">
        <x:v>Marine</x:v>
      </x:c>
      <x:c r="C1714" t="n">
        <x:v>18600</x:v>
      </x:c>
      <x:c r="D1714" t="n">
        <x:v>10</x:v>
      </x:c>
      <x:c r="E1714" t="str">
        <x:v>Medium</x:v>
      </x:c>
      <x:c r="F1714" t="str">
        <x:v>Hospital</x:v>
      </x:c>
      <x:c r="G1714" t="str">
        <x:v>Shear Wall</x:v>
      </x:c>
      <x:c r="H1714" t="str">
        <x:v>Piles</x:v>
      </x:c>
      <x:c r="I1714" t="str">
        <x:v>Soft Clay</x:v>
      </x:c>
      <x:c r="J1714" t="str">
        <x:v>High</x:v>
      </x:c>
      <x:c r="K1714" t="n">
        <x:v>62403000</x:v>
      </x:c>
      <x:c r="L1714" t="n">
        <x:v>919</x:v>
      </x:c>
      <x:c r="M1714" t="n">
        <x:v>221.4</x:v>
      </x:c>
      <x:c r="N1714" t="n">
        <x:v>17.5</x:v>
      </x:c>
      <x:c r="O1714" t="n">
        <x:v>65</x:v>
      </x:c>
      <x:c r="P1714" t="str">
        <x:v>Cloudy</x:v>
      </x:c>
      <x:c r="Q1714" t="n">
        <x:v>69</x:v>
      </x:c>
      <x:c r="R1714" t="n">
        <x:v>86.1</x:v>
      </x:c>
      <x:c r="S1714" t="n">
        <x:v>0.1054</x:v>
      </x:c>
      <x:c r="T1714" t="n">
        <x:v>20.2</x:v>
      </x:c>
      <x:c r="U1714" t="n">
        <x:v>1860</x:v>
      </x:c>
      <x:c r="V1714" t="n">
        <x:v>3355</x:v>
      </x:c>
      <x:c r="W1714" t="n">
        <x:v>49.4</x:v>
      </x:c>
    </x:row>
    <x:row r="1715">
      <x:c r="A1715" t="str">
        <x:v>PJT_1714</x:v>
      </x:c>
      <x:c r="B1715" t="str">
        <x:v>Humid Subtropical</x:v>
      </x:c>
      <x:c r="C1715" t="n">
        <x:v>28050</x:v>
      </x:c>
      <x:c r="D1715" t="n">
        <x:v>19</x:v>
      </x:c>
      <x:c r="E1715" t="str">
        <x:v>High</x:v>
      </x:c>
      <x:c r="F1715" t="str">
        <x:v>Mixed-use</x:v>
      </x:c>
      <x:c r="G1715" t="str">
        <x:v>Steel</x:v>
      </x:c>
      <x:c r="H1715" t="str">
        <x:v>Piles</x:v>
      </x:c>
      <x:c r="I1715" t="str">
        <x:v>Mixed</x:v>
      </x:c>
      <x:c r="J1715" t="str">
        <x:v>High</x:v>
      </x:c>
      <x:c r="K1715" t="n">
        <x:v>85580550</x:v>
      </x:c>
      <x:c r="L1715" t="n">
        <x:v>1529</x:v>
      </x:c>
      <x:c r="M1715" t="n">
        <x:v>403</x:v>
      </x:c>
      <x:c r="N1715" t="n">
        <x:v>29.7</x:v>
      </x:c>
      <x:c r="O1715" t="n">
        <x:v>54.8</x:v>
      </x:c>
      <x:c r="P1715" t="str">
        <x:v>Sunny</x:v>
      </x:c>
      <x:c r="Q1715" t="n">
        <x:v>96</x:v>
      </x:c>
      <x:c r="R1715" t="n">
        <x:v>87.9</x:v>
      </x:c>
      <x:c r="S1715" t="n">
        <x:v>0.1086</x:v>
      </x:c>
      <x:c r="T1715" t="n">
        <x:v>20.4</x:v>
      </x:c>
      <x:c r="U1715" t="n">
        <x:v>1476.3</x:v>
      </x:c>
      <x:c r="V1715" t="n">
        <x:v>3051</x:v>
      </x:c>
      <x:c r="W1715" t="n">
        <x:v>54.5</x:v>
      </x:c>
    </x:row>
    <x:row r="1716">
      <x:c r="A1716" t="str">
        <x:v>PJT_1715</x:v>
      </x:c>
      <x:c r="B1716" t="str">
        <x:v>Continental</x:v>
      </x:c>
      <x:c r="C1716" t="n">
        <x:v>16080</x:v>
      </x:c>
      <x:c r="D1716" t="n">
        <x:v>14</x:v>
      </x:c>
      <x:c r="E1716" t="str">
        <x:v>Medium</x:v>
      </x:c>
      <x:c r="F1716" t="str">
        <x:v>Residential</x:v>
      </x:c>
      <x:c r="G1716" t="str">
        <x:v>Shear Wall</x:v>
      </x:c>
      <x:c r="H1716" t="str">
        <x:v>Piles</x:v>
      </x:c>
      <x:c r="I1716" t="str">
        <x:v>Soft Clay</x:v>
      </x:c>
      <x:c r="J1716" t="str">
        <x:v>Medium</x:v>
      </x:c>
      <x:c r="K1716" t="n">
        <x:v>26901840</x:v>
      </x:c>
      <x:c r="L1716" t="n">
        <x:v>712</x:v>
      </x:c>
      <x:c r="M1716" t="n">
        <x:v>209.3</x:v>
      </x:c>
      <x:c r="N1716" t="n">
        <x:v>6.1</x:v>
      </x:c>
      <x:c r="O1716" t="n">
        <x:v>73.3</x:v>
      </x:c>
      <x:c r="P1716" t="str">
        <x:v>Stormy</x:v>
      </x:c>
      <x:c r="Q1716" t="n">
        <x:v>72</x:v>
      </x:c>
      <x:c r="R1716" t="n">
        <x:v>68</x:v>
      </x:c>
      <x:c r="S1716" t="n">
        <x:v>0.0818</x:v>
      </x:c>
      <x:c r="T1716" t="n">
        <x:v>14.1</x:v>
      </x:c>
      <x:c r="U1716" t="n">
        <x:v>1148.6</x:v>
      </x:c>
      <x:c r="V1716" t="n">
        <x:v>1673</x:v>
      </x:c>
      <x:c r="W1716" t="n">
        <x:v>44.3</x:v>
      </x:c>
    </x:row>
    <x:row r="1717">
      <x:c r="A1717" t="str">
        <x:v>PJT_1716</x:v>
      </x:c>
      <x:c r="B1717" t="str">
        <x:v>Continental</x:v>
      </x:c>
      <x:c r="C1717" t="n">
        <x:v>16240</x:v>
      </x:c>
      <x:c r="D1717" t="n">
        <x:v>10</x:v>
      </x:c>
      <x:c r="E1717" t="str">
        <x:v>Medium</x:v>
      </x:c>
      <x:c r="F1717" t="str">
        <x:v>Hospital</x:v>
      </x:c>
      <x:c r="G1717" t="str">
        <x:v>Steel</x:v>
      </x:c>
      <x:c r="H1717" t="str">
        <x:v>Raft</x:v>
      </x:c>
      <x:c r="I1717" t="str">
        <x:v>Sand</x:v>
      </x:c>
      <x:c r="J1717" t="str">
        <x:v>Low</x:v>
      </x:c>
      <x:c r="K1717" t="n">
        <x:v>50051680</x:v>
      </x:c>
      <x:c r="L1717" t="n">
        <x:v>888</x:v>
      </x:c>
      <x:c r="M1717" t="n">
        <x:v>256.8</x:v>
      </x:c>
      <x:c r="N1717" t="n">
        <x:v>6.5</x:v>
      </x:c>
      <x:c r="O1717" t="n">
        <x:v>71.2</x:v>
      </x:c>
      <x:c r="P1717" t="str">
        <x:v>Stormy</x:v>
      </x:c>
      <x:c r="Q1717" t="n">
        <x:v>80</x:v>
      </x:c>
      <x:c r="R1717" t="n">
        <x:v>78.7</x:v>
      </x:c>
      <x:c r="S1717" t="n">
        <x:v>0.1077</x:v>
      </x:c>
      <x:c r="T1717" t="n">
        <x:v>21.3</x:v>
      </x:c>
      <x:c r="U1717" t="n">
        <x:v>1624</x:v>
      </x:c>
      <x:c r="V1717" t="n">
        <x:v>3082</x:v>
      </x:c>
      <x:c r="W1717" t="n">
        <x:v>54.7</x:v>
      </x:c>
    </x:row>
    <x:row r="1718">
      <x:c r="A1718" t="str">
        <x:v>PJT_1717</x:v>
      </x:c>
      <x:c r="B1718" t="str">
        <x:v>Mediterranean</x:v>
      </x:c>
      <x:c r="C1718" t="n">
        <x:v>12870</x:v>
      </x:c>
      <x:c r="D1718" t="n">
        <x:v>8</x:v>
      </x:c>
      <x:c r="E1718" t="str">
        <x:v>Medium</x:v>
      </x:c>
      <x:c r="F1718" t="str">
        <x:v>Mixed-use</x:v>
      </x:c>
      <x:c r="G1718" t="str">
        <x:v>Steel</x:v>
      </x:c>
      <x:c r="H1718" t="str">
        <x:v>Piles</x:v>
      </x:c>
      <x:c r="I1718" t="str">
        <x:v>Soft Clay</x:v>
      </x:c>
      <x:c r="J1718" t="str">
        <x:v>Medium</x:v>
      </x:c>
      <x:c r="K1718" t="n">
        <x:v>33873840</x:v>
      </x:c>
      <x:c r="L1718" t="n">
        <x:v>647</x:v>
      </x:c>
      <x:c r="M1718" t="n">
        <x:v>231.3</x:v>
      </x:c>
      <x:c r="N1718" t="n">
        <x:v>17</x:v>
      </x:c>
      <x:c r="O1718" t="n">
        <x:v>54.8</x:v>
      </x:c>
      <x:c r="P1718" t="str">
        <x:v>Cloudy</x:v>
      </x:c>
      <x:c r="Q1718" t="n">
        <x:v>69</x:v>
      </x:c>
      <x:c r="R1718" t="n">
        <x:v>80.9</x:v>
      </x:c>
      <x:c r="S1718" t="n">
        <x:v>0.1054</x:v>
      </x:c>
      <x:c r="T1718" t="n">
        <x:v>19.5</x:v>
      </x:c>
      <x:c r="U1718" t="n">
        <x:v>1608.8</x:v>
      </x:c>
      <x:c r="V1718" t="n">
        <x:v>2632</x:v>
      </x:c>
      <x:c r="W1718" t="n">
        <x:v>50.3</x:v>
      </x:c>
    </x:row>
    <x:row r="1719">
      <x:c r="A1719" t="str">
        <x:v>PJT_1718</x:v>
      </x:c>
      <x:c r="B1719" t="str">
        <x:v>Mediterranean</x:v>
      </x:c>
      <x:c r="C1719" t="n">
        <x:v>18950</x:v>
      </x:c>
      <x:c r="D1719" t="n">
        <x:v>22</x:v>
      </x:c>
      <x:c r="E1719" t="str">
        <x:v>Medium</x:v>
      </x:c>
      <x:c r="F1719" t="str">
        <x:v>Commercial</x:v>
      </x:c>
      <x:c r="G1719" t="str">
        <x:v>Steel</x:v>
      </x:c>
      <x:c r="H1719" t="str">
        <x:v>Piles</x:v>
      </x:c>
      <x:c r="I1719" t="str">
        <x:v>Rock</x:v>
      </x:c>
      <x:c r="J1719" t="str">
        <x:v>High</x:v>
      </x:c>
      <x:c r="K1719" t="n">
        <x:v>48872050</x:v>
      </x:c>
      <x:c r="L1719" t="n">
        <x:v>828</x:v>
      </x:c>
      <x:c r="M1719" t="n">
        <x:v>694.4</x:v>
      </x:c>
      <x:c r="N1719" t="n">
        <x:v>21.9</x:v>
      </x:c>
      <x:c r="O1719" t="n">
        <x:v>54.6</x:v>
      </x:c>
      <x:c r="P1719" t="str">
        <x:v>Sunny</x:v>
      </x:c>
      <x:c r="Q1719" t="n">
        <x:v>91</x:v>
      </x:c>
      <x:c r="R1719" t="n">
        <x:v>79.6</x:v>
      </x:c>
      <x:c r="S1719" t="n">
        <x:v>0.0953</x:v>
      </x:c>
      <x:c r="T1719" t="n">
        <x:v>17.5</x:v>
      </x:c>
      <x:c r="U1719" t="n">
        <x:v>861.4</x:v>
      </x:c>
      <x:c r="V1719" t="n">
        <x:v>2579</x:v>
      </x:c>
      <x:c r="W1719" t="n">
        <x:v>43.7</x:v>
      </x:c>
    </x:row>
    <x:row r="1720">
      <x:c r="A1720" t="str">
        <x:v>PJT_1719</x:v>
      </x:c>
      <x:c r="B1720" t="str">
        <x:v>Humid Subtropical</x:v>
      </x:c>
      <x:c r="C1720" t="n">
        <x:v>22640</x:v>
      </x:c>
      <x:c r="D1720" t="n">
        <x:v>15</x:v>
      </x:c>
      <x:c r="E1720" t="str">
        <x:v>Medium</x:v>
      </x:c>
      <x:c r="F1720" t="str">
        <x:v>Commercial</x:v>
      </x:c>
      <x:c r="G1720" t="str">
        <x:v>Steel</x:v>
      </x:c>
      <x:c r="H1720" t="str">
        <x:v>Piles</x:v>
      </x:c>
      <x:c r="I1720" t="str">
        <x:v>Soft Clay</x:v>
      </x:c>
      <x:c r="J1720" t="str">
        <x:v>High</x:v>
      </x:c>
      <x:c r="K1720" t="n">
        <x:v>58003680</x:v>
      </x:c>
      <x:c r="L1720" t="n">
        <x:v>1032</x:v>
      </x:c>
      <x:c r="M1720" t="n">
        <x:v>188.3</x:v>
      </x:c>
      <x:c r="N1720" t="n">
        <x:v>24.7</x:v>
      </x:c>
      <x:c r="O1720" t="n">
        <x:v>73.8</x:v>
      </x:c>
      <x:c r="P1720" t="str">
        <x:v>Cloudy</x:v>
      </x:c>
      <x:c r="Q1720" t="n">
        <x:v>81</x:v>
      </x:c>
      <x:c r="R1720" t="n">
        <x:v>81.1</x:v>
      </x:c>
      <x:c r="S1720" t="n">
        <x:v>0.0993</x:v>
      </x:c>
      <x:c r="T1720" t="n">
        <x:v>16.9</x:v>
      </x:c>
      <x:c r="U1720" t="n">
        <x:v>1509.3</x:v>
      </x:c>
      <x:c r="V1720" t="n">
        <x:v>2562</x:v>
      </x:c>
      <x:c r="W1720" t="n">
        <x:v>45.6</x:v>
      </x:c>
    </x:row>
    <x:row r="1721">
      <x:c r="A1721" t="str">
        <x:v>PJT_1720</x:v>
      </x:c>
      <x:c r="B1721" t="str">
        <x:v>Continental</x:v>
      </x:c>
      <x:c r="C1721" t="n">
        <x:v>11050</x:v>
      </x:c>
      <x:c r="D1721" t="n">
        <x:v>10</x:v>
      </x:c>
      <x:c r="E1721" t="str">
        <x:v>Medium</x:v>
      </x:c>
      <x:c r="F1721" t="str">
        <x:v>Commercial</x:v>
      </x:c>
      <x:c r="G1721" t="str">
        <x:v>Steel</x:v>
      </x:c>
      <x:c r="H1721" t="str">
        <x:v>Raft</x:v>
      </x:c>
      <x:c r="I1721" t="str">
        <x:v>Mixed</x:v>
      </x:c>
      <x:c r="J1721" t="str">
        <x:v>High</x:v>
      </x:c>
      <x:c r="K1721" t="n">
        <x:v>27359800</x:v>
      </x:c>
      <x:c r="L1721" t="n">
        <x:v>506</x:v>
      </x:c>
      <x:c r="M1721" t="n">
        <x:v>269.8</x:v>
      </x:c>
      <x:c r="N1721" t="n">
        <x:v>17.1</x:v>
      </x:c>
      <x:c r="O1721" t="n">
        <x:v>77.4</x:v>
      </x:c>
      <x:c r="P1721" t="str">
        <x:v>Rainy</x:v>
      </x:c>
      <x:c r="Q1721" t="n">
        <x:v>91</x:v>
      </x:c>
      <x:c r="R1721" t="n">
        <x:v>74.8</x:v>
      </x:c>
      <x:c r="S1721" t="n">
        <x:v>0.0952</x:v>
      </x:c>
      <x:c r="T1721" t="n">
        <x:v>16.9</x:v>
      </x:c>
      <x:c r="U1721" t="n">
        <x:v>1105</x:v>
      </x:c>
      <x:c r="V1721" t="n">
        <x:v>2476</x:v>
      </x:c>
      <x:c r="W1721" t="n">
        <x:v>45.8</x:v>
      </x:c>
    </x:row>
    <x:row r="1722">
      <x:c r="A1722" t="str">
        <x:v>PJT_1721</x:v>
      </x:c>
      <x:c r="B1722" t="str">
        <x:v>Continental</x:v>
      </x:c>
      <x:c r="C1722" t="n">
        <x:v>19160</x:v>
      </x:c>
      <x:c r="D1722" t="n">
        <x:v>14</x:v>
      </x:c>
      <x:c r="E1722" t="str">
        <x:v>Medium</x:v>
      </x:c>
      <x:c r="F1722" t="str">
        <x:v>Commercial</x:v>
      </x:c>
      <x:c r="G1722" t="str">
        <x:v>Steel</x:v>
      </x:c>
      <x:c r="H1722" t="str">
        <x:v>Piles</x:v>
      </x:c>
      <x:c r="I1722" t="str">
        <x:v>Soft Clay</x:v>
      </x:c>
      <x:c r="J1722" t="str">
        <x:v>Low</x:v>
      </x:c>
      <x:c r="K1722" t="n">
        <x:v>43186640</x:v>
      </x:c>
      <x:c r="L1722" t="n">
        <x:v>918</x:v>
      </x:c>
      <x:c r="M1722" t="n">
        <x:v>188.9</x:v>
      </x:c>
      <x:c r="N1722" t="n">
        <x:v>21</x:v>
      </x:c>
      <x:c r="O1722" t="n">
        <x:v>49.8</x:v>
      </x:c>
      <x:c r="P1722" t="str">
        <x:v>Cloudy</x:v>
      </x:c>
      <x:c r="Q1722" t="n">
        <x:v>95</x:v>
      </x:c>
      <x:c r="R1722" t="n">
        <x:v>77</x:v>
      </x:c>
      <x:c r="S1722" t="n">
        <x:v>0.0976</x:v>
      </x:c>
      <x:c r="T1722" t="n">
        <x:v>18</x:v>
      </x:c>
      <x:c r="U1722" t="n">
        <x:v>1368.6</x:v>
      </x:c>
      <x:c r="V1722" t="n">
        <x:v>2254</x:v>
      </x:c>
      <x:c r="W1722" t="n">
        <x:v>47.9</x:v>
      </x:c>
    </x:row>
    <x:row r="1723">
      <x:c r="A1723" t="str">
        <x:v>PJT_1722</x:v>
      </x:c>
      <x:c r="B1723" t="str">
        <x:v>Marine</x:v>
      </x:c>
      <x:c r="C1723" t="n">
        <x:v>9580</x:v>
      </x:c>
      <x:c r="D1723" t="n">
        <x:v>3</x:v>
      </x:c>
      <x:c r="E1723" t="str">
        <x:v>Low</x:v>
      </x:c>
      <x:c r="F1723" t="str">
        <x:v>School</x:v>
      </x:c>
      <x:c r="G1723" t="str">
        <x:v>Steel</x:v>
      </x:c>
      <x:c r="H1723" t="str">
        <x:v>Raft</x:v>
      </x:c>
      <x:c r="I1723" t="str">
        <x:v>Rock</x:v>
      </x:c>
      <x:c r="J1723" t="str">
        <x:v>High</x:v>
      </x:c>
      <x:c r="K1723" t="n">
        <x:v>18288220</x:v>
      </x:c>
      <x:c r="L1723" t="n">
        <x:v>284</x:v>
      </x:c>
      <x:c r="M1723" t="n">
        <x:v>602.6</x:v>
      </x:c>
      <x:c r="N1723" t="n">
        <x:v>11</x:v>
      </x:c>
      <x:c r="O1723" t="n">
        <x:v>68.3</x:v>
      </x:c>
      <x:c r="P1723" t="str">
        <x:v>Sunny</x:v>
      </x:c>
      <x:c r="Q1723" t="n">
        <x:v>53</x:v>
      </x:c>
      <x:c r="R1723" t="n">
        <x:v>63.9</x:v>
      </x:c>
      <x:c r="S1723" t="n">
        <x:v>0.0819</x:v>
      </x:c>
      <x:c r="T1723" t="n">
        <x:v>15.1</x:v>
      </x:c>
      <x:c r="U1723" t="n">
        <x:v>3193.3</x:v>
      </x:c>
      <x:c r="V1723" t="n">
        <x:v>1909</x:v>
      </x:c>
      <x:c r="W1723" t="n">
        <x:v>29.6</x:v>
      </x:c>
    </x:row>
    <x:row r="1724">
      <x:c r="A1724" t="str">
        <x:v>PJT_1723</x:v>
      </x:c>
      <x:c r="B1724" t="str">
        <x:v>Continental</x:v>
      </x:c>
      <x:c r="C1724" t="n">
        <x:v>19480</x:v>
      </x:c>
      <x:c r="D1724" t="n">
        <x:v>23</x:v>
      </x:c>
      <x:c r="E1724" t="str">
        <x:v>Medium</x:v>
      </x:c>
      <x:c r="F1724" t="str">
        <x:v>Residential</x:v>
      </x:c>
      <x:c r="G1724" t="str">
        <x:v>Shear Wall</x:v>
      </x:c>
      <x:c r="H1724" t="str">
        <x:v>Piles</x:v>
      </x:c>
      <x:c r="I1724" t="str">
        <x:v>Sand</x:v>
      </x:c>
      <x:c r="J1724" t="str">
        <x:v>Medium</x:v>
      </x:c>
      <x:c r="K1724" t="n">
        <x:v>32044600</x:v>
      </x:c>
      <x:c r="L1724" t="n">
        <x:v>766</x:v>
      </x:c>
      <x:c r="M1724" t="n">
        <x:v>307.9</x:v>
      </x:c>
      <x:c r="N1724" t="n">
        <x:v>8.3</x:v>
      </x:c>
      <x:c r="O1724" t="n">
        <x:v>47.6</x:v>
      </x:c>
      <x:c r="P1724" t="str">
        <x:v>Sunny</x:v>
      </x:c>
      <x:c r="Q1724" t="n">
        <x:v>80</x:v>
      </x:c>
      <x:c r="R1724" t="n">
        <x:v>75.2</x:v>
      </x:c>
      <x:c r="S1724" t="n">
        <x:v>0.0795</x:v>
      </x:c>
      <x:c r="T1724" t="n">
        <x:v>13</x:v>
      </x:c>
      <x:c r="U1724" t="n">
        <x:v>847</x:v>
      </x:c>
      <x:c r="V1724" t="n">
        <x:v>1645</x:v>
      </x:c>
      <x:c r="W1724" t="n">
        <x:v>39.3</x:v>
      </x:c>
    </x:row>
    <x:row r="1725">
      <x:c r="A1725" t="str">
        <x:v>PJT_1724</x:v>
      </x:c>
      <x:c r="B1725" t="str">
        <x:v>Marine</x:v>
      </x:c>
      <x:c r="C1725" t="n">
        <x:v>11360</x:v>
      </x:c>
      <x:c r="D1725" t="n">
        <x:v>8</x:v>
      </x:c>
      <x:c r="E1725" t="str">
        <x:v>Medium</x:v>
      </x:c>
      <x:c r="F1725" t="str">
        <x:v>Commercial</x:v>
      </x:c>
      <x:c r="G1725" t="str">
        <x:v>Steel</x:v>
      </x:c>
      <x:c r="H1725" t="str">
        <x:v>Piles</x:v>
      </x:c>
      <x:c r="I1725" t="str">
        <x:v>Soft Clay</x:v>
      </x:c>
      <x:c r="J1725" t="str">
        <x:v>Medium</x:v>
      </x:c>
      <x:c r="K1725" t="n">
        <x:v>27707040</x:v>
      </x:c>
      <x:c r="L1725" t="n">
        <x:v>517</x:v>
      </x:c>
      <x:c r="M1725" t="n">
        <x:v>213.7</x:v>
      </x:c>
      <x:c r="N1725" t="n">
        <x:v>9.1</x:v>
      </x:c>
      <x:c r="O1725" t="n">
        <x:v>83.6</x:v>
      </x:c>
      <x:c r="P1725" t="str">
        <x:v>Rainy</x:v>
      </x:c>
      <x:c r="Q1725" t="n">
        <x:v>80</x:v>
      </x:c>
      <x:c r="R1725" t="n">
        <x:v>79.2</x:v>
      </x:c>
      <x:c r="S1725" t="n">
        <x:v>0.0941</x:v>
      </x:c>
      <x:c r="T1725" t="n">
        <x:v>16.8</x:v>
      </x:c>
      <x:c r="U1725" t="n">
        <x:v>1420</x:v>
      </x:c>
      <x:c r="V1725" t="n">
        <x:v>2439</x:v>
      </x:c>
      <x:c r="W1725" t="n">
        <x:v>45.5</x:v>
      </x:c>
    </x:row>
    <x:row r="1726">
      <x:c r="A1726" t="str">
        <x:v>PJT_1725</x:v>
      </x:c>
      <x:c r="B1726" t="str">
        <x:v>Mediterranean</x:v>
      </x:c>
      <x:c r="C1726" t="n">
        <x:v>15180</x:v>
      </x:c>
      <x:c r="D1726" t="n">
        <x:v>9</x:v>
      </x:c>
      <x:c r="E1726" t="str">
        <x:v>Medium</x:v>
      </x:c>
      <x:c r="F1726" t="str">
        <x:v>Hospital</x:v>
      </x:c>
      <x:c r="G1726" t="str">
        <x:v>Shear Wall</x:v>
      </x:c>
      <x:c r="H1726" t="str">
        <x:v>Raft</x:v>
      </x:c>
      <x:c r="I1726" t="str">
        <x:v>Sand</x:v>
      </x:c>
      <x:c r="J1726" t="str">
        <x:v>High</x:v>
      </x:c>
      <x:c r="K1726" t="n">
        <x:v>47847360</x:v>
      </x:c>
      <x:c r="L1726" t="n">
        <x:v>720</x:v>
      </x:c>
      <x:c r="M1726" t="n">
        <x:v>248.3</x:v>
      </x:c>
      <x:c r="N1726" t="n">
        <x:v>22.3</x:v>
      </x:c>
      <x:c r="O1726" t="n">
        <x:v>41.9</x:v>
      </x:c>
      <x:c r="P1726" t="str">
        <x:v>Sunny</x:v>
      </x:c>
      <x:c r="Q1726" t="n">
        <x:v>87</x:v>
      </x:c>
      <x:c r="R1726" t="n">
        <x:v>76.3</x:v>
      </x:c>
      <x:c r="S1726" t="n">
        <x:v>0.1068</x:v>
      </x:c>
      <x:c r="T1726" t="n">
        <x:v>22</x:v>
      </x:c>
      <x:c r="U1726" t="n">
        <x:v>1686.7</x:v>
      </x:c>
      <x:c r="V1726" t="n">
        <x:v>3152</x:v>
      </x:c>
      <x:c r="W1726" t="n">
        <x:v>47.4</x:v>
      </x:c>
    </x:row>
    <x:row r="1727">
      <x:c r="A1727" t="str">
        <x:v>PJT_1726</x:v>
      </x:c>
      <x:c r="B1727" t="str">
        <x:v>Marine</x:v>
      </x:c>
      <x:c r="C1727" t="n">
        <x:v>31090</x:v>
      </x:c>
      <x:c r="D1727" t="n">
        <x:v>23</x:v>
      </x:c>
      <x:c r="E1727" t="str">
        <x:v>Medium</x:v>
      </x:c>
      <x:c r="F1727" t="str">
        <x:v>Mixed-use</x:v>
      </x:c>
      <x:c r="G1727" t="str">
        <x:v>Steel</x:v>
      </x:c>
      <x:c r="H1727" t="str">
        <x:v>Piles</x:v>
      </x:c>
      <x:c r="I1727" t="str">
        <x:v>Mixed</x:v>
      </x:c>
      <x:c r="J1727" t="str">
        <x:v>Low</x:v>
      </x:c>
      <x:c r="K1727" t="n">
        <x:v>81424710</x:v>
      </x:c>
      <x:c r="L1727" t="n">
        <x:v>1670</x:v>
      </x:c>
      <x:c r="M1727" t="n">
        <x:v>346</x:v>
      </x:c>
      <x:c r="N1727" t="n">
        <x:v>6.9</x:v>
      </x:c>
      <x:c r="O1727" t="n">
        <x:v>82.1</x:v>
      </x:c>
      <x:c r="P1727" t="str">
        <x:v>Rainy</x:v>
      </x:c>
      <x:c r="Q1727" t="n">
        <x:v>77</x:v>
      </x:c>
      <x:c r="R1727" t="n">
        <x:v>90.1</x:v>
      </x:c>
      <x:c r="S1727" t="n">
        <x:v>0.1012</x:v>
      </x:c>
      <x:c r="T1727" t="n">
        <x:v>19.1</x:v>
      </x:c>
      <x:c r="U1727" t="n">
        <x:v>1351.7</x:v>
      </x:c>
      <x:c r="V1727" t="n">
        <x:v>2619</x:v>
      </x:c>
      <x:c r="W1727" t="n">
        <x:v>53.7</x:v>
      </x:c>
    </x:row>
    <x:row r="1728">
      <x:c r="A1728" t="str">
        <x:v>PJT_1727</x:v>
      </x:c>
      <x:c r="B1728" t="str">
        <x:v>Marine</x:v>
      </x:c>
      <x:c r="C1728" t="n">
        <x:v>19660</x:v>
      </x:c>
      <x:c r="D1728" t="n">
        <x:v>20</x:v>
      </x:c>
      <x:c r="E1728" t="str">
        <x:v>Medium</x:v>
      </x:c>
      <x:c r="F1728" t="str">
        <x:v>Residential</x:v>
      </x:c>
      <x:c r="G1728" t="str">
        <x:v>Shear Wall</x:v>
      </x:c>
      <x:c r="H1728" t="str">
        <x:v>Piles</x:v>
      </x:c>
      <x:c r="I1728" t="str">
        <x:v>Soft Clay</x:v>
      </x:c>
      <x:c r="J1728" t="str">
        <x:v>Medium</x:v>
      </x:c>
      <x:c r="K1728" t="n">
        <x:v>33579280</x:v>
      </x:c>
      <x:c r="L1728" t="n">
        <x:v>725</x:v>
      </x:c>
      <x:c r="M1728" t="n">
        <x:v>164.7</x:v>
      </x:c>
      <x:c r="N1728" t="n">
        <x:v>19.4</x:v>
      </x:c>
      <x:c r="O1728" t="n">
        <x:v>66.3</x:v>
      </x:c>
      <x:c r="P1728" t="str">
        <x:v>Sunny</x:v>
      </x:c>
      <x:c r="Q1728" t="n">
        <x:v>74</x:v>
      </x:c>
      <x:c r="R1728" t="n">
        <x:v>77.3</x:v>
      </x:c>
      <x:c r="S1728" t="n">
        <x:v>0.0795</x:v>
      </x:c>
      <x:c r="T1728" t="n">
        <x:v>14</x:v>
      </x:c>
      <x:c r="U1728" t="n">
        <x:v>983</x:v>
      </x:c>
      <x:c r="V1728" t="n">
        <x:v>1708</x:v>
      </x:c>
      <x:c r="W1728" t="n">
        <x:v>36.9</x:v>
      </x:c>
    </x:row>
    <x:row r="1729">
      <x:c r="A1729" t="str">
        <x:v>PJT_1728</x:v>
      </x:c>
      <x:c r="B1729" t="str">
        <x:v>Continental</x:v>
      </x:c>
      <x:c r="C1729" t="n">
        <x:v>9770</x:v>
      </x:c>
      <x:c r="D1729" t="n">
        <x:v>12</x:v>
      </x:c>
      <x:c r="E1729" t="str">
        <x:v>Low</x:v>
      </x:c>
      <x:c r="F1729" t="str">
        <x:v>Residential</x:v>
      </x:c>
      <x:c r="G1729" t="str">
        <x:v>RC Frame</x:v>
      </x:c>
      <x:c r="H1729" t="str">
        <x:v>Raft</x:v>
      </x:c>
      <x:c r="I1729" t="str">
        <x:v>Mixed</x:v>
      </x:c>
      <x:c r="J1729" t="str">
        <x:v>Medium</x:v>
      </x:c>
      <x:c r="K1729" t="n">
        <x:v>13218810</x:v>
      </x:c>
      <x:c r="L1729" t="n">
        <x:v>335</x:v>
      </x:c>
      <x:c r="M1729" t="n">
        <x:v>356.4</x:v>
      </x:c>
      <x:c r="N1729" t="n">
        <x:v>8.4</x:v>
      </x:c>
      <x:c r="O1729" t="n">
        <x:v>69.9</x:v>
      </x:c>
      <x:c r="P1729" t="str">
        <x:v>Stormy</x:v>
      </x:c>
      <x:c r="Q1729" t="n">
        <x:v>72</x:v>
      </x:c>
      <x:c r="R1729" t="n">
        <x:v>63</x:v>
      </x:c>
      <x:c r="S1729" t="n">
        <x:v>0.0715</x:v>
      </x:c>
      <x:c r="T1729" t="n">
        <x:v>12.3</x:v>
      </x:c>
      <x:c r="U1729" t="n">
        <x:v>814.2</x:v>
      </x:c>
      <x:c r="V1729" t="n">
        <x:v>1353</x:v>
      </x:c>
      <x:c r="W1729" t="n">
        <x:v>34.3</x:v>
      </x:c>
    </x:row>
    <x:row r="1730">
      <x:c r="A1730" t="str">
        <x:v>PJT_1729</x:v>
      </x:c>
      <x:c r="B1730" t="str">
        <x:v>Continental</x:v>
      </x:c>
      <x:c r="C1730" t="n">
        <x:v>29580</x:v>
      </x:c>
      <x:c r="D1730" t="n">
        <x:v>18</x:v>
      </x:c>
      <x:c r="E1730" t="str">
        <x:v>Medium</x:v>
      </x:c>
      <x:c r="F1730" t="str">
        <x:v>Commercial</x:v>
      </x:c>
      <x:c r="G1730" t="str">
        <x:v>Steel</x:v>
      </x:c>
      <x:c r="H1730" t="str">
        <x:v>Piles</x:v>
      </x:c>
      <x:c r="I1730" t="str">
        <x:v>Rock</x:v>
      </x:c>
      <x:c r="J1730" t="str">
        <x:v>Low</x:v>
      </x:c>
      <x:c r="K1730" t="n">
        <x:v>73003440</x:v>
      </x:c>
      <x:c r="L1730" t="n">
        <x:v>1532</x:v>
      </x:c>
      <x:c r="M1730" t="n">
        <x:v>829.8</x:v>
      </x:c>
      <x:c r="N1730" t="n">
        <x:v>16.7</x:v>
      </x:c>
      <x:c r="O1730" t="n">
        <x:v>68.6</x:v>
      </x:c>
      <x:c r="P1730" t="str">
        <x:v>Stormy</x:v>
      </x:c>
      <x:c r="Q1730" t="n">
        <x:v>101</x:v>
      </x:c>
      <x:c r="R1730" t="n">
        <x:v>78.8</x:v>
      </x:c>
      <x:c r="S1730" t="n">
        <x:v>0.0991</x:v>
      </x:c>
      <x:c r="T1730" t="n">
        <x:v>16.7</x:v>
      </x:c>
      <x:c r="U1730" t="n">
        <x:v>1643.3</x:v>
      </x:c>
      <x:c r="V1730" t="n">
        <x:v>2468</x:v>
      </x:c>
      <x:c r="W1730" t="n">
        <x:v>51.8</x:v>
      </x:c>
    </x:row>
    <x:row r="1731">
      <x:c r="A1731" t="str">
        <x:v>PJT_1730</x:v>
      </x:c>
      <x:c r="B1731" t="str">
        <x:v>Continental</x:v>
      </x:c>
      <x:c r="C1731" t="n">
        <x:v>10680</x:v>
      </x:c>
      <x:c r="D1731" t="n">
        <x:v>10</x:v>
      </x:c>
      <x:c r="E1731" t="str">
        <x:v>Low</x:v>
      </x:c>
      <x:c r="F1731" t="str">
        <x:v>Residential</x:v>
      </x:c>
      <x:c r="G1731" t="str">
        <x:v>RC Frame</x:v>
      </x:c>
      <x:c r="H1731" t="str">
        <x:v>Raft</x:v>
      </x:c>
      <x:c r="I1731" t="str">
        <x:v>Mixed</x:v>
      </x:c>
      <x:c r="J1731" t="str">
        <x:v>Low</x:v>
      </x:c>
      <x:c r="K1731" t="n">
        <x:v>13873320</x:v>
      </x:c>
      <x:c r="L1731" t="n">
        <x:v>348</x:v>
      </x:c>
      <x:c r="M1731" t="n">
        <x:v>310.1</x:v>
      </x:c>
      <x:c r="N1731" t="n">
        <x:v>2.4</x:v>
      </x:c>
      <x:c r="O1731" t="n">
        <x:v>78.6</x:v>
      </x:c>
      <x:c r="P1731" t="str">
        <x:v>Rainy</x:v>
      </x:c>
      <x:c r="Q1731" t="n">
        <x:v>96</x:v>
      </x:c>
      <x:c r="R1731" t="n">
        <x:v>61.5</x:v>
      </x:c>
      <x:c r="S1731" t="n">
        <x:v>0.0752</x:v>
      </x:c>
      <x:c r="T1731" t="n">
        <x:v>11.3</x:v>
      </x:c>
      <x:c r="U1731" t="n">
        <x:v>1068</x:v>
      </x:c>
      <x:c r="V1731" t="n">
        <x:v>1299</x:v>
      </x:c>
      <x:c r="W1731" t="n">
        <x:v>32.6</x:v>
      </x:c>
    </x:row>
    <x:row r="1732">
      <x:c r="A1732" t="str">
        <x:v>PJT_1731</x:v>
      </x:c>
      <x:c r="B1732" t="str">
        <x:v>Continental</x:v>
      </x:c>
      <x:c r="C1732" t="n">
        <x:v>14790</x:v>
      </x:c>
      <x:c r="D1732" t="n">
        <x:v>8</x:v>
      </x:c>
      <x:c r="E1732" t="str">
        <x:v>Medium</x:v>
      </x:c>
      <x:c r="F1732" t="str">
        <x:v>Hospital</x:v>
      </x:c>
      <x:c r="G1732" t="str">
        <x:v>Steel</x:v>
      </x:c>
      <x:c r="H1732" t="str">
        <x:v>Piles</x:v>
      </x:c>
      <x:c r="I1732" t="str">
        <x:v>Soft Clay</x:v>
      </x:c>
      <x:c r="J1732" t="str">
        <x:v>Medium</x:v>
      </x:c>
      <x:c r="K1732" t="n">
        <x:v>48629520</x:v>
      </x:c>
      <x:c r="L1732" t="n">
        <x:v>819</x:v>
      </x:c>
      <x:c r="M1732" t="n">
        <x:v>218.8</x:v>
      </x:c>
      <x:c r="N1732" t="n">
        <x:v>-5.5</x:v>
      </x:c>
      <x:c r="O1732" t="n">
        <x:v>64.9</x:v>
      </x:c>
      <x:c r="P1732" t="str">
        <x:v>Snowy</x:v>
      </x:c>
      <x:c r="Q1732" t="n">
        <x:v>74</x:v>
      </x:c>
      <x:c r="R1732" t="n">
        <x:v>81.1</x:v>
      </x:c>
      <x:c r="S1732" t="n">
        <x:v>0.1137</x:v>
      </x:c>
      <x:c r="T1732" t="n">
        <x:v>21.5</x:v>
      </x:c>
      <x:c r="U1732" t="n">
        <x:v>1848.8</x:v>
      </x:c>
      <x:c r="V1732" t="n">
        <x:v>3288</x:v>
      </x:c>
      <x:c r="W1732" t="n">
        <x:v>55.4</x:v>
      </x:c>
    </x:row>
    <x:row r="1733">
      <x:c r="A1733" t="str">
        <x:v>PJT_1732</x:v>
      </x:c>
      <x:c r="B1733" t="str">
        <x:v>Continental</x:v>
      </x:c>
      <x:c r="C1733" t="n">
        <x:v>12590</x:v>
      </x:c>
      <x:c r="D1733" t="n">
        <x:v>12</x:v>
      </x:c>
      <x:c r="E1733" t="str">
        <x:v>Medium</x:v>
      </x:c>
      <x:c r="F1733" t="str">
        <x:v>Commercial</x:v>
      </x:c>
      <x:c r="G1733" t="str">
        <x:v>RC Frame</x:v>
      </x:c>
      <x:c r="H1733" t="str">
        <x:v>Raft</x:v>
      </x:c>
      <x:c r="I1733" t="str">
        <x:v>Rock</x:v>
      </x:c>
      <x:c r="J1733" t="str">
        <x:v>High</x:v>
      </x:c>
      <x:c r="K1733" t="n">
        <x:v>29271750</x:v>
      </x:c>
      <x:c r="L1733" t="n">
        <x:v>543</x:v>
      </x:c>
      <x:c r="M1733" t="n">
        <x:v>676.2</x:v>
      </x:c>
      <x:c r="N1733" t="n">
        <x:v>5.3</x:v>
      </x:c>
      <x:c r="O1733" t="n">
        <x:v>81.7</x:v>
      </x:c>
      <x:c r="P1733" t="str">
        <x:v>Stormy</x:v>
      </x:c>
      <x:c r="Q1733" t="n">
        <x:v>99</x:v>
      </x:c>
      <x:c r="R1733" t="n">
        <x:v>74</x:v>
      </x:c>
      <x:c r="S1733" t="n">
        <x:v>0.0908</x:v>
      </x:c>
      <x:c r="T1733" t="n">
        <x:v>16.6</x:v>
      </x:c>
      <x:c r="U1733" t="n">
        <x:v>1049.2</x:v>
      </x:c>
      <x:c r="V1733" t="n">
        <x:v>2325</x:v>
      </x:c>
      <x:c r="W1733" t="n">
        <x:v>43.1</x:v>
      </x:c>
    </x:row>
    <x:row r="1734">
      <x:c r="A1734" t="str">
        <x:v>PJT_1733</x:v>
      </x:c>
      <x:c r="B1734" t="str">
        <x:v>Humid Subtropical</x:v>
      </x:c>
      <x:c r="C1734" t="n">
        <x:v>13200</x:v>
      </x:c>
      <x:c r="D1734" t="n">
        <x:v>8</x:v>
      </x:c>
      <x:c r="E1734" t="str">
        <x:v>Low</x:v>
      </x:c>
      <x:c r="F1734" t="str">
        <x:v>Commercial</x:v>
      </x:c>
      <x:c r="G1734" t="str">
        <x:v>RC Frame</x:v>
      </x:c>
      <x:c r="H1734" t="str">
        <x:v>Raft</x:v>
      </x:c>
      <x:c r="I1734" t="str">
        <x:v>Sand</x:v>
      </x:c>
      <x:c r="J1734" t="str">
        <x:v>Medium</x:v>
      </x:c>
      <x:c r="K1734" t="n">
        <x:v>27482400</x:v>
      </x:c>
      <x:c r="L1734" t="n">
        <x:v>484</x:v>
      </x:c>
      <x:c r="M1734" t="n">
        <x:v>236.7</x:v>
      </x:c>
      <x:c r="N1734" t="n">
        <x:v>28.9</x:v>
      </x:c>
      <x:c r="O1734" t="n">
        <x:v>68.1</x:v>
      </x:c>
      <x:c r="P1734" t="str">
        <x:v>Cloudy</x:v>
      </x:c>
      <x:c r="Q1734" t="n">
        <x:v>99</x:v>
      </x:c>
      <x:c r="R1734" t="n">
        <x:v>69.9</x:v>
      </x:c>
      <x:c r="S1734" t="n">
        <x:v>0.0905</x:v>
      </x:c>
      <x:c r="T1734" t="n">
        <x:v>15.3</x:v>
      </x:c>
      <x:c r="U1734" t="n">
        <x:v>1650</x:v>
      </x:c>
      <x:c r="V1734" t="n">
        <x:v>2082</x:v>
      </x:c>
      <x:c r="W1734" t="n">
        <x:v>36.7</x:v>
      </x:c>
    </x:row>
    <x:row r="1735">
      <x:c r="A1735" t="str">
        <x:v>PJT_1734</x:v>
      </x:c>
      <x:c r="B1735" t="str">
        <x:v>Mediterranean</x:v>
      </x:c>
      <x:c r="C1735" t="n">
        <x:v>13650</x:v>
      </x:c>
      <x:c r="D1735" t="n">
        <x:v>13</x:v>
      </x:c>
      <x:c r="E1735" t="str">
        <x:v>Medium</x:v>
      </x:c>
      <x:c r="F1735" t="str">
        <x:v>Commercial</x:v>
      </x:c>
      <x:c r="G1735" t="str">
        <x:v>Steel</x:v>
      </x:c>
      <x:c r="H1735" t="str">
        <x:v>Piles</x:v>
      </x:c>
      <x:c r="I1735" t="str">
        <x:v>Soft Clay</x:v>
      </x:c>
      <x:c r="J1735" t="str">
        <x:v>Medium</x:v>
      </x:c>
      <x:c r="K1735" t="n">
        <x:v>32555250</x:v>
      </x:c>
      <x:c r="L1735" t="n">
        <x:v>581</x:v>
      </x:c>
      <x:c r="M1735" t="n">
        <x:v>218</x:v>
      </x:c>
      <x:c r="N1735" t="n">
        <x:v>29.2</x:v>
      </x:c>
      <x:c r="O1735" t="n">
        <x:v>45.2</x:v>
      </x:c>
      <x:c r="P1735" t="str">
        <x:v>Sunny</x:v>
      </x:c>
      <x:c r="Q1735" t="n">
        <x:v>80</x:v>
      </x:c>
      <x:c r="R1735" t="n">
        <x:v>76.9</x:v>
      </x:c>
      <x:c r="S1735" t="n">
        <x:v>0.1004</x:v>
      </x:c>
      <x:c r="T1735" t="n">
        <x:v>18.1</x:v>
      </x:c>
      <x:c r="U1735" t="n">
        <x:v>1050</x:v>
      </x:c>
      <x:c r="V1735" t="n">
        <x:v>2385</x:v>
      </x:c>
      <x:c r="W1735" t="n">
        <x:v>42.6</x:v>
      </x:c>
    </x:row>
    <x:row r="1736">
      <x:c r="A1736" t="str">
        <x:v>PJT_1735</x:v>
      </x:c>
      <x:c r="B1736" t="str">
        <x:v>Humid Subtropical</x:v>
      </x:c>
      <x:c r="C1736" t="n">
        <x:v>3350</x:v>
      </x:c>
      <x:c r="D1736" t="n">
        <x:v>1</x:v>
      </x:c>
      <x:c r="E1736" t="str">
        <x:v>Low</x:v>
      </x:c>
      <x:c r="F1736" t="str">
        <x:v>School</x:v>
      </x:c>
      <x:c r="G1736" t="str">
        <x:v>RC Frame</x:v>
      </x:c>
      <x:c r="H1736" t="str">
        <x:v>Strip</x:v>
      </x:c>
      <x:c r="I1736" t="str">
        <x:v>Sand</x:v>
      </x:c>
      <x:c r="J1736" t="str">
        <x:v>Low</x:v>
      </x:c>
      <x:c r="K1736" t="n">
        <x:v>5212600</x:v>
      </x:c>
      <x:c r="L1736" t="n">
        <x:v>180</x:v>
      </x:c>
      <x:c r="M1736" t="n">
        <x:v>197.8</x:v>
      </x:c>
      <x:c r="N1736" t="n">
        <x:v>30.3</x:v>
      </x:c>
      <x:c r="O1736" t="n">
        <x:v>62.8</x:v>
      </x:c>
      <x:c r="P1736" t="str">
        <x:v>Sunny</x:v>
      </x:c>
      <x:c r="Q1736" t="n">
        <x:v>86</x:v>
      </x:c>
      <x:c r="R1736" t="n">
        <x:v>65.3</x:v>
      </x:c>
      <x:c r="S1736" t="n">
        <x:v>0.0762</x:v>
      </x:c>
      <x:c r="T1736" t="n">
        <x:v>14</x:v>
      </x:c>
      <x:c r="U1736" t="n">
        <x:v>3350</x:v>
      </x:c>
      <x:c r="V1736" t="n">
        <x:v>1556</x:v>
      </x:c>
      <x:c r="W1736" t="n">
        <x:v>24</x:v>
      </x:c>
    </x:row>
    <x:row r="1737">
      <x:c r="A1737" t="str">
        <x:v>PJT_1736</x:v>
      </x:c>
      <x:c r="B1737" t="str">
        <x:v>Continental</x:v>
      </x:c>
      <x:c r="C1737" t="n">
        <x:v>21820</x:v>
      </x:c>
      <x:c r="D1737" t="n">
        <x:v>16</x:v>
      </x:c>
      <x:c r="E1737" t="str">
        <x:v>Medium</x:v>
      </x:c>
      <x:c r="F1737" t="str">
        <x:v>Mixed-use</x:v>
      </x:c>
      <x:c r="G1737" t="str">
        <x:v>Steel</x:v>
      </x:c>
      <x:c r="H1737" t="str">
        <x:v>Piles</x:v>
      </x:c>
      <x:c r="I1737" t="str">
        <x:v>Soft Clay</x:v>
      </x:c>
      <x:c r="J1737" t="str">
        <x:v>Medium</x:v>
      </x:c>
      <x:c r="K1737" t="n">
        <x:v>59175840</x:v>
      </x:c>
      <x:c r="L1737" t="n">
        <x:v>1165</x:v>
      </x:c>
      <x:c r="M1737" t="n">
        <x:v>163.1</x:v>
      </x:c>
      <x:c r="N1737" t="n">
        <x:v>-0.8</x:v>
      </x:c>
      <x:c r="O1737" t="n">
        <x:v>65.6</x:v>
      </x:c>
      <x:c r="P1737" t="str">
        <x:v>Snowy</x:v>
      </x:c>
      <x:c r="Q1737" t="n">
        <x:v>92</x:v>
      </x:c>
      <x:c r="R1737" t="n">
        <x:v>81.6</x:v>
      </x:c>
      <x:c r="S1737" t="n">
        <x:v>0.1042</x:v>
      </x:c>
      <x:c r="T1737" t="n">
        <x:v>18.1</x:v>
      </x:c>
      <x:c r="U1737" t="n">
        <x:v>1363.8</x:v>
      </x:c>
      <x:c r="V1737" t="n">
        <x:v>2712</x:v>
      </x:c>
      <x:c r="W1737" t="n">
        <x:v>53.4</x:v>
      </x:c>
    </x:row>
    <x:row r="1738">
      <x:c r="A1738" t="str">
        <x:v>PJT_1737</x:v>
      </x:c>
      <x:c r="B1738" t="str">
        <x:v>Marine</x:v>
      </x:c>
      <x:c r="C1738" t="n">
        <x:v>11570</x:v>
      </x:c>
      <x:c r="D1738" t="n">
        <x:v>4</x:v>
      </x:c>
      <x:c r="E1738" t="str">
        <x:v>Low</x:v>
      </x:c>
      <x:c r="F1738" t="str">
        <x:v>School</x:v>
      </x:c>
      <x:c r="G1738" t="str">
        <x:v>RC Frame</x:v>
      </x:c>
      <x:c r="H1738" t="str">
        <x:v>Raft</x:v>
      </x:c>
      <x:c r="I1738" t="str">
        <x:v>Soft Clay</x:v>
      </x:c>
      <x:c r="J1738" t="str">
        <x:v>Medium</x:v>
      </x:c>
      <x:c r="K1738" t="n">
        <x:v>19796270</x:v>
      </x:c>
      <x:c r="L1738" t="n">
        <x:v>297</x:v>
      </x:c>
      <x:c r="M1738" t="n">
        <x:v>186.8</x:v>
      </x:c>
      <x:c r="N1738" t="n">
        <x:v>17.8</x:v>
      </x:c>
      <x:c r="O1738" t="n">
        <x:v>55.4</x:v>
      </x:c>
      <x:c r="P1738" t="str">
        <x:v>Sunny</x:v>
      </x:c>
      <x:c r="Q1738" t="n">
        <x:v>80</x:v>
      </x:c>
      <x:c r="R1738" t="n">
        <x:v>61.4</x:v>
      </x:c>
      <x:c r="S1738" t="n">
        <x:v>0.0816</x:v>
      </x:c>
      <x:c r="T1738" t="n">
        <x:v>13.7</x:v>
      </x:c>
      <x:c r="U1738" t="n">
        <x:v>2892.5</x:v>
      </x:c>
      <x:c r="V1738" t="n">
        <x:v>1711</x:v>
      </x:c>
      <x:c r="W1738" t="n">
        <x:v>25.7</x:v>
      </x:c>
    </x:row>
    <x:row r="1739">
      <x:c r="A1739" t="str">
        <x:v>PJT_1738</x:v>
      </x:c>
      <x:c r="B1739" t="str">
        <x:v>Mediterranean</x:v>
      </x:c>
      <x:c r="C1739" t="n">
        <x:v>19720</x:v>
      </x:c>
      <x:c r="D1739" t="n">
        <x:v>17</x:v>
      </x:c>
      <x:c r="E1739" t="str">
        <x:v>Medium</x:v>
      </x:c>
      <x:c r="F1739" t="str">
        <x:v>Commercial</x:v>
      </x:c>
      <x:c r="G1739" t="str">
        <x:v>Steel</x:v>
      </x:c>
      <x:c r="H1739" t="str">
        <x:v>Raft</x:v>
      </x:c>
      <x:c r="I1739" t="str">
        <x:v>Rock</x:v>
      </x:c>
      <x:c r="J1739" t="str">
        <x:v>Low</x:v>
      </x:c>
      <x:c r="K1739" t="n">
        <x:v>47722400</x:v>
      </x:c>
      <x:c r="L1739" t="n">
        <x:v>881</x:v>
      </x:c>
      <x:c r="M1739" t="n">
        <x:v>697</x:v>
      </x:c>
      <x:c r="N1739" t="n">
        <x:v>17.2</x:v>
      </x:c>
      <x:c r="O1739" t="n">
        <x:v>61.7</x:v>
      </x:c>
      <x:c r="P1739" t="str">
        <x:v>Cloudy</x:v>
      </x:c>
      <x:c r="Q1739" t="n">
        <x:v>78</x:v>
      </x:c>
      <x:c r="R1739" t="n">
        <x:v>80.3</x:v>
      </x:c>
      <x:c r="S1739" t="n">
        <x:v>0.099</x:v>
      </x:c>
      <x:c r="T1739" t="n">
        <x:v>17.4</x:v>
      </x:c>
      <x:c r="U1739" t="n">
        <x:v>1160</x:v>
      </x:c>
      <x:c r="V1739" t="n">
        <x:v>2420</x:v>
      </x:c>
      <x:c r="W1739" t="n">
        <x:v>44.7</x:v>
      </x:c>
    </x:row>
    <x:row r="1740">
      <x:c r="A1740" t="str">
        <x:v>PJT_1739</x:v>
      </x:c>
      <x:c r="B1740" t="str">
        <x:v>Continental</x:v>
      </x:c>
      <x:c r="C1740" t="n">
        <x:v>6470</x:v>
      </x:c>
      <x:c r="D1740" t="n">
        <x:v>10</x:v>
      </x:c>
      <x:c r="E1740" t="str">
        <x:v>Low</x:v>
      </x:c>
      <x:c r="F1740" t="str">
        <x:v>Residential</x:v>
      </x:c>
      <x:c r="G1740" t="str">
        <x:v>RC Frame</x:v>
      </x:c>
      <x:c r="H1740" t="str">
        <x:v>Piles</x:v>
      </x:c>
      <x:c r="I1740" t="str">
        <x:v>Soft Clay</x:v>
      </x:c>
      <x:c r="J1740" t="str">
        <x:v>Low</x:v>
      </x:c>
      <x:c r="K1740" t="n">
        <x:v>8954480</x:v>
      </x:c>
      <x:c r="L1740" t="n">
        <x:v>208</x:v>
      </x:c>
      <x:c r="M1740" t="n">
        <x:v>200.9</x:v>
      </x:c>
      <x:c r="N1740" t="n">
        <x:v>15.1</x:v>
      </x:c>
      <x:c r="O1740" t="n">
        <x:v>49.4</x:v>
      </x:c>
      <x:c r="P1740" t="str">
        <x:v>Cloudy</x:v>
      </x:c>
      <x:c r="Q1740" t="n">
        <x:v>86</x:v>
      </x:c>
      <x:c r="R1740" t="n">
        <x:v>65</x:v>
      </x:c>
      <x:c r="S1740" t="n">
        <x:v>0.0711</x:v>
      </x:c>
      <x:c r="T1740" t="n">
        <x:v>12.6</x:v>
      </x:c>
      <x:c r="U1740" t="n">
        <x:v>647</x:v>
      </x:c>
      <x:c r="V1740" t="n">
        <x:v>1384</x:v>
      </x:c>
      <x:c r="W1740" t="n">
        <x:v>32.1</x:v>
      </x:c>
    </x:row>
    <x:row r="1741">
      <x:c r="A1741" t="str">
        <x:v>PJT_1740</x:v>
      </x:c>
      <x:c r="B1741" t="str">
        <x:v>Marine</x:v>
      </x:c>
      <x:c r="C1741" t="n">
        <x:v>19860</x:v>
      </x:c>
      <x:c r="D1741" t="n">
        <x:v>17</x:v>
      </x:c>
      <x:c r="E1741" t="str">
        <x:v>High</x:v>
      </x:c>
      <x:c r="F1741" t="str">
        <x:v>Mixed-use</x:v>
      </x:c>
      <x:c r="G1741" t="str">
        <x:v>Steel</x:v>
      </x:c>
      <x:c r="H1741" t="str">
        <x:v>Raft</x:v>
      </x:c>
      <x:c r="I1741" t="str">
        <x:v>Rock</x:v>
      </x:c>
      <x:c r="J1741" t="str">
        <x:v>High</x:v>
      </x:c>
      <x:c r="K1741" t="n">
        <x:v>58110360</x:v>
      </x:c>
      <x:c r="L1741" t="n">
        <x:v>1066</x:v>
      </x:c>
      <x:c r="M1741" t="n">
        <x:v>605</x:v>
      </x:c>
      <x:c r="N1741" t="n">
        <x:v>7.7</x:v>
      </x:c>
      <x:c r="O1741" t="n">
        <x:v>82.8</x:v>
      </x:c>
      <x:c r="P1741" t="str">
        <x:v>Rainy</x:v>
      </x:c>
      <x:c r="Q1741" t="n">
        <x:v>106</x:v>
      </x:c>
      <x:c r="R1741" t="n">
        <x:v>90.1</x:v>
      </x:c>
      <x:c r="S1741" t="n">
        <x:v>0.1053</x:v>
      </x:c>
      <x:c r="T1741" t="n">
        <x:v>19.8</x:v>
      </x:c>
      <x:c r="U1741" t="n">
        <x:v>1168.2</x:v>
      </x:c>
      <x:c r="V1741" t="n">
        <x:v>2926</x:v>
      </x:c>
      <x:c r="W1741" t="n">
        <x:v>53.7</x:v>
      </x:c>
    </x:row>
    <x:row r="1742">
      <x:c r="A1742" t="str">
        <x:v>PJT_1741</x:v>
      </x:c>
      <x:c r="B1742" t="str">
        <x:v>Continental</x:v>
      </x:c>
      <x:c r="C1742" t="n">
        <x:v>9270</x:v>
      </x:c>
      <x:c r="D1742" t="n">
        <x:v>5</x:v>
      </x:c>
      <x:c r="E1742" t="str">
        <x:v>Medium</x:v>
      </x:c>
      <x:c r="F1742" t="str">
        <x:v>Commercial</x:v>
      </x:c>
      <x:c r="G1742" t="str">
        <x:v>RC Frame</x:v>
      </x:c>
      <x:c r="H1742" t="str">
        <x:v>Raft</x:v>
      </x:c>
      <x:c r="I1742" t="str">
        <x:v>Soft Clay</x:v>
      </x:c>
      <x:c r="J1742" t="str">
        <x:v>Low</x:v>
      </x:c>
      <x:c r="K1742" t="n">
        <x:v>18975690</x:v>
      </x:c>
      <x:c r="L1742" t="n">
        <x:v>343</x:v>
      </x:c>
      <x:c r="M1742" t="n">
        <x:v>151.6</x:v>
      </x:c>
      <x:c r="N1742" t="n">
        <x:v>5.4</x:v>
      </x:c>
      <x:c r="O1742" t="n">
        <x:v>44</x:v>
      </x:c>
      <x:c r="P1742" t="str">
        <x:v>Sunny</x:v>
      </x:c>
      <x:c r="Q1742" t="n">
        <x:v>95</x:v>
      </x:c>
      <x:c r="R1742" t="n">
        <x:v>72.7</x:v>
      </x:c>
      <x:c r="S1742" t="n">
        <x:v>0.0914</x:v>
      </x:c>
      <x:c r="T1742" t="n">
        <x:v>15.6</x:v>
      </x:c>
      <x:c r="U1742" t="n">
        <x:v>1854</x:v>
      </x:c>
      <x:c r="V1742" t="n">
        <x:v>2047</x:v>
      </x:c>
      <x:c r="W1742" t="n">
        <x:v>37</x:v>
      </x:c>
    </x:row>
    <x:row r="1743">
      <x:c r="A1743" t="str">
        <x:v>PJT_1742</x:v>
      </x:c>
      <x:c r="B1743" t="str">
        <x:v>Marine</x:v>
      </x:c>
      <x:c r="C1743" t="n">
        <x:v>19800</x:v>
      </x:c>
      <x:c r="D1743" t="n">
        <x:v>19</x:v>
      </x:c>
      <x:c r="E1743" t="str">
        <x:v>Medium</x:v>
      </x:c>
      <x:c r="F1743" t="str">
        <x:v>Residential</x:v>
      </x:c>
      <x:c r="G1743" t="str">
        <x:v>Shear Wall</x:v>
      </x:c>
      <x:c r="H1743" t="str">
        <x:v>Piles</x:v>
      </x:c>
      <x:c r="I1743" t="str">
        <x:v>Mixed</x:v>
      </x:c>
      <x:c r="J1743" t="str">
        <x:v>High</x:v>
      </x:c>
      <x:c r="K1743" t="n">
        <x:v>36451800</x:v>
      </x:c>
      <x:c r="L1743" t="n">
        <x:v>770</x:v>
      </x:c>
      <x:c r="M1743" t="n">
        <x:v>352</x:v>
      </x:c>
      <x:c r="N1743" t="n">
        <x:v>15.5</x:v>
      </x:c>
      <x:c r="O1743" t="n">
        <x:v>80.5</x:v>
      </x:c>
      <x:c r="P1743" t="str">
        <x:v>Cloudy</x:v>
      </x:c>
      <x:c r="Q1743" t="n">
        <x:v>68</x:v>
      </x:c>
      <x:c r="R1743" t="n">
        <x:v>77.4</x:v>
      </x:c>
      <x:c r="S1743" t="n">
        <x:v>0.0824</x:v>
      </x:c>
      <x:c r="T1743" t="n">
        <x:v>14.3</x:v>
      </x:c>
      <x:c r="U1743" t="n">
        <x:v>1042.1</x:v>
      </x:c>
      <x:c r="V1743" t="n">
        <x:v>1841</x:v>
      </x:c>
      <x:c r="W1743" t="n">
        <x:v>38.9</x:v>
      </x:c>
    </x:row>
    <x:row r="1744">
      <x:c r="A1744" t="str">
        <x:v>PJT_1743</x:v>
      </x:c>
      <x:c r="B1744" t="str">
        <x:v>Humid Subtropical</x:v>
      </x:c>
      <x:c r="C1744" t="n">
        <x:v>9110</x:v>
      </x:c>
      <x:c r="D1744" t="n">
        <x:v>5</x:v>
      </x:c>
      <x:c r="E1744" t="str">
        <x:v>Low</x:v>
      </x:c>
      <x:c r="F1744" t="str">
        <x:v>School</x:v>
      </x:c>
      <x:c r="G1744" t="str">
        <x:v>RC Frame</x:v>
      </x:c>
      <x:c r="H1744" t="str">
        <x:v>Raft</x:v>
      </x:c>
      <x:c r="I1744" t="str">
        <x:v>Soft Clay</x:v>
      </x:c>
      <x:c r="J1744" t="str">
        <x:v>Low</x:v>
      </x:c>
      <x:c r="K1744" t="n">
        <x:v>14156940</x:v>
      </x:c>
      <x:c r="L1744" t="n">
        <x:v>268</x:v>
      </x:c>
      <x:c r="M1744" t="n">
        <x:v>153.4</x:v>
      </x:c>
      <x:c r="N1744" t="n">
        <x:v>19.6</x:v>
      </x:c>
      <x:c r="O1744" t="n">
        <x:v>82.4</x:v>
      </x:c>
      <x:c r="P1744" t="str">
        <x:v>Rainy</x:v>
      </x:c>
      <x:c r="Q1744" t="n">
        <x:v>78</x:v>
      </x:c>
      <x:c r="R1744" t="n">
        <x:v>60.2</x:v>
      </x:c>
      <x:c r="S1744" t="n">
        <x:v>0.0769</x:v>
      </x:c>
      <x:c r="T1744" t="n">
        <x:v>13.9</x:v>
      </x:c>
      <x:c r="U1744" t="n">
        <x:v>1822</x:v>
      </x:c>
      <x:c r="V1744" t="n">
        <x:v>1554</x:v>
      </x:c>
      <x:c r="W1744" t="n">
        <x:v>29.4</x:v>
      </x:c>
    </x:row>
    <x:row r="1745">
      <x:c r="A1745" t="str">
        <x:v>PJT_1744</x:v>
      </x:c>
      <x:c r="B1745" t="str">
        <x:v>Mediterranean</x:v>
      </x:c>
      <x:c r="C1745" t="n">
        <x:v>10040</x:v>
      </x:c>
      <x:c r="D1745" t="n">
        <x:v>10</x:v>
      </x:c>
      <x:c r="E1745" t="str">
        <x:v>Low</x:v>
      </x:c>
      <x:c r="F1745" t="str">
        <x:v>Residential</x:v>
      </x:c>
      <x:c r="G1745" t="str">
        <x:v>Shear Wall</x:v>
      </x:c>
      <x:c r="H1745" t="str">
        <x:v>Raft</x:v>
      </x:c>
      <x:c r="I1745" t="str">
        <x:v>Sand</x:v>
      </x:c>
      <x:c r="J1745" t="str">
        <x:v>High</x:v>
      </x:c>
      <x:c r="K1745" t="n">
        <x:v>14879280</x:v>
      </x:c>
      <x:c r="L1745" t="n">
        <x:v>323</x:v>
      </x:c>
      <x:c r="M1745" t="n">
        <x:v>306.3</x:v>
      </x:c>
      <x:c r="N1745" t="n">
        <x:v>14.3</x:v>
      </x:c>
      <x:c r="O1745" t="n">
        <x:v>66.8</x:v>
      </x:c>
      <x:c r="P1745" t="str">
        <x:v>Cloudy</x:v>
      </x:c>
      <x:c r="Q1745" t="n">
        <x:v>64</x:v>
      </x:c>
      <x:c r="R1745" t="n">
        <x:v>63.5</x:v>
      </x:c>
      <x:c r="S1745" t="n">
        <x:v>0.0791</x:v>
      </x:c>
      <x:c r="T1745" t="n">
        <x:v>12.2</x:v>
      </x:c>
      <x:c r="U1745" t="n">
        <x:v>1004</x:v>
      </x:c>
      <x:c r="V1745" t="n">
        <x:v>1482</x:v>
      </x:c>
      <x:c r="W1745" t="n">
        <x:v>32.2</x:v>
      </x:c>
    </x:row>
    <x:row r="1746">
      <x:c r="A1746" t="str">
        <x:v>PJT_1745</x:v>
      </x:c>
      <x:c r="B1746" t="str">
        <x:v>Humid Subtropical</x:v>
      </x:c>
      <x:c r="C1746" t="n">
        <x:v>20230</x:v>
      </x:c>
      <x:c r="D1746" t="n">
        <x:v>16</x:v>
      </x:c>
      <x:c r="E1746" t="str">
        <x:v>Medium</x:v>
      </x:c>
      <x:c r="F1746" t="str">
        <x:v>Mixed-use</x:v>
      </x:c>
      <x:c r="G1746" t="str">
        <x:v>Steel</x:v>
      </x:c>
      <x:c r="H1746" t="str">
        <x:v>Piles</x:v>
      </x:c>
      <x:c r="I1746" t="str">
        <x:v>Mixed</x:v>
      </x:c>
      <x:c r="J1746" t="str">
        <x:v>Low</x:v>
      </x:c>
      <x:c r="K1746" t="n">
        <x:v>55774110</x:v>
      </x:c>
      <x:c r="L1746" t="n">
        <x:v>951</x:v>
      </x:c>
      <x:c r="M1746" t="n">
        <x:v>399.9</x:v>
      </x:c>
      <x:c r="N1746" t="n">
        <x:v>32</x:v>
      </x:c>
      <x:c r="O1746" t="n">
        <x:v>62.8</x:v>
      </x:c>
      <x:c r="P1746" t="str">
        <x:v>Sunny</x:v>
      </x:c>
      <x:c r="Q1746" t="n">
        <x:v>84</x:v>
      </x:c>
      <x:c r="R1746" t="n">
        <x:v>86.2</x:v>
      </x:c>
      <x:c r="S1746" t="n">
        <x:v>0.1031</x:v>
      </x:c>
      <x:c r="T1746" t="n">
        <x:v>17.5</x:v>
      </x:c>
      <x:c r="U1746" t="n">
        <x:v>1264.4</x:v>
      </x:c>
      <x:c r="V1746" t="n">
        <x:v>2757</x:v>
      </x:c>
      <x:c r="W1746" t="n">
        <x:v>47</x:v>
      </x:c>
    </x:row>
    <x:row r="1747">
      <x:c r="A1747" t="str">
        <x:v>PJT_1746</x:v>
      </x:c>
      <x:c r="B1747" t="str">
        <x:v>Mediterranean</x:v>
      </x:c>
      <x:c r="C1747" t="n">
        <x:v>16330</x:v>
      </x:c>
      <x:c r="D1747" t="n">
        <x:v>8</x:v>
      </x:c>
      <x:c r="E1747" t="str">
        <x:v>Medium</x:v>
      </x:c>
      <x:c r="F1747" t="str">
        <x:v>Commercial</x:v>
      </x:c>
      <x:c r="G1747" t="str">
        <x:v>RC Frame</x:v>
      </x:c>
      <x:c r="H1747" t="str">
        <x:v>Raft</x:v>
      </x:c>
      <x:c r="I1747" t="str">
        <x:v>Mixed</x:v>
      </x:c>
      <x:c r="J1747" t="str">
        <x:v>Medium</x:v>
      </x:c>
      <x:c r="K1747" t="n">
        <x:v>34619600</x:v>
      </x:c>
      <x:c r="L1747" t="n">
        <x:v>696</x:v>
      </x:c>
      <x:c r="M1747" t="n">
        <x:v>338.5</x:v>
      </x:c>
      <x:c r="N1747" t="n">
        <x:v>16</x:v>
      </x:c>
      <x:c r="O1747" t="n">
        <x:v>83.7</x:v>
      </x:c>
      <x:c r="P1747" t="str">
        <x:v>Stormy</x:v>
      </x:c>
      <x:c r="Q1747" t="n">
        <x:v>106</x:v>
      </x:c>
      <x:c r="R1747" t="n">
        <x:v>77.6</x:v>
      </x:c>
      <x:c r="S1747" t="n">
        <x:v>0.0928</x:v>
      </x:c>
      <x:c r="T1747" t="n">
        <x:v>17.2</x:v>
      </x:c>
      <x:c r="U1747" t="n">
        <x:v>2041.2</x:v>
      </x:c>
      <x:c r="V1747" t="n">
        <x:v>2120</x:v>
      </x:c>
      <x:c r="W1747" t="n">
        <x:v>42.6</x:v>
      </x:c>
    </x:row>
    <x:row r="1748">
      <x:c r="A1748" t="str">
        <x:v>PJT_1747</x:v>
      </x:c>
      <x:c r="B1748" t="str">
        <x:v>Continental</x:v>
      </x:c>
      <x:c r="C1748" t="n">
        <x:v>21060</x:v>
      </x:c>
      <x:c r="D1748" t="n">
        <x:v>14</x:v>
      </x:c>
      <x:c r="E1748" t="str">
        <x:v>Medium</x:v>
      </x:c>
      <x:c r="F1748" t="str">
        <x:v>Commercial</x:v>
      </x:c>
      <x:c r="G1748" t="str">
        <x:v>Steel</x:v>
      </x:c>
      <x:c r="H1748" t="str">
        <x:v>Piles</x:v>
      </x:c>
      <x:c r="I1748" t="str">
        <x:v>Sand</x:v>
      </x:c>
      <x:c r="J1748" t="str">
        <x:v>Medium</x:v>
      </x:c>
      <x:c r="K1748" t="n">
        <x:v>49596300</x:v>
      </x:c>
      <x:c r="L1748" t="n">
        <x:v>1049</x:v>
      </x:c>
      <x:c r="M1748" t="n">
        <x:v>275.6</x:v>
      </x:c>
      <x:c r="N1748" t="n">
        <x:v>-3.8</x:v>
      </x:c>
      <x:c r="O1748" t="n">
        <x:v>68.3</x:v>
      </x:c>
      <x:c r="P1748" t="str">
        <x:v>Snowy</x:v>
      </x:c>
      <x:c r="Q1748" t="n">
        <x:v>99</x:v>
      </x:c>
      <x:c r="R1748" t="n">
        <x:v>76.6</x:v>
      </x:c>
      <x:c r="S1748" t="n">
        <x:v>0.0954</x:v>
      </x:c>
      <x:c r="T1748" t="n">
        <x:v>16.6</x:v>
      </x:c>
      <x:c r="U1748" t="n">
        <x:v>1504.3</x:v>
      </x:c>
      <x:c r="V1748" t="n">
        <x:v>2355</x:v>
      </x:c>
      <x:c r="W1748" t="n">
        <x:v>49.8</x:v>
      </x:c>
    </x:row>
    <x:row r="1749">
      <x:c r="A1749" t="str">
        <x:v>PJT_1748</x:v>
      </x:c>
      <x:c r="B1749" t="str">
        <x:v>Mediterranean</x:v>
      </x:c>
      <x:c r="C1749" t="n">
        <x:v>27340</x:v>
      </x:c>
      <x:c r="D1749" t="n">
        <x:v>18</x:v>
      </x:c>
      <x:c r="E1749" t="str">
        <x:v>Medium</x:v>
      </x:c>
      <x:c r="F1749" t="str">
        <x:v>Mixed-use</x:v>
      </x:c>
      <x:c r="G1749" t="str">
        <x:v>Steel</x:v>
      </x:c>
      <x:c r="H1749" t="str">
        <x:v>Piles</x:v>
      </x:c>
      <x:c r="I1749" t="str">
        <x:v>Rock</x:v>
      </x:c>
      <x:c r="J1749" t="str">
        <x:v>Medium</x:v>
      </x:c>
      <x:c r="K1749" t="n">
        <x:v>75075640</x:v>
      </x:c>
      <x:c r="L1749" t="n">
        <x:v>1351</x:v>
      </x:c>
      <x:c r="M1749" t="n">
        <x:v>809.5</x:v>
      </x:c>
      <x:c r="N1749" t="n">
        <x:v>19.4</x:v>
      </x:c>
      <x:c r="O1749" t="n">
        <x:v>58.3</x:v>
      </x:c>
      <x:c r="P1749" t="str">
        <x:v>Cloudy</x:v>
      </x:c>
      <x:c r="Q1749" t="n">
        <x:v>79</x:v>
      </x:c>
      <x:c r="R1749" t="n">
        <x:v>78.5</x:v>
      </x:c>
      <x:c r="S1749" t="n">
        <x:v>0.0987</x:v>
      </x:c>
      <x:c r="T1749" t="n">
        <x:v>19.1</x:v>
      </x:c>
      <x:c r="U1749" t="n">
        <x:v>1518.9</x:v>
      </x:c>
      <x:c r="V1749" t="n">
        <x:v>2746</x:v>
      </x:c>
      <x:c r="W1749" t="n">
        <x:v>49.4</x:v>
      </x:c>
    </x:row>
    <x:row r="1750">
      <x:c r="A1750" t="str">
        <x:v>PJT_1749</x:v>
      </x:c>
      <x:c r="B1750" t="str">
        <x:v>Humid Subtropical</x:v>
      </x:c>
      <x:c r="C1750" t="n">
        <x:v>6750</x:v>
      </x:c>
      <x:c r="D1750" t="n">
        <x:v>7</x:v>
      </x:c>
      <x:c r="E1750" t="str">
        <x:v>Low</x:v>
      </x:c>
      <x:c r="F1750" t="str">
        <x:v>Residential</x:v>
      </x:c>
      <x:c r="G1750" t="str">
        <x:v>RC Frame</x:v>
      </x:c>
      <x:c r="H1750" t="str">
        <x:v>Raft</x:v>
      </x:c>
      <x:c r="I1750" t="str">
        <x:v>Rock</x:v>
      </x:c>
      <x:c r="J1750" t="str">
        <x:v>Low</x:v>
      </x:c>
      <x:c r="K1750" t="n">
        <x:v>9051750</x:v>
      </x:c>
      <x:c r="L1750" t="n">
        <x:v>219</x:v>
      </x:c>
      <x:c r="M1750" t="n">
        <x:v>589.8</x:v>
      </x:c>
      <x:c r="N1750" t="n">
        <x:v>29.8</x:v>
      </x:c>
      <x:c r="O1750" t="n">
        <x:v>71.9</x:v>
      </x:c>
      <x:c r="P1750" t="str">
        <x:v>Cloudy</x:v>
      </x:c>
      <x:c r="Q1750" t="n">
        <x:v>65</x:v>
      </x:c>
      <x:c r="R1750" t="n">
        <x:v>62.2</x:v>
      </x:c>
      <x:c r="S1750" t="n">
        <x:v>0.0702</x:v>
      </x:c>
      <x:c r="T1750" t="n">
        <x:v>11.3</x:v>
      </x:c>
      <x:c r="U1750" t="n">
        <x:v>964.3</x:v>
      </x:c>
      <x:c r="V1750" t="n">
        <x:v>1341</x:v>
      </x:c>
      <x:c r="W1750" t="n">
        <x:v>32.5</x:v>
      </x:c>
    </x:row>
    <x:row r="1751">
      <x:c r="A1751" t="str">
        <x:v>PJT_1750</x:v>
      </x:c>
      <x:c r="B1751" t="str">
        <x:v>Humid Subtropical</x:v>
      </x:c>
      <x:c r="C1751" t="n">
        <x:v>9030</x:v>
      </x:c>
      <x:c r="D1751" t="n">
        <x:v>12</x:v>
      </x:c>
      <x:c r="E1751" t="str">
        <x:v>Low</x:v>
      </x:c>
      <x:c r="F1751" t="str">
        <x:v>Residential</x:v>
      </x:c>
      <x:c r="G1751" t="str">
        <x:v>RC Frame</x:v>
      </x:c>
      <x:c r="H1751" t="str">
        <x:v>Raft</x:v>
      </x:c>
      <x:c r="I1751" t="str">
        <x:v>Mixed</x:v>
      </x:c>
      <x:c r="J1751" t="str">
        <x:v>Medium</x:v>
      </x:c>
      <x:c r="K1751" t="n">
        <x:v>12569760</x:v>
      </x:c>
      <x:c r="L1751" t="n">
        <x:v>284</x:v>
      </x:c>
      <x:c r="M1751" t="n">
        <x:v>327.3</x:v>
      </x:c>
      <x:c r="N1751" t="n">
        <x:v>22</x:v>
      </x:c>
      <x:c r="O1751" t="n">
        <x:v>65.8</x:v>
      </x:c>
      <x:c r="P1751" t="str">
        <x:v>Cloudy</x:v>
      </x:c>
      <x:c r="Q1751" t="n">
        <x:v>69</x:v>
      </x:c>
      <x:c r="R1751" t="n">
        <x:v>66.5</x:v>
      </x:c>
      <x:c r="S1751" t="n">
        <x:v>0.0766</x:v>
      </x:c>
      <x:c r="T1751" t="n">
        <x:v>11.6</x:v>
      </x:c>
      <x:c r="U1751" t="n">
        <x:v>752.5</x:v>
      </x:c>
      <x:c r="V1751" t="n">
        <x:v>1392</x:v>
      </x:c>
      <x:c r="W1751" t="n">
        <x:v>31.5</x:v>
      </x:c>
    </x:row>
    <x:row r="1752">
      <x:c r="A1752" t="str">
        <x:v>PJT_1751</x:v>
      </x:c>
      <x:c r="B1752" t="str">
        <x:v>Marine</x:v>
      </x:c>
      <x:c r="C1752" t="n">
        <x:v>14180</x:v>
      </x:c>
      <x:c r="D1752" t="n">
        <x:v>7</x:v>
      </x:c>
      <x:c r="E1752" t="str">
        <x:v>Medium</x:v>
      </x:c>
      <x:c r="F1752" t="str">
        <x:v>Commercial</x:v>
      </x:c>
      <x:c r="G1752" t="str">
        <x:v>RC Frame</x:v>
      </x:c>
      <x:c r="H1752" t="str">
        <x:v>Raft</x:v>
      </x:c>
      <x:c r="I1752" t="str">
        <x:v>Rock</x:v>
      </x:c>
      <x:c r="J1752" t="str">
        <x:v>Medium</x:v>
      </x:c>
      <x:c r="K1752" t="n">
        <x:v>31947540</x:v>
      </x:c>
      <x:c r="L1752" t="n">
        <x:v>617</x:v>
      </x:c>
      <x:c r="M1752" t="n">
        <x:v>771.6</x:v>
      </x:c>
      <x:c r="N1752" t="n">
        <x:v>11.1</x:v>
      </x:c>
      <x:c r="O1752" t="n">
        <x:v>91</x:v>
      </x:c>
      <x:c r="P1752" t="str">
        <x:v>Rainy</x:v>
      </x:c>
      <x:c r="Q1752" t="n">
        <x:v>73</x:v>
      </x:c>
      <x:c r="R1752" t="n">
        <x:v>79.6</x:v>
      </x:c>
      <x:c r="S1752" t="n">
        <x:v>0.0932</x:v>
      </x:c>
      <x:c r="T1752" t="n">
        <x:v>17</x:v>
      </x:c>
      <x:c r="U1752" t="n">
        <x:v>2025.7</x:v>
      </x:c>
      <x:c r="V1752" t="n">
        <x:v>2253</x:v>
      </x:c>
      <x:c r="W1752" t="n">
        <x:v>43.5</x:v>
      </x:c>
    </x:row>
    <x:row r="1753">
      <x:c r="A1753" t="str">
        <x:v>PJT_1752</x:v>
      </x:c>
      <x:c r="B1753" t="str">
        <x:v>Humid Subtropical</x:v>
      </x:c>
      <x:c r="C1753" t="n">
        <x:v>12340</x:v>
      </x:c>
      <x:c r="D1753" t="n">
        <x:v>5</x:v>
      </x:c>
      <x:c r="E1753" t="str">
        <x:v>Low</x:v>
      </x:c>
      <x:c r="F1753" t="str">
        <x:v>School</x:v>
      </x:c>
      <x:c r="G1753" t="str">
        <x:v>RC Frame</x:v>
      </x:c>
      <x:c r="H1753" t="str">
        <x:v>Raft</x:v>
      </x:c>
      <x:c r="I1753" t="str">
        <x:v>Rock</x:v>
      </x:c>
      <x:c r="J1753" t="str">
        <x:v>Low</x:v>
      </x:c>
      <x:c r="K1753" t="n">
        <x:v>20040160</x:v>
      </x:c>
      <x:c r="L1753" t="n">
        <x:v>315</x:v>
      </x:c>
      <x:c r="M1753" t="n">
        <x:v>752.6</x:v>
      </x:c>
      <x:c r="N1753" t="n">
        <x:v>27.8</x:v>
      </x:c>
      <x:c r="O1753" t="n">
        <x:v>62.6</x:v>
      </x:c>
      <x:c r="P1753" t="str">
        <x:v>Sunny</x:v>
      </x:c>
      <x:c r="Q1753" t="n">
        <x:v>74</x:v>
      </x:c>
      <x:c r="R1753" t="n">
        <x:v>69.7</x:v>
      </x:c>
      <x:c r="S1753" t="n">
        <x:v>0.0806</x:v>
      </x:c>
      <x:c r="T1753" t="n">
        <x:v>14.3</x:v>
      </x:c>
      <x:c r="U1753" t="n">
        <x:v>2468</x:v>
      </x:c>
      <x:c r="V1753" t="n">
        <x:v>1624</x:v>
      </x:c>
      <x:c r="W1753" t="n">
        <x:v>25.5</x:v>
      </x:c>
    </x:row>
    <x:row r="1754">
      <x:c r="A1754" t="str">
        <x:v>PJT_1753</x:v>
      </x:c>
      <x:c r="B1754" t="str">
        <x:v>Humid Subtropical</x:v>
      </x:c>
      <x:c r="C1754" t="n">
        <x:v>7650</x:v>
      </x:c>
      <x:c r="D1754" t="n">
        <x:v>3</x:v>
      </x:c>
      <x:c r="E1754" t="str">
        <x:v>Low</x:v>
      </x:c>
      <x:c r="F1754" t="str">
        <x:v>School</x:v>
      </x:c>
      <x:c r="G1754" t="str">
        <x:v>Steel</x:v>
      </x:c>
      <x:c r="H1754" t="str">
        <x:v>Raft</x:v>
      </x:c>
      <x:c r="I1754" t="str">
        <x:v>Sand</x:v>
      </x:c>
      <x:c r="J1754" t="str">
        <x:v>High</x:v>
      </x:c>
      <x:c r="K1754" t="n">
        <x:v>15277050</x:v>
      </x:c>
      <x:c r="L1754" t="n">
        <x:v>213</x:v>
      </x:c>
      <x:c r="M1754" t="n">
        <x:v>303.8</x:v>
      </x:c>
      <x:c r="N1754" t="n">
        <x:v>31</x:v>
      </x:c>
      <x:c r="O1754" t="n">
        <x:v>57.4</x:v>
      </x:c>
      <x:c r="P1754" t="str">
        <x:v>Sunny</x:v>
      </x:c>
      <x:c r="Q1754" t="n">
        <x:v>73</x:v>
      </x:c>
      <x:c r="R1754" t="n">
        <x:v>67.5</x:v>
      </x:c>
      <x:c r="S1754" t="n">
        <x:v>0.0859</x:v>
      </x:c>
      <x:c r="T1754" t="n">
        <x:v>13.3</x:v>
      </x:c>
      <x:c r="U1754" t="n">
        <x:v>2550</x:v>
      </x:c>
      <x:c r="V1754" t="n">
        <x:v>1997</x:v>
      </x:c>
      <x:c r="W1754" t="n">
        <x:v>27.8</x:v>
      </x:c>
    </x:row>
    <x:row r="1755">
      <x:c r="A1755" t="str">
        <x:v>PJT_1754</x:v>
      </x:c>
      <x:c r="B1755" t="str">
        <x:v>Mediterranean</x:v>
      </x:c>
      <x:c r="C1755" t="n">
        <x:v>8120</x:v>
      </x:c>
      <x:c r="D1755" t="n">
        <x:v>3</x:v>
      </x:c>
      <x:c r="E1755" t="str">
        <x:v>Low</x:v>
      </x:c>
      <x:c r="F1755" t="str">
        <x:v>School</x:v>
      </x:c>
      <x:c r="G1755" t="str">
        <x:v>RC Frame</x:v>
      </x:c>
      <x:c r="H1755" t="str">
        <x:v>Raft</x:v>
      </x:c>
      <x:c r="I1755" t="str">
        <x:v>Sand</x:v>
      </x:c>
      <x:c r="J1755" t="str">
        <x:v>Medium</x:v>
      </x:c>
      <x:c r="K1755" t="n">
        <x:v>13503560</x:v>
      </x:c>
      <x:c r="L1755" t="n">
        <x:v>230</x:v>
      </x:c>
      <x:c r="M1755" t="n">
        <x:v>257.6</x:v>
      </x:c>
      <x:c r="N1755" t="n">
        <x:v>28.9</x:v>
      </x:c>
      <x:c r="O1755" t="n">
        <x:v>47.7</x:v>
      </x:c>
      <x:c r="P1755" t="str">
        <x:v>Sunny</x:v>
      </x:c>
      <x:c r="Q1755" t="n">
        <x:v>85</x:v>
      </x:c>
      <x:c r="R1755" t="n">
        <x:v>67.1</x:v>
      </x:c>
      <x:c r="S1755" t="n">
        <x:v>0.0813</x:v>
      </x:c>
      <x:c r="T1755" t="n">
        <x:v>12.6</x:v>
      </x:c>
      <x:c r="U1755" t="n">
        <x:v>2706.7</x:v>
      </x:c>
      <x:c r="V1755" t="n">
        <x:v>1663</x:v>
      </x:c>
      <x:c r="W1755" t="n">
        <x:v>28.3</x:v>
      </x:c>
    </x:row>
    <x:row r="1756">
      <x:c r="A1756" t="str">
        <x:v>PJT_1755</x:v>
      </x:c>
      <x:c r="B1756" t="str">
        <x:v>Mediterranean</x:v>
      </x:c>
      <x:c r="C1756" t="n">
        <x:v>7160</x:v>
      </x:c>
      <x:c r="D1756" t="n">
        <x:v>2</x:v>
      </x:c>
      <x:c r="E1756" t="str">
        <x:v>Low</x:v>
      </x:c>
      <x:c r="F1756" t="str">
        <x:v>School</x:v>
      </x:c>
      <x:c r="G1756" t="str">
        <x:v>RC Frame</x:v>
      </x:c>
      <x:c r="H1756" t="str">
        <x:v>Raft</x:v>
      </x:c>
      <x:c r="I1756" t="str">
        <x:v>Sand</x:v>
      </x:c>
      <x:c r="J1756" t="str">
        <x:v>Medium</x:v>
      </x:c>
      <x:c r="K1756" t="n">
        <x:v>12214960</x:v>
      </x:c>
      <x:c r="L1756" t="n">
        <x:v>229</x:v>
      </x:c>
      <x:c r="M1756" t="n">
        <x:v>226.1</x:v>
      </x:c>
      <x:c r="N1756" t="n">
        <x:v>11.4</x:v>
      </x:c>
      <x:c r="O1756" t="n">
        <x:v>70.4</x:v>
      </x:c>
      <x:c r="P1756" t="str">
        <x:v>Rainy</x:v>
      </x:c>
      <x:c r="Q1756" t="n">
        <x:v>89</x:v>
      </x:c>
      <x:c r="R1756" t="n">
        <x:v>64.8</x:v>
      </x:c>
      <x:c r="S1756" t="n">
        <x:v>0.0814</x:v>
      </x:c>
      <x:c r="T1756" t="n">
        <x:v>14.4</x:v>
      </x:c>
      <x:c r="U1756" t="n">
        <x:v>3580</x:v>
      </x:c>
      <x:c r="V1756" t="n">
        <x:v>1706</x:v>
      </x:c>
      <x:c r="W1756" t="n">
        <x:v>32</x:v>
      </x:c>
    </x:row>
    <x:row r="1757">
      <x:c r="A1757" t="str">
        <x:v>PJT_1756</x:v>
      </x:c>
      <x:c r="B1757" t="str">
        <x:v>Humid Subtropical</x:v>
      </x:c>
      <x:c r="C1757" t="n">
        <x:v>3780</x:v>
      </x:c>
      <x:c r="D1757" t="n">
        <x:v>1</x:v>
      </x:c>
      <x:c r="E1757" t="str">
        <x:v>Low</x:v>
      </x:c>
      <x:c r="F1757" t="str">
        <x:v>School</x:v>
      </x:c>
      <x:c r="G1757" t="str">
        <x:v>RC Frame</x:v>
      </x:c>
      <x:c r="H1757" t="str">
        <x:v>Raft</x:v>
      </x:c>
      <x:c r="I1757" t="str">
        <x:v>Soft Clay</x:v>
      </x:c>
      <x:c r="J1757" t="str">
        <x:v>Low</x:v>
      </x:c>
      <x:c r="K1757" t="n">
        <x:v>5942160</x:v>
      </x:c>
      <x:c r="L1757" t="n">
        <x:v>180</x:v>
      </x:c>
      <x:c r="M1757" t="n">
        <x:v>200.7</x:v>
      </x:c>
      <x:c r="N1757" t="n">
        <x:v>28.3</x:v>
      </x:c>
      <x:c r="O1757" t="n">
        <x:v>80.1</x:v>
      </x:c>
      <x:c r="P1757" t="str">
        <x:v>Cloudy</x:v>
      </x:c>
      <x:c r="Q1757" t="n">
        <x:v>94</x:v>
      </x:c>
      <x:c r="R1757" t="n">
        <x:v>59.7</x:v>
      </x:c>
      <x:c r="S1757" t="n">
        <x:v>0.0748</x:v>
      </x:c>
      <x:c r="T1757" t="n">
        <x:v>12.9</x:v>
      </x:c>
      <x:c r="U1757" t="n">
        <x:v>3780</x:v>
      </x:c>
      <x:c r="V1757" t="n">
        <x:v>1572</x:v>
      </x:c>
      <x:c r="W1757" t="n">
        <x:v>27.3</x:v>
      </x:c>
    </x:row>
    <x:row r="1758">
      <x:c r="A1758" t="str">
        <x:v>PJT_1757</x:v>
      </x:c>
      <x:c r="B1758" t="str">
        <x:v>Mediterranean</x:v>
      </x:c>
      <x:c r="C1758" t="n">
        <x:v>12170</x:v>
      </x:c>
      <x:c r="D1758" t="n">
        <x:v>11</x:v>
      </x:c>
      <x:c r="E1758" t="str">
        <x:v>Medium</x:v>
      </x:c>
      <x:c r="F1758" t="str">
        <x:v>Commercial</x:v>
      </x:c>
      <x:c r="G1758" t="str">
        <x:v>RC Frame</x:v>
      </x:c>
      <x:c r="H1758" t="str">
        <x:v>Raft</x:v>
      </x:c>
      <x:c r="I1758" t="str">
        <x:v>Sand</x:v>
      </x:c>
      <x:c r="J1758" t="str">
        <x:v>Medium</x:v>
      </x:c>
      <x:c r="K1758" t="n">
        <x:v>27686750</x:v>
      </x:c>
      <x:c r="L1758" t="n">
        <x:v>554</x:v>
      </x:c>
      <x:c r="M1758" t="n">
        <x:v>219.1</x:v>
      </x:c>
      <x:c r="N1758" t="n">
        <x:v>12.1</x:v>
      </x:c>
      <x:c r="O1758" t="n">
        <x:v>85.8</x:v>
      </x:c>
      <x:c r="P1758" t="str">
        <x:v>Stormy</x:v>
      </x:c>
      <x:c r="Q1758" t="n">
        <x:v>100</x:v>
      </x:c>
      <x:c r="R1758" t="n">
        <x:v>79</x:v>
      </x:c>
      <x:c r="S1758" t="n">
        <x:v>0.093</x:v>
      </x:c>
      <x:c r="T1758" t="n">
        <x:v>16.9</x:v>
      </x:c>
      <x:c r="U1758" t="n">
        <x:v>1106.4</x:v>
      </x:c>
      <x:c r="V1758" t="n">
        <x:v>2275</x:v>
      </x:c>
      <x:c r="W1758" t="n">
        <x:v>45.5</x:v>
      </x:c>
    </x:row>
    <x:row r="1759">
      <x:c r="A1759" t="str">
        <x:v>PJT_1758</x:v>
      </x:c>
      <x:c r="B1759" t="str">
        <x:v>Mediterranean</x:v>
      </x:c>
      <x:c r="C1759" t="n">
        <x:v>26160</x:v>
      </x:c>
      <x:c r="D1759" t="n">
        <x:v>21</x:v>
      </x:c>
      <x:c r="E1759" t="str">
        <x:v>High</x:v>
      </x:c>
      <x:c r="F1759" t="str">
        <x:v>Commercial</x:v>
      </x:c>
      <x:c r="G1759" t="str">
        <x:v>Steel</x:v>
      </x:c>
      <x:c r="H1759" t="str">
        <x:v>Piles</x:v>
      </x:c>
      <x:c r="I1759" t="str">
        <x:v>Mixed</x:v>
      </x:c>
      <x:c r="J1759" t="str">
        <x:v>Medium</x:v>
      </x:c>
      <x:c r="K1759" t="n">
        <x:v>69690240</x:v>
      </x:c>
      <x:c r="L1759" t="n">
        <x:v>1305</x:v>
      </x:c>
      <x:c r="M1759" t="n">
        <x:v>289.2</x:v>
      </x:c>
      <x:c r="N1759" t="n">
        <x:v>20.8</x:v>
      </x:c>
      <x:c r="O1759" t="n">
        <x:v>58.9</x:v>
      </x:c>
      <x:c r="P1759" t="str">
        <x:v>Cloudy</x:v>
      </x:c>
      <x:c r="Q1759" t="n">
        <x:v>90</x:v>
      </x:c>
      <x:c r="R1759" t="n">
        <x:v>87.4</x:v>
      </x:c>
      <x:c r="S1759" t="n">
        <x:v>0.1009</x:v>
      </x:c>
      <x:c r="T1759" t="n">
        <x:v>18.1</x:v>
      </x:c>
      <x:c r="U1759" t="n">
        <x:v>1245.7</x:v>
      </x:c>
      <x:c r="V1759" t="n">
        <x:v>2664</x:v>
      </x:c>
      <x:c r="W1759" t="n">
        <x:v>49.9</x:v>
      </x:c>
    </x:row>
    <x:row r="1760">
      <x:c r="A1760" t="str">
        <x:v>PJT_1759</x:v>
      </x:c>
      <x:c r="B1760" t="str">
        <x:v>Mediterranean</x:v>
      </x:c>
      <x:c r="C1760" t="n">
        <x:v>27400</x:v>
      </x:c>
      <x:c r="D1760" t="n">
        <x:v>17</x:v>
      </x:c>
      <x:c r="E1760" t="str">
        <x:v>Medium</x:v>
      </x:c>
      <x:c r="F1760" t="str">
        <x:v>Hospital</x:v>
      </x:c>
      <x:c r="G1760" t="str">
        <x:v>Steel</x:v>
      </x:c>
      <x:c r="H1760" t="str">
        <x:v>Piles</x:v>
      </x:c>
      <x:c r="I1760" t="str">
        <x:v>Mixed</x:v>
      </x:c>
      <x:c r="J1760" t="str">
        <x:v>Low</x:v>
      </x:c>
      <x:c r="K1760" t="n">
        <x:v>86145600</x:v>
      </x:c>
      <x:c r="L1760" t="n">
        <x:v>1523</x:v>
      </x:c>
      <x:c r="M1760" t="n">
        <x:v>416.7</x:v>
      </x:c>
      <x:c r="N1760" t="n">
        <x:v>12.3</x:v>
      </x:c>
      <x:c r="O1760" t="n">
        <x:v>72.5</x:v>
      </x:c>
      <x:c r="P1760" t="str">
        <x:v>Rainy</x:v>
      </x:c>
      <x:c r="Q1760" t="n">
        <x:v>93</x:v>
      </x:c>
      <x:c r="R1760" t="n">
        <x:v>88.6</x:v>
      </x:c>
      <x:c r="S1760" t="n">
        <x:v>0.1087</x:v>
      </x:c>
      <x:c r="T1760" t="n">
        <x:v>20.5</x:v>
      </x:c>
      <x:c r="U1760" t="n">
        <x:v>1611.8</x:v>
      </x:c>
      <x:c r="V1760" t="n">
        <x:v>3144</x:v>
      </x:c>
      <x:c r="W1760" t="n">
        <x:v>55.6</x:v>
      </x:c>
    </x:row>
    <x:row r="1761">
      <x:c r="A1761" t="str">
        <x:v>PJT_1760</x:v>
      </x:c>
      <x:c r="B1761" t="str">
        <x:v>Humid Subtropical</x:v>
      </x:c>
      <x:c r="C1761" t="n">
        <x:v>9390</x:v>
      </x:c>
      <x:c r="D1761" t="n">
        <x:v>9</x:v>
      </x:c>
      <x:c r="E1761" t="str">
        <x:v>Medium</x:v>
      </x:c>
      <x:c r="F1761" t="str">
        <x:v>Commercial</x:v>
      </x:c>
      <x:c r="G1761" t="str">
        <x:v>Steel</x:v>
      </x:c>
      <x:c r="H1761" t="str">
        <x:v>Raft</x:v>
      </x:c>
      <x:c r="I1761" t="str">
        <x:v>Mixed</x:v>
      </x:c>
      <x:c r="J1761" t="str">
        <x:v>Low</x:v>
      </x:c>
      <x:c r="K1761" t="n">
        <x:v>21512490</x:v>
      </x:c>
      <x:c r="L1761" t="n">
        <x:v>402</x:v>
      </x:c>
      <x:c r="M1761" t="n">
        <x:v>291.6</x:v>
      </x:c>
      <x:c r="N1761" t="n">
        <x:v>33.8</x:v>
      </x:c>
      <x:c r="O1761" t="n">
        <x:v>67.4</x:v>
      </x:c>
      <x:c r="P1761" t="str">
        <x:v>Sunny</x:v>
      </x:c>
      <x:c r="Q1761" t="n">
        <x:v>103</x:v>
      </x:c>
      <x:c r="R1761" t="n">
        <x:v>74</x:v>
      </x:c>
      <x:c r="S1761" t="n">
        <x:v>0.0988</x:v>
      </x:c>
      <x:c r="T1761" t="n">
        <x:v>16.7</x:v>
      </x:c>
      <x:c r="U1761" t="n">
        <x:v>1043.3</x:v>
      </x:c>
      <x:c r="V1761" t="n">
        <x:v>2291</x:v>
      </x:c>
      <x:c r="W1761" t="n">
        <x:v>42.8</x:v>
      </x:c>
    </x:row>
    <x:row r="1762">
      <x:c r="A1762" t="str">
        <x:v>PJT_1761</x:v>
      </x:c>
      <x:c r="B1762" t="str">
        <x:v>Mediterranean</x:v>
      </x:c>
      <x:c r="C1762" t="n">
        <x:v>19360</x:v>
      </x:c>
      <x:c r="D1762" t="n">
        <x:v>14</x:v>
      </x:c>
      <x:c r="E1762" t="str">
        <x:v>Medium</x:v>
      </x:c>
      <x:c r="F1762" t="str">
        <x:v>Commercial</x:v>
      </x:c>
      <x:c r="G1762" t="str">
        <x:v>Steel</x:v>
      </x:c>
      <x:c r="H1762" t="str">
        <x:v>Piles</x:v>
      </x:c>
      <x:c r="I1762" t="str">
        <x:v>Soft Clay</x:v>
      </x:c>
      <x:c r="J1762" t="str">
        <x:v>Medium</x:v>
      </x:c>
      <x:c r="K1762" t="n">
        <x:v>46502720</x:v>
      </x:c>
      <x:c r="L1762" t="n">
        <x:v>844</x:v>
      </x:c>
      <x:c r="M1762" t="n">
        <x:v>218.3</x:v>
      </x:c>
      <x:c r="N1762" t="n">
        <x:v>29.9</x:v>
      </x:c>
      <x:c r="O1762" t="n">
        <x:v>40.9</x:v>
      </x:c>
      <x:c r="P1762" t="str">
        <x:v>Sunny</x:v>
      </x:c>
      <x:c r="Q1762" t="n">
        <x:v>92</x:v>
      </x:c>
      <x:c r="R1762" t="n">
        <x:v>80.8</x:v>
      </x:c>
      <x:c r="S1762" t="n">
        <x:v>0.0975</x:v>
      </x:c>
      <x:c r="T1762" t="n">
        <x:v>16.6</x:v>
      </x:c>
      <x:c r="U1762" t="n">
        <x:v>1382.9</x:v>
      </x:c>
      <x:c r="V1762" t="n">
        <x:v>2402</x:v>
      </x:c>
      <x:c r="W1762" t="n">
        <x:v>43.6</x:v>
      </x:c>
    </x:row>
    <x:row r="1763">
      <x:c r="A1763" t="str">
        <x:v>PJT_1762</x:v>
      </x:c>
      <x:c r="B1763" t="str">
        <x:v>Marine</x:v>
      </x:c>
      <x:c r="C1763" t="n">
        <x:v>13710</x:v>
      </x:c>
      <x:c r="D1763" t="n">
        <x:v>12</x:v>
      </x:c>
      <x:c r="E1763" t="str">
        <x:v>Low</x:v>
      </x:c>
      <x:c r="F1763" t="str">
        <x:v>Residential</x:v>
      </x:c>
      <x:c r="G1763" t="str">
        <x:v>RC Frame</x:v>
      </x:c>
      <x:c r="H1763" t="str">
        <x:v>Raft</x:v>
      </x:c>
      <x:c r="I1763" t="str">
        <x:v>Mixed</x:v>
      </x:c>
      <x:c r="J1763" t="str">
        <x:v>Low</x:v>
      </x:c>
      <x:c r="K1763" t="n">
        <x:v>18878670</x:v>
      </x:c>
      <x:c r="L1763" t="n">
        <x:v>444</x:v>
      </x:c>
      <x:c r="M1763" t="n">
        <x:v>272.8</x:v>
      </x:c>
      <x:c r="N1763" t="n">
        <x:v>12.5</x:v>
      </x:c>
      <x:c r="O1763" t="n">
        <x:v>75</x:v>
      </x:c>
      <x:c r="P1763" t="str">
        <x:v>Rainy</x:v>
      </x:c>
      <x:c r="Q1763" t="n">
        <x:v>72</x:v>
      </x:c>
      <x:c r="R1763" t="n">
        <x:v>70.6</x:v>
      </x:c>
      <x:c r="S1763" t="n">
        <x:v>0.0732</x:v>
      </x:c>
      <x:c r="T1763" t="n">
        <x:v>11.6</x:v>
      </x:c>
      <x:c r="U1763" t="n">
        <x:v>1142.5</x:v>
      </x:c>
      <x:c r="V1763" t="n">
        <x:v>1377</x:v>
      </x:c>
      <x:c r="W1763" t="n">
        <x:v>32.4</x:v>
      </x:c>
    </x:row>
    <x:row r="1764">
      <x:c r="A1764" t="str">
        <x:v>PJT_1763</x:v>
      </x:c>
      <x:c r="B1764" t="str">
        <x:v>Continental</x:v>
      </x:c>
      <x:c r="C1764" t="n">
        <x:v>27430</x:v>
      </x:c>
      <x:c r="D1764" t="n">
        <x:v>16</x:v>
      </x:c>
      <x:c r="E1764" t="str">
        <x:v>Medium</x:v>
      </x:c>
      <x:c r="F1764" t="str">
        <x:v>Commercial</x:v>
      </x:c>
      <x:c r="G1764" t="str">
        <x:v>Steel</x:v>
      </x:c>
      <x:c r="H1764" t="str">
        <x:v>Piles</x:v>
      </x:c>
      <x:c r="I1764" t="str">
        <x:v>Sand</x:v>
      </x:c>
      <x:c r="J1764" t="str">
        <x:v>Low</x:v>
      </x:c>
      <x:c r="K1764" t="n">
        <x:v>66380600</x:v>
      </x:c>
      <x:c r="L1764" t="n">
        <x:v>1380</x:v>
      </x:c>
      <x:c r="M1764" t="n">
        <x:v>314</x:v>
      </x:c>
      <x:c r="N1764" t="n">
        <x:v>-4.7</x:v>
      </x:c>
      <x:c r="O1764" t="n">
        <x:v>58.3</x:v>
      </x:c>
      <x:c r="P1764" t="str">
        <x:v>Snowy</x:v>
      </x:c>
      <x:c r="Q1764" t="n">
        <x:v>95</x:v>
      </x:c>
      <x:c r="R1764" t="n">
        <x:v>81.3</x:v>
      </x:c>
      <x:c r="S1764" t="n">
        <x:v>0.0936</x:v>
      </x:c>
      <x:c r="T1764" t="n">
        <x:v>16.8</x:v>
      </x:c>
      <x:c r="U1764" t="n">
        <x:v>1714.4</x:v>
      </x:c>
      <x:c r="V1764" t="n">
        <x:v>2420</x:v>
      </x:c>
      <x:c r="W1764" t="n">
        <x:v>50.3</x:v>
      </x:c>
    </x:row>
    <x:row r="1765">
      <x:c r="A1765" t="str">
        <x:v>PJT_1764</x:v>
      </x:c>
      <x:c r="B1765" t="str">
        <x:v>Mediterranean</x:v>
      </x:c>
      <x:c r="C1765" t="n">
        <x:v>20730</x:v>
      </x:c>
      <x:c r="D1765" t="n">
        <x:v>15</x:v>
      </x:c>
      <x:c r="E1765" t="str">
        <x:v>Medium</x:v>
      </x:c>
      <x:c r="F1765" t="str">
        <x:v>Mixed-use</x:v>
      </x:c>
      <x:c r="G1765" t="str">
        <x:v>Shear Wall</x:v>
      </x:c>
      <x:c r="H1765" t="str">
        <x:v>Piles</x:v>
      </x:c>
      <x:c r="I1765" t="str">
        <x:v>Mixed</x:v>
      </x:c>
      <x:c r="J1765" t="str">
        <x:v>Low</x:v>
      </x:c>
      <x:c r="K1765" t="n">
        <x:v>50871420</x:v>
      </x:c>
      <x:c r="L1765" t="n">
        <x:v>1047</x:v>
      </x:c>
      <x:c r="M1765" t="n">
        <x:v>404.1</x:v>
      </x:c>
      <x:c r="N1765" t="n">
        <x:v>16.7</x:v>
      </x:c>
      <x:c r="O1765" t="n">
        <x:v>59.5</x:v>
      </x:c>
      <x:c r="P1765" t="str">
        <x:v>Cloudy</x:v>
      </x:c>
      <x:c r="Q1765" t="n">
        <x:v>87</x:v>
      </x:c>
      <x:c r="R1765" t="n">
        <x:v>83.9</x:v>
      </x:c>
      <x:c r="S1765" t="n">
        <x:v>0.0998</x:v>
      </x:c>
      <x:c r="T1765" t="n">
        <x:v>18.9</x:v>
      </x:c>
      <x:c r="U1765" t="n">
        <x:v>1382</x:v>
      </x:c>
      <x:c r="V1765" t="n">
        <x:v>2454</x:v>
      </x:c>
      <x:c r="W1765" t="n">
        <x:v>50.5</x:v>
      </x:c>
    </x:row>
    <x:row r="1766">
      <x:c r="A1766" t="str">
        <x:v>PJT_1765</x:v>
      </x:c>
      <x:c r="B1766" t="str">
        <x:v>Mediterranean</x:v>
      </x:c>
      <x:c r="C1766" t="n">
        <x:v>25480</x:v>
      </x:c>
      <x:c r="D1766" t="n">
        <x:v>16</x:v>
      </x:c>
      <x:c r="E1766" t="str">
        <x:v>Medium</x:v>
      </x:c>
      <x:c r="F1766" t="str">
        <x:v>Commercial</x:v>
      </x:c>
      <x:c r="G1766" t="str">
        <x:v>Steel</x:v>
      </x:c>
      <x:c r="H1766" t="str">
        <x:v>Piles</x:v>
      </x:c>
      <x:c r="I1766" t="str">
        <x:v>Mixed</x:v>
      </x:c>
      <x:c r="J1766" t="str">
        <x:v>High</x:v>
      </x:c>
      <x:c r="K1766" t="n">
        <x:v>65840320</x:v>
      </x:c>
      <x:c r="L1766" t="n">
        <x:v>1093</x:v>
      </x:c>
      <x:c r="M1766" t="n">
        <x:v>429.6</x:v>
      </x:c>
      <x:c r="N1766" t="n">
        <x:v>30.5</x:v>
      </x:c>
      <x:c r="O1766" t="n">
        <x:v>57.6</x:v>
      </x:c>
      <x:c r="P1766" t="str">
        <x:v>Sunny</x:v>
      </x:c>
      <x:c r="Q1766" t="n">
        <x:v>83</x:v>
      </x:c>
      <x:c r="R1766" t="n">
        <x:v>77.9</x:v>
      </x:c>
      <x:c r="S1766" t="n">
        <x:v>0.0968</x:v>
      </x:c>
      <x:c r="T1766" t="n">
        <x:v>17.9</x:v>
      </x:c>
      <x:c r="U1766" t="n">
        <x:v>1592.5</x:v>
      </x:c>
      <x:c r="V1766" t="n">
        <x:v>2584</x:v>
      </x:c>
      <x:c r="W1766" t="n">
        <x:v>42.9</x:v>
      </x:c>
    </x:row>
    <x:row r="1767">
      <x:c r="A1767" t="str">
        <x:v>PJT_1766</x:v>
      </x:c>
      <x:c r="B1767" t="str">
        <x:v>Marine</x:v>
      </x:c>
      <x:c r="C1767" t="n">
        <x:v>20840</x:v>
      </x:c>
      <x:c r="D1767" t="n">
        <x:v>23</x:v>
      </x:c>
      <x:c r="E1767" t="str">
        <x:v>Medium</x:v>
      </x:c>
      <x:c r="F1767" t="str">
        <x:v>Residential</x:v>
      </x:c>
      <x:c r="G1767" t="str">
        <x:v>Shear Wall</x:v>
      </x:c>
      <x:c r="H1767" t="str">
        <x:v>Piles</x:v>
      </x:c>
      <x:c r="I1767" t="str">
        <x:v>Rock</x:v>
      </x:c>
      <x:c r="J1767" t="str">
        <x:v>High</x:v>
      </x:c>
      <x:c r="K1767" t="n">
        <x:v>36970160</x:v>
      </x:c>
      <x:c r="L1767" t="n">
        <x:v>834</x:v>
      </x:c>
      <x:c r="M1767" t="n">
        <x:v>692.2</x:v>
      </x:c>
      <x:c r="N1767" t="n">
        <x:v>21</x:v>
      </x:c>
      <x:c r="O1767" t="n">
        <x:v>71.5</x:v>
      </x:c>
      <x:c r="P1767" t="str">
        <x:v>Sunny</x:v>
      </x:c>
      <x:c r="Q1767" t="n">
        <x:v>84</x:v>
      </x:c>
      <x:c r="R1767" t="n">
        <x:v>77.2</x:v>
      </x:c>
      <x:c r="S1767" t="n">
        <x:v>0.0825</x:v>
      </x:c>
      <x:c r="T1767" t="n">
        <x:v>14.1</x:v>
      </x:c>
      <x:c r="U1767" t="n">
        <x:v>906.1</x:v>
      </x:c>
      <x:c r="V1767" t="n">
        <x:v>1774</x:v>
      </x:c>
      <x:c r="W1767" t="n">
        <x:v>40</x:v>
      </x:c>
    </x:row>
    <x:row r="1768">
      <x:c r="A1768" t="str">
        <x:v>PJT_1767</x:v>
      </x:c>
      <x:c r="B1768" t="str">
        <x:v>Continental</x:v>
      </x:c>
      <x:c r="C1768" t="n">
        <x:v>12610</x:v>
      </x:c>
      <x:c r="D1768" t="n">
        <x:v>9</x:v>
      </x:c>
      <x:c r="E1768" t="str">
        <x:v>Low</x:v>
      </x:c>
      <x:c r="F1768" t="str">
        <x:v>Commercial</x:v>
      </x:c>
      <x:c r="G1768" t="str">
        <x:v>Steel</x:v>
      </x:c>
      <x:c r="H1768" t="str">
        <x:v>Raft</x:v>
      </x:c>
      <x:c r="I1768" t="str">
        <x:v>Rock</x:v>
      </x:c>
      <x:c r="J1768" t="str">
        <x:v>Low</x:v>
      </x:c>
      <x:c r="K1768" t="n">
        <x:v>27111500</x:v>
      </x:c>
      <x:c r="L1768" t="n">
        <x:v>502</x:v>
      </x:c>
      <x:c r="M1768" t="n">
        <x:v>606.3</x:v>
      </x:c>
      <x:c r="N1768" t="n">
        <x:v>25.1</x:v>
      </x:c>
      <x:c r="O1768" t="n">
        <x:v>61.8</x:v>
      </x:c>
      <x:c r="P1768" t="str">
        <x:v>Sunny</x:v>
      </x:c>
      <x:c r="Q1768" t="n">
        <x:v>93</x:v>
      </x:c>
      <x:c r="R1768" t="n">
        <x:v>70.5</x:v>
      </x:c>
      <x:c r="S1768" t="n">
        <x:v>0.0894</x:v>
      </x:c>
      <x:c r="T1768" t="n">
        <x:v>15.1</x:v>
      </x:c>
      <x:c r="U1768" t="n">
        <x:v>1401.1</x:v>
      </x:c>
      <x:c r="V1768" t="n">
        <x:v>2150</x:v>
      </x:c>
      <x:c r="W1768" t="n">
        <x:v>39.8</x:v>
      </x:c>
    </x:row>
    <x:row r="1769">
      <x:c r="A1769" t="str">
        <x:v>PJT_1768</x:v>
      </x:c>
      <x:c r="B1769" t="str">
        <x:v>Humid Subtropical</x:v>
      </x:c>
      <x:c r="C1769" t="n">
        <x:v>11530</x:v>
      </x:c>
      <x:c r="D1769" t="n">
        <x:v>14</x:v>
      </x:c>
      <x:c r="E1769" t="str">
        <x:v>Low</x:v>
      </x:c>
      <x:c r="F1769" t="str">
        <x:v>Residential</x:v>
      </x:c>
      <x:c r="G1769" t="str">
        <x:v>Shear Wall</x:v>
      </x:c>
      <x:c r="H1769" t="str">
        <x:v>Raft</x:v>
      </x:c>
      <x:c r="I1769" t="str">
        <x:v>Mixed</x:v>
      </x:c>
      <x:c r="J1769" t="str">
        <x:v>Medium</x:v>
      </x:c>
      <x:c r="K1769" t="n">
        <x:v>16753090</x:v>
      </x:c>
      <x:c r="L1769" t="n">
        <x:v>408</x:v>
      </x:c>
      <x:c r="M1769" t="n">
        <x:v>296.3</x:v>
      </x:c>
      <x:c r="N1769" t="n">
        <x:v>27.9</x:v>
      </x:c>
      <x:c r="O1769" t="n">
        <x:v>76.3</x:v>
      </x:c>
      <x:c r="P1769" t="str">
        <x:v>Rainy</x:v>
      </x:c>
      <x:c r="Q1769" t="n">
        <x:v>90</x:v>
      </x:c>
      <x:c r="R1769" t="n">
        <x:v>66.3</x:v>
      </x:c>
      <x:c r="S1769" t="n">
        <x:v>0.0784</x:v>
      </x:c>
      <x:c r="T1769" t="n">
        <x:v>11.7</x:v>
      </x:c>
      <x:c r="U1769" t="n">
        <x:v>823.6</x:v>
      </x:c>
      <x:c r="V1769" t="n">
        <x:v>1453</x:v>
      </x:c>
      <x:c r="W1769" t="n">
        <x:v>35.4</x:v>
      </x:c>
    </x:row>
    <x:row r="1770">
      <x:c r="A1770" t="str">
        <x:v>PJT_1769</x:v>
      </x:c>
      <x:c r="B1770" t="str">
        <x:v>Mediterranean</x:v>
      </x:c>
      <x:c r="C1770" t="n">
        <x:v>28340</x:v>
      </x:c>
      <x:c r="D1770" t="n">
        <x:v>18</x:v>
      </x:c>
      <x:c r="E1770" t="str">
        <x:v>High</x:v>
      </x:c>
      <x:c r="F1770" t="str">
        <x:v>Mixed-use</x:v>
      </x:c>
      <x:c r="G1770" t="str">
        <x:v>Steel</x:v>
      </x:c>
      <x:c r="H1770" t="str">
        <x:v>Piles</x:v>
      </x:c>
      <x:c r="I1770" t="str">
        <x:v>Sand</x:v>
      </x:c>
      <x:c r="J1770" t="str">
        <x:v>High</x:v>
      </x:c>
      <x:c r="K1770" t="n">
        <x:v>84793280</x:v>
      </x:c>
      <x:c r="L1770" t="n">
        <x:v>1590</x:v>
      </x:c>
      <x:c r="M1770" t="n">
        <x:v>355.5</x:v>
      </x:c>
      <x:c r="N1770" t="n">
        <x:v>20.7</x:v>
      </x:c>
      <x:c r="O1770" t="n">
        <x:v>52.4</x:v>
      </x:c>
      <x:c r="P1770" t="str">
        <x:v>Cloudy</x:v>
      </x:c>
      <x:c r="Q1770" t="n">
        <x:v>74</x:v>
      </x:c>
      <x:c r="R1770" t="n">
        <x:v>82.1</x:v>
      </x:c>
      <x:c r="S1770" t="n">
        <x:v>0.1041</x:v>
      </x:c>
      <x:c r="T1770" t="n">
        <x:v>19.9</x:v>
      </x:c>
      <x:c r="U1770" t="n">
        <x:v>1574.4</x:v>
      </x:c>
      <x:c r="V1770" t="n">
        <x:v>2992</x:v>
      </x:c>
      <x:c r="W1770" t="n">
        <x:v>56.1</x:v>
      </x:c>
    </x:row>
    <x:row r="1771">
      <x:c r="A1771" t="str">
        <x:v>PJT_1770</x:v>
      </x:c>
      <x:c r="B1771" t="str">
        <x:v>Mediterranean</x:v>
      </x:c>
      <x:c r="C1771" t="n">
        <x:v>15320</x:v>
      </x:c>
      <x:c r="D1771" t="n">
        <x:v>19</x:v>
      </x:c>
      <x:c r="E1771" t="str">
        <x:v>Medium</x:v>
      </x:c>
      <x:c r="F1771" t="str">
        <x:v>Residential</x:v>
      </x:c>
      <x:c r="G1771" t="str">
        <x:v>Shear Wall</x:v>
      </x:c>
      <x:c r="H1771" t="str">
        <x:v>Piles</x:v>
      </x:c>
      <x:c r="I1771" t="str">
        <x:v>Soft Clay</x:v>
      </x:c>
      <x:c r="J1771" t="str">
        <x:v>Medium</x:v>
      </x:c>
      <x:c r="K1771" t="n">
        <x:v>25216720</x:v>
      </x:c>
      <x:c r="L1771" t="n">
        <x:v>573</x:v>
      </x:c>
      <x:c r="M1771" t="n">
        <x:v>169</x:v>
      </x:c>
      <x:c r="N1771" t="n">
        <x:v>30.7</x:v>
      </x:c>
      <x:c r="O1771" t="n">
        <x:v>60.2</x:v>
      </x:c>
      <x:c r="P1771" t="str">
        <x:v>Sunny</x:v>
      </x:c>
      <x:c r="Q1771" t="n">
        <x:v>84</x:v>
      </x:c>
      <x:c r="R1771" t="n">
        <x:v>70.8</x:v>
      </x:c>
      <x:c r="S1771" t="n">
        <x:v>0.0814</x:v>
      </x:c>
      <x:c r="T1771" t="n">
        <x:v>14.4</x:v>
      </x:c>
      <x:c r="U1771" t="n">
        <x:v>806.3</x:v>
      </x:c>
      <x:c r="V1771" t="n">
        <x:v>1646</x:v>
      </x:c>
      <x:c r="W1771" t="n">
        <x:v>37.4</x:v>
      </x:c>
    </x:row>
    <x:row r="1772">
      <x:c r="A1772" t="str">
        <x:v>PJT_1771</x:v>
      </x:c>
      <x:c r="B1772" t="str">
        <x:v>Marine</x:v>
      </x:c>
      <x:c r="C1772" t="n">
        <x:v>24760</x:v>
      </x:c>
      <x:c r="D1772" t="n">
        <x:v>18</x:v>
      </x:c>
      <x:c r="E1772" t="str">
        <x:v>Medium</x:v>
      </x:c>
      <x:c r="F1772" t="str">
        <x:v>Mixed-use</x:v>
      </x:c>
      <x:c r="G1772" t="str">
        <x:v>Steel</x:v>
      </x:c>
      <x:c r="H1772" t="str">
        <x:v>Piles</x:v>
      </x:c>
      <x:c r="I1772" t="str">
        <x:v>Mixed</x:v>
      </x:c>
      <x:c r="J1772" t="str">
        <x:v>Medium</x:v>
      </x:c>
      <x:c r="K1772" t="n">
        <x:v>67050080</x:v>
      </x:c>
      <x:c r="L1772" t="n">
        <x:v>1290</x:v>
      </x:c>
      <x:c r="M1772" t="n">
        <x:v>341.3</x:v>
      </x:c>
      <x:c r="N1772" t="n">
        <x:v>10.7</x:v>
      </x:c>
      <x:c r="O1772" t="n">
        <x:v>79.1</x:v>
      </x:c>
      <x:c r="P1772" t="str">
        <x:v>Cloudy</x:v>
      </x:c>
      <x:c r="Q1772" t="n">
        <x:v>72</x:v>
      </x:c>
      <x:c r="R1772" t="n">
        <x:v>83.5</x:v>
      </x:c>
      <x:c r="S1772" t="n">
        <x:v>0.0991</x:v>
      </x:c>
      <x:c r="T1772" t="n">
        <x:v>18.4</x:v>
      </x:c>
      <x:c r="U1772" t="n">
        <x:v>1375.6</x:v>
      </x:c>
      <x:c r="V1772" t="n">
        <x:v>2708</x:v>
      </x:c>
      <x:c r="W1772" t="n">
        <x:v>52.1</x:v>
      </x:c>
    </x:row>
    <x:row r="1773">
      <x:c r="A1773" t="str">
        <x:v>PJT_1772</x:v>
      </x:c>
      <x:c r="B1773" t="str">
        <x:v>Humid Subtropical</x:v>
      </x:c>
      <x:c r="C1773" t="n">
        <x:v>21260</x:v>
      </x:c>
      <x:c r="D1773" t="n">
        <x:v>14</x:v>
      </x:c>
      <x:c r="E1773" t="str">
        <x:v>High</x:v>
      </x:c>
      <x:c r="F1773" t="str">
        <x:v>Mixed-use</x:v>
      </x:c>
      <x:c r="G1773" t="str">
        <x:v>Shear Wall</x:v>
      </x:c>
      <x:c r="H1773" t="str">
        <x:v>Piles</x:v>
      </x:c>
      <x:c r="I1773" t="str">
        <x:v>Mixed</x:v>
      </x:c>
      <x:c r="J1773" t="str">
        <x:v>Medium</x:v>
      </x:c>
      <x:c r="K1773" t="n">
        <x:v>58465000</x:v>
      </x:c>
      <x:c r="L1773" t="n">
        <x:v>1169</x:v>
      </x:c>
      <x:c r="M1773" t="n">
        <x:v>356.3</x:v>
      </x:c>
      <x:c r="N1773" t="n">
        <x:v>27.6</x:v>
      </x:c>
      <x:c r="O1773" t="n">
        <x:v>65.2</x:v>
      </x:c>
      <x:c r="P1773" t="str">
        <x:v>Cloudy</x:v>
      </x:c>
      <x:c r="Q1773" t="n">
        <x:v>88</x:v>
      </x:c>
      <x:c r="R1773" t="n">
        <x:v>82.3</x:v>
      </x:c>
      <x:c r="S1773" t="n">
        <x:v>0.1015</x:v>
      </x:c>
      <x:c r="T1773" t="n">
        <x:v>19.8</x:v>
      </x:c>
      <x:c r="U1773" t="n">
        <x:v>1518.6</x:v>
      </x:c>
      <x:c r="V1773" t="n">
        <x:v>2750</x:v>
      </x:c>
      <x:c r="W1773" t="n">
        <x:v>55</x:v>
      </x:c>
    </x:row>
    <x:row r="1774">
      <x:c r="A1774" t="str">
        <x:v>PJT_1773</x:v>
      </x:c>
      <x:c r="B1774" t="str">
        <x:v>Marine</x:v>
      </x:c>
      <x:c r="C1774" t="n">
        <x:v>19940</x:v>
      </x:c>
      <x:c r="D1774" t="n">
        <x:v>19</x:v>
      </x:c>
      <x:c r="E1774" t="str">
        <x:v>High</x:v>
      </x:c>
      <x:c r="F1774" t="str">
        <x:v>Commercial</x:v>
      </x:c>
      <x:c r="G1774" t="str">
        <x:v>Steel</x:v>
      </x:c>
      <x:c r="H1774" t="str">
        <x:v>Piles</x:v>
      </x:c>
      <x:c r="I1774" t="str">
        <x:v>Soft Clay</x:v>
      </x:c>
      <x:c r="J1774" t="str">
        <x:v>High</x:v>
      </x:c>
      <x:c r="K1774" t="n">
        <x:v>55473080</x:v>
      </x:c>
      <x:c r="L1774" t="n">
        <x:v>1061</x:v>
      </x:c>
      <x:c r="M1774" t="n">
        <x:v>201.9</x:v>
      </x:c>
      <x:c r="N1774" t="n">
        <x:v>14.8</x:v>
      </x:c>
      <x:c r="O1774" t="n">
        <x:v>86.9</x:v>
      </x:c>
      <x:c r="P1774" t="str">
        <x:v>Rainy</x:v>
      </x:c>
      <x:c r="Q1774" t="n">
        <x:v>87</x:v>
      </x:c>
      <x:c r="R1774" t="n">
        <x:v>88</x:v>
      </x:c>
      <x:c r="S1774" t="n">
        <x:v>0.0999</x:v>
      </x:c>
      <x:c r="T1774" t="n">
        <x:v>19.2</x:v>
      </x:c>
      <x:c r="U1774" t="n">
        <x:v>1049.5</x:v>
      </x:c>
      <x:c r="V1774" t="n">
        <x:v>2782</x:v>
      </x:c>
      <x:c r="W1774" t="n">
        <x:v>53.2</x:v>
      </x:c>
    </x:row>
    <x:row r="1775">
      <x:c r="A1775" t="str">
        <x:v>PJT_1774</x:v>
      </x:c>
      <x:c r="B1775" t="str">
        <x:v>Humid Subtropical</x:v>
      </x:c>
      <x:c r="C1775" t="n">
        <x:v>31850</x:v>
      </x:c>
      <x:c r="D1775" t="n">
        <x:v>17</x:v>
      </x:c>
      <x:c r="E1775" t="str">
        <x:v>Medium</x:v>
      </x:c>
      <x:c r="F1775" t="str">
        <x:v>Commercial</x:v>
      </x:c>
      <x:c r="G1775" t="str">
        <x:v>Steel</x:v>
      </x:c>
      <x:c r="H1775" t="str">
        <x:v>Piles</x:v>
      </x:c>
      <x:c r="I1775" t="str">
        <x:v>Soft Clay</x:v>
      </x:c>
      <x:c r="J1775" t="str">
        <x:v>Medium</x:v>
      </x:c>
      <x:c r="K1775" t="n">
        <x:v>83287750</x:v>
      </x:c>
      <x:c r="L1775" t="n">
        <x:v>1484</x:v>
      </x:c>
      <x:c r="M1775" t="n">
        <x:v>184.3</x:v>
      </x:c>
      <x:c r="N1775" t="n">
        <x:v>24.6</x:v>
      </x:c>
      <x:c r="O1775" t="n">
        <x:v>65.7</x:v>
      </x:c>
      <x:c r="P1775" t="str">
        <x:v>Cloudy</x:v>
      </x:c>
      <x:c r="Q1775" t="n">
        <x:v>74</x:v>
      </x:c>
      <x:c r="R1775" t="n">
        <x:v>78.8</x:v>
      </x:c>
      <x:c r="S1775" t="n">
        <x:v>0.0979</x:v>
      </x:c>
      <x:c r="T1775" t="n">
        <x:v>17</x:v>
      </x:c>
      <x:c r="U1775" t="n">
        <x:v>1873.5</x:v>
      </x:c>
      <x:c r="V1775" t="n">
        <x:v>2615</x:v>
      </x:c>
      <x:c r="W1775" t="n">
        <x:v>46.6</x:v>
      </x:c>
    </x:row>
    <x:row r="1776">
      <x:c r="A1776" t="str">
        <x:v>PJT_1775</x:v>
      </x:c>
      <x:c r="B1776" t="str">
        <x:v>Humid Subtropical</x:v>
      </x:c>
      <x:c r="C1776" t="n">
        <x:v>15820</x:v>
      </x:c>
      <x:c r="D1776" t="n">
        <x:v>9</x:v>
      </x:c>
      <x:c r="E1776" t="str">
        <x:v>Medium</x:v>
      </x:c>
      <x:c r="F1776" t="str">
        <x:v>Mixed-use</x:v>
      </x:c>
      <x:c r="G1776" t="str">
        <x:v>Steel</x:v>
      </x:c>
      <x:c r="H1776" t="str">
        <x:v>Raft</x:v>
      </x:c>
      <x:c r="I1776" t="str">
        <x:v>Mixed</x:v>
      </x:c>
      <x:c r="J1776" t="str">
        <x:v>Medium</x:v>
      </x:c>
      <x:c r="K1776" t="n">
        <x:v>41290200</x:v>
      </x:c>
      <x:c r="L1776" t="n">
        <x:v>737</x:v>
      </x:c>
      <x:c r="M1776" t="n">
        <x:v>310.5</x:v>
      </x:c>
      <x:c r="N1776" t="n">
        <x:v>29.2</x:v>
      </x:c>
      <x:c r="O1776" t="n">
        <x:v>63.2</x:v>
      </x:c>
      <x:c r="P1776" t="str">
        <x:v>Cloudy</x:v>
      </x:c>
      <x:c r="Q1776" t="n">
        <x:v>78</x:v>
      </x:c>
      <x:c r="R1776" t="n">
        <x:v>74.9</x:v>
      </x:c>
      <x:c r="S1776" t="n">
        <x:v>0.0985</x:v>
      </x:c>
      <x:c r="T1776" t="n">
        <x:v>19</x:v>
      </x:c>
      <x:c r="U1776" t="n">
        <x:v>1757.8</x:v>
      </x:c>
      <x:c r="V1776" t="n">
        <x:v>2610</x:v>
      </x:c>
      <x:c r="W1776" t="n">
        <x:v>46.6</x:v>
      </x:c>
    </x:row>
    <x:row r="1777">
      <x:c r="A1777" t="str">
        <x:v>PJT_1776</x:v>
      </x:c>
      <x:c r="B1777" t="str">
        <x:v>Mediterranean</x:v>
      </x:c>
      <x:c r="C1777" t="n">
        <x:v>12360</x:v>
      </x:c>
      <x:c r="D1777" t="n">
        <x:v>12</x:v>
      </x:c>
      <x:c r="E1777" t="str">
        <x:v>Medium</x:v>
      </x:c>
      <x:c r="F1777" t="str">
        <x:v>Commercial</x:v>
      </x:c>
      <x:c r="G1777" t="str">
        <x:v>RC Frame</x:v>
      </x:c>
      <x:c r="H1777" t="str">
        <x:v>Raft</x:v>
      </x:c>
      <x:c r="I1777" t="str">
        <x:v>Mixed</x:v>
      </x:c>
      <x:c r="J1777" t="str">
        <x:v>High</x:v>
      </x:c>
      <x:c r="K1777" t="n">
        <x:v>27303240</x:v>
      </x:c>
      <x:c r="L1777" t="n">
        <x:v>498</x:v>
      </x:c>
      <x:c r="M1777" t="n">
        <x:v>277.6</x:v>
      </x:c>
      <x:c r="N1777" t="n">
        <x:v>16.4</x:v>
      </x:c>
      <x:c r="O1777" t="n">
        <x:v>54.7</x:v>
      </x:c>
      <x:c r="P1777" t="str">
        <x:v>Cloudy</x:v>
      </x:c>
      <x:c r="Q1777" t="n">
        <x:v>86</x:v>
      </x:c>
      <x:c r="R1777" t="n">
        <x:v>78.6</x:v>
      </x:c>
      <x:c r="S1777" t="n">
        <x:v>0.0903</x:v>
      </x:c>
      <x:c r="T1777" t="n">
        <x:v>15.7</x:v>
      </x:c>
      <x:c r="U1777" t="n">
        <x:v>1030</x:v>
      </x:c>
      <x:c r="V1777" t="n">
        <x:v>2209</x:v>
      </x:c>
      <x:c r="W1777" t="n">
        <x:v>40.3</x:v>
      </x:c>
    </x:row>
    <x:row r="1778">
      <x:c r="A1778" t="str">
        <x:v>PJT_1777</x:v>
      </x:c>
      <x:c r="B1778" t="str">
        <x:v>Humid Subtropical</x:v>
      </x:c>
      <x:c r="C1778" t="n">
        <x:v>8980</x:v>
      </x:c>
      <x:c r="D1778" t="n">
        <x:v>10</x:v>
      </x:c>
      <x:c r="E1778" t="str">
        <x:v>Low</x:v>
      </x:c>
      <x:c r="F1778" t="str">
        <x:v>Residential</x:v>
      </x:c>
      <x:c r="G1778" t="str">
        <x:v>RC Frame</x:v>
      </x:c>
      <x:c r="H1778" t="str">
        <x:v>Raft</x:v>
      </x:c>
      <x:c r="I1778" t="str">
        <x:v>Rock</x:v>
      </x:c>
      <x:c r="J1778" t="str">
        <x:v>Medium</x:v>
      </x:c>
      <x:c r="K1778" t="n">
        <x:v>13443060</x:v>
      </x:c>
      <x:c r="L1778" t="n">
        <x:v>300</x:v>
      </x:c>
      <x:c r="M1778" t="n">
        <x:v>623.9</x:v>
      </x:c>
      <x:c r="N1778" t="n">
        <x:v>26.4</x:v>
      </x:c>
      <x:c r="O1778" t="n">
        <x:v>75.9</x:v>
      </x:c>
      <x:c r="P1778" t="str">
        <x:v>Cloudy</x:v>
      </x:c>
      <x:c r="Q1778" t="n">
        <x:v>75</x:v>
      </x:c>
      <x:c r="R1778" t="n">
        <x:v>68.2</x:v>
      </x:c>
      <x:c r="S1778" t="n">
        <x:v>0.0777</x:v>
      </x:c>
      <x:c r="T1778" t="n">
        <x:v>11</x:v>
      </x:c>
      <x:c r="U1778" t="n">
        <x:v>898</x:v>
      </x:c>
      <x:c r="V1778" t="n">
        <x:v>1497</x:v>
      </x:c>
      <x:c r="W1778" t="n">
        <x:v>33.4</x:v>
      </x:c>
    </x:row>
    <x:row r="1779">
      <x:c r="A1779" t="str">
        <x:v>PJT_1778</x:v>
      </x:c>
      <x:c r="B1779" t="str">
        <x:v>Continental</x:v>
      </x:c>
      <x:c r="C1779" t="n">
        <x:v>8800</x:v>
      </x:c>
      <x:c r="D1779" t="n">
        <x:v>13</x:v>
      </x:c>
      <x:c r="E1779" t="str">
        <x:v>Low</x:v>
      </x:c>
      <x:c r="F1779" t="str">
        <x:v>Residential</x:v>
      </x:c>
      <x:c r="G1779" t="str">
        <x:v>Shear Wall</x:v>
      </x:c>
      <x:c r="H1779" t="str">
        <x:v>Raft</x:v>
      </x:c>
      <x:c r="I1779" t="str">
        <x:v>Rock</x:v>
      </x:c>
      <x:c r="J1779" t="str">
        <x:v>High</x:v>
      </x:c>
      <x:c r="K1779" t="n">
        <x:v>13041600</x:v>
      </x:c>
      <x:c r="L1779" t="n">
        <x:v>312</x:v>
      </x:c>
      <x:c r="M1779" t="n">
        <x:v>623.2</x:v>
      </x:c>
      <x:c r="N1779" t="n">
        <x:v>7.9</x:v>
      </x:c>
      <x:c r="O1779" t="n">
        <x:v>66.3</x:v>
      </x:c>
      <x:c r="P1779" t="str">
        <x:v>Rainy</x:v>
      </x:c>
      <x:c r="Q1779" t="n">
        <x:v>84</x:v>
      </x:c>
      <x:c r="R1779" t="n">
        <x:v>64.7</x:v>
      </x:c>
      <x:c r="S1779" t="n">
        <x:v>0.0815</x:v>
      </x:c>
      <x:c r="T1779" t="n">
        <x:v>12.5</x:v>
      </x:c>
      <x:c r="U1779" t="n">
        <x:v>676.9</x:v>
      </x:c>
      <x:c r="V1779" t="n">
        <x:v>1482</x:v>
      </x:c>
      <x:c r="W1779" t="n">
        <x:v>35.4</x:v>
      </x:c>
    </x:row>
    <x:row r="1780">
      <x:c r="A1780" t="str">
        <x:v>PJT_1779</x:v>
      </x:c>
      <x:c r="B1780" t="str">
        <x:v>Mediterranean</x:v>
      </x:c>
      <x:c r="C1780" t="n">
        <x:v>20890</x:v>
      </x:c>
      <x:c r="D1780" t="n">
        <x:v>11</x:v>
      </x:c>
      <x:c r="E1780" t="str">
        <x:v>Medium</x:v>
      </x:c>
      <x:c r="F1780" t="str">
        <x:v>Commercial</x:v>
      </x:c>
      <x:c r="G1780" t="str">
        <x:v>Steel</x:v>
      </x:c>
      <x:c r="H1780" t="str">
        <x:v>Piles</x:v>
      </x:c>
      <x:c r="I1780" t="str">
        <x:v>Mixed</x:v>
      </x:c>
      <x:c r="J1780" t="str">
        <x:v>Medium</x:v>
      </x:c>
      <x:c r="K1780" t="n">
        <x:v>49906210</x:v>
      </x:c>
      <x:c r="L1780" t="n">
        <x:v>934</x:v>
      </x:c>
      <x:c r="M1780" t="n">
        <x:v>394.4</x:v>
      </x:c>
      <x:c r="N1780" t="n">
        <x:v>25.7</x:v>
      </x:c>
      <x:c r="O1780" t="n">
        <x:v>59.2</x:v>
      </x:c>
      <x:c r="P1780" t="str">
        <x:v>Sunny</x:v>
      </x:c>
      <x:c r="Q1780" t="n">
        <x:v>73</x:v>
      </x:c>
      <x:c r="R1780" t="n">
        <x:v>73.1</x:v>
      </x:c>
      <x:c r="S1780" t="n">
        <x:v>0.1001</x:v>
      </x:c>
      <x:c r="T1780" t="n">
        <x:v>16.9</x:v>
      </x:c>
      <x:c r="U1780" t="n">
        <x:v>1899.1</x:v>
      </x:c>
      <x:c r="V1780" t="n">
        <x:v>2389</x:v>
      </x:c>
      <x:c r="W1780" t="n">
        <x:v>44.7</x:v>
      </x:c>
    </x:row>
    <x:row r="1781">
      <x:c r="A1781" t="str">
        <x:v>PJT_1780</x:v>
      </x:c>
      <x:c r="B1781" t="str">
        <x:v>Humid Subtropical</x:v>
      </x:c>
      <x:c r="C1781" t="n">
        <x:v>24860</x:v>
      </x:c>
      <x:c r="D1781" t="n">
        <x:v>22</x:v>
      </x:c>
      <x:c r="E1781" t="str">
        <x:v>High</x:v>
      </x:c>
      <x:c r="F1781" t="str">
        <x:v>Mixed-use</x:v>
      </x:c>
      <x:c r="G1781" t="str">
        <x:v>Steel</x:v>
      </x:c>
      <x:c r="H1781" t="str">
        <x:v>Piles</x:v>
      </x:c>
      <x:c r="I1781" t="str">
        <x:v>Mixed</x:v>
      </x:c>
      <x:c r="J1781" t="str">
        <x:v>Medium</x:v>
      </x:c>
      <x:c r="K1781" t="n">
        <x:v>73337000</x:v>
      </x:c>
      <x:c r="L1781" t="n">
        <x:v>1439</x:v>
      </x:c>
      <x:c r="M1781" t="n">
        <x:v>286.9</x:v>
      </x:c>
      <x:c r="N1781" t="n">
        <x:v>27.8</x:v>
      </x:c>
      <x:c r="O1781" t="n">
        <x:v>79.6</x:v>
      </x:c>
      <x:c r="P1781" t="str">
        <x:v>Rainy</x:v>
      </x:c>
      <x:c r="Q1781" t="n">
        <x:v>86</x:v>
      </x:c>
      <x:c r="R1781" t="n">
        <x:v>84.4</x:v>
      </x:c>
      <x:c r="S1781" t="n">
        <x:v>0.1037</x:v>
      </x:c>
      <x:c r="T1781" t="n">
        <x:v>20.9</x:v>
      </x:c>
      <x:c r="U1781" t="n">
        <x:v>1130</x:v>
      </x:c>
      <x:c r="V1781" t="n">
        <x:v>2950</x:v>
      </x:c>
      <x:c r="W1781" t="n">
        <x:v>57.9</x:v>
      </x:c>
    </x:row>
    <x:row r="1782">
      <x:c r="A1782" t="str">
        <x:v>PJT_1781</x:v>
      </x:c>
      <x:c r="B1782" t="str">
        <x:v>Marine</x:v>
      </x:c>
      <x:c r="C1782" t="n">
        <x:v>17100</x:v>
      </x:c>
      <x:c r="D1782" t="n">
        <x:v>10</x:v>
      </x:c>
      <x:c r="E1782" t="str">
        <x:v>Medium</x:v>
      </x:c>
      <x:c r="F1782" t="str">
        <x:v>Commercial</x:v>
      </x:c>
      <x:c r="G1782" t="str">
        <x:v>RC Frame</x:v>
      </x:c>
      <x:c r="H1782" t="str">
        <x:v>Piles</x:v>
      </x:c>
      <x:c r="I1782" t="str">
        <x:v>Soft Clay</x:v>
      </x:c>
      <x:c r="J1782" t="str">
        <x:v>Medium</x:v>
      </x:c>
      <x:c r="K1782" t="n">
        <x:v>39022200</x:v>
      </x:c>
      <x:c r="L1782" t="n">
        <x:v>749</x:v>
      </x:c>
      <x:c r="M1782" t="n">
        <x:v>196.8</x:v>
      </x:c>
      <x:c r="N1782" t="n">
        <x:v>16.7</x:v>
      </x:c>
      <x:c r="O1782" t="n">
        <x:v>75.9</x:v>
      </x:c>
      <x:c r="P1782" t="str">
        <x:v>Rainy</x:v>
      </x:c>
      <x:c r="Q1782" t="n">
        <x:v>97</x:v>
      </x:c>
      <x:c r="R1782" t="n">
        <x:v>80.7</x:v>
      </x:c>
      <x:c r="S1782" t="n">
        <x:v>0.0936</x:v>
      </x:c>
      <x:c r="T1782" t="n">
        <x:v>15.9</x:v>
      </x:c>
      <x:c r="U1782" t="n">
        <x:v>1710</x:v>
      </x:c>
      <x:c r="V1782" t="n">
        <x:v>2282</x:v>
      </x:c>
      <x:c r="W1782" t="n">
        <x:v>43.8</x:v>
      </x:c>
    </x:row>
    <x:row r="1783">
      <x:c r="A1783" t="str">
        <x:v>PJT_1782</x:v>
      </x:c>
      <x:c r="B1783" t="str">
        <x:v>Continental</x:v>
      </x:c>
      <x:c r="C1783" t="n">
        <x:v>15460</x:v>
      </x:c>
      <x:c r="D1783" t="n">
        <x:v>17</x:v>
      </x:c>
      <x:c r="E1783" t="str">
        <x:v>Medium</x:v>
      </x:c>
      <x:c r="F1783" t="str">
        <x:v>Residential</x:v>
      </x:c>
      <x:c r="G1783" t="str">
        <x:v>RC Frame</x:v>
      </x:c>
      <x:c r="H1783" t="str">
        <x:v>Piles</x:v>
      </x:c>
      <x:c r="I1783" t="str">
        <x:v>Mixed</x:v>
      </x:c>
      <x:c r="J1783" t="str">
        <x:v>Low</x:v>
      </x:c>
      <x:c r="K1783" t="n">
        <x:v>23576500</x:v>
      </x:c>
      <x:c r="L1783" t="n">
        <x:v>536</x:v>
      </x:c>
      <x:c r="M1783" t="n">
        <x:v>389.7</x:v>
      </x:c>
      <x:c r="N1783" t="n">
        <x:v>21.2</x:v>
      </x:c>
      <x:c r="O1783" t="n">
        <x:v>55.5</x:v>
      </x:c>
      <x:c r="P1783" t="str">
        <x:v>Sunny</x:v>
      </x:c>
      <x:c r="Q1783" t="n">
        <x:v>63</x:v>
      </x:c>
      <x:c r="R1783" t="n">
        <x:v>70.6</x:v>
      </x:c>
      <x:c r="S1783" t="n">
        <x:v>0.0804</x:v>
      </x:c>
      <x:c r="T1783" t="n">
        <x:v>12.3</x:v>
      </x:c>
      <x:c r="U1783" t="n">
        <x:v>909.4</x:v>
      </x:c>
      <x:c r="V1783" t="n">
        <x:v>1525</x:v>
      </x:c>
      <x:c r="W1783" t="n">
        <x:v>34.7</x:v>
      </x:c>
    </x:row>
    <x:row r="1784">
      <x:c r="A1784" t="str">
        <x:v>PJT_1783</x:v>
      </x:c>
      <x:c r="B1784" t="str">
        <x:v>Humid Subtropical</x:v>
      </x:c>
      <x:c r="C1784" t="n">
        <x:v>25490</x:v>
      </x:c>
      <x:c r="D1784" t="n">
        <x:v>12</x:v>
      </x:c>
      <x:c r="E1784" t="str">
        <x:v>Medium</x:v>
      </x:c>
      <x:c r="F1784" t="str">
        <x:v>Commercial</x:v>
      </x:c>
      <x:c r="G1784" t="str">
        <x:v>RC Frame</x:v>
      </x:c>
      <x:c r="H1784" t="str">
        <x:v>Piles</x:v>
      </x:c>
      <x:c r="I1784" t="str">
        <x:v>Mixed</x:v>
      </x:c>
      <x:c r="J1784" t="str">
        <x:v>Low</x:v>
      </x:c>
      <x:c r="K1784" t="n">
        <x:v>56842700</x:v>
      </x:c>
      <x:c r="L1784" t="n">
        <x:v>1208</x:v>
      </x:c>
      <x:c r="M1784" t="n">
        <x:v>299.5</x:v>
      </x:c>
      <x:c r="N1784" t="n">
        <x:v>26</x:v>
      </x:c>
      <x:c r="O1784" t="n">
        <x:v>85.8</x:v>
      </x:c>
      <x:c r="P1784" t="str">
        <x:v>Stormy</x:v>
      </x:c>
      <x:c r="Q1784" t="n">
        <x:v>107</x:v>
      </x:c>
      <x:c r="R1784" t="n">
        <x:v>80.1</x:v>
      </x:c>
      <x:c r="S1784" t="n">
        <x:v>0.0878</x:v>
      </x:c>
      <x:c r="T1784" t="n">
        <x:v>15.8</x:v>
      </x:c>
      <x:c r="U1784" t="n">
        <x:v>2124.2</x:v>
      </x:c>
      <x:c r="V1784" t="n">
        <x:v>2230</x:v>
      </x:c>
      <x:c r="W1784" t="n">
        <x:v>47.4</x:v>
      </x:c>
    </x:row>
    <x:row r="1785">
      <x:c r="A1785" t="str">
        <x:v>PJT_1784</x:v>
      </x:c>
      <x:c r="B1785" t="str">
        <x:v>Marine</x:v>
      </x:c>
      <x:c r="C1785" t="n">
        <x:v>13810</x:v>
      </x:c>
      <x:c r="D1785" t="n">
        <x:v>14</x:v>
      </x:c>
      <x:c r="E1785" t="str">
        <x:v>Low</x:v>
      </x:c>
      <x:c r="F1785" t="str">
        <x:v>Residential</x:v>
      </x:c>
      <x:c r="G1785" t="str">
        <x:v>Shear Wall</x:v>
      </x:c>
      <x:c r="H1785" t="str">
        <x:v>Piles</x:v>
      </x:c>
      <x:c r="I1785" t="str">
        <x:v>Soft Clay</x:v>
      </x:c>
      <x:c r="J1785" t="str">
        <x:v>High</x:v>
      </x:c>
      <x:c r="K1785" t="n">
        <x:v>21819800</x:v>
      </x:c>
      <x:c r="L1785" t="n">
        <x:v>550</x:v>
      </x:c>
      <x:c r="M1785" t="n">
        <x:v>206.2</x:v>
      </x:c>
      <x:c r="N1785" t="n">
        <x:v>7</x:v>
      </x:c>
      <x:c r="O1785" t="n">
        <x:v>78.7</x:v>
      </x:c>
      <x:c r="P1785" t="str">
        <x:v>Rainy</x:v>
      </x:c>
      <x:c r="Q1785" t="n">
        <x:v>62</x:v>
      </x:c>
      <x:c r="R1785" t="n">
        <x:v>67.8</x:v>
      </x:c>
      <x:c r="S1785" t="n">
        <x:v>0.0741</x:v>
      </x:c>
      <x:c r="T1785" t="n">
        <x:v>12.8</x:v>
      </x:c>
      <x:c r="U1785" t="n">
        <x:v>986.4</x:v>
      </x:c>
      <x:c r="V1785" t="n">
        <x:v>1580</x:v>
      </x:c>
      <x:c r="W1785" t="n">
        <x:v>39.8</x:v>
      </x:c>
    </x:row>
    <x:row r="1786">
      <x:c r="A1786" t="str">
        <x:v>PJT_1785</x:v>
      </x:c>
      <x:c r="B1786" t="str">
        <x:v>Mediterranean</x:v>
      </x:c>
      <x:c r="C1786" t="n">
        <x:v>6220</x:v>
      </x:c>
      <x:c r="D1786" t="n">
        <x:v>4</x:v>
      </x:c>
      <x:c r="E1786" t="str">
        <x:v>Low</x:v>
      </x:c>
      <x:c r="F1786" t="str">
        <x:v>Commercial</x:v>
      </x:c>
      <x:c r="G1786" t="str">
        <x:v>RC Frame</x:v>
      </x:c>
      <x:c r="H1786" t="str">
        <x:v>Raft</x:v>
      </x:c>
      <x:c r="I1786" t="str">
        <x:v>Sand</x:v>
      </x:c>
      <x:c r="J1786" t="str">
        <x:v>Medium</x:v>
      </x:c>
      <x:c r="K1786" t="n">
        <x:v>13236160</x:v>
      </x:c>
      <x:c r="L1786" t="n">
        <x:v>238</x:v>
      </x:c>
      <x:c r="M1786" t="n">
        <x:v>229</x:v>
      </x:c>
      <x:c r="N1786" t="n">
        <x:v>16.8</x:v>
      </x:c>
      <x:c r="O1786" t="n">
        <x:v>61.3</x:v>
      </x:c>
      <x:c r="P1786" t="str">
        <x:v>Cloudy</x:v>
      </x:c>
      <x:c r="Q1786" t="n">
        <x:v>81</x:v>
      </x:c>
      <x:c r="R1786" t="n">
        <x:v>68.7</x:v>
      </x:c>
      <x:c r="S1786" t="n">
        <x:v>0.0858</x:v>
      </x:c>
      <x:c r="T1786" t="n">
        <x:v>15.2</x:v>
      </x:c>
      <x:c r="U1786" t="n">
        <x:v>1555</x:v>
      </x:c>
      <x:c r="V1786" t="n">
        <x:v>2128</x:v>
      </x:c>
      <x:c r="W1786" t="n">
        <x:v>38.2</x:v>
      </x:c>
    </x:row>
    <x:row r="1787">
      <x:c r="A1787" t="str">
        <x:v>PJT_1786</x:v>
      </x:c>
      <x:c r="B1787" t="str">
        <x:v>Marine</x:v>
      </x:c>
      <x:c r="C1787" t="n">
        <x:v>14120</x:v>
      </x:c>
      <x:c r="D1787" t="n">
        <x:v>17</x:v>
      </x:c>
      <x:c r="E1787" t="str">
        <x:v>Medium</x:v>
      </x:c>
      <x:c r="F1787" t="str">
        <x:v>Residential</x:v>
      </x:c>
      <x:c r="G1787" t="str">
        <x:v>Shear Wall</x:v>
      </x:c>
      <x:c r="H1787" t="str">
        <x:v>Raft</x:v>
      </x:c>
      <x:c r="I1787" t="str">
        <x:v>Rock</x:v>
      </x:c>
      <x:c r="J1787" t="str">
        <x:v>High</x:v>
      </x:c>
      <x:c r="K1787" t="n">
        <x:v>23679240</x:v>
      </x:c>
      <x:c r="L1787" t="n">
        <x:v>580</x:v>
      </x:c>
      <x:c r="M1787" t="n">
        <x:v>665.8</x:v>
      </x:c>
      <x:c r="N1787" t="n">
        <x:v>15.3</x:v>
      </x:c>
      <x:c r="O1787" t="n">
        <x:v>74.6</x:v>
      </x:c>
      <x:c r="P1787" t="str">
        <x:v>Rainy</x:v>
      </x:c>
      <x:c r="Q1787" t="n">
        <x:v>93</x:v>
      </x:c>
      <x:c r="R1787" t="n">
        <x:v>71.4</x:v>
      </x:c>
      <x:c r="S1787" t="n">
        <x:v>0.0791</x:v>
      </x:c>
      <x:c r="T1787" t="n">
        <x:v>13.8</x:v>
      </x:c>
      <x:c r="U1787" t="n">
        <x:v>830.6</x:v>
      </x:c>
      <x:c r="V1787" t="n">
        <x:v>1677</x:v>
      </x:c>
      <x:c r="W1787" t="n">
        <x:v>41.1</x:v>
      </x:c>
    </x:row>
    <x:row r="1788">
      <x:c r="A1788" t="str">
        <x:v>PJT_1787</x:v>
      </x:c>
      <x:c r="B1788" t="str">
        <x:v>Mediterranean</x:v>
      </x:c>
      <x:c r="C1788" t="n">
        <x:v>18350</x:v>
      </x:c>
      <x:c r="D1788" t="n">
        <x:v>18</x:v>
      </x:c>
      <x:c r="E1788" t="str">
        <x:v>Low</x:v>
      </x:c>
      <x:c r="F1788" t="str">
        <x:v>Residential</x:v>
      </x:c>
      <x:c r="G1788" t="str">
        <x:v>Shear Wall</x:v>
      </x:c>
      <x:c r="H1788" t="str">
        <x:v>Piles</x:v>
      </x:c>
      <x:c r="I1788" t="str">
        <x:v>Mixed</x:v>
      </x:c>
      <x:c r="J1788" t="str">
        <x:v>Medium</x:v>
      </x:c>
      <x:c r="K1788" t="n">
        <x:v>28332400</x:v>
      </x:c>
      <x:c r="L1788" t="n">
        <x:v>670</x:v>
      </x:c>
      <x:c r="M1788" t="n">
        <x:v>324.4</x:v>
      </x:c>
      <x:c r="N1788" t="n">
        <x:v>31.2</x:v>
      </x:c>
      <x:c r="O1788" t="n">
        <x:v>51.7</x:v>
      </x:c>
      <x:c r="P1788" t="str">
        <x:v>Sunny</x:v>
      </x:c>
      <x:c r="Q1788" t="n">
        <x:v>80</x:v>
      </x:c>
      <x:c r="R1788" t="n">
        <x:v>68.5</x:v>
      </x:c>
      <x:c r="S1788" t="n">
        <x:v>0.0747</x:v>
      </x:c>
      <x:c r="T1788" t="n">
        <x:v>13.4</x:v>
      </x:c>
      <x:c r="U1788" t="n">
        <x:v>1019.4</x:v>
      </x:c>
      <x:c r="V1788" t="n">
        <x:v>1544</x:v>
      </x:c>
      <x:c r="W1788" t="n">
        <x:v>36.5</x:v>
      </x:c>
    </x:row>
    <x:row r="1789">
      <x:c r="A1789" t="str">
        <x:v>PJT_1788</x:v>
      </x:c>
      <x:c r="B1789" t="str">
        <x:v>Continental</x:v>
      </x:c>
      <x:c r="C1789" t="n">
        <x:v>14300</x:v>
      </x:c>
      <x:c r="D1789" t="n">
        <x:v>8</x:v>
      </x:c>
      <x:c r="E1789" t="str">
        <x:v>Medium</x:v>
      </x:c>
      <x:c r="F1789" t="str">
        <x:v>Hospital</x:v>
      </x:c>
      <x:c r="G1789" t="str">
        <x:v>RC Frame</x:v>
      </x:c>
      <x:c r="H1789" t="str">
        <x:v>Raft</x:v>
      </x:c>
      <x:c r="I1789" t="str">
        <x:v>Rock</x:v>
      </x:c>
      <x:c r="J1789" t="str">
        <x:v>Low</x:v>
      </x:c>
      <x:c r="K1789" t="n">
        <x:v>40297400</x:v>
      </x:c>
      <x:c r="L1789" t="n">
        <x:v>719</x:v>
      </x:c>
      <x:c r="M1789" t="n">
        <x:v>719.3</x:v>
      </x:c>
      <x:c r="N1789" t="n">
        <x:v>-5.2</x:v>
      </x:c>
      <x:c r="O1789" t="n">
        <x:v>73</x:v>
      </x:c>
      <x:c r="P1789" t="str">
        <x:v>Snowy</x:v>
      </x:c>
      <x:c r="Q1789" t="n">
        <x:v>90</x:v>
      </x:c>
      <x:c r="R1789" t="n">
        <x:v>84.6</x:v>
      </x:c>
      <x:c r="S1789" t="n">
        <x:v>0.1065</x:v>
      </x:c>
      <x:c r="T1789" t="n">
        <x:v>21.1</x:v>
      </x:c>
      <x:c r="U1789" t="n">
        <x:v>1787.5</x:v>
      </x:c>
      <x:c r="V1789" t="n">
        <x:v>2818</x:v>
      </x:c>
      <x:c r="W1789" t="n">
        <x:v>50.3</x:v>
      </x:c>
    </x:row>
    <x:row r="1790">
      <x:c r="A1790" t="str">
        <x:v>PJT_1789</x:v>
      </x:c>
      <x:c r="B1790" t="str">
        <x:v>Mediterranean</x:v>
      </x:c>
      <x:c r="C1790" t="n">
        <x:v>22650</x:v>
      </x:c>
      <x:c r="D1790" t="n">
        <x:v>14</x:v>
      </x:c>
      <x:c r="E1790" t="str">
        <x:v>Medium</x:v>
      </x:c>
      <x:c r="F1790" t="str">
        <x:v>Mixed-use</x:v>
      </x:c>
      <x:c r="G1790" t="str">
        <x:v>Steel</x:v>
      </x:c>
      <x:c r="H1790" t="str">
        <x:v>Raft</x:v>
      </x:c>
      <x:c r="I1790" t="str">
        <x:v>Rock</x:v>
      </x:c>
      <x:c r="J1790" t="str">
        <x:v>Low</x:v>
      </x:c>
      <x:c r="K1790" t="n">
        <x:v>55288650</x:v>
      </x:c>
      <x:c r="L1790" t="n">
        <x:v>1074</x:v>
      </x:c>
      <x:c r="M1790" t="n">
        <x:v>611.7</x:v>
      </x:c>
      <x:c r="N1790" t="n">
        <x:v>31.9</x:v>
      </x:c>
      <x:c r="O1790" t="n">
        <x:v>56.4</x:v>
      </x:c>
      <x:c r="P1790" t="str">
        <x:v>Sunny</x:v>
      </x:c>
      <x:c r="Q1790" t="n">
        <x:v>91</x:v>
      </x:c>
      <x:c r="R1790" t="n">
        <x:v>81.7</x:v>
      </x:c>
      <x:c r="S1790" t="n">
        <x:v>0.1038</x:v>
      </x:c>
      <x:c r="T1790" t="n">
        <x:v>17.8</x:v>
      </x:c>
      <x:c r="U1790" t="n">
        <x:v>1617.9</x:v>
      </x:c>
      <x:c r="V1790" t="n">
        <x:v>2441</x:v>
      </x:c>
      <x:c r="W1790" t="n">
        <x:v>47.4</x:v>
      </x:c>
    </x:row>
    <x:row r="1791">
      <x:c r="A1791" t="str">
        <x:v>PJT_1790</x:v>
      </x:c>
      <x:c r="B1791" t="str">
        <x:v>Mediterranean</x:v>
      </x:c>
      <x:c r="C1791" t="n">
        <x:v>14130</x:v>
      </x:c>
      <x:c r="D1791" t="n">
        <x:v>5</x:v>
      </x:c>
      <x:c r="E1791" t="str">
        <x:v>Low</x:v>
      </x:c>
      <x:c r="F1791" t="str">
        <x:v>School</x:v>
      </x:c>
      <x:c r="G1791" t="str">
        <x:v>RC Frame</x:v>
      </x:c>
      <x:c r="H1791" t="str">
        <x:v>Raft</x:v>
      </x:c>
      <x:c r="I1791" t="str">
        <x:v>Sand</x:v>
      </x:c>
      <x:c r="J1791" t="str">
        <x:v>Low</x:v>
      </x:c>
      <x:c r="K1791" t="n">
        <x:v>23427540</x:v>
      </x:c>
      <x:c r="L1791" t="n">
        <x:v>407</x:v>
      </x:c>
      <x:c r="M1791" t="n">
        <x:v>276.8</x:v>
      </x:c>
      <x:c r="N1791" t="n">
        <x:v>30.9</x:v>
      </x:c>
      <x:c r="O1791" t="n">
        <x:v>53.3</x:v>
      </x:c>
      <x:c r="P1791" t="str">
        <x:v>Sunny</x:v>
      </x:c>
      <x:c r="Q1791" t="n">
        <x:v>55</x:v>
      </x:c>
      <x:c r="R1791" t="n">
        <x:v>61.2</x:v>
      </x:c>
      <x:c r="S1791" t="n">
        <x:v>0.0799</x:v>
      </x:c>
      <x:c r="T1791" t="n">
        <x:v>13.7</x:v>
      </x:c>
      <x:c r="U1791" t="n">
        <x:v>2826</x:v>
      </x:c>
      <x:c r="V1791" t="n">
        <x:v>1658</x:v>
      </x:c>
      <x:c r="W1791" t="n">
        <x:v>28.8</x:v>
      </x:c>
    </x:row>
    <x:row r="1792">
      <x:c r="A1792" t="str">
        <x:v>PJT_1791</x:v>
      </x:c>
      <x:c r="B1792" t="str">
        <x:v>Marine</x:v>
      </x:c>
      <x:c r="C1792" t="n">
        <x:v>10010</x:v>
      </x:c>
      <x:c r="D1792" t="n">
        <x:v>8</x:v>
      </x:c>
      <x:c r="E1792" t="str">
        <x:v>Low</x:v>
      </x:c>
      <x:c r="F1792" t="str">
        <x:v>Residential</x:v>
      </x:c>
      <x:c r="G1792" t="str">
        <x:v>RC Frame</x:v>
      </x:c>
      <x:c r="H1792" t="str">
        <x:v>Piles</x:v>
      </x:c>
      <x:c r="I1792" t="str">
        <x:v>Soft Clay</x:v>
      </x:c>
      <x:c r="J1792" t="str">
        <x:v>Medium</x:v>
      </x:c>
      <x:c r="K1792" t="n">
        <x:v>13963950</x:v>
      </x:c>
      <x:c r="L1792" t="n">
        <x:v>342</x:v>
      </x:c>
      <x:c r="M1792" t="n">
        <x:v>220.3</x:v>
      </x:c>
      <x:c r="N1792" t="n">
        <x:v>16.5</x:v>
      </x:c>
      <x:c r="O1792" t="n">
        <x:v>79.4</x:v>
      </x:c>
      <x:c r="P1792" t="str">
        <x:v>Rainy</x:v>
      </x:c>
      <x:c r="Q1792" t="n">
        <x:v>90</x:v>
      </x:c>
      <x:c r="R1792" t="n">
        <x:v>66.2</x:v>
      </x:c>
      <x:c r="S1792" t="n">
        <x:v>0.0728</x:v>
      </x:c>
      <x:c r="T1792" t="n">
        <x:v>11.7</x:v>
      </x:c>
      <x:c r="U1792" t="n">
        <x:v>1251.2</x:v>
      </x:c>
      <x:c r="V1792" t="n">
        <x:v>1395</x:v>
      </x:c>
      <x:c r="W1792" t="n">
        <x:v>34.2</x:v>
      </x:c>
    </x:row>
    <x:row r="1793">
      <x:c r="A1793" t="str">
        <x:v>PJT_1792</x:v>
      </x:c>
      <x:c r="B1793" t="str">
        <x:v>Mediterranean</x:v>
      </x:c>
      <x:c r="C1793" t="n">
        <x:v>27190</x:v>
      </x:c>
      <x:c r="D1793" t="n">
        <x:v>25</x:v>
      </x:c>
      <x:c r="E1793" t="str">
        <x:v>High</x:v>
      </x:c>
      <x:c r="F1793" t="str">
        <x:v>Mixed-use</x:v>
      </x:c>
      <x:c r="G1793" t="str">
        <x:v>Steel</x:v>
      </x:c>
      <x:c r="H1793" t="str">
        <x:v>Piles</x:v>
      </x:c>
      <x:c r="I1793" t="str">
        <x:v>Mixed</x:v>
      </x:c>
      <x:c r="J1793" t="str">
        <x:v>Low</x:v>
      </x:c>
      <x:c r="K1793" t="n">
        <x:v>77437120</x:v>
      </x:c>
      <x:c r="L1793" t="n">
        <x:v>1577</x:v>
      </x:c>
      <x:c r="M1793" t="n">
        <x:v>421.8</x:v>
      </x:c>
      <x:c r="N1793" t="n">
        <x:v>22.7</x:v>
      </x:c>
      <x:c r="O1793" t="n">
        <x:v>61.7</x:v>
      </x:c>
      <x:c r="P1793" t="str">
        <x:v>Cloudy</x:v>
      </x:c>
      <x:c r="Q1793" t="n">
        <x:v>97</x:v>
      </x:c>
      <x:c r="R1793" t="n">
        <x:v>86.8</x:v>
      </x:c>
      <x:c r="S1793" t="n">
        <x:v>0.1047</x:v>
      </x:c>
      <x:c r="T1793" t="n">
        <x:v>20.4</x:v>
      </x:c>
      <x:c r="U1793" t="n">
        <x:v>1087.6</x:v>
      </x:c>
      <x:c r="V1793" t="n">
        <x:v>2848</x:v>
      </x:c>
      <x:c r="W1793" t="n">
        <x:v>58</x:v>
      </x:c>
    </x:row>
    <x:row r="1794">
      <x:c r="A1794" t="str">
        <x:v>PJT_1793</x:v>
      </x:c>
      <x:c r="B1794" t="str">
        <x:v>Humid Subtropical</x:v>
      </x:c>
      <x:c r="C1794" t="n">
        <x:v>13450</x:v>
      </x:c>
      <x:c r="D1794" t="n">
        <x:v>8</x:v>
      </x:c>
      <x:c r="E1794" t="str">
        <x:v>Medium</x:v>
      </x:c>
      <x:c r="F1794" t="str">
        <x:v>Mixed-use</x:v>
      </x:c>
      <x:c r="G1794" t="str">
        <x:v>RC Frame</x:v>
      </x:c>
      <x:c r="H1794" t="str">
        <x:v>Raft</x:v>
      </x:c>
      <x:c r="I1794" t="str">
        <x:v>Mixed</x:v>
      </x:c>
      <x:c r="J1794" t="str">
        <x:v>Low</x:v>
      </x:c>
      <x:c r="K1794" t="n">
        <x:v>31997550</x:v>
      </x:c>
      <x:c r="L1794" t="n">
        <x:v>607</x:v>
      </x:c>
      <x:c r="M1794" t="n">
        <x:v>331.4</x:v>
      </x:c>
      <x:c r="N1794" t="n">
        <x:v>24.6</x:v>
      </x:c>
      <x:c r="O1794" t="n">
        <x:v>81.2</x:v>
      </x:c>
      <x:c r="P1794" t="str">
        <x:v>Cloudy</x:v>
      </x:c>
      <x:c r="Q1794" t="n">
        <x:v>82</x:v>
      </x:c>
      <x:c r="R1794" t="n">
        <x:v>81.4</x:v>
      </x:c>
      <x:c r="S1794" t="n">
        <x:v>0.0921</x:v>
      </x:c>
      <x:c r="T1794" t="n">
        <x:v>17.3</x:v>
      </x:c>
      <x:c r="U1794" t="n">
        <x:v>1681.2</x:v>
      </x:c>
      <x:c r="V1794" t="n">
        <x:v>2379</x:v>
      </x:c>
      <x:c r="W1794" t="n">
        <x:v>45.1</x:v>
      </x:c>
    </x:row>
    <x:row r="1795">
      <x:c r="A1795" t="str">
        <x:v>PJT_1794</x:v>
      </x:c>
      <x:c r="B1795" t="str">
        <x:v>Continental</x:v>
      </x:c>
      <x:c r="C1795" t="n">
        <x:v>15360</x:v>
      </x:c>
      <x:c r="D1795" t="n">
        <x:v>8</x:v>
      </x:c>
      <x:c r="E1795" t="str">
        <x:v>Medium</x:v>
      </x:c>
      <x:c r="F1795" t="str">
        <x:v>Commercial</x:v>
      </x:c>
      <x:c r="G1795" t="str">
        <x:v>Steel</x:v>
      </x:c>
      <x:c r="H1795" t="str">
        <x:v>Raft</x:v>
      </x:c>
      <x:c r="I1795" t="str">
        <x:v>Mixed</x:v>
      </x:c>
      <x:c r="J1795" t="str">
        <x:v>High</x:v>
      </x:c>
      <x:c r="K1795" t="n">
        <x:v>36433920</x:v>
      </x:c>
      <x:c r="L1795" t="n">
        <x:v>648</x:v>
      </x:c>
      <x:c r="M1795" t="n">
        <x:v>359</x:v>
      </x:c>
      <x:c r="N1795" t="n">
        <x:v>16.9</x:v>
      </x:c>
      <x:c r="O1795" t="n">
        <x:v>56.5</x:v>
      </x:c>
      <x:c r="P1795" t="str">
        <x:v>Cloudy</x:v>
      </x:c>
      <x:c r="Q1795" t="n">
        <x:v>86</x:v>
      </x:c>
      <x:c r="R1795" t="n">
        <x:v>80.2</x:v>
      </x:c>
      <x:c r="S1795" t="n">
        <x:v>0.0947</x:v>
      </x:c>
      <x:c r="T1795" t="n">
        <x:v>16.8</x:v>
      </x:c>
      <x:c r="U1795" t="n">
        <x:v>1920</x:v>
      </x:c>
      <x:c r="V1795" t="n">
        <x:v>2372</x:v>
      </x:c>
      <x:c r="W1795" t="n">
        <x:v>42.2</x:v>
      </x:c>
    </x:row>
    <x:row r="1796">
      <x:c r="A1796" t="str">
        <x:v>PJT_1795</x:v>
      </x:c>
      <x:c r="B1796" t="str">
        <x:v>Humid Subtropical</x:v>
      </x:c>
      <x:c r="C1796" t="n">
        <x:v>19130</x:v>
      </x:c>
      <x:c r="D1796" t="n">
        <x:v>20</x:v>
      </x:c>
      <x:c r="E1796" t="str">
        <x:v>High</x:v>
      </x:c>
      <x:c r="F1796" t="str">
        <x:v>Mixed-use</x:v>
      </x:c>
      <x:c r="G1796" t="str">
        <x:v>Steel</x:v>
      </x:c>
      <x:c r="H1796" t="str">
        <x:v>Piles</x:v>
      </x:c>
      <x:c r="I1796" t="str">
        <x:v>Rock</x:v>
      </x:c>
      <x:c r="J1796" t="str">
        <x:v>Low</x:v>
      </x:c>
      <x:c r="K1796" t="n">
        <x:v>56184810</x:v>
      </x:c>
      <x:c r="L1796" t="n">
        <x:v>1087</x:v>
      </x:c>
      <x:c r="M1796" t="n">
        <x:v>775.8</x:v>
      </x:c>
      <x:c r="N1796" t="n">
        <x:v>27.6</x:v>
      </x:c>
      <x:c r="O1796" t="n">
        <x:v>80.5</x:v>
      </x:c>
      <x:c r="P1796" t="str">
        <x:v>Cloudy</x:v>
      </x:c>
      <x:c r="Q1796" t="n">
        <x:v>103</x:v>
      </x:c>
      <x:c r="R1796" t="n">
        <x:v>83.1</x:v>
      </x:c>
      <x:c r="S1796" t="n">
        <x:v>0.1083</x:v>
      </x:c>
      <x:c r="T1796" t="n">
        <x:v>20.7</x:v>
      </x:c>
      <x:c r="U1796" t="n">
        <x:v>956.5</x:v>
      </x:c>
      <x:c r="V1796" t="n">
        <x:v>2937</x:v>
      </x:c>
      <x:c r="W1796" t="n">
        <x:v>56.8</x:v>
      </x:c>
    </x:row>
    <x:row r="1797">
      <x:c r="A1797" t="str">
        <x:v>PJT_1796</x:v>
      </x:c>
      <x:c r="B1797" t="str">
        <x:v>Marine</x:v>
      </x:c>
      <x:c r="C1797" t="n">
        <x:v>25190</x:v>
      </x:c>
      <x:c r="D1797" t="n">
        <x:v>16</x:v>
      </x:c>
      <x:c r="E1797" t="str">
        <x:v>High</x:v>
      </x:c>
      <x:c r="F1797" t="str">
        <x:v>Mixed-use</x:v>
      </x:c>
      <x:c r="G1797" t="str">
        <x:v>Steel</x:v>
      </x:c>
      <x:c r="H1797" t="str">
        <x:v>Raft</x:v>
      </x:c>
      <x:c r="I1797" t="str">
        <x:v>Rock</x:v>
      </x:c>
      <x:c r="J1797" t="str">
        <x:v>Medium</x:v>
      </x:c>
      <x:c r="K1797" t="n">
        <x:v>73353280</x:v>
      </x:c>
      <x:c r="L1797" t="n">
        <x:v>1373</x:v>
      </x:c>
      <x:c r="M1797" t="n">
        <x:v>699.6</x:v>
      </x:c>
      <x:c r="N1797" t="n">
        <x:v>12.3</x:v>
      </x:c>
      <x:c r="O1797" t="n">
        <x:v>80.2</x:v>
      </x:c>
      <x:c r="P1797" t="str">
        <x:v>Cloudy</x:v>
      </x:c>
      <x:c r="Q1797" t="n">
        <x:v>79</x:v>
      </x:c>
      <x:c r="R1797" t="n">
        <x:v>88.4</x:v>
      </x:c>
      <x:c r="S1797" t="n">
        <x:v>0.1097</x:v>
      </x:c>
      <x:c r="T1797" t="n">
        <x:v>20.9</x:v>
      </x:c>
      <x:c r="U1797" t="n">
        <x:v>1574.4</x:v>
      </x:c>
      <x:c r="V1797" t="n">
        <x:v>2912</x:v>
      </x:c>
      <x:c r="W1797" t="n">
        <x:v>54.5</x:v>
      </x:c>
    </x:row>
    <x:row r="1798">
      <x:c r="A1798" t="str">
        <x:v>PJT_1797</x:v>
      </x:c>
      <x:c r="B1798" t="str">
        <x:v>Mediterranean</x:v>
      </x:c>
      <x:c r="C1798" t="n">
        <x:v>24780</x:v>
      </x:c>
      <x:c r="D1798" t="n">
        <x:v>20</x:v>
      </x:c>
      <x:c r="E1798" t="str">
        <x:v>Medium</x:v>
      </x:c>
      <x:c r="F1798" t="str">
        <x:v>Mixed-use</x:v>
      </x:c>
      <x:c r="G1798" t="str">
        <x:v>Steel</x:v>
      </x:c>
      <x:c r="H1798" t="str">
        <x:v>Piles</x:v>
      </x:c>
      <x:c r="I1798" t="str">
        <x:v>Mixed</x:v>
      </x:c>
      <x:c r="J1798" t="str">
        <x:v>Low</x:v>
      </x:c>
      <x:c r="K1798" t="n">
        <x:v>67971540</x:v>
      </x:c>
      <x:c r="L1798" t="n">
        <x:v>1209</x:v>
      </x:c>
      <x:c r="M1798" t="n">
        <x:v>424.9</x:v>
      </x:c>
      <x:c r="N1798" t="n">
        <x:v>29.9</x:v>
      </x:c>
      <x:c r="O1798" t="n">
        <x:v>49.9</x:v>
      </x:c>
      <x:c r="P1798" t="str">
        <x:v>Sunny</x:v>
      </x:c>
      <x:c r="Q1798" t="n">
        <x:v>92</x:v>
      </x:c>
      <x:c r="R1798" t="n">
        <x:v>81.7</x:v>
      </x:c>
      <x:c r="S1798" t="n">
        <x:v>0.0983</x:v>
      </x:c>
      <x:c r="T1798" t="n">
        <x:v>18.1</x:v>
      </x:c>
      <x:c r="U1798" t="n">
        <x:v>1239</x:v>
      </x:c>
      <x:c r="V1798" t="n">
        <x:v>2743</x:v>
      </x:c>
      <x:c r="W1798" t="n">
        <x:v>48.8</x:v>
      </x:c>
    </x:row>
    <x:row r="1799">
      <x:c r="A1799" t="str">
        <x:v>PJT_1798</x:v>
      </x:c>
      <x:c r="B1799" t="str">
        <x:v>Continental</x:v>
      </x:c>
      <x:c r="C1799" t="n">
        <x:v>10120</x:v>
      </x:c>
      <x:c r="D1799" t="n">
        <x:v>9</x:v>
      </x:c>
      <x:c r="E1799" t="str">
        <x:v>Low</x:v>
      </x:c>
      <x:c r="F1799" t="str">
        <x:v>Residential</x:v>
      </x:c>
      <x:c r="G1799" t="str">
        <x:v>RC Frame</x:v>
      </x:c>
      <x:c r="H1799" t="str">
        <x:v>Raft</x:v>
      </x:c>
      <x:c r="I1799" t="str">
        <x:v>Rock</x:v>
      </x:c>
      <x:c r="J1799" t="str">
        <x:v>Low</x:v>
      </x:c>
      <x:c r="K1799" t="n">
        <x:v>12447600</x:v>
      </x:c>
      <x:c r="L1799" t="n">
        <x:v>306</x:v>
      </x:c>
      <x:c r="M1799" t="n">
        <x:v>702.2</x:v>
      </x:c>
      <x:c r="N1799" t="n">
        <x:v>15.5</x:v>
      </x:c>
      <x:c r="O1799" t="n">
        <x:v>49.1</x:v>
      </x:c>
      <x:c r="P1799" t="str">
        <x:v>Cloudy</x:v>
      </x:c>
      <x:c r="Q1799" t="n">
        <x:v>70</x:v>
      </x:c>
      <x:c r="R1799" t="n">
        <x:v>60.3</x:v>
      </x:c>
      <x:c r="S1799" t="n">
        <x:v>0.0719</x:v>
      </x:c>
      <x:c r="T1799" t="n">
        <x:v>11.7</x:v>
      </x:c>
      <x:c r="U1799" t="n">
        <x:v>1124.4</x:v>
      </x:c>
      <x:c r="V1799" t="n">
        <x:v>1230</x:v>
      </x:c>
      <x:c r="W1799" t="n">
        <x:v>30.2</x:v>
      </x:c>
    </x:row>
    <x:row r="1800">
      <x:c r="A1800" t="str">
        <x:v>PJT_1799</x:v>
      </x:c>
      <x:c r="B1800" t="str">
        <x:v>Humid Subtropical</x:v>
      </x:c>
      <x:c r="C1800" t="n">
        <x:v>7790</x:v>
      </x:c>
      <x:c r="D1800" t="n">
        <x:v>3</x:v>
      </x:c>
      <x:c r="E1800" t="str">
        <x:v>Low</x:v>
      </x:c>
      <x:c r="F1800" t="str">
        <x:v>School</x:v>
      </x:c>
      <x:c r="G1800" t="str">
        <x:v>RC Frame</x:v>
      </x:c>
      <x:c r="H1800" t="str">
        <x:v>Raft</x:v>
      </x:c>
      <x:c r="I1800" t="str">
        <x:v>Mixed</x:v>
      </x:c>
      <x:c r="J1800" t="str">
        <x:v>Low</x:v>
      </x:c>
      <x:c r="K1800" t="n">
        <x:v>13009300</x:v>
      </x:c>
      <x:c r="L1800" t="n">
        <x:v>231</x:v>
      </x:c>
      <x:c r="M1800" t="n">
        <x:v>285.4</x:v>
      </x:c>
      <x:c r="N1800" t="n">
        <x:v>29.2</x:v>
      </x:c>
      <x:c r="O1800" t="n">
        <x:v>77.9</x:v>
      </x:c>
      <x:c r="P1800" t="str">
        <x:v>Cloudy</x:v>
      </x:c>
      <x:c r="Q1800" t="n">
        <x:v>67</x:v>
      </x:c>
      <x:c r="R1800" t="n">
        <x:v>66</x:v>
      </x:c>
      <x:c r="S1800" t="n">
        <x:v>0.0795</x:v>
      </x:c>
      <x:c r="T1800" t="n">
        <x:v>12.6</x:v>
      </x:c>
      <x:c r="U1800" t="n">
        <x:v>2596.7</x:v>
      </x:c>
      <x:c r="V1800" t="n">
        <x:v>1670</x:v>
      </x:c>
      <x:c r="W1800" t="n">
        <x:v>29.6</x:v>
      </x:c>
    </x:row>
    <x:row r="1801">
      <x:c r="A1801" t="str">
        <x:v>PJT_1800</x:v>
      </x:c>
      <x:c r="B1801" t="str">
        <x:v>Mediterranean</x:v>
      </x:c>
      <x:c r="C1801" t="n">
        <x:v>17220</x:v>
      </x:c>
      <x:c r="D1801" t="n">
        <x:v>12</x:v>
      </x:c>
      <x:c r="E1801" t="str">
        <x:v>Medium</x:v>
      </x:c>
      <x:c r="F1801" t="str">
        <x:v>Commercial</x:v>
      </x:c>
      <x:c r="G1801" t="str">
        <x:v>RC Frame</x:v>
      </x:c>
      <x:c r="H1801" t="str">
        <x:v>Piles</x:v>
      </x:c>
      <x:c r="I1801" t="str">
        <x:v>Soft Clay</x:v>
      </x:c>
      <x:c r="J1801" t="str">
        <x:v>Medium</x:v>
      </x:c>
      <x:c r="K1801" t="n">
        <x:v>40329240</x:v>
      </x:c>
      <x:c r="L1801" t="n">
        <x:v>713</x:v>
      </x:c>
      <x:c r="M1801" t="n">
        <x:v>210.6</x:v>
      </x:c>
      <x:c r="N1801" t="n">
        <x:v>31.3</x:v>
      </x:c>
      <x:c r="O1801" t="n">
        <x:v>61.9</x:v>
      </x:c>
      <x:c r="P1801" t="str">
        <x:v>Sunny</x:v>
      </x:c>
      <x:c r="Q1801" t="n">
        <x:v>90</x:v>
      </x:c>
      <x:c r="R1801" t="n">
        <x:v>80.2</x:v>
      </x:c>
      <x:c r="S1801" t="n">
        <x:v>0.0929</x:v>
      </x:c>
      <x:c r="T1801" t="n">
        <x:v>15.7</x:v>
      </x:c>
      <x:c r="U1801" t="n">
        <x:v>1435</x:v>
      </x:c>
      <x:c r="V1801" t="n">
        <x:v>2342</x:v>
      </x:c>
      <x:c r="W1801" t="n">
        <x:v>41.4</x:v>
      </x:c>
    </x:row>
    <x:row r="1802">
      <x:c r="A1802" t="str">
        <x:v>PJT_1801</x:v>
      </x:c>
      <x:c r="B1802" t="str">
        <x:v>Continental</x:v>
      </x:c>
      <x:c r="C1802" t="n">
        <x:v>19880</x:v>
      </x:c>
      <x:c r="D1802" t="n">
        <x:v>21</x:v>
      </x:c>
      <x:c r="E1802" t="str">
        <x:v>Medium</x:v>
      </x:c>
      <x:c r="F1802" t="str">
        <x:v>Residential</x:v>
      </x:c>
      <x:c r="G1802" t="str">
        <x:v>Shear Wall</x:v>
      </x:c>
      <x:c r="H1802" t="str">
        <x:v>Piles</x:v>
      </x:c>
      <x:c r="I1802" t="str">
        <x:v>Mixed</x:v>
      </x:c>
      <x:c r="J1802" t="str">
        <x:v>Medium</x:v>
      </x:c>
      <x:c r="K1802" t="n">
        <x:v>32742360</x:v>
      </x:c>
      <x:c r="L1802" t="n">
        <x:v>841</x:v>
      </x:c>
      <x:c r="M1802" t="n">
        <x:v>368</x:v>
      </x:c>
      <x:c r="N1802" t="n">
        <x:v>-2.4</x:v>
      </x:c>
      <x:c r="O1802" t="n">
        <x:v>62.9</x:v>
      </x:c>
      <x:c r="P1802" t="str">
        <x:v>Snowy</x:v>
      </x:c>
      <x:c r="Q1802" t="n">
        <x:v>91</x:v>
      </x:c>
      <x:c r="R1802" t="n">
        <x:v>80.4</x:v>
      </x:c>
      <x:c r="S1802" t="n">
        <x:v>0.0792</x:v>
      </x:c>
      <x:c r="T1802" t="n">
        <x:v>12.9</x:v>
      </x:c>
      <x:c r="U1802" t="n">
        <x:v>946.7</x:v>
      </x:c>
      <x:c r="V1802" t="n">
        <x:v>1647</x:v>
      </x:c>
      <x:c r="W1802" t="n">
        <x:v>42.3</x:v>
      </x:c>
    </x:row>
    <x:row r="1803">
      <x:c r="A1803" t="str">
        <x:v>PJT_1802</x:v>
      </x:c>
      <x:c r="B1803" t="str">
        <x:v>Continental</x:v>
      </x:c>
      <x:c r="C1803" t="n">
        <x:v>9640</x:v>
      </x:c>
      <x:c r="D1803" t="n">
        <x:v>10</x:v>
      </x:c>
      <x:c r="E1803" t="str">
        <x:v>Low</x:v>
      </x:c>
      <x:c r="F1803" t="str">
        <x:v>Residential</x:v>
      </x:c>
      <x:c r="G1803" t="str">
        <x:v>RC Frame</x:v>
      </x:c>
      <x:c r="H1803" t="str">
        <x:v>Raft</x:v>
      </x:c>
      <x:c r="I1803" t="str">
        <x:v>Rock</x:v>
      </x:c>
      <x:c r="J1803" t="str">
        <x:v>Low</x:v>
      </x:c>
      <x:c r="K1803" t="n">
        <x:v>11828280</x:v>
      </x:c>
      <x:c r="L1803" t="n">
        <x:v>290</x:v>
      </x:c>
      <x:c r="M1803" t="n">
        <x:v>641.2</x:v>
      </x:c>
      <x:c r="N1803" t="n">
        <x:v>10.4</x:v>
      </x:c>
      <x:c r="O1803" t="n">
        <x:v>66.4</x:v>
      </x:c>
      <x:c r="P1803" t="str">
        <x:v>Cloudy</x:v>
      </x:c>
      <x:c r="Q1803" t="n">
        <x:v>72</x:v>
      </x:c>
      <x:c r="R1803" t="n">
        <x:v>63.2</x:v>
      </x:c>
      <x:c r="S1803" t="n">
        <x:v>0.0728</x:v>
      </x:c>
      <x:c r="T1803" t="n">
        <x:v>12.6</x:v>
      </x:c>
      <x:c r="U1803" t="n">
        <x:v>964</x:v>
      </x:c>
      <x:c r="V1803" t="n">
        <x:v>1227</x:v>
      </x:c>
      <x:c r="W1803" t="n">
        <x:v>30.1</x:v>
      </x:c>
    </x:row>
    <x:row r="1804">
      <x:c r="A1804" t="str">
        <x:v>PJT_1803</x:v>
      </x:c>
      <x:c r="B1804" t="str">
        <x:v>Continental</x:v>
      </x:c>
      <x:c r="C1804" t="n">
        <x:v>13210</x:v>
      </x:c>
      <x:c r="D1804" t="n">
        <x:v>8</x:v>
      </x:c>
      <x:c r="E1804" t="str">
        <x:v>Medium</x:v>
      </x:c>
      <x:c r="F1804" t="str">
        <x:v>Hospital</x:v>
      </x:c>
      <x:c r="G1804" t="str">
        <x:v>RC Frame</x:v>
      </x:c>
      <x:c r="H1804" t="str">
        <x:v>Piles</x:v>
      </x:c>
      <x:c r="I1804" t="str">
        <x:v>Soft Clay</x:v>
      </x:c>
      <x:c r="J1804" t="str">
        <x:v>Medium</x:v>
      </x:c>
      <x:c r="K1804" t="n">
        <x:v>39431850</x:v>
      </x:c>
      <x:c r="L1804" t="n">
        <x:v>690</x:v>
      </x:c>
      <x:c r="M1804" t="n">
        <x:v>196</x:v>
      </x:c>
      <x:c r="N1804" t="n">
        <x:v>-9.5</x:v>
      </x:c>
      <x:c r="O1804" t="n">
        <x:v>80.8</x:v>
      </x:c>
      <x:c r="P1804" t="str">
        <x:v>Snowy</x:v>
      </x:c>
      <x:c r="Q1804" t="n">
        <x:v>80</x:v>
      </x:c>
      <x:c r="R1804" t="n">
        <x:v>76.5</x:v>
      </x:c>
      <x:c r="S1804" t="n">
        <x:v>0.1032</x:v>
      </x:c>
      <x:c r="T1804" t="n">
        <x:v>20.4</x:v>
      </x:c>
      <x:c r="U1804" t="n">
        <x:v>1651.2</x:v>
      </x:c>
      <x:c r="V1804" t="n">
        <x:v>2985</x:v>
      </x:c>
      <x:c r="W1804" t="n">
        <x:v>52.2</x:v>
      </x:c>
    </x:row>
    <x:row r="1805">
      <x:c r="A1805" t="str">
        <x:v>PJT_1804</x:v>
      </x:c>
      <x:c r="B1805" t="str">
        <x:v>Continental</x:v>
      </x:c>
      <x:c r="C1805" t="n">
        <x:v>18280</x:v>
      </x:c>
      <x:c r="D1805" t="n">
        <x:v>17</x:v>
      </x:c>
      <x:c r="E1805" t="str">
        <x:v>Low</x:v>
      </x:c>
      <x:c r="F1805" t="str">
        <x:v>Residential</x:v>
      </x:c>
      <x:c r="G1805" t="str">
        <x:v>Shear Wall</x:v>
      </x:c>
      <x:c r="H1805" t="str">
        <x:v>Piles</x:v>
      </x:c>
      <x:c r="I1805" t="str">
        <x:v>Sand</x:v>
      </x:c>
      <x:c r="J1805" t="str">
        <x:v>Medium</x:v>
      </x:c>
      <x:c r="K1805" t="n">
        <x:v>28169480</x:v>
      </x:c>
      <x:c r="L1805" t="n">
        <x:v>704</x:v>
      </x:c>
      <x:c r="M1805" t="n">
        <x:v>237.2</x:v>
      </x:c>
      <x:c r="N1805" t="n">
        <x:v>8.3</x:v>
      </x:c>
      <x:c r="O1805" t="n">
        <x:v>71</x:v>
      </x:c>
      <x:c r="P1805" t="str">
        <x:v>Rainy</x:v>
      </x:c>
      <x:c r="Q1805" t="n">
        <x:v>78</x:v>
      </x:c>
      <x:c r="R1805" t="n">
        <x:v>68.6</x:v>
      </x:c>
      <x:c r="S1805" t="n">
        <x:v>0.0816</x:v>
      </x:c>
      <x:c r="T1805" t="n">
        <x:v>12.5</x:v>
      </x:c>
      <x:c r="U1805" t="n">
        <x:v>1075.3</x:v>
      </x:c>
      <x:c r="V1805" t="n">
        <x:v>1541</x:v>
      </x:c>
      <x:c r="W1805" t="n">
        <x:v>38.5</x:v>
      </x:c>
    </x:row>
    <x:row r="1806">
      <x:c r="A1806" t="str">
        <x:v>PJT_1805</x:v>
      </x:c>
      <x:c r="B1806" t="str">
        <x:v>Marine</x:v>
      </x:c>
      <x:c r="C1806" t="n">
        <x:v>20290</x:v>
      </x:c>
      <x:c r="D1806" t="n">
        <x:v>12</x:v>
      </x:c>
      <x:c r="E1806" t="str">
        <x:v>Medium</x:v>
      </x:c>
      <x:c r="F1806" t="str">
        <x:v>Mixed-use</x:v>
      </x:c>
      <x:c r="G1806" t="str">
        <x:v>Steel</x:v>
      </x:c>
      <x:c r="H1806" t="str">
        <x:v>Piles</x:v>
      </x:c>
      <x:c r="I1806" t="str">
        <x:v>Sand</x:v>
      </x:c>
      <x:c r="J1806" t="str">
        <x:v>Low</x:v>
      </x:c>
      <x:c r="K1806" t="n">
        <x:v>51293120</x:v>
      </x:c>
      <x:c r="L1806" t="n">
        <x:v>1025</x:v>
      </x:c>
      <x:c r="M1806" t="n">
        <x:v>310</x:v>
      </x:c>
      <x:c r="N1806" t="n">
        <x:v>9.3</x:v>
      </x:c>
      <x:c r="O1806" t="n">
        <x:v>70</x:v>
      </x:c>
      <x:c r="P1806" t="str">
        <x:v>Cloudy</x:v>
      </x:c>
      <x:c r="Q1806" t="n">
        <x:v>84</x:v>
      </x:c>
      <x:c r="R1806" t="n">
        <x:v>78</x:v>
      </x:c>
      <x:c r="S1806" t="n">
        <x:v>0.1041</x:v>
      </x:c>
      <x:c r="T1806" t="n">
        <x:v>19.1</x:v>
      </x:c>
      <x:c r="U1806" t="n">
        <x:v>1690.8</x:v>
      </x:c>
      <x:c r="V1806" t="n">
        <x:v>2528</x:v>
      </x:c>
      <x:c r="W1806" t="n">
        <x:v>50.5</x:v>
      </x:c>
    </x:row>
    <x:row r="1807">
      <x:c r="A1807" t="str">
        <x:v>PJT_1806</x:v>
      </x:c>
      <x:c r="B1807" t="str">
        <x:v>Humid Subtropical</x:v>
      </x:c>
      <x:c r="C1807" t="n">
        <x:v>7350</x:v>
      </x:c>
      <x:c r="D1807" t="n">
        <x:v>3</x:v>
      </x:c>
      <x:c r="E1807" t="str">
        <x:v>Low</x:v>
      </x:c>
      <x:c r="F1807" t="str">
        <x:v>School</x:v>
      </x:c>
      <x:c r="G1807" t="str">
        <x:v>RC Frame</x:v>
      </x:c>
      <x:c r="H1807" t="str">
        <x:v>Raft</x:v>
      </x:c>
      <x:c r="I1807" t="str">
        <x:v>Mixed</x:v>
      </x:c>
      <x:c r="J1807" t="str">
        <x:v>Low</x:v>
      </x:c>
      <x:c r="K1807" t="n">
        <x:v>11679150</x:v>
      </x:c>
      <x:c r="L1807" t="n">
        <x:v>224</x:v>
      </x:c>
      <x:c r="M1807" t="n">
        <x:v>263.8</x:v>
      </x:c>
      <x:c r="N1807" t="n">
        <x:v>23.4</x:v>
      </x:c>
      <x:c r="O1807" t="n">
        <x:v>86.9</x:v>
      </x:c>
      <x:c r="P1807" t="str">
        <x:v>Rainy</x:v>
      </x:c>
      <x:c r="Q1807" t="n">
        <x:v>88</x:v>
      </x:c>
      <x:c r="R1807" t="n">
        <x:v>62.5</x:v>
      </x:c>
      <x:c r="S1807" t="n">
        <x:v>0.0814</x:v>
      </x:c>
      <x:c r="T1807" t="n">
        <x:v>13</x:v>
      </x:c>
      <x:c r="U1807" t="n">
        <x:v>2450</x:v>
      </x:c>
      <x:c r="V1807" t="n">
        <x:v>1589</x:v>
      </x:c>
      <x:c r="W1807" t="n">
        <x:v>30.5</x:v>
      </x:c>
    </x:row>
    <x:row r="1808">
      <x:c r="A1808" t="str">
        <x:v>PJT_1807</x:v>
      </x:c>
      <x:c r="B1808" t="str">
        <x:v>Continental</x:v>
      </x:c>
      <x:c r="C1808" t="n">
        <x:v>24600</x:v>
      </x:c>
      <x:c r="D1808" t="n">
        <x:v>15</x:v>
      </x:c>
      <x:c r="E1808" t="str">
        <x:v>High</x:v>
      </x:c>
      <x:c r="F1808" t="str">
        <x:v>Hospital</x:v>
      </x:c>
      <x:c r="G1808" t="str">
        <x:v>Shear Wall</x:v>
      </x:c>
      <x:c r="H1808" t="str">
        <x:v>Piles</x:v>
      </x:c>
      <x:c r="I1808" t="str">
        <x:v>Mixed</x:v>
      </x:c>
      <x:c r="J1808" t="str">
        <x:v>Medium</x:v>
      </x:c>
      <x:c r="K1808" t="n">
        <x:v>79802400</x:v>
      </x:c>
      <x:c r="L1808" t="n">
        <x:v>1380</x:v>
      </x:c>
      <x:c r="M1808" t="n">
        <x:v>406.8</x:v>
      </x:c>
      <x:c r="N1808" t="n">
        <x:v>5.8</x:v>
      </x:c>
      <x:c r="O1808" t="n">
        <x:v>80.8</x:v>
      </x:c>
      <x:c r="P1808" t="str">
        <x:v>Rainy</x:v>
      </x:c>
      <x:c r="Q1808" t="n">
        <x:v>84</x:v>
      </x:c>
      <x:c r="R1808" t="n">
        <x:v>88.7</x:v>
      </x:c>
      <x:c r="S1808" t="n">
        <x:v>0.11</x:v>
      </x:c>
      <x:c r="T1808" t="n">
        <x:v>22.4</x:v>
      </x:c>
      <x:c r="U1808" t="n">
        <x:v>1640</x:v>
      </x:c>
      <x:c r="V1808" t="n">
        <x:v>3244</x:v>
      </x:c>
      <x:c r="W1808" t="n">
        <x:v>56.1</x:v>
      </x:c>
    </x:row>
    <x:row r="1809">
      <x:c r="A1809" t="str">
        <x:v>PJT_1808</x:v>
      </x:c>
      <x:c r="B1809" t="str">
        <x:v>Humid Subtropical</x:v>
      </x:c>
      <x:c r="C1809" t="n">
        <x:v>20680</x:v>
      </x:c>
      <x:c r="D1809" t="n">
        <x:v>18</x:v>
      </x:c>
      <x:c r="E1809" t="str">
        <x:v>Medium</x:v>
      </x:c>
      <x:c r="F1809" t="str">
        <x:v>Residential</x:v>
      </x:c>
      <x:c r="G1809" t="str">
        <x:v>Shear Wall</x:v>
      </x:c>
      <x:c r="H1809" t="str">
        <x:v>Piles</x:v>
      </x:c>
      <x:c r="I1809" t="str">
        <x:v>Rock</x:v>
      </x:c>
      <x:c r="J1809" t="str">
        <x:v>High</x:v>
      </x:c>
      <x:c r="K1809" t="n">
        <x:v>35176680</x:v>
      </x:c>
      <x:c r="L1809" t="n">
        <x:v>840</x:v>
      </x:c>
      <x:c r="M1809" t="n">
        <x:v>641.2</x:v>
      </x:c>
      <x:c r="N1809" t="n">
        <x:v>24</x:v>
      </x:c>
      <x:c r="O1809" t="n">
        <x:v>77.7</x:v>
      </x:c>
      <x:c r="P1809" t="str">
        <x:v>Rainy</x:v>
      </x:c>
      <x:c r="Q1809" t="n">
        <x:v>101</x:v>
      </x:c>
      <x:c r="R1809" t="n">
        <x:v>71.6</x:v>
      </x:c>
      <x:c r="S1809" t="n">
        <x:v>0.0859</x:v>
      </x:c>
      <x:c r="T1809" t="n">
        <x:v>14.3</x:v>
      </x:c>
      <x:c r="U1809" t="n">
        <x:v>1148.9</x:v>
      </x:c>
      <x:c r="V1809" t="n">
        <x:v>1701</x:v>
      </x:c>
      <x:c r="W1809" t="n">
        <x:v>40.6</x:v>
      </x:c>
    </x:row>
    <x:row r="1810">
      <x:c r="A1810" t="str">
        <x:v>PJT_1809</x:v>
      </x:c>
      <x:c r="B1810" t="str">
        <x:v>Humid Subtropical</x:v>
      </x:c>
      <x:c r="C1810" t="n">
        <x:v>9170</x:v>
      </x:c>
      <x:c r="D1810" t="n">
        <x:v>11</x:v>
      </x:c>
      <x:c r="E1810" t="str">
        <x:v>Low</x:v>
      </x:c>
      <x:c r="F1810" t="str">
        <x:v>Residential</x:v>
      </x:c>
      <x:c r="G1810" t="str">
        <x:v>RC Frame</x:v>
      </x:c>
      <x:c r="H1810" t="str">
        <x:v>Raft</x:v>
      </x:c>
      <x:c r="I1810" t="str">
        <x:v>Mixed</x:v>
      </x:c>
      <x:c r="J1810" t="str">
        <x:v>Medium</x:v>
      </x:c>
      <x:c r="K1810" t="n">
        <x:v>12801320</x:v>
      </x:c>
      <x:c r="L1810" t="n">
        <x:v>303</x:v>
      </x:c>
      <x:c r="M1810" t="n">
        <x:v>309.1</x:v>
      </x:c>
      <x:c r="N1810" t="n">
        <x:v>21.3</x:v>
      </x:c>
      <x:c r="O1810" t="n">
        <x:v>65</x:v>
      </x:c>
      <x:c r="P1810" t="str">
        <x:v>Cloudy</x:v>
      </x:c>
      <x:c r="Q1810" t="n">
        <x:v>85</x:v>
      </x:c>
      <x:c r="R1810" t="n">
        <x:v>63.5</x:v>
      </x:c>
      <x:c r="S1810" t="n">
        <x:v>0.0734</x:v>
      </x:c>
      <x:c r="T1810" t="n">
        <x:v>11.3</x:v>
      </x:c>
      <x:c r="U1810" t="n">
        <x:v>833.6</x:v>
      </x:c>
      <x:c r="V1810" t="n">
        <x:v>1396</x:v>
      </x:c>
      <x:c r="W1810" t="n">
        <x:v>33</x:v>
      </x:c>
    </x:row>
    <x:row r="1811">
      <x:c r="A1811" t="str">
        <x:v>PJT_1810</x:v>
      </x:c>
      <x:c r="B1811" t="str">
        <x:v>Continental</x:v>
      </x:c>
      <x:c r="C1811" t="n">
        <x:v>18220</x:v>
      </x:c>
      <x:c r="D1811" t="n">
        <x:v>18</x:v>
      </x:c>
      <x:c r="E1811" t="str">
        <x:v>Medium</x:v>
      </x:c>
      <x:c r="F1811" t="str">
        <x:v>Commercial</x:v>
      </x:c>
      <x:c r="G1811" t="str">
        <x:v>Steel</x:v>
      </x:c>
      <x:c r="H1811" t="str">
        <x:v>Piles</x:v>
      </x:c>
      <x:c r="I1811" t="str">
        <x:v>Soft Clay</x:v>
      </x:c>
      <x:c r="J1811" t="str">
        <x:v>Medium</x:v>
      </x:c>
      <x:c r="K1811" t="n">
        <x:v>46588540</x:v>
      </x:c>
      <x:c r="L1811" t="n">
        <x:v>927</x:v>
      </x:c>
      <x:c r="M1811" t="n">
        <x:v>206.6</x:v>
      </x:c>
      <x:c r="N1811" t="n">
        <x:v>18.5</x:v>
      </x:c>
      <x:c r="O1811" t="n">
        <x:v>83.5</x:v>
      </x:c>
      <x:c r="P1811" t="str">
        <x:v>Stormy</x:v>
      </x:c>
      <x:c r="Q1811" t="n">
        <x:v>86</x:v>
      </x:c>
      <x:c r="R1811" t="n">
        <x:v>80.9</x:v>
      </x:c>
      <x:c r="S1811" t="n">
        <x:v>0.0949</x:v>
      </x:c>
      <x:c r="T1811" t="n">
        <x:v>16.2</x:v>
      </x:c>
      <x:c r="U1811" t="n">
        <x:v>1012.2</x:v>
      </x:c>
      <x:c r="V1811" t="n">
        <x:v>2557</x:v>
      </x:c>
      <x:c r="W1811" t="n">
        <x:v>50.9</x:v>
      </x:c>
    </x:row>
    <x:row r="1812">
      <x:c r="A1812" t="str">
        <x:v>PJT_1811</x:v>
      </x:c>
      <x:c r="B1812" t="str">
        <x:v>Mediterranean</x:v>
      </x:c>
      <x:c r="C1812" t="n">
        <x:v>10750</x:v>
      </x:c>
      <x:c r="D1812" t="n">
        <x:v>11</x:v>
      </x:c>
      <x:c r="E1812" t="str">
        <x:v>Low</x:v>
      </x:c>
      <x:c r="F1812" t="str">
        <x:v>Residential</x:v>
      </x:c>
      <x:c r="G1812" t="str">
        <x:v>RC Frame</x:v>
      </x:c>
      <x:c r="H1812" t="str">
        <x:v>Raft</x:v>
      </x:c>
      <x:c r="I1812" t="str">
        <x:v>Mixed</x:v>
      </x:c>
      <x:c r="J1812" t="str">
        <x:v>Medium</x:v>
      </x:c>
      <x:c r="K1812" t="n">
        <x:v>15641250</x:v>
      </x:c>
      <x:c r="L1812" t="n">
        <x:v>390</x:v>
      </x:c>
      <x:c r="M1812" t="n">
        <x:v>355.1</x:v>
      </x:c>
      <x:c r="N1812" t="n">
        <x:v>9.6</x:v>
      </x:c>
      <x:c r="O1812" t="n">
        <x:v>74.7</x:v>
      </x:c>
      <x:c r="P1812" t="str">
        <x:v>Stormy</x:v>
      </x:c>
      <x:c r="Q1812" t="n">
        <x:v>65</x:v>
      </x:c>
      <x:c r="R1812" t="n">
        <x:v>65.2</x:v>
      </x:c>
      <x:c r="S1812" t="n">
        <x:v>0.0714</x:v>
      </x:c>
      <x:c r="T1812" t="n">
        <x:v>12.2</x:v>
      </x:c>
      <x:c r="U1812" t="n">
        <x:v>977.3</x:v>
      </x:c>
      <x:c r="V1812" t="n">
        <x:v>1455</x:v>
      </x:c>
      <x:c r="W1812" t="n">
        <x:v>36.3</x:v>
      </x:c>
    </x:row>
    <x:row r="1813">
      <x:c r="A1813" t="str">
        <x:v>PJT_1812</x:v>
      </x:c>
      <x:c r="B1813" t="str">
        <x:v>Continental</x:v>
      </x:c>
      <x:c r="C1813" t="n">
        <x:v>14440</x:v>
      </x:c>
      <x:c r="D1813" t="n">
        <x:v>17</x:v>
      </x:c>
      <x:c r="E1813" t="str">
        <x:v>Medium</x:v>
      </x:c>
      <x:c r="F1813" t="str">
        <x:v>Residential</x:v>
      </x:c>
      <x:c r="G1813" t="str">
        <x:v>RC Frame</x:v>
      </x:c>
      <x:c r="H1813" t="str">
        <x:v>Piles</x:v>
      </x:c>
      <x:c r="I1813" t="str">
        <x:v>Mixed</x:v>
      </x:c>
      <x:c r="J1813" t="str">
        <x:v>Low</x:v>
      </x:c>
      <x:c r="K1813" t="n">
        <x:v>20779160</x:v>
      </x:c>
      <x:c r="L1813" t="n">
        <x:v>580</x:v>
      </x:c>
      <x:c r="M1813" t="n">
        <x:v>416</x:v>
      </x:c>
      <x:c r="N1813" t="n">
        <x:v>11.9</x:v>
      </x:c>
      <x:c r="O1813" t="n">
        <x:v>75.3</x:v>
      </x:c>
      <x:c r="P1813" t="str">
        <x:v>Rainy</x:v>
      </x:c>
      <x:c r="Q1813" t="n">
        <x:v>64</x:v>
      </x:c>
      <x:c r="R1813" t="n">
        <x:v>72.3</x:v>
      </x:c>
      <x:c r="S1813" t="n">
        <x:v>0.0809</x:v>
      </x:c>
      <x:c r="T1813" t="n">
        <x:v>12.4</x:v>
      </x:c>
      <x:c r="U1813" t="n">
        <x:v>849.4</x:v>
      </x:c>
      <x:c r="V1813" t="n">
        <x:v>1439</x:v>
      </x:c>
      <x:c r="W1813" t="n">
        <x:v>40.2</x:v>
      </x:c>
    </x:row>
    <x:row r="1814">
      <x:c r="A1814" t="str">
        <x:v>PJT_1813</x:v>
      </x:c>
      <x:c r="B1814" t="str">
        <x:v>Humid Subtropical</x:v>
      </x:c>
      <x:c r="C1814" t="n">
        <x:v>22680</x:v>
      </x:c>
      <x:c r="D1814" t="n">
        <x:v>22</x:v>
      </x:c>
      <x:c r="E1814" t="str">
        <x:v>Medium</x:v>
      </x:c>
      <x:c r="F1814" t="str">
        <x:v>Residential</x:v>
      </x:c>
      <x:c r="G1814" t="str">
        <x:v>Shear Wall</x:v>
      </x:c>
      <x:c r="H1814" t="str">
        <x:v>Piles</x:v>
      </x:c>
      <x:c r="I1814" t="str">
        <x:v>Rock</x:v>
      </x:c>
      <x:c r="J1814" t="str">
        <x:v>Medium</x:v>
      </x:c>
      <x:c r="K1814" t="n">
        <x:v>36673560</x:v>
      </x:c>
      <x:c r="L1814" t="n">
        <x:v>1023</x:v>
      </x:c>
      <x:c r="M1814" t="n">
        <x:v>734.6</x:v>
      </x:c>
      <x:c r="N1814" t="n">
        <x:v>25.5</x:v>
      </x:c>
      <x:c r="O1814" t="n">
        <x:v>86.7</x:v>
      </x:c>
      <x:c r="P1814" t="str">
        <x:v>Stormy</x:v>
      </x:c>
      <x:c r="Q1814" t="n">
        <x:v>104</x:v>
      </x:c>
      <x:c r="R1814" t="n">
        <x:v>74.3</x:v>
      </x:c>
      <x:c r="S1814" t="n">
        <x:v>0.0815</x:v>
      </x:c>
      <x:c r="T1814" t="n">
        <x:v>12.7</x:v>
      </x:c>
      <x:c r="U1814" t="n">
        <x:v>1030.9</x:v>
      </x:c>
      <x:c r="V1814" t="n">
        <x:v>1617</x:v>
      </x:c>
      <x:c r="W1814" t="n">
        <x:v>45.1</x:v>
      </x:c>
    </x:row>
    <x:row r="1815">
      <x:c r="A1815" t="str">
        <x:v>PJT_1814</x:v>
      </x:c>
      <x:c r="B1815" t="str">
        <x:v>Humid Subtropical</x:v>
      </x:c>
      <x:c r="C1815" t="n">
        <x:v>33530</x:v>
      </x:c>
      <x:c r="D1815" t="n">
        <x:v>21</x:v>
      </x:c>
      <x:c r="E1815" t="str">
        <x:v>High</x:v>
      </x:c>
      <x:c r="F1815" t="str">
        <x:v>Mixed-use</x:v>
      </x:c>
      <x:c r="G1815" t="str">
        <x:v>Steel</x:v>
      </x:c>
      <x:c r="H1815" t="str">
        <x:v>Piles</x:v>
      </x:c>
      <x:c r="I1815" t="str">
        <x:v>Rock</x:v>
      </x:c>
      <x:c r="J1815" t="str">
        <x:v>Medium</x:v>
      </x:c>
      <x:c r="K1815" t="n">
        <x:v>98712320</x:v>
      </x:c>
      <x:c r="L1815" t="n">
        <x:v>1767</x:v>
      </x:c>
      <x:c r="M1815" t="n">
        <x:v>647.7</x:v>
      </x:c>
      <x:c r="N1815" t="n">
        <x:v>25.1</x:v>
      </x:c>
      <x:c r="O1815" t="n">
        <x:v>53.7</x:v>
      </x:c>
      <x:c r="P1815" t="str">
        <x:v>Sunny</x:v>
      </x:c>
      <x:c r="Q1815" t="n">
        <x:v>99</x:v>
      </x:c>
      <x:c r="R1815" t="n">
        <x:v>92</x:v>
      </x:c>
      <x:c r="S1815" t="n">
        <x:v>0.1053</x:v>
      </x:c>
      <x:c r="T1815" t="n">
        <x:v>20.2</x:v>
      </x:c>
      <x:c r="U1815" t="n">
        <x:v>1596.7</x:v>
      </x:c>
      <x:c r="V1815" t="n">
        <x:v>2944</x:v>
      </x:c>
      <x:c r="W1815" t="n">
        <x:v>52.7</x:v>
      </x:c>
    </x:row>
    <x:row r="1816">
      <x:c r="A1816" t="str">
        <x:v>PJT_1815</x:v>
      </x:c>
      <x:c r="B1816" t="str">
        <x:v>Continental</x:v>
      </x:c>
      <x:c r="C1816" t="n">
        <x:v>14630</x:v>
      </x:c>
      <x:c r="D1816" t="n">
        <x:v>22</x:v>
      </x:c>
      <x:c r="E1816" t="str">
        <x:v>Medium</x:v>
      </x:c>
      <x:c r="F1816" t="str">
        <x:v>Residential</x:v>
      </x:c>
      <x:c r="G1816" t="str">
        <x:v>RC Frame</x:v>
      </x:c>
      <x:c r="H1816" t="str">
        <x:v>Piles</x:v>
      </x:c>
      <x:c r="I1816" t="str">
        <x:v>Mixed</x:v>
      </x:c>
      <x:c r="J1816" t="str">
        <x:v>Low</x:v>
      </x:c>
      <x:c r="K1816" t="n">
        <x:v>22471680</x:v>
      </x:c>
      <x:c r="L1816" t="n">
        <x:v>594</x:v>
      </x:c>
      <x:c r="M1816" t="n">
        <x:v>286.1</x:v>
      </x:c>
      <x:c r="N1816" t="n">
        <x:v>5.5</x:v>
      </x:c>
      <x:c r="O1816" t="n">
        <x:v>67.2</x:v>
      </x:c>
      <x:c r="P1816" t="str">
        <x:v>Rainy</x:v>
      </x:c>
      <x:c r="Q1816" t="n">
        <x:v>71</x:v>
      </x:c>
      <x:c r="R1816" t="n">
        <x:v>72</x:v>
      </x:c>
      <x:c r="S1816" t="n">
        <x:v>0.0816</x:v>
      </x:c>
      <x:c r="T1816" t="n">
        <x:v>12.9</x:v>
      </x:c>
      <x:c r="U1816" t="n">
        <x:v>665</x:v>
      </x:c>
      <x:c r="V1816" t="n">
        <x:v>1536</x:v>
      </x:c>
      <x:c r="W1816" t="n">
        <x:v>40.6</x:v>
      </x:c>
    </x:row>
    <x:row r="1817">
      <x:c r="A1817" t="str">
        <x:v>PJT_1816</x:v>
      </x:c>
      <x:c r="B1817" t="str">
        <x:v>Continental</x:v>
      </x:c>
      <x:c r="C1817" t="n">
        <x:v>19350</x:v>
      </x:c>
      <x:c r="D1817" t="n">
        <x:v>12</x:v>
      </x:c>
      <x:c r="E1817" t="str">
        <x:v>Medium</x:v>
      </x:c>
      <x:c r="F1817" t="str">
        <x:v>Mixed-use</x:v>
      </x:c>
      <x:c r="G1817" t="str">
        <x:v>Shear Wall</x:v>
      </x:c>
      <x:c r="H1817" t="str">
        <x:v>Raft</x:v>
      </x:c>
      <x:c r="I1817" t="str">
        <x:v>Mixed</x:v>
      </x:c>
      <x:c r="J1817" t="str">
        <x:v>High</x:v>
      </x:c>
      <x:c r="K1817" t="n">
        <x:v>47813850</x:v>
      </x:c>
      <x:c r="L1817" t="n">
        <x:v>1002</x:v>
      </x:c>
      <x:c r="M1817" t="n">
        <x:v>362</x:v>
      </x:c>
      <x:c r="N1817" t="n">
        <x:v>7.2</x:v>
      </x:c>
      <x:c r="O1817" t="n">
        <x:v>77</x:v>
      </x:c>
      <x:c r="P1817" t="str">
        <x:v>Stormy</x:v>
      </x:c>
      <x:c r="Q1817" t="n">
        <x:v>78</x:v>
      </x:c>
      <x:c r="R1817" t="n">
        <x:v>81.9</x:v>
      </x:c>
      <x:c r="S1817" t="n">
        <x:v>0.1018</x:v>
      </x:c>
      <x:c r="T1817" t="n">
        <x:v>18.7</x:v>
      </x:c>
      <x:c r="U1817" t="n">
        <x:v>1612.5</x:v>
      </x:c>
      <x:c r="V1817" t="n">
        <x:v>2471</x:v>
      </x:c>
      <x:c r="W1817" t="n">
        <x:v>51.8</x:v>
      </x:c>
    </x:row>
    <x:row r="1818">
      <x:c r="A1818" t="str">
        <x:v>PJT_1817</x:v>
      </x:c>
      <x:c r="B1818" t="str">
        <x:v>Continental</x:v>
      </x:c>
      <x:c r="C1818" t="n">
        <x:v>9100</x:v>
      </x:c>
      <x:c r="D1818" t="n">
        <x:v>4</x:v>
      </x:c>
      <x:c r="E1818" t="str">
        <x:v>Low</x:v>
      </x:c>
      <x:c r="F1818" t="str">
        <x:v>School</x:v>
      </x:c>
      <x:c r="G1818" t="str">
        <x:v>RC Frame</x:v>
      </x:c>
      <x:c r="H1818" t="str">
        <x:v>Raft</x:v>
      </x:c>
      <x:c r="I1818" t="str">
        <x:v>Soft Clay</x:v>
      </x:c>
      <x:c r="J1818" t="str">
        <x:v>Medium</x:v>
      </x:c>
      <x:c r="K1818" t="n">
        <x:v>14960400</x:v>
      </x:c>
      <x:c r="L1818" t="n">
        <x:v>268</x:v>
      </x:c>
      <x:c r="M1818" t="n">
        <x:v>159.4</x:v>
      </x:c>
      <x:c r="N1818" t="n">
        <x:v>20.1</x:v>
      </x:c>
      <x:c r="O1818" t="n">
        <x:v>54.3</x:v>
      </x:c>
      <x:c r="P1818" t="str">
        <x:v>Cloudy</x:v>
      </x:c>
      <x:c r="Q1818" t="n">
        <x:v>84</x:v>
      </x:c>
      <x:c r="R1818" t="n">
        <x:v>59.9</x:v>
      </x:c>
      <x:c r="S1818" t="n">
        <x:v>0.0768</x:v>
      </x:c>
      <x:c r="T1818" t="n">
        <x:v>14.2</x:v>
      </x:c>
      <x:c r="U1818" t="n">
        <x:v>2275</x:v>
      </x:c>
      <x:c r="V1818" t="n">
        <x:v>1644</x:v>
      </x:c>
      <x:c r="W1818" t="n">
        <x:v>29.4</x:v>
      </x:c>
    </x:row>
    <x:row r="1819">
      <x:c r="A1819" t="str">
        <x:v>PJT_1818</x:v>
      </x:c>
      <x:c r="B1819" t="str">
        <x:v>Continental</x:v>
      </x:c>
      <x:c r="C1819" t="n">
        <x:v>10560</x:v>
      </x:c>
      <x:c r="D1819" t="n">
        <x:v>10</x:v>
      </x:c>
      <x:c r="E1819" t="str">
        <x:v>Medium</x:v>
      </x:c>
      <x:c r="F1819" t="str">
        <x:v>Commercial</x:v>
      </x:c>
      <x:c r="G1819" t="str">
        <x:v>Steel</x:v>
      </x:c>
      <x:c r="H1819" t="str">
        <x:v>Raft</x:v>
      </x:c>
      <x:c r="I1819" t="str">
        <x:v>Rock</x:v>
      </x:c>
      <x:c r="J1819" t="str">
        <x:v>Medium</x:v>
      </x:c>
      <x:c r="K1819" t="n">
        <x:v>23791680</x:v>
      </x:c>
      <x:c r="L1819" t="n">
        <x:v>478</x:v>
      </x:c>
      <x:c r="M1819" t="n">
        <x:v>648.1</x:v>
      </x:c>
      <x:c r="N1819" t="n">
        <x:v>-1.6</x:v>
      </x:c>
      <x:c r="O1819" t="n">
        <x:v>63.8</x:v>
      </x:c>
      <x:c r="P1819" t="str">
        <x:v>Snowy</x:v>
      </x:c>
      <x:c r="Q1819" t="n">
        <x:v>100</x:v>
      </x:c>
      <x:c r="R1819" t="n">
        <x:v>80.6</x:v>
      </x:c>
      <x:c r="S1819" t="n">
        <x:v>0.0979</x:v>
      </x:c>
      <x:c r="T1819" t="n">
        <x:v>16.2</x:v>
      </x:c>
      <x:c r="U1819" t="n">
        <x:v>1056</x:v>
      </x:c>
      <x:c r="V1819" t="n">
        <x:v>2253</x:v>
      </x:c>
      <x:c r="W1819" t="n">
        <x:v>45.3</x:v>
      </x:c>
    </x:row>
    <x:row r="1820">
      <x:c r="A1820" t="str">
        <x:v>PJT_1819</x:v>
      </x:c>
      <x:c r="B1820" t="str">
        <x:v>Continental</x:v>
      </x:c>
      <x:c r="C1820" t="n">
        <x:v>8190</x:v>
      </x:c>
      <x:c r="D1820" t="n">
        <x:v>11</x:v>
      </x:c>
      <x:c r="E1820" t="str">
        <x:v>Low</x:v>
      </x:c>
      <x:c r="F1820" t="str">
        <x:v>Residential</x:v>
      </x:c>
      <x:c r="G1820" t="str">
        <x:v>RC Frame</x:v>
      </x:c>
      <x:c r="H1820" t="str">
        <x:v>Raft</x:v>
      </x:c>
      <x:c r="I1820" t="str">
        <x:v>Mixed</x:v>
      </x:c>
      <x:c r="J1820" t="str">
        <x:v>Low</x:v>
      </x:c>
      <x:c r="K1820" t="n">
        <x:v>10704330</x:v>
      </x:c>
      <x:c r="L1820" t="n">
        <x:v>296</x:v>
      </x:c>
      <x:c r="M1820" t="n">
        <x:v>296.2</x:v>
      </x:c>
      <x:c r="N1820" t="n">
        <x:v>-5.2</x:v>
      </x:c>
      <x:c r="O1820" t="n">
        <x:v>83.2</x:v>
      </x:c>
      <x:c r="P1820" t="str">
        <x:v>Snowy</x:v>
      </x:c>
      <x:c r="Q1820" t="n">
        <x:v>72</x:v>
      </x:c>
      <x:c r="R1820" t="n">
        <x:v>63.8</x:v>
      </x:c>
      <x:c r="S1820" t="n">
        <x:v>0.0739</x:v>
      </x:c>
      <x:c r="T1820" t="n">
        <x:v>11.6</x:v>
      </x:c>
      <x:c r="U1820" t="n">
        <x:v>744.5</x:v>
      </x:c>
      <x:c r="V1820" t="n">
        <x:v>1307</x:v>
      </x:c>
      <x:c r="W1820" t="n">
        <x:v>36.1</x:v>
      </x:c>
    </x:row>
    <x:row r="1821">
      <x:c r="A1821" t="str">
        <x:v>PJT_1820</x:v>
      </x:c>
      <x:c r="B1821" t="str">
        <x:v>Continental</x:v>
      </x:c>
      <x:c r="C1821" t="n">
        <x:v>11440</x:v>
      </x:c>
      <x:c r="D1821" t="n">
        <x:v>8</x:v>
      </x:c>
      <x:c r="E1821" t="str">
        <x:v>Medium</x:v>
      </x:c>
      <x:c r="F1821" t="str">
        <x:v>Commercial</x:v>
      </x:c>
      <x:c r="G1821" t="str">
        <x:v>RC Frame</x:v>
      </x:c>
      <x:c r="H1821" t="str">
        <x:v>Raft</x:v>
      </x:c>
      <x:c r="I1821" t="str">
        <x:v>Sand</x:v>
      </x:c>
      <x:c r="J1821" t="str">
        <x:v>Medium</x:v>
      </x:c>
      <x:c r="K1821" t="n">
        <x:v>24344320</x:v>
      </x:c>
      <x:c r="L1821" t="n">
        <x:v>458</x:v>
      </x:c>
      <x:c r="M1821" t="n">
        <x:v>299.5</x:v>
      </x:c>
      <x:c r="N1821" t="n">
        <x:v>5.4</x:v>
      </x:c>
      <x:c r="O1821" t="n">
        <x:v>59.7</x:v>
      </x:c>
      <x:c r="P1821" t="str">
        <x:v>Cloudy</x:v>
      </x:c>
      <x:c r="Q1821" t="n">
        <x:v>70</x:v>
      </x:c>
      <x:c r="R1821" t="n">
        <x:v>72</x:v>
      </x:c>
      <x:c r="S1821" t="n">
        <x:v>0.0946</x:v>
      </x:c>
      <x:c r="T1821" t="n">
        <x:v>17.3</x:v>
      </x:c>
      <x:c r="U1821" t="n">
        <x:v>1430</x:v>
      </x:c>
      <x:c r="V1821" t="n">
        <x:v>2128</x:v>
      </x:c>
      <x:c r="W1821" t="n">
        <x:v>40</x:v>
      </x:c>
    </x:row>
    <x:row r="1822">
      <x:c r="A1822" t="str">
        <x:v>PJT_1821</x:v>
      </x:c>
      <x:c r="B1822" t="str">
        <x:v>Marine</x:v>
      </x:c>
      <x:c r="C1822" t="n">
        <x:v>9060</x:v>
      </x:c>
      <x:c r="D1822" t="n">
        <x:v>10</x:v>
      </x:c>
      <x:c r="E1822" t="str">
        <x:v>Low</x:v>
      </x:c>
      <x:c r="F1822" t="str">
        <x:v>Residential</x:v>
      </x:c>
      <x:c r="G1822" t="str">
        <x:v>RC Frame</x:v>
      </x:c>
      <x:c r="H1822" t="str">
        <x:v>Raft</x:v>
      </x:c>
      <x:c r="I1822" t="str">
        <x:v>Mixed</x:v>
      </x:c>
      <x:c r="J1822" t="str">
        <x:v>Low</x:v>
      </x:c>
      <x:c r="K1822" t="n">
        <x:v>11551500</x:v>
      </x:c>
      <x:c r="L1822" t="n">
        <x:v>299</x:v>
      </x:c>
      <x:c r="M1822" t="n">
        <x:v>340.2</x:v>
      </x:c>
      <x:c r="N1822" t="n">
        <x:v>10.8</x:v>
      </x:c>
      <x:c r="O1822" t="n">
        <x:v>80.8</x:v>
      </x:c>
      <x:c r="P1822" t="str">
        <x:v>Cloudy</x:v>
      </x:c>
      <x:c r="Q1822" t="n">
        <x:v>73</x:v>
      </x:c>
      <x:c r="R1822" t="n">
        <x:v>69.6</x:v>
      </x:c>
      <x:c r="S1822" t="n">
        <x:v>0.075</x:v>
      </x:c>
      <x:c r="T1822" t="n">
        <x:v>11.5</x:v>
      </x:c>
      <x:c r="U1822" t="n">
        <x:v>906</x:v>
      </x:c>
      <x:c r="V1822" t="n">
        <x:v>1275</x:v>
      </x:c>
      <x:c r="W1822" t="n">
        <x:v>33</x:v>
      </x:c>
    </x:row>
    <x:row r="1823">
      <x:c r="A1823" t="str">
        <x:v>PJT_1822</x:v>
      </x:c>
      <x:c r="B1823" t="str">
        <x:v>Marine</x:v>
      </x:c>
      <x:c r="C1823" t="n">
        <x:v>18990</x:v>
      </x:c>
      <x:c r="D1823" t="n">
        <x:v>10</x:v>
      </x:c>
      <x:c r="E1823" t="str">
        <x:v>Medium</x:v>
      </x:c>
      <x:c r="F1823" t="str">
        <x:v>Hospital</x:v>
      </x:c>
      <x:c r="G1823" t="str">
        <x:v>Steel</x:v>
      </x:c>
      <x:c r="H1823" t="str">
        <x:v>Raft</x:v>
      </x:c>
      <x:c r="I1823" t="str">
        <x:v>Sand</x:v>
      </x:c>
      <x:c r="J1823" t="str">
        <x:v>Low</x:v>
      </x:c>
      <x:c r="K1823" t="n">
        <x:v>57615660</x:v>
      </x:c>
      <x:c r="L1823" t="n">
        <x:v>915</x:v>
      </x:c>
      <x:c r="M1823" t="n">
        <x:v>253.7</x:v>
      </x:c>
      <x:c r="N1823" t="n">
        <x:v>12.2</x:v>
      </x:c>
      <x:c r="O1823" t="n">
        <x:v>68.8</x:v>
      </x:c>
      <x:c r="P1823" t="str">
        <x:v>Cloudy</x:v>
      </x:c>
      <x:c r="Q1823" t="n">
        <x:v>97</x:v>
      </x:c>
      <x:c r="R1823" t="n">
        <x:v>85.4</x:v>
      </x:c>
      <x:c r="S1823" t="n">
        <x:v>0.111</x:v>
      </x:c>
      <x:c r="T1823" t="n">
        <x:v>21.5</x:v>
      </x:c>
      <x:c r="U1823" t="n">
        <x:v>1899</x:v>
      </x:c>
      <x:c r="V1823" t="n">
        <x:v>3034</x:v>
      </x:c>
      <x:c r="W1823" t="n">
        <x:v>48.2</x:v>
      </x:c>
    </x:row>
    <x:row r="1824">
      <x:c r="A1824" t="str">
        <x:v>PJT_1823</x:v>
      </x:c>
      <x:c r="B1824" t="str">
        <x:v>Mediterranean</x:v>
      </x:c>
      <x:c r="C1824" t="n">
        <x:v>7270</x:v>
      </x:c>
      <x:c r="D1824" t="n">
        <x:v>7</x:v>
      </x:c>
      <x:c r="E1824" t="str">
        <x:v>Low</x:v>
      </x:c>
      <x:c r="F1824" t="str">
        <x:v>Residential</x:v>
      </x:c>
      <x:c r="G1824" t="str">
        <x:v>RC Frame</x:v>
      </x:c>
      <x:c r="H1824" t="str">
        <x:v>Raft</x:v>
      </x:c>
      <x:c r="I1824" t="str">
        <x:v>Soft Clay</x:v>
      </x:c>
      <x:c r="J1824" t="str">
        <x:v>Medium</x:v>
      </x:c>
      <x:c r="K1824" t="n">
        <x:v>10483340</x:v>
      </x:c>
      <x:c r="L1824" t="n">
        <x:v>259</x:v>
      </x:c>
      <x:c r="M1824" t="n">
        <x:v>156</x:v>
      </x:c>
      <x:c r="N1824" t="n">
        <x:v>14.7</x:v>
      </x:c>
      <x:c r="O1824" t="n">
        <x:v>75.9</x:v>
      </x:c>
      <x:c r="P1824" t="str">
        <x:v>Stormy</x:v>
      </x:c>
      <x:c r="Q1824" t="n">
        <x:v>81</x:v>
      </x:c>
      <x:c r="R1824" t="n">
        <x:v>63.8</x:v>
      </x:c>
      <x:c r="S1824" t="n">
        <x:v>0.0727</x:v>
      </x:c>
      <x:c r="T1824" t="n">
        <x:v>12.1</x:v>
      </x:c>
      <x:c r="U1824" t="n">
        <x:v>1038.6</x:v>
      </x:c>
      <x:c r="V1824" t="n">
        <x:v>1442</x:v>
      </x:c>
      <x:c r="W1824" t="n">
        <x:v>35.6</x:v>
      </x:c>
    </x:row>
    <x:row r="1825">
      <x:c r="A1825" t="str">
        <x:v>PJT_1824</x:v>
      </x:c>
      <x:c r="B1825" t="str">
        <x:v>Humid Subtropical</x:v>
      </x:c>
      <x:c r="C1825" t="n">
        <x:v>14780</x:v>
      </x:c>
      <x:c r="D1825" t="n">
        <x:v>12</x:v>
      </x:c>
      <x:c r="E1825" t="str">
        <x:v>Low</x:v>
      </x:c>
      <x:c r="F1825" t="str">
        <x:v>Residential</x:v>
      </x:c>
      <x:c r="G1825" t="str">
        <x:v>RC Frame</x:v>
      </x:c>
      <x:c r="H1825" t="str">
        <x:v>Raft</x:v>
      </x:c>
      <x:c r="I1825" t="str">
        <x:v>Mixed</x:v>
      </x:c>
      <x:c r="J1825" t="str">
        <x:v>Low</x:v>
      </x:c>
      <x:c r="K1825" t="n">
        <x:v>21046720</x:v>
      </x:c>
      <x:c r="L1825" t="n">
        <x:v>488</x:v>
      </x:c>
      <x:c r="M1825" t="n">
        <x:v>316.5</x:v>
      </x:c>
      <x:c r="N1825" t="n">
        <x:v>26.8</x:v>
      </x:c>
      <x:c r="O1825" t="n">
        <x:v>63.1</x:v>
      </x:c>
      <x:c r="P1825" t="str">
        <x:v>Cloudy</x:v>
      </x:c>
      <x:c r="Q1825" t="n">
        <x:v>89</x:v>
      </x:c>
      <x:c r="R1825" t="n">
        <x:v>63.7</x:v>
      </x:c>
      <x:c r="S1825" t="n">
        <x:v>0.0732</x:v>
      </x:c>
      <x:c r="T1825" t="n">
        <x:v>12.9</x:v>
      </x:c>
      <x:c r="U1825" t="n">
        <x:v>1231.7</x:v>
      </x:c>
      <x:c r="V1825" t="n">
        <x:v>1424</x:v>
      </x:c>
      <x:c r="W1825" t="n">
        <x:v>33</x:v>
      </x:c>
    </x:row>
    <x:row r="1826">
      <x:c r="A1826" t="str">
        <x:v>PJT_1825</x:v>
      </x:c>
      <x:c r="B1826" t="str">
        <x:v>Humid Subtropical</x:v>
      </x:c>
      <x:c r="C1826" t="n">
        <x:v>15960</x:v>
      </x:c>
      <x:c r="D1826" t="n">
        <x:v>5</x:v>
      </x:c>
      <x:c r="E1826" t="str">
        <x:v>Medium</x:v>
      </x:c>
      <x:c r="F1826" t="str">
        <x:v>School</x:v>
      </x:c>
      <x:c r="G1826" t="str">
        <x:v>RC Frame</x:v>
      </x:c>
      <x:c r="H1826" t="str">
        <x:v>Raft</x:v>
      </x:c>
      <x:c r="I1826" t="str">
        <x:v>Sand</x:v>
      </x:c>
      <x:c r="J1826" t="str">
        <x:v>Medium</x:v>
      </x:c>
      <x:c r="K1826" t="n">
        <x:v>29573880</x:v>
      </x:c>
      <x:c r="L1826" t="n">
        <x:v>535</x:v>
      </x:c>
      <x:c r="M1826" t="n">
        <x:v>282.4</x:v>
      </x:c>
      <x:c r="N1826" t="n">
        <x:v>26.8</x:v>
      </x:c>
      <x:c r="O1826" t="n">
        <x:v>78.7</x:v>
      </x:c>
      <x:c r="P1826" t="str">
        <x:v>Cloudy</x:v>
      </x:c>
      <x:c r="Q1826" t="n">
        <x:v>93</x:v>
      </x:c>
      <x:c r="R1826" t="n">
        <x:v>75.3</x:v>
      </x:c>
      <x:c r="S1826" t="n">
        <x:v>0.0813</x:v>
      </x:c>
      <x:c r="T1826" t="n">
        <x:v>15</x:v>
      </x:c>
      <x:c r="U1826" t="n">
        <x:v>3192</x:v>
      </x:c>
      <x:c r="V1826" t="n">
        <x:v>1853</x:v>
      </x:c>
      <x:c r="W1826" t="n">
        <x:v>33.5</x:v>
      </x:c>
    </x:row>
    <x:row r="1827">
      <x:c r="A1827" t="str">
        <x:v>PJT_1826</x:v>
      </x:c>
      <x:c r="B1827" t="str">
        <x:v>Continental</x:v>
      </x:c>
      <x:c r="C1827" t="n">
        <x:v>16010</x:v>
      </x:c>
      <x:c r="D1827" t="n">
        <x:v>14</x:v>
      </x:c>
      <x:c r="E1827" t="str">
        <x:v>Medium</x:v>
      </x:c>
      <x:c r="F1827" t="str">
        <x:v>Commercial</x:v>
      </x:c>
      <x:c r="G1827" t="str">
        <x:v>Steel</x:v>
      </x:c>
      <x:c r="H1827" t="str">
        <x:v>Raft</x:v>
      </x:c>
      <x:c r="I1827" t="str">
        <x:v>Mixed</x:v>
      </x:c>
      <x:c r="J1827" t="str">
        <x:v>High</x:v>
      </x:c>
      <x:c r="K1827" t="n">
        <x:v>38391980</x:v>
      </x:c>
      <x:c r="L1827" t="n">
        <x:v>661</x:v>
      </x:c>
      <x:c r="M1827" t="n">
        <x:v>369.4</x:v>
      </x:c>
      <x:c r="N1827" t="n">
        <x:v>14.1</x:v>
      </x:c>
      <x:c r="O1827" t="n">
        <x:v>54.7</x:v>
      </x:c>
      <x:c r="P1827" t="str">
        <x:v>Sunny</x:v>
      </x:c>
      <x:c r="Q1827" t="n">
        <x:v>96</x:v>
      </x:c>
      <x:c r="R1827" t="n">
        <x:v>76.8</x:v>
      </x:c>
      <x:c r="S1827" t="n">
        <x:v>0.0945</x:v>
      </x:c>
      <x:c r="T1827" t="n">
        <x:v>16.6</x:v>
      </x:c>
      <x:c r="U1827" t="n">
        <x:v>1143.6</x:v>
      </x:c>
      <x:c r="V1827" t="n">
        <x:v>2398</x:v>
      </x:c>
      <x:c r="W1827" t="n">
        <x:v>41.3</x:v>
      </x:c>
    </x:row>
    <x:row r="1828">
      <x:c r="A1828" t="str">
        <x:v>PJT_1827</x:v>
      </x:c>
      <x:c r="B1828" t="str">
        <x:v>Marine</x:v>
      </x:c>
      <x:c r="C1828" t="n">
        <x:v>31550</x:v>
      </x:c>
      <x:c r="D1828" t="n">
        <x:v>16</x:v>
      </x:c>
      <x:c r="E1828" t="str">
        <x:v>Medium</x:v>
      </x:c>
      <x:c r="F1828" t="str">
        <x:v>Mixed-use</x:v>
      </x:c>
      <x:c r="G1828" t="str">
        <x:v>Steel</x:v>
      </x:c>
      <x:c r="H1828" t="str">
        <x:v>Piles</x:v>
      </x:c>
      <x:c r="I1828" t="str">
        <x:v>Mixed</x:v>
      </x:c>
      <x:c r="J1828" t="str">
        <x:v>High</x:v>
      </x:c>
      <x:c r="K1828" t="n">
        <x:v>90485400</x:v>
      </x:c>
      <x:c r="L1828" t="n">
        <x:v>1606</x:v>
      </x:c>
      <x:c r="M1828" t="n">
        <x:v>418.7</x:v>
      </x:c>
      <x:c r="N1828" t="n">
        <x:v>16.7</x:v>
      </x:c>
      <x:c r="O1828" t="n">
        <x:v>67.5</x:v>
      </x:c>
      <x:c r="P1828" t="str">
        <x:v>Cloudy</x:v>
      </x:c>
      <x:c r="Q1828" t="n">
        <x:v>65</x:v>
      </x:c>
      <x:c r="R1828" t="n">
        <x:v>78.4</x:v>
      </x:c>
      <x:c r="S1828" t="n">
        <x:v>0.104</x:v>
      </x:c>
      <x:c r="T1828" t="n">
        <x:v>18.9</x:v>
      </x:c>
      <x:c r="U1828" t="n">
        <x:v>1971.9</x:v>
      </x:c>
      <x:c r="V1828" t="n">
        <x:v>2868</x:v>
      </x:c>
      <x:c r="W1828" t="n">
        <x:v>50.9</x:v>
      </x:c>
    </x:row>
    <x:row r="1829">
      <x:c r="A1829" t="str">
        <x:v>PJT_1828</x:v>
      </x:c>
      <x:c r="B1829" t="str">
        <x:v>Continental</x:v>
      </x:c>
      <x:c r="C1829" t="n">
        <x:v>13080</x:v>
      </x:c>
      <x:c r="D1829" t="n">
        <x:v>10</x:v>
      </x:c>
      <x:c r="E1829" t="str">
        <x:v>Medium</x:v>
      </x:c>
      <x:c r="F1829" t="str">
        <x:v>Commercial</x:v>
      </x:c>
      <x:c r="G1829" t="str">
        <x:v>RC Frame</x:v>
      </x:c>
      <x:c r="H1829" t="str">
        <x:v>Raft</x:v>
      </x:c>
      <x:c r="I1829" t="str">
        <x:v>Sand</x:v>
      </x:c>
      <x:c r="J1829" t="str">
        <x:v>Medium</x:v>
      </x:c>
      <x:c r="K1829" t="n">
        <x:v>27468000</x:v>
      </x:c>
      <x:c r="L1829" t="n">
        <x:v>492</x:v>
      </x:c>
      <x:c r="M1829" t="n">
        <x:v>216</x:v>
      </x:c>
      <x:c r="N1829" t="n">
        <x:v>25.2</x:v>
      </x:c>
      <x:c r="O1829" t="n">
        <x:v>40.2</x:v>
      </x:c>
      <x:c r="P1829" t="str">
        <x:v>Sunny</x:v>
      </x:c>
      <x:c r="Q1829" t="n">
        <x:v>84</x:v>
      </x:c>
      <x:c r="R1829" t="n">
        <x:v>74.4</x:v>
      </x:c>
      <x:c r="S1829" t="n">
        <x:v>0.0904</x:v>
      </x:c>
      <x:c r="T1829" t="n">
        <x:v>16.7</x:v>
      </x:c>
      <x:c r="U1829" t="n">
        <x:v>1308</x:v>
      </x:c>
      <x:c r="V1829" t="n">
        <x:v>2100</x:v>
      </x:c>
      <x:c r="W1829" t="n">
        <x:v>37.6</x:v>
      </x:c>
    </x:row>
    <x:row r="1830">
      <x:c r="A1830" t="str">
        <x:v>PJT_1829</x:v>
      </x:c>
      <x:c r="B1830" t="str">
        <x:v>Humid Subtropical</x:v>
      </x:c>
      <x:c r="C1830" t="n">
        <x:v>15480</x:v>
      </x:c>
      <x:c r="D1830" t="n">
        <x:v>15</x:v>
      </x:c>
      <x:c r="E1830" t="str">
        <x:v>Low</x:v>
      </x:c>
      <x:c r="F1830" t="str">
        <x:v>Residential</x:v>
      </x:c>
      <x:c r="G1830" t="str">
        <x:v>Shear Wall</x:v>
      </x:c>
      <x:c r="H1830" t="str">
        <x:v>Piles</x:v>
      </x:c>
      <x:c r="I1830" t="str">
        <x:v>Soft Clay</x:v>
      </x:c>
      <x:c r="J1830" t="str">
        <x:v>Medium</x:v>
      </x:c>
      <x:c r="K1830" t="n">
        <x:v>23963040</x:v>
      </x:c>
      <x:c r="L1830" t="n">
        <x:v>601</x:v>
      </x:c>
      <x:c r="M1830" t="n">
        <x:v>174.1</x:v>
      </x:c>
      <x:c r="N1830" t="n">
        <x:v>25.5</x:v>
      </x:c>
      <x:c r="O1830" t="n">
        <x:v>92.5</x:v>
      </x:c>
      <x:c r="P1830" t="str">
        <x:v>Stormy</x:v>
      </x:c>
      <x:c r="Q1830" t="n">
        <x:v>101</x:v>
      </x:c>
      <x:c r="R1830" t="n">
        <x:v>70.1</x:v>
      </x:c>
      <x:c r="S1830" t="n">
        <x:v>0.0812</x:v>
      </x:c>
      <x:c r="T1830" t="n">
        <x:v>11.9</x:v>
      </x:c>
      <x:c r="U1830" t="n">
        <x:v>1032</x:v>
      </x:c>
      <x:c r="V1830" t="n">
        <x:v>1548</x:v>
      </x:c>
      <x:c r="W1830" t="n">
        <x:v>38.8</x:v>
      </x:c>
    </x:row>
    <x:row r="1831">
      <x:c r="A1831" t="str">
        <x:v>PJT_1830</x:v>
      </x:c>
      <x:c r="B1831" t="str">
        <x:v>Marine</x:v>
      </x:c>
      <x:c r="C1831" t="n">
        <x:v>17730</x:v>
      </x:c>
      <x:c r="D1831" t="n">
        <x:v>9</x:v>
      </x:c>
      <x:c r="E1831" t="str">
        <x:v>Medium</x:v>
      </x:c>
      <x:c r="F1831" t="str">
        <x:v>Hospital</x:v>
      </x:c>
      <x:c r="G1831" t="str">
        <x:v>Steel</x:v>
      </x:c>
      <x:c r="H1831" t="str">
        <x:v>Raft</x:v>
      </x:c>
      <x:c r="I1831" t="str">
        <x:v>Mixed</x:v>
      </x:c>
      <x:c r="J1831" t="str">
        <x:v>Medium</x:v>
      </x:c>
      <x:c r="K1831" t="n">
        <x:v>55299870</x:v>
      </x:c>
      <x:c r="L1831" t="n">
        <x:v>926</x:v>
      </x:c>
      <x:c r="M1831" t="n">
        <x:v>313.1</x:v>
      </x:c>
      <x:c r="N1831" t="n">
        <x:v>6.7</x:v>
      </x:c>
      <x:c r="O1831" t="n">
        <x:v>87.5</x:v>
      </x:c>
      <x:c r="P1831" t="str">
        <x:v>Rainy</x:v>
      </x:c>
      <x:c r="Q1831" t="n">
        <x:v>98</x:v>
      </x:c>
      <x:c r="R1831" t="n">
        <x:v>79.3</x:v>
      </x:c>
      <x:c r="S1831" t="n">
        <x:v>0.1139</x:v>
      </x:c>
      <x:c r="T1831" t="n">
        <x:v>20.6</x:v>
      </x:c>
      <x:c r="U1831" t="n">
        <x:v>1970</x:v>
      </x:c>
      <x:c r="V1831" t="n">
        <x:v>3119</x:v>
      </x:c>
      <x:c r="W1831" t="n">
        <x:v>52.2</x:v>
      </x:c>
    </x:row>
    <x:row r="1832">
      <x:c r="A1832" t="str">
        <x:v>PJT_1831</x:v>
      </x:c>
      <x:c r="B1832" t="str">
        <x:v>Continental</x:v>
      </x:c>
      <x:c r="C1832" t="n">
        <x:v>16780</x:v>
      </x:c>
      <x:c r="D1832" t="n">
        <x:v>10</x:v>
      </x:c>
      <x:c r="E1832" t="str">
        <x:v>Medium</x:v>
      </x:c>
      <x:c r="F1832" t="str">
        <x:v>Hospital</x:v>
      </x:c>
      <x:c r="G1832" t="str">
        <x:v>Steel</x:v>
      </x:c>
      <x:c r="H1832" t="str">
        <x:v>Raft</x:v>
      </x:c>
      <x:c r="I1832" t="str">
        <x:v>Rock</x:v>
      </x:c>
      <x:c r="J1832" t="str">
        <x:v>Low</x:v>
      </x:c>
      <x:c r="K1832" t="n">
        <x:v>50793060</x:v>
      </x:c>
      <x:c r="L1832" t="n">
        <x:v>799</x:v>
      </x:c>
      <x:c r="M1832" t="n">
        <x:v>666.8</x:v>
      </x:c>
      <x:c r="N1832" t="n">
        <x:v>5.1</x:v>
      </x:c>
      <x:c r="O1832" t="n">
        <x:v>58.1</x:v>
      </x:c>
      <x:c r="P1832" t="str">
        <x:v>Cloudy</x:v>
      </x:c>
      <x:c r="Q1832" t="n">
        <x:v>83</x:v>
      </x:c>
      <x:c r="R1832" t="n">
        <x:v>79.7</x:v>
      </x:c>
      <x:c r="S1832" t="n">
        <x:v>0.1124</x:v>
      </x:c>
      <x:c r="T1832" t="n">
        <x:v>20.9</x:v>
      </x:c>
      <x:c r="U1832" t="n">
        <x:v>1678</x:v>
      </x:c>
      <x:c r="V1832" t="n">
        <x:v>3027</x:v>
      </x:c>
      <x:c r="W1832" t="n">
        <x:v>47.6</x:v>
      </x:c>
    </x:row>
    <x:row r="1833">
      <x:c r="A1833" t="str">
        <x:v>PJT_1832</x:v>
      </x:c>
      <x:c r="B1833" t="str">
        <x:v>Continental</x:v>
      </x:c>
      <x:c r="C1833" t="n">
        <x:v>14440</x:v>
      </x:c>
      <x:c r="D1833" t="n">
        <x:v>8</x:v>
      </x:c>
      <x:c r="E1833" t="str">
        <x:v>Medium</x:v>
      </x:c>
      <x:c r="F1833" t="str">
        <x:v>Hospital</x:v>
      </x:c>
      <x:c r="G1833" t="str">
        <x:v>Steel</x:v>
      </x:c>
      <x:c r="H1833" t="str">
        <x:v>Raft</x:v>
      </x:c>
      <x:c r="I1833" t="str">
        <x:v>Mixed</x:v>
      </x:c>
      <x:c r="J1833" t="str">
        <x:v>Low</x:v>
      </x:c>
      <x:c r="K1833" t="n">
        <x:v>44431880</x:v>
      </x:c>
      <x:c r="L1833" t="n">
        <x:v>755</x:v>
      </x:c>
      <x:c r="M1833" t="n">
        <x:v>337.6</x:v>
      </x:c>
      <x:c r="N1833" t="n">
        <x:v>7.8</x:v>
      </x:c>
      <x:c r="O1833" t="n">
        <x:v>70.6</x:v>
      </x:c>
      <x:c r="P1833" t="str">
        <x:v>Rainy</x:v>
      </x:c>
      <x:c r="Q1833" t="n">
        <x:v>79</x:v>
      </x:c>
      <x:c r="R1833" t="n">
        <x:v>83</x:v>
      </x:c>
      <x:c r="S1833" t="n">
        <x:v>0.1089</x:v>
      </x:c>
      <x:c r="T1833" t="n">
        <x:v>20.9</x:v>
      </x:c>
      <x:c r="U1833" t="n">
        <x:v>1805</x:v>
      </x:c>
      <x:c r="V1833" t="n">
        <x:v>3077</x:v>
      </x:c>
      <x:c r="W1833" t="n">
        <x:v>52.3</x:v>
      </x:c>
    </x:row>
    <x:row r="1834">
      <x:c r="A1834" t="str">
        <x:v>PJT_1833</x:v>
      </x:c>
      <x:c r="B1834" t="str">
        <x:v>Continental</x:v>
      </x:c>
      <x:c r="C1834" t="n">
        <x:v>22950</x:v>
      </x:c>
      <x:c r="D1834" t="n">
        <x:v>10</x:v>
      </x:c>
      <x:c r="E1834" t="str">
        <x:v>Medium</x:v>
      </x:c>
      <x:c r="F1834" t="str">
        <x:v>Hospital</x:v>
      </x:c>
      <x:c r="G1834" t="str">
        <x:v>Shear Wall</x:v>
      </x:c>
      <x:c r="H1834" t="str">
        <x:v>Piles</x:v>
      </x:c>
      <x:c r="I1834" t="str">
        <x:v>Mixed</x:v>
      </x:c>
      <x:c r="J1834" t="str">
        <x:v>Medium</x:v>
      </x:c>
      <x:c r="K1834" t="n">
        <x:v>70892550</x:v>
      </x:c>
      <x:c r="L1834" t="n">
        <x:v>1262</x:v>
      </x:c>
      <x:c r="M1834" t="n">
        <x:v>328.7</x:v>
      </x:c>
      <x:c r="N1834" t="n">
        <x:v>10.6</x:v>
      </x:c>
      <x:c r="O1834" t="n">
        <x:v>82</x:v>
      </x:c>
      <x:c r="P1834" t="str">
        <x:v>Stormy</x:v>
      </x:c>
      <x:c r="Q1834" t="n">
        <x:v>94</x:v>
      </x:c>
      <x:c r="R1834" t="n">
        <x:v>86.2</x:v>
      </x:c>
      <x:c r="S1834" t="n">
        <x:v>0.1124</x:v>
      </x:c>
      <x:c r="T1834" t="n">
        <x:v>20.9</x:v>
      </x:c>
      <x:c r="U1834" t="n">
        <x:v>2295</x:v>
      </x:c>
      <x:c r="V1834" t="n">
        <x:v>3089</x:v>
      </x:c>
      <x:c r="W1834" t="n">
        <x:v>55</x:v>
      </x:c>
    </x:row>
    <x:row r="1835">
      <x:c r="A1835" t="str">
        <x:v>PJT_1834</x:v>
      </x:c>
      <x:c r="B1835" t="str">
        <x:v>Marine</x:v>
      </x:c>
      <x:c r="C1835" t="n">
        <x:v>22940</x:v>
      </x:c>
      <x:c r="D1835" t="n">
        <x:v>19</x:v>
      </x:c>
      <x:c r="E1835" t="str">
        <x:v>Medium</x:v>
      </x:c>
      <x:c r="F1835" t="str">
        <x:v>Commercial</x:v>
      </x:c>
      <x:c r="G1835" t="str">
        <x:v>Steel</x:v>
      </x:c>
      <x:c r="H1835" t="str">
        <x:v>Piles</x:v>
      </x:c>
      <x:c r="I1835" t="str">
        <x:v>Mixed</x:v>
      </x:c>
      <x:c r="J1835" t="str">
        <x:v>Low</x:v>
      </x:c>
      <x:c r="K1835" t="n">
        <x:v>55721260</x:v>
      </x:c>
      <x:c r="L1835" t="n">
        <x:v>1142</x:v>
      </x:c>
      <x:c r="M1835" t="n">
        <x:v>428.3</x:v>
      </x:c>
      <x:c r="N1835" t="n">
        <x:v>8.2</x:v>
      </x:c>
      <x:c r="O1835" t="n">
        <x:v>86.7</x:v>
      </x:c>
      <x:c r="P1835" t="str">
        <x:v>Stormy</x:v>
      </x:c>
      <x:c r="Q1835" t="n">
        <x:v>84</x:v>
      </x:c>
      <x:c r="R1835" t="n">
        <x:v>80.8</x:v>
      </x:c>
      <x:c r="S1835" t="n">
        <x:v>0.0974</x:v>
      </x:c>
      <x:c r="T1835" t="n">
        <x:v>16.8</x:v>
      </x:c>
      <x:c r="U1835" t="n">
        <x:v>1207.4</x:v>
      </x:c>
      <x:c r="V1835" t="n">
        <x:v>2429</x:v>
      </x:c>
      <x:c r="W1835" t="n">
        <x:v>49.8</x:v>
      </x:c>
    </x:row>
    <x:row r="1836">
      <x:c r="A1836" t="str">
        <x:v>PJT_1835</x:v>
      </x:c>
      <x:c r="B1836" t="str">
        <x:v>Continental</x:v>
      </x:c>
      <x:c r="C1836" t="n">
        <x:v>18120</x:v>
      </x:c>
      <x:c r="D1836" t="n">
        <x:v>14</x:v>
      </x:c>
      <x:c r="E1836" t="str">
        <x:v>Medium</x:v>
      </x:c>
      <x:c r="F1836" t="str">
        <x:v>Commercial</x:v>
      </x:c>
      <x:c r="G1836" t="str">
        <x:v>Steel</x:v>
      </x:c>
      <x:c r="H1836" t="str">
        <x:v>Raft</x:v>
      </x:c>
      <x:c r="I1836" t="str">
        <x:v>Rock</x:v>
      </x:c>
      <x:c r="J1836" t="str">
        <x:v>Low</x:v>
      </x:c>
      <x:c r="K1836" t="n">
        <x:v>42292080</x:v>
      </x:c>
      <x:c r="L1836" t="n">
        <x:v>881</x:v>
      </x:c>
      <x:c r="M1836" t="n">
        <x:v>751</x:v>
      </x:c>
      <x:c r="N1836" t="n">
        <x:v>-5.2</x:v>
      </x:c>
      <x:c r="O1836" t="n">
        <x:v>66.2</x:v>
      </x:c>
      <x:c r="P1836" t="str">
        <x:v>Snowy</x:v>
      </x:c>
      <x:c r="Q1836" t="n">
        <x:v>89</x:v>
      </x:c>
      <x:c r="R1836" t="n">
        <x:v>81.4</x:v>
      </x:c>
      <x:c r="S1836" t="n">
        <x:v>0.0937</x:v>
      </x:c>
      <x:c r="T1836" t="n">
        <x:v>17.1</x:v>
      </x:c>
      <x:c r="U1836" t="n">
        <x:v>1294.3</x:v>
      </x:c>
      <x:c r="V1836" t="n">
        <x:v>2334</x:v>
      </x:c>
      <x:c r="W1836" t="n">
        <x:v>48.6</x:v>
      </x:c>
    </x:row>
    <x:row r="1837">
      <x:c r="A1837" t="str">
        <x:v>PJT_1836</x:v>
      </x:c>
      <x:c r="B1837" t="str">
        <x:v>Humid Subtropical</x:v>
      </x:c>
      <x:c r="C1837" t="n">
        <x:v>12320</x:v>
      </x:c>
      <x:c r="D1837" t="n">
        <x:v>10</x:v>
      </x:c>
      <x:c r="E1837" t="str">
        <x:v>Medium</x:v>
      </x:c>
      <x:c r="F1837" t="str">
        <x:v>Commercial</x:v>
      </x:c>
      <x:c r="G1837" t="str">
        <x:v>Steel</x:v>
      </x:c>
      <x:c r="H1837" t="str">
        <x:v>Raft</x:v>
      </x:c>
      <x:c r="I1837" t="str">
        <x:v>Mixed</x:v>
      </x:c>
      <x:c r="J1837" t="str">
        <x:v>Low</x:v>
      </x:c>
      <x:c r="K1837" t="n">
        <x:v>29469440</x:v>
      </x:c>
      <x:c r="L1837" t="n">
        <x:v>554</x:v>
      </x:c>
      <x:c r="M1837" t="n">
        <x:v>318.5</x:v>
      </x:c>
      <x:c r="N1837" t="n">
        <x:v>26.8</x:v>
      </x:c>
      <x:c r="O1837" t="n">
        <x:v>74.4</x:v>
      </x:c>
      <x:c r="P1837" t="str">
        <x:v>Rainy</x:v>
      </x:c>
      <x:c r="Q1837" t="n">
        <x:v>107</x:v>
      </x:c>
      <x:c r="R1837" t="n">
        <x:v>72.6</x:v>
      </x:c>
      <x:c r="S1837" t="n">
        <x:v>0.0958</x:v>
      </x:c>
      <x:c r="T1837" t="n">
        <x:v>17.1</x:v>
      </x:c>
      <x:c r="U1837" t="n">
        <x:v>1232</x:v>
      </x:c>
      <x:c r="V1837" t="n">
        <x:v>2392</x:v>
      </x:c>
      <x:c r="W1837" t="n">
        <x:v>45</x:v>
      </x:c>
    </x:row>
    <x:row r="1838">
      <x:c r="A1838" t="str">
        <x:v>PJT_1837</x:v>
      </x:c>
      <x:c r="B1838" t="str">
        <x:v>Continental</x:v>
      </x:c>
      <x:c r="C1838" t="n">
        <x:v>10280</x:v>
      </x:c>
      <x:c r="D1838" t="n">
        <x:v>4</x:v>
      </x:c>
      <x:c r="E1838" t="str">
        <x:v>Low</x:v>
      </x:c>
      <x:c r="F1838" t="str">
        <x:v>School</x:v>
      </x:c>
      <x:c r="G1838" t="str">
        <x:v>RC Frame</x:v>
      </x:c>
      <x:c r="H1838" t="str">
        <x:v>Raft</x:v>
      </x:c>
      <x:c r="I1838" t="str">
        <x:v>Mixed</x:v>
      </x:c>
      <x:c r="J1838" t="str">
        <x:v>Low</x:v>
      </x:c>
      <x:c r="K1838" t="n">
        <x:v>16098480</x:v>
      </x:c>
      <x:c r="L1838" t="n">
        <x:v>304</x:v>
      </x:c>
      <x:c r="M1838" t="n">
        <x:v>297.5</x:v>
      </x:c>
      <x:c r="N1838" t="n">
        <x:v>6.1</x:v>
      </x:c>
      <x:c r="O1838" t="n">
        <x:v>67.8</x:v>
      </x:c>
      <x:c r="P1838" t="str">
        <x:v>Cloudy</x:v>
      </x:c>
      <x:c r="Q1838" t="n">
        <x:v>63</x:v>
      </x:c>
      <x:c r="R1838" t="n">
        <x:v>64.8</x:v>
      </x:c>
      <x:c r="S1838" t="n">
        <x:v>0.0772</x:v>
      </x:c>
      <x:c r="T1838" t="n">
        <x:v>14.3</x:v>
      </x:c>
      <x:c r="U1838" t="n">
        <x:v>2570</x:v>
      </x:c>
      <x:c r="V1838" t="n">
        <x:v>1566</x:v>
      </x:c>
      <x:c r="W1838" t="n">
        <x:v>29.6</x:v>
      </x:c>
    </x:row>
    <x:row r="1839">
      <x:c r="A1839" t="str">
        <x:v>PJT_1838</x:v>
      </x:c>
      <x:c r="B1839" t="str">
        <x:v>Continental</x:v>
      </x:c>
      <x:c r="C1839" t="n">
        <x:v>24590</x:v>
      </x:c>
      <x:c r="D1839" t="n">
        <x:v>13</x:v>
      </x:c>
      <x:c r="E1839" t="str">
        <x:v>Medium</x:v>
      </x:c>
      <x:c r="F1839" t="str">
        <x:v>Commercial</x:v>
      </x:c>
      <x:c r="G1839" t="str">
        <x:v>Steel</x:v>
      </x:c>
      <x:c r="H1839" t="str">
        <x:v>Piles</x:v>
      </x:c>
      <x:c r="I1839" t="str">
        <x:v>Sand</x:v>
      </x:c>
      <x:c r="J1839" t="str">
        <x:v>Low</x:v>
      </x:c>
      <x:c r="K1839" t="n">
        <x:v>56557000</x:v>
      </x:c>
      <x:c r="L1839" t="n">
        <x:v>1200</x:v>
      </x:c>
      <x:c r="M1839" t="n">
        <x:v>260.7</x:v>
      </x:c>
      <x:c r="N1839" t="n">
        <x:v>-0.4</x:v>
      </x:c>
      <x:c r="O1839" t="n">
        <x:v>58.9</x:v>
      </x:c>
      <x:c r="P1839" t="str">
        <x:v>Snowy</x:v>
      </x:c>
      <x:c r="Q1839" t="n">
        <x:v>88</x:v>
      </x:c>
      <x:c r="R1839" t="n">
        <x:v>79</x:v>
      </x:c>
      <x:c r="S1839" t="n">
        <x:v>0.1004</x:v>
      </x:c>
      <x:c r="T1839" t="n">
        <x:v>16.3</x:v>
      </x:c>
      <x:c r="U1839" t="n">
        <x:v>1891.5</x:v>
      </x:c>
      <x:c r="V1839" t="n">
        <x:v>2300</x:v>
      </x:c>
      <x:c r="W1839" t="n">
        <x:v>48.8</x:v>
      </x:c>
    </x:row>
    <x:row r="1840">
      <x:c r="A1840" t="str">
        <x:v>PJT_1839</x:v>
      </x:c>
      <x:c r="B1840" t="str">
        <x:v>Marine</x:v>
      </x:c>
      <x:c r="C1840" t="n">
        <x:v>20830</x:v>
      </x:c>
      <x:c r="D1840" t="n">
        <x:v>20</x:v>
      </x:c>
      <x:c r="E1840" t="str">
        <x:v>Medium</x:v>
      </x:c>
      <x:c r="F1840" t="str">
        <x:v>Commercial</x:v>
      </x:c>
      <x:c r="G1840" t="str">
        <x:v>Steel</x:v>
      </x:c>
      <x:c r="H1840" t="str">
        <x:v>Piles</x:v>
      </x:c>
      <x:c r="I1840" t="str">
        <x:v>Sand</x:v>
      </x:c>
      <x:c r="J1840" t="str">
        <x:v>High</x:v>
      </x:c>
      <x:c r="K1840" t="n">
        <x:v>54262150</x:v>
      </x:c>
      <x:c r="L1840" t="n">
        <x:v>948</x:v>
      </x:c>
      <x:c r="M1840" t="n">
        <x:v>287.5</x:v>
      </x:c>
      <x:c r="N1840" t="n">
        <x:v>14.1</x:v>
      </x:c>
      <x:c r="O1840" t="n">
        <x:v>67.8</x:v>
      </x:c>
      <x:c r="P1840" t="str">
        <x:v>Cloudy</x:v>
      </x:c>
      <x:c r="Q1840" t="n">
        <x:v>93</x:v>
      </x:c>
      <x:c r="R1840" t="n">
        <x:v>84.3</x:v>
      </x:c>
      <x:c r="S1840" t="n">
        <x:v>0.0976</x:v>
      </x:c>
      <x:c r="T1840" t="n">
        <x:v>17.7</x:v>
      </x:c>
      <x:c r="U1840" t="n">
        <x:v>1041.5</x:v>
      </x:c>
      <x:c r="V1840" t="n">
        <x:v>2605</x:v>
      </x:c>
      <x:c r="W1840" t="n">
        <x:v>45.5</x:v>
      </x:c>
    </x:row>
    <x:row r="1841">
      <x:c r="A1841" t="str">
        <x:v>PJT_1840</x:v>
      </x:c>
      <x:c r="B1841" t="str">
        <x:v>Marine</x:v>
      </x:c>
      <x:c r="C1841" t="n">
        <x:v>7230</x:v>
      </x:c>
      <x:c r="D1841" t="n">
        <x:v>10</x:v>
      </x:c>
      <x:c r="E1841" t="str">
        <x:v>Medium</x:v>
      </x:c>
      <x:c r="F1841" t="str">
        <x:v>Residential</x:v>
      </x:c>
      <x:c r="G1841" t="str">
        <x:v>Shear Wall</x:v>
      </x:c>
      <x:c r="H1841" t="str">
        <x:v>Raft</x:v>
      </x:c>
      <x:c r="I1841" t="str">
        <x:v>Sand</x:v>
      </x:c>
      <x:c r="J1841" t="str">
        <x:v>High</x:v>
      </x:c>
      <x:c r="K1841" t="n">
        <x:v>12081330</x:v>
      </x:c>
      <x:c r="L1841" t="n">
        <x:v>265</x:v>
      </x:c>
      <x:c r="M1841" t="n">
        <x:v>237.4</x:v>
      </x:c>
      <x:c r="N1841" t="n">
        <x:v>15.1</x:v>
      </x:c>
      <x:c r="O1841" t="n">
        <x:v>77.6</x:v>
      </x:c>
      <x:c r="P1841" t="str">
        <x:v>Rainy</x:v>
      </x:c>
      <x:c r="Q1841" t="n">
        <x:v>73</x:v>
      </x:c>
      <x:c r="R1841" t="n">
        <x:v>66.1</x:v>
      </x:c>
      <x:c r="S1841" t="n">
        <x:v>0.0846</x:v>
      </x:c>
      <x:c r="T1841" t="n">
        <x:v>13.5</x:v>
      </x:c>
      <x:c r="U1841" t="n">
        <x:v>723</x:v>
      </x:c>
      <x:c r="V1841" t="n">
        <x:v>1671</x:v>
      </x:c>
      <x:c r="W1841" t="n">
        <x:v>36.7</x:v>
      </x:c>
    </x:row>
    <x:row r="1842">
      <x:c r="A1842" t="str">
        <x:v>PJT_1841</x:v>
      </x:c>
      <x:c r="B1842" t="str">
        <x:v>Humid Subtropical</x:v>
      </x:c>
      <x:c r="C1842" t="n">
        <x:v>27460</x:v>
      </x:c>
      <x:c r="D1842" t="n">
        <x:v>14</x:v>
      </x:c>
      <x:c r="E1842" t="str">
        <x:v>Medium</x:v>
      </x:c>
      <x:c r="F1842" t="str">
        <x:v>Hospital</x:v>
      </x:c>
      <x:c r="G1842" t="str">
        <x:v>Steel</x:v>
      </x:c>
      <x:c r="H1842" t="str">
        <x:v>Piles</x:v>
      </x:c>
      <x:c r="I1842" t="str">
        <x:v>Sand</x:v>
      </x:c>
      <x:c r="J1842" t="str">
        <x:v>Low</x:v>
      </x:c>
      <x:c r="K1842" t="n">
        <x:v>89409760</x:v>
      </x:c>
      <x:c r="L1842" t="n">
        <x:v>1400</x:v>
      </x:c>
      <x:c r="M1842" t="n">
        <x:v>338.8</x:v>
      </x:c>
      <x:c r="N1842" t="n">
        <x:v>29.4</x:v>
      </x:c>
      <x:c r="O1842" t="n">
        <x:v>79.9</x:v>
      </x:c>
      <x:c r="P1842" t="str">
        <x:v>Cloudy</x:v>
      </x:c>
      <x:c r="Q1842" t="n">
        <x:v>92</x:v>
      </x:c>
      <x:c r="R1842" t="n">
        <x:v>83</x:v>
      </x:c>
      <x:c r="S1842" t="n">
        <x:v>0.1079</x:v>
      </x:c>
      <x:c r="T1842" t="n">
        <x:v>20.7</x:v>
      </x:c>
      <x:c r="U1842" t="n">
        <x:v>1961.4</x:v>
      </x:c>
      <x:c r="V1842" t="n">
        <x:v>3256</x:v>
      </x:c>
      <x:c r="W1842" t="n">
        <x:v>51</x:v>
      </x:c>
    </x:row>
    <x:row r="1843">
      <x:c r="A1843" t="str">
        <x:v>PJT_1842</x:v>
      </x:c>
      <x:c r="B1843" t="str">
        <x:v>Marine</x:v>
      </x:c>
      <x:c r="C1843" t="n">
        <x:v>17340</x:v>
      </x:c>
      <x:c r="D1843" t="n">
        <x:v>26</x:v>
      </x:c>
      <x:c r="E1843" t="str">
        <x:v>Medium</x:v>
      </x:c>
      <x:c r="F1843" t="str">
        <x:v>Residential</x:v>
      </x:c>
      <x:c r="G1843" t="str">
        <x:v>Shear Wall</x:v>
      </x:c>
      <x:c r="H1843" t="str">
        <x:v>Piles</x:v>
      </x:c>
      <x:c r="I1843" t="str">
        <x:v>Sand</x:v>
      </x:c>
      <x:c r="J1843" t="str">
        <x:v>Medium</x:v>
      </x:c>
      <x:c r="K1843" t="n">
        <x:v>28749720</x:v>
      </x:c>
      <x:c r="L1843" t="n">
        <x:v>792</x:v>
      </x:c>
      <x:c r="M1843" t="n">
        <x:v>359.9</x:v>
      </x:c>
      <x:c r="N1843" t="n">
        <x:v>8.1</x:v>
      </x:c>
      <x:c r="O1843" t="n">
        <x:v>93.7</x:v>
      </x:c>
      <x:c r="P1843" t="str">
        <x:v>Stormy</x:v>
      </x:c>
      <x:c r="Q1843" t="n">
        <x:v>89</x:v>
      </x:c>
      <x:c r="R1843" t="n">
        <x:v>83.1</x:v>
      </x:c>
      <x:c r="S1843" t="n">
        <x:v>0.0829</x:v>
      </x:c>
      <x:c r="T1843" t="n">
        <x:v>13</x:v>
      </x:c>
      <x:c r="U1843" t="n">
        <x:v>666.9</x:v>
      </x:c>
      <x:c r="V1843" t="n">
        <x:v>1658</x:v>
      </x:c>
      <x:c r="W1843" t="n">
        <x:v>45.7</x:v>
      </x:c>
    </x:row>
    <x:row r="1844">
      <x:c r="A1844" t="str">
        <x:v>PJT_1843</x:v>
      </x:c>
      <x:c r="B1844" t="str">
        <x:v>Continental</x:v>
      </x:c>
      <x:c r="C1844" t="n">
        <x:v>16880</x:v>
      </x:c>
      <x:c r="D1844" t="n">
        <x:v>22</x:v>
      </x:c>
      <x:c r="E1844" t="str">
        <x:v>Medium</x:v>
      </x:c>
      <x:c r="F1844" t="str">
        <x:v>Residential</x:v>
      </x:c>
      <x:c r="G1844" t="str">
        <x:v>Shear Wall</x:v>
      </x:c>
      <x:c r="H1844" t="str">
        <x:v>Piles</x:v>
      </x:c>
      <x:c r="I1844" t="str">
        <x:v>Soft Clay</x:v>
      </x:c>
      <x:c r="J1844" t="str">
        <x:v>Medium</x:v>
      </x:c>
      <x:c r="K1844" t="n">
        <x:v>28628480</x:v>
      </x:c>
      <x:c r="L1844" t="n">
        <x:v>690</x:v>
      </x:c>
      <x:c r="M1844" t="n">
        <x:v>167.8</x:v>
      </x:c>
      <x:c r="N1844" t="n">
        <x:v>2.2</x:v>
      </x:c>
      <x:c r="O1844" t="n">
        <x:v>87.3</x:v>
      </x:c>
      <x:c r="P1844" t="str">
        <x:v>Rainy</x:v>
      </x:c>
      <x:c r="Q1844" t="n">
        <x:v>97</x:v>
      </x:c>
      <x:c r="R1844" t="n">
        <x:v>78.9</x:v>
      </x:c>
      <x:c r="S1844" t="n">
        <x:v>0.0844</x:v>
      </x:c>
      <x:c r="T1844" t="n">
        <x:v>14.4</x:v>
      </x:c>
      <x:c r="U1844" t="n">
        <x:v>767.3</x:v>
      </x:c>
      <x:c r="V1844" t="n">
        <x:v>1696</x:v>
      </x:c>
      <x:c r="W1844" t="n">
        <x:v>40.9</x:v>
      </x:c>
    </x:row>
    <x:row r="1845">
      <x:c r="A1845" t="str">
        <x:v>PJT_1844</x:v>
      </x:c>
      <x:c r="B1845" t="str">
        <x:v>Continental</x:v>
      </x:c>
      <x:c r="C1845" t="n">
        <x:v>24860</x:v>
      </x:c>
      <x:c r="D1845" t="n">
        <x:v>15</x:v>
      </x:c>
      <x:c r="E1845" t="str">
        <x:v>High</x:v>
      </x:c>
      <x:c r="F1845" t="str">
        <x:v>Mixed-use</x:v>
      </x:c>
      <x:c r="G1845" t="str">
        <x:v>Steel</x:v>
      </x:c>
      <x:c r="H1845" t="str">
        <x:v>Piles</x:v>
      </x:c>
      <x:c r="I1845" t="str">
        <x:v>Mixed</x:v>
      </x:c>
      <x:c r="J1845" t="str">
        <x:v>High</x:v>
      </x:c>
      <x:c r="K1845" t="n">
        <x:v>72243160</x:v>
      </x:c>
      <x:c r="L1845" t="n">
        <x:v>1400</x:v>
      </x:c>
      <x:c r="M1845" t="n">
        <x:v>383.5</x:v>
      </x:c>
      <x:c r="N1845" t="n">
        <x:v>14.7</x:v>
      </x:c>
      <x:c r="O1845" t="n">
        <x:v>87.6</x:v>
      </x:c>
      <x:c r="P1845" t="str">
        <x:v>Rainy</x:v>
      </x:c>
      <x:c r="Q1845" t="n">
        <x:v>89</x:v>
      </x:c>
      <x:c r="R1845" t="n">
        <x:v>90.1</x:v>
      </x:c>
      <x:c r="S1845" t="n">
        <x:v>0.1054</x:v>
      </x:c>
      <x:c r="T1845" t="n">
        <x:v>20.5</x:v>
      </x:c>
      <x:c r="U1845" t="n">
        <x:v>1657.3</x:v>
      </x:c>
      <x:c r="V1845" t="n">
        <x:v>2906</x:v>
      </x:c>
      <x:c r="W1845" t="n">
        <x:v>56.3</x:v>
      </x:c>
    </x:row>
    <x:row r="1846">
      <x:c r="A1846" t="str">
        <x:v>PJT_1845</x:v>
      </x:c>
      <x:c r="B1846" t="str">
        <x:v>Continental</x:v>
      </x:c>
      <x:c r="C1846" t="n">
        <x:v>12770</x:v>
      </x:c>
      <x:c r="D1846" t="n">
        <x:v>4</x:v>
      </x:c>
      <x:c r="E1846" t="str">
        <x:v>Low</x:v>
      </x:c>
      <x:c r="F1846" t="str">
        <x:v>School</x:v>
      </x:c>
      <x:c r="G1846" t="str">
        <x:v>RC Frame</x:v>
      </x:c>
      <x:c r="H1846" t="str">
        <x:v>Raft</x:v>
      </x:c>
      <x:c r="I1846" t="str">
        <x:v>Rock</x:v>
      </x:c>
      <x:c r="J1846" t="str">
        <x:v>Medium</x:v>
      </x:c>
      <x:c r="K1846" t="n">
        <x:v>20534160</x:v>
      </x:c>
      <x:c r="L1846" t="n">
        <x:v>387</x:v>
      </x:c>
      <x:c r="M1846" t="n">
        <x:v>588.2</x:v>
      </x:c>
      <x:c r="N1846" t="n">
        <x:v>7.8</x:v>
      </x:c>
      <x:c r="O1846" t="n">
        <x:v>66.5</x:v>
      </x:c>
      <x:c r="P1846" t="str">
        <x:v>Rainy</x:v>
      </x:c>
      <x:c r="Q1846" t="n">
        <x:v>83</x:v>
      </x:c>
      <x:c r="R1846" t="n">
        <x:v>64.2</x:v>
      </x:c>
      <x:c r="S1846" t="n">
        <x:v>0.0799</x:v>
      </x:c>
      <x:c r="T1846" t="n">
        <x:v>12.7</x:v>
      </x:c>
      <x:c r="U1846" t="n">
        <x:v>3192.5</x:v>
      </x:c>
      <x:c r="V1846" t="n">
        <x:v>1608</x:v>
      </x:c>
      <x:c r="W1846" t="n">
        <x:v>30.3</x:v>
      </x:c>
    </x:row>
    <x:row r="1847">
      <x:c r="A1847" t="str">
        <x:v>PJT_1846</x:v>
      </x:c>
      <x:c r="B1847" t="str">
        <x:v>Mediterranean</x:v>
      </x:c>
      <x:c r="C1847" t="n">
        <x:v>19300</x:v>
      </x:c>
      <x:c r="D1847" t="n">
        <x:v>10</x:v>
      </x:c>
      <x:c r="E1847" t="str">
        <x:v>High</x:v>
      </x:c>
      <x:c r="F1847" t="str">
        <x:v>Hospital</x:v>
      </x:c>
      <x:c r="G1847" t="str">
        <x:v>Shear Wall</x:v>
      </x:c>
      <x:c r="H1847" t="str">
        <x:v>Raft</x:v>
      </x:c>
      <x:c r="I1847" t="str">
        <x:v>Rock</x:v>
      </x:c>
      <x:c r="J1847" t="str">
        <x:v>High</x:v>
      </x:c>
      <x:c r="K1847" t="n">
        <x:v>63844400</x:v>
      </x:c>
      <x:c r="L1847" t="n">
        <x:v>963</x:v>
      </x:c>
      <x:c r="M1847" t="n">
        <x:v>765.6</x:v>
      </x:c>
      <x:c r="N1847" t="n">
        <x:v>31.8</x:v>
      </x:c>
      <x:c r="O1847" t="n">
        <x:v>58.6</x:v>
      </x:c>
      <x:c r="P1847" t="str">
        <x:v>Sunny</x:v>
      </x:c>
      <x:c r="Q1847" t="n">
        <x:v>78</x:v>
      </x:c>
      <x:c r="R1847" t="n">
        <x:v>82</x:v>
      </x:c>
      <x:c r="S1847" t="n">
        <x:v>0.1157</x:v>
      </x:c>
      <x:c r="T1847" t="n">
        <x:v>22.3</x:v>
      </x:c>
      <x:c r="U1847" t="n">
        <x:v>1930</x:v>
      </x:c>
      <x:c r="V1847" t="n">
        <x:v>3308</x:v>
      </x:c>
      <x:c r="W1847" t="n">
        <x:v>49.9</x:v>
      </x:c>
    </x:row>
    <x:row r="1848">
      <x:c r="A1848" t="str">
        <x:v>PJT_1847</x:v>
      </x:c>
      <x:c r="B1848" t="str">
        <x:v>Marine</x:v>
      </x:c>
      <x:c r="C1848" t="n">
        <x:v>19790</x:v>
      </x:c>
      <x:c r="D1848" t="n">
        <x:v>20</x:v>
      </x:c>
      <x:c r="E1848" t="str">
        <x:v>High</x:v>
      </x:c>
      <x:c r="F1848" t="str">
        <x:v>Mixed-use</x:v>
      </x:c>
      <x:c r="G1848" t="str">
        <x:v>Steel</x:v>
      </x:c>
      <x:c r="H1848" t="str">
        <x:v>Piles</x:v>
      </x:c>
      <x:c r="I1848" t="str">
        <x:v>Sand</x:v>
      </x:c>
      <x:c r="J1848" t="str">
        <x:v>High</x:v>
      </x:c>
      <x:c r="K1848" t="n">
        <x:v>60141810</x:v>
      </x:c>
      <x:c r="L1848" t="n">
        <x:v>1033</x:v>
      </x:c>
      <x:c r="M1848" t="n">
        <x:v>284.1</x:v>
      </x:c>
      <x:c r="N1848" t="n">
        <x:v>13.9</x:v>
      </x:c>
      <x:c r="O1848" t="n">
        <x:v>57</x:v>
      </x:c>
      <x:c r="P1848" t="str">
        <x:v>Sunny</x:v>
      </x:c>
      <x:c r="Q1848" t="n">
        <x:v>67</x:v>
      </x:c>
      <x:c r="R1848" t="n">
        <x:v>89.5</x:v>
      </x:c>
      <x:c r="S1848" t="n">
        <x:v>0.1099</x:v>
      </x:c>
      <x:c r="T1848" t="n">
        <x:v>20</x:v>
      </x:c>
      <x:c r="U1848" t="n">
        <x:v>989.5</x:v>
      </x:c>
      <x:c r="V1848" t="n">
        <x:v>3039</x:v>
      </x:c>
      <x:c r="W1848" t="n">
        <x:v>52.2</x:v>
      </x:c>
    </x:row>
    <x:row r="1849">
      <x:c r="A1849" t="str">
        <x:v>PJT_1848</x:v>
      </x:c>
      <x:c r="B1849" t="str">
        <x:v>Marine</x:v>
      </x:c>
      <x:c r="C1849" t="n">
        <x:v>18820</x:v>
      </x:c>
      <x:c r="D1849" t="n">
        <x:v>13</x:v>
      </x:c>
      <x:c r="E1849" t="str">
        <x:v>Medium</x:v>
      </x:c>
      <x:c r="F1849" t="str">
        <x:v>Mixed-use</x:v>
      </x:c>
      <x:c r="G1849" t="str">
        <x:v>Steel</x:v>
      </x:c>
      <x:c r="H1849" t="str">
        <x:v>Raft</x:v>
      </x:c>
      <x:c r="I1849" t="str">
        <x:v>Mixed</x:v>
      </x:c>
      <x:c r="J1849" t="str">
        <x:v>High</x:v>
      </x:c>
      <x:c r="K1849" t="n">
        <x:v>49214300</x:v>
      </x:c>
      <x:c r="L1849" t="n">
        <x:v>994</x:v>
      </x:c>
      <x:c r="M1849" t="n">
        <x:v>291</x:v>
      </x:c>
      <x:c r="N1849" t="n">
        <x:v>8.9</x:v>
      </x:c>
      <x:c r="O1849" t="n">
        <x:v>87.9</x:v>
      </x:c>
      <x:c r="P1849" t="str">
        <x:v>Stormy</x:v>
      </x:c>
      <x:c r="Q1849" t="n">
        <x:v>99</x:v>
      </x:c>
      <x:c r="R1849" t="n">
        <x:v>81.4</x:v>
      </x:c>
      <x:c r="S1849" t="n">
        <x:v>0.105</x:v>
      </x:c>
      <x:c r="T1849" t="n">
        <x:v>18.6</x:v>
      </x:c>
      <x:c r="U1849" t="n">
        <x:v>1447.7</x:v>
      </x:c>
      <x:c r="V1849" t="n">
        <x:v>2615</x:v>
      </x:c>
      <x:c r="W1849" t="n">
        <x:v>52.8</x:v>
      </x:c>
    </x:row>
    <x:row r="1850">
      <x:c r="A1850" t="str">
        <x:v>PJT_1849</x:v>
      </x:c>
      <x:c r="B1850" t="str">
        <x:v>Humid Subtropical</x:v>
      </x:c>
      <x:c r="C1850" t="n">
        <x:v>16790</x:v>
      </x:c>
      <x:c r="D1850" t="n">
        <x:v>11</x:v>
      </x:c>
      <x:c r="E1850" t="str">
        <x:v>Medium</x:v>
      </x:c>
      <x:c r="F1850" t="str">
        <x:v>Hospital</x:v>
      </x:c>
      <x:c r="G1850" t="str">
        <x:v>Shear Wall</x:v>
      </x:c>
      <x:c r="H1850" t="str">
        <x:v>Raft</x:v>
      </x:c>
      <x:c r="I1850" t="str">
        <x:v>Mixed</x:v>
      </x:c>
      <x:c r="J1850" t="str">
        <x:v>High</x:v>
      </x:c>
      <x:c r="K1850" t="n">
        <x:v>54685030</x:v>
      </x:c>
      <x:c r="L1850" t="n">
        <x:v>814</x:v>
      </x:c>
      <x:c r="M1850" t="n">
        <x:v>329</x:v>
      </x:c>
      <x:c r="N1850" t="n">
        <x:v>29.1</x:v>
      </x:c>
      <x:c r="O1850" t="n">
        <x:v>81.1</x:v>
      </x:c>
      <x:c r="P1850" t="str">
        <x:v>Cloudy</x:v>
      </x:c>
      <x:c r="Q1850" t="n">
        <x:v>74</x:v>
      </x:c>
      <x:c r="R1850" t="n">
        <x:v>82.4</x:v>
      </x:c>
      <x:c r="S1850" t="n">
        <x:v>0.1094</x:v>
      </x:c>
      <x:c r="T1850" t="n">
        <x:v>21</x:v>
      </x:c>
      <x:c r="U1850" t="n">
        <x:v>1526.4</x:v>
      </x:c>
      <x:c r="V1850" t="n">
        <x:v>3257</x:v>
      </x:c>
      <x:c r="W1850" t="n">
        <x:v>48.5</x:v>
      </x:c>
    </x:row>
    <x:row r="1851">
      <x:c r="A1851" t="str">
        <x:v>PJT_1850</x:v>
      </x:c>
      <x:c r="B1851" t="str">
        <x:v>Marine</x:v>
      </x:c>
      <x:c r="C1851" t="n">
        <x:v>13620</x:v>
      </x:c>
      <x:c r="D1851" t="n">
        <x:v>12</x:v>
      </x:c>
      <x:c r="E1851" t="str">
        <x:v>Medium</x:v>
      </x:c>
      <x:c r="F1851" t="str">
        <x:v>Mixed-use</x:v>
      </x:c>
      <x:c r="G1851" t="str">
        <x:v>Steel</x:v>
      </x:c>
      <x:c r="H1851" t="str">
        <x:v>Piles</x:v>
      </x:c>
      <x:c r="I1851" t="str">
        <x:v>Soft Clay</x:v>
      </x:c>
      <x:c r="J1851" t="str">
        <x:v>Low</x:v>
      </x:c>
      <x:c r="K1851" t="n">
        <x:v>34513080</x:v>
      </x:c>
      <x:c r="L1851" t="n">
        <x:v>666</x:v>
      </x:c>
      <x:c r="M1851" t="n">
        <x:v>199.8</x:v>
      </x:c>
      <x:c r="N1851" t="n">
        <x:v>18.6</x:v>
      </x:c>
      <x:c r="O1851" t="n">
        <x:v>74.6</x:v>
      </x:c>
      <x:c r="P1851" t="str">
        <x:v>Cloudy</x:v>
      </x:c>
      <x:c r="Q1851" t="n">
        <x:v>83</x:v>
      </x:c>
      <x:c r="R1851" t="n">
        <x:v>79.2</x:v>
      </x:c>
      <x:c r="S1851" t="n">
        <x:v>0.1008</x:v>
      </x:c>
      <x:c r="T1851" t="n">
        <x:v>18.8</x:v>
      </x:c>
      <x:c r="U1851" t="n">
        <x:v>1135</x:v>
      </x:c>
      <x:c r="V1851" t="n">
        <x:v>2534</x:v>
      </x:c>
      <x:c r="W1851" t="n">
        <x:v>48.9</x:v>
      </x:c>
    </x:row>
    <x:row r="1852">
      <x:c r="A1852" t="str">
        <x:v>PJT_1851</x:v>
      </x:c>
      <x:c r="B1852" t="str">
        <x:v>Mediterranean</x:v>
      </x:c>
      <x:c r="C1852" t="n">
        <x:v>10360</x:v>
      </x:c>
      <x:c r="D1852" t="n">
        <x:v>4</x:v>
      </x:c>
      <x:c r="E1852" t="str">
        <x:v>Low</x:v>
      </x:c>
      <x:c r="F1852" t="str">
        <x:v>School</x:v>
      </x:c>
      <x:c r="G1852" t="str">
        <x:v>RC Frame</x:v>
      </x:c>
      <x:c r="H1852" t="str">
        <x:v>Raft</x:v>
      </x:c>
      <x:c r="I1852" t="str">
        <x:v>Mixed</x:v>
      </x:c>
      <x:c r="J1852" t="str">
        <x:v>High</x:v>
      </x:c>
      <x:c r="K1852" t="n">
        <x:v>19010600</x:v>
      </x:c>
      <x:c r="L1852" t="n">
        <x:v>278</x:v>
      </x:c>
      <x:c r="M1852" t="n">
        <x:v>265.4</x:v>
      </x:c>
      <x:c r="N1852" t="n">
        <x:v>22.5</x:v>
      </x:c>
      <x:c r="O1852" t="n">
        <x:v>48.8</x:v>
      </x:c>
      <x:c r="P1852" t="str">
        <x:v>Sunny</x:v>
      </x:c>
      <x:c r="Q1852" t="n">
        <x:v>72</x:v>
      </x:c>
      <x:c r="R1852" t="n">
        <x:v>62.4</x:v>
      </x:c>
      <x:c r="S1852" t="n">
        <x:v>0.0805</x:v>
      </x:c>
      <x:c r="T1852" t="n">
        <x:v>14.3</x:v>
      </x:c>
      <x:c r="U1852" t="n">
        <x:v>2590</x:v>
      </x:c>
      <x:c r="V1852" t="n">
        <x:v>1835</x:v>
      </x:c>
      <x:c r="W1852" t="n">
        <x:v>26.8</x:v>
      </x:c>
    </x:row>
    <x:row r="1853">
      <x:c r="A1853" t="str">
        <x:v>PJT_1852</x:v>
      </x:c>
      <x:c r="B1853" t="str">
        <x:v>Continental</x:v>
      </x:c>
      <x:c r="C1853" t="n">
        <x:v>11920</x:v>
      </x:c>
      <x:c r="D1853" t="n">
        <x:v>8</x:v>
      </x:c>
      <x:c r="E1853" t="str">
        <x:v>Medium</x:v>
      </x:c>
      <x:c r="F1853" t="str">
        <x:v>Commercial</x:v>
      </x:c>
      <x:c r="G1853" t="str">
        <x:v>RC Frame</x:v>
      </x:c>
      <x:c r="H1853" t="str">
        <x:v>Piles</x:v>
      </x:c>
      <x:c r="I1853" t="str">
        <x:v>Soft Clay</x:v>
      </x:c>
      <x:c r="J1853" t="str">
        <x:v>Low</x:v>
      </x:c>
      <x:c r="K1853" t="n">
        <x:v>24877040</x:v>
      </x:c>
      <x:c r="L1853" t="n">
        <x:v>516</x:v>
      </x:c>
      <x:c r="M1853" t="n">
        <x:v>193.7</x:v>
      </x:c>
      <x:c r="N1853" t="n">
        <x:v>12.5</x:v>
      </x:c>
      <x:c r="O1853" t="n">
        <x:v>70.8</x:v>
      </x:c>
      <x:c r="P1853" t="str">
        <x:v>Rainy</x:v>
      </x:c>
      <x:c r="Q1853" t="n">
        <x:v>93</x:v>
      </x:c>
      <x:c r="R1853" t="n">
        <x:v>80</x:v>
      </x:c>
      <x:c r="S1853" t="n">
        <x:v>0.0897</x:v>
      </x:c>
      <x:c r="T1853" t="n">
        <x:v>17.1</x:v>
      </x:c>
      <x:c r="U1853" t="n">
        <x:v>1490</x:v>
      </x:c>
      <x:c r="V1853" t="n">
        <x:v>2087</x:v>
      </x:c>
      <x:c r="W1853" t="n">
        <x:v>43.3</x:v>
      </x:c>
    </x:row>
    <x:row r="1854">
      <x:c r="A1854" t="str">
        <x:v>PJT_1853</x:v>
      </x:c>
      <x:c r="B1854" t="str">
        <x:v>Continental</x:v>
      </x:c>
      <x:c r="C1854" t="n">
        <x:v>34120</x:v>
      </x:c>
      <x:c r="D1854" t="n">
        <x:v>25</x:v>
      </x:c>
      <x:c r="E1854" t="str">
        <x:v>High</x:v>
      </x:c>
      <x:c r="F1854" t="str">
        <x:v>Mixed-use</x:v>
      </x:c>
      <x:c r="G1854" t="str">
        <x:v>Steel</x:v>
      </x:c>
      <x:c r="H1854" t="str">
        <x:v>Piles</x:v>
      </x:c>
      <x:c r="I1854" t="str">
        <x:v>Mixed</x:v>
      </x:c>
      <x:c r="J1854" t="str">
        <x:v>Medium</x:v>
      </x:c>
      <x:c r="K1854" t="n">
        <x:v>100005720</x:v>
      </x:c>
      <x:c r="L1854" t="n">
        <x:v>1962</x:v>
      </x:c>
      <x:c r="M1854" t="n">
        <x:v>362.7</x:v>
      </x:c>
      <x:c r="N1854" t="n">
        <x:v>20.6</x:v>
      </x:c>
      <x:c r="O1854" t="n">
        <x:v>63.8</x:v>
      </x:c>
      <x:c r="P1854" t="str">
        <x:v>Cloudy</x:v>
      </x:c>
      <x:c r="Q1854" t="n">
        <x:v>70</x:v>
      </x:c>
      <x:c r="R1854" t="n">
        <x:v>92</x:v>
      </x:c>
      <x:c r="S1854" t="n">
        <x:v>0.1079</x:v>
      </x:c>
      <x:c r="T1854" t="n">
        <x:v>19.4</x:v>
      </x:c>
      <x:c r="U1854" t="n">
        <x:v>1364.8</x:v>
      </x:c>
      <x:c r="V1854" t="n">
        <x:v>2931</x:v>
      </x:c>
      <x:c r="W1854" t="n">
        <x:v>57.5</x:v>
      </x:c>
    </x:row>
    <x:row r="1855">
      <x:c r="A1855" t="str">
        <x:v>PJT_1854</x:v>
      </x:c>
      <x:c r="B1855" t="str">
        <x:v>Marine</x:v>
      </x:c>
      <x:c r="C1855" t="n">
        <x:v>14470</x:v>
      </x:c>
      <x:c r="D1855" t="n">
        <x:v>8</x:v>
      </x:c>
      <x:c r="E1855" t="str">
        <x:v>Medium</x:v>
      </x:c>
      <x:c r="F1855" t="str">
        <x:v>Mixed-use</x:v>
      </x:c>
      <x:c r="G1855" t="str">
        <x:v>RC Frame</x:v>
      </x:c>
      <x:c r="H1855" t="str">
        <x:v>Raft</x:v>
      </x:c>
      <x:c r="I1855" t="str">
        <x:v>Mixed</x:v>
      </x:c>
      <x:c r="J1855" t="str">
        <x:v>Medium</x:v>
      </x:c>
      <x:c r="K1855" t="n">
        <x:v>34395190</x:v>
      </x:c>
      <x:c r="L1855" t="n">
        <x:v>653</x:v>
      </x:c>
      <x:c r="M1855" t="n">
        <x:v>266.8</x:v>
      </x:c>
      <x:c r="N1855" t="n">
        <x:v>15.2</x:v>
      </x:c>
      <x:c r="O1855" t="n">
        <x:v>63.5</x:v>
      </x:c>
      <x:c r="P1855" t="str">
        <x:v>Cloudy</x:v>
      </x:c>
      <x:c r="Q1855" t="n">
        <x:v>98</x:v>
      </x:c>
      <x:c r="R1855" t="n">
        <x:v>81</x:v>
      </x:c>
      <x:c r="S1855" t="n">
        <x:v>0.0985</x:v>
      </x:c>
      <x:c r="T1855" t="n">
        <x:v>17.2</x:v>
      </x:c>
      <x:c r="U1855" t="n">
        <x:v>1808.8</x:v>
      </x:c>
      <x:c r="V1855" t="n">
        <x:v>2377</x:v>
      </x:c>
      <x:c r="W1855" t="n">
        <x:v>45.1</x:v>
      </x:c>
    </x:row>
    <x:row r="1856">
      <x:c r="A1856" t="str">
        <x:v>PJT_1855</x:v>
      </x:c>
      <x:c r="B1856" t="str">
        <x:v>Marine</x:v>
      </x:c>
      <x:c r="C1856" t="n">
        <x:v>24490</x:v>
      </x:c>
      <x:c r="D1856" t="n">
        <x:v>11</x:v>
      </x:c>
      <x:c r="E1856" t="str">
        <x:v>Medium</x:v>
      </x:c>
      <x:c r="F1856" t="str">
        <x:v>Hospital</x:v>
      </x:c>
      <x:c r="G1856" t="str">
        <x:v>Shear Wall</x:v>
      </x:c>
      <x:c r="H1856" t="str">
        <x:v>Raft</x:v>
      </x:c>
      <x:c r="I1856" t="str">
        <x:v>Sand</x:v>
      </x:c>
      <x:c r="J1856" t="str">
        <x:v>Medium</x:v>
      </x:c>
      <x:c r="K1856" t="n">
        <x:v>75527160</x:v>
      </x:c>
      <x:c r="L1856" t="n">
        <x:v>1298</x:v>
      </x:c>
      <x:c r="M1856" t="n">
        <x:v>219.1</x:v>
      </x:c>
      <x:c r="N1856" t="n">
        <x:v>0.3</x:v>
      </x:c>
      <x:c r="O1856" t="n">
        <x:v>74.9</x:v>
      </x:c>
      <x:c r="P1856" t="str">
        <x:v>Snowy</x:v>
      </x:c>
      <x:c r="Q1856" t="n">
        <x:v>91</x:v>
      </x:c>
      <x:c r="R1856" t="n">
        <x:v>78.4</x:v>
      </x:c>
      <x:c r="S1856" t="n">
        <x:v>0.1064</x:v>
      </x:c>
      <x:c r="T1856" t="n">
        <x:v>21</x:v>
      </x:c>
      <x:c r="U1856" t="n">
        <x:v>2226.4</x:v>
      </x:c>
      <x:c r="V1856" t="n">
        <x:v>3084</x:v>
      </x:c>
      <x:c r="W1856" t="n">
        <x:v>53</x:v>
      </x:c>
    </x:row>
    <x:row r="1857">
      <x:c r="A1857" t="str">
        <x:v>PJT_1856</x:v>
      </x:c>
      <x:c r="B1857" t="str">
        <x:v>Humid Subtropical</x:v>
      </x:c>
      <x:c r="C1857" t="n">
        <x:v>16130</x:v>
      </x:c>
      <x:c r="D1857" t="n">
        <x:v>12</x:v>
      </x:c>
      <x:c r="E1857" t="str">
        <x:v>Medium</x:v>
      </x:c>
      <x:c r="F1857" t="str">
        <x:v>Mixed-use</x:v>
      </x:c>
      <x:c r="G1857" t="str">
        <x:v>Steel</x:v>
      </x:c>
      <x:c r="H1857" t="str">
        <x:v>Piles</x:v>
      </x:c>
      <x:c r="I1857" t="str">
        <x:v>Soft Clay</x:v>
      </x:c>
      <x:c r="J1857" t="str">
        <x:v>High</x:v>
      </x:c>
      <x:c r="K1857" t="n">
        <x:v>45793070</x:v>
      </x:c>
      <x:c r="L1857" t="n">
        <x:v>816</x:v>
      </x:c>
      <x:c r="M1857" t="n">
        <x:v>175.7</x:v>
      </x:c>
      <x:c r="N1857" t="n">
        <x:v>22.3</x:v>
      </x:c>
      <x:c r="O1857" t="n">
        <x:v>76.6</x:v>
      </x:c>
      <x:c r="P1857" t="str">
        <x:v>Rainy</x:v>
      </x:c>
      <x:c r="Q1857" t="n">
        <x:v>89</x:v>
      </x:c>
      <x:c r="R1857" t="n">
        <x:v>76.6</x:v>
      </x:c>
      <x:c r="S1857" t="n">
        <x:v>0.099</x:v>
      </x:c>
      <x:c r="T1857" t="n">
        <x:v>18.6</x:v>
      </x:c>
      <x:c r="U1857" t="n">
        <x:v>1344.2</x:v>
      </x:c>
      <x:c r="V1857" t="n">
        <x:v>2839</x:v>
      </x:c>
      <x:c r="W1857" t="n">
        <x:v>50.6</x:v>
      </x:c>
    </x:row>
    <x:row r="1858">
      <x:c r="A1858" t="str">
        <x:v>PJT_1857</x:v>
      </x:c>
      <x:c r="B1858" t="str">
        <x:v>Continental</x:v>
      </x:c>
      <x:c r="C1858" t="n">
        <x:v>4950</x:v>
      </x:c>
      <x:c r="D1858" t="n">
        <x:v>2</x:v>
      </x:c>
      <x:c r="E1858" t="str">
        <x:v>Low</x:v>
      </x:c>
      <x:c r="F1858" t="str">
        <x:v>School</x:v>
      </x:c>
      <x:c r="G1858" t="str">
        <x:v>RC Frame</x:v>
      </x:c>
      <x:c r="H1858" t="str">
        <x:v>Strip</x:v>
      </x:c>
      <x:c r="I1858" t="str">
        <x:v>Mixed</x:v>
      </x:c>
      <x:c r="J1858" t="str">
        <x:v>Medium</x:v>
      </x:c>
      <x:c r="K1858" t="n">
        <x:v>7717050</x:v>
      </x:c>
      <x:c r="L1858" t="n">
        <x:v>180</x:v>
      </x:c>
      <x:c r="M1858" t="n">
        <x:v>267.9</x:v>
      </x:c>
      <x:c r="N1858" t="n">
        <x:v>17.9</x:v>
      </x:c>
      <x:c r="O1858" t="n">
        <x:v>80.7</x:v>
      </x:c>
      <x:c r="P1858" t="str">
        <x:v>Rainy</x:v>
      </x:c>
      <x:c r="Q1858" t="n">
        <x:v>93</x:v>
      </x:c>
      <x:c r="R1858" t="n">
        <x:v>64</x:v>
      </x:c>
      <x:c r="S1858" t="n">
        <x:v>0.0818</x:v>
      </x:c>
      <x:c r="T1858" t="n">
        <x:v>14</x:v>
      </x:c>
      <x:c r="U1858" t="n">
        <x:v>2475</x:v>
      </x:c>
      <x:c r="V1858" t="n">
        <x:v>1559</x:v>
      </x:c>
      <x:c r="W1858" t="n">
        <x:v>26.5</x:v>
      </x:c>
    </x:row>
    <x:row r="1859">
      <x:c r="A1859" t="str">
        <x:v>PJT_1858</x:v>
      </x:c>
      <x:c r="B1859" t="str">
        <x:v>Marine</x:v>
      </x:c>
      <x:c r="C1859" t="n">
        <x:v>7370</x:v>
      </x:c>
      <x:c r="D1859" t="n">
        <x:v>5</x:v>
      </x:c>
      <x:c r="E1859" t="str">
        <x:v>Low</x:v>
      </x:c>
      <x:c r="F1859" t="str">
        <x:v>Commercial</x:v>
      </x:c>
      <x:c r="G1859" t="str">
        <x:v>RC Frame</x:v>
      </x:c>
      <x:c r="H1859" t="str">
        <x:v>Raft</x:v>
      </x:c>
      <x:c r="I1859" t="str">
        <x:v>Rock</x:v>
      </x:c>
      <x:c r="J1859" t="str">
        <x:v>Medium</x:v>
      </x:c>
      <x:c r="K1859" t="n">
        <x:v>15624400</x:v>
      </x:c>
      <x:c r="L1859" t="n">
        <x:v>254</x:v>
      </x:c>
      <x:c r="M1859" t="n">
        <x:v>745.3</x:v>
      </x:c>
      <x:c r="N1859" t="n">
        <x:v>10.5</x:v>
      </x:c>
      <x:c r="O1859" t="n">
        <x:v>62.5</x:v>
      </x:c>
      <x:c r="P1859" t="str">
        <x:v>Sunny</x:v>
      </x:c>
      <x:c r="Q1859" t="n">
        <x:v>94</x:v>
      </x:c>
      <x:c r="R1859" t="n">
        <x:v>63.5</x:v>
      </x:c>
      <x:c r="S1859" t="n">
        <x:v>0.0841</x:v>
      </x:c>
      <x:c r="T1859" t="n">
        <x:v>14.9</x:v>
      </x:c>
      <x:c r="U1859" t="n">
        <x:v>1474</x:v>
      </x:c>
      <x:c r="V1859" t="n">
        <x:v>2120</x:v>
      </x:c>
      <x:c r="W1859" t="n">
        <x:v>34.5</x:v>
      </x:c>
    </x:row>
    <x:row r="1860">
      <x:c r="A1860" t="str">
        <x:v>PJT_1859</x:v>
      </x:c>
      <x:c r="B1860" t="str">
        <x:v>Marine</x:v>
      </x:c>
      <x:c r="C1860" t="n">
        <x:v>9080</x:v>
      </x:c>
      <x:c r="D1860" t="n">
        <x:v>8</x:v>
      </x:c>
      <x:c r="E1860" t="str">
        <x:v>Low</x:v>
      </x:c>
      <x:c r="F1860" t="str">
        <x:v>Commercial</x:v>
      </x:c>
      <x:c r="G1860" t="str">
        <x:v>Steel</x:v>
      </x:c>
      <x:c r="H1860" t="str">
        <x:v>Raft</x:v>
      </x:c>
      <x:c r="I1860" t="str">
        <x:v>Sand</x:v>
      </x:c>
      <x:c r="J1860" t="str">
        <x:v>Medium</x:v>
      </x:c>
      <x:c r="K1860" t="n">
        <x:v>21292600</x:v>
      </x:c>
      <x:c r="L1860" t="n">
        <x:v>358</x:v>
      </x:c>
      <x:c r="M1860" t="n">
        <x:v>265</x:v>
      </x:c>
      <x:c r="N1860" t="n">
        <x:v>17.6</x:v>
      </x:c>
      <x:c r="O1860" t="n">
        <x:v>54.8</x:v>
      </x:c>
      <x:c r="P1860" t="str">
        <x:v>Sunny</x:v>
      </x:c>
      <x:c r="Q1860" t="n">
        <x:v>90</x:v>
      </x:c>
      <x:c r="R1860" t="n">
        <x:v>66.8</x:v>
      </x:c>
      <x:c r="S1860" t="n">
        <x:v>0.0961</x:v>
      </x:c>
      <x:c r="T1860" t="n">
        <x:v>15.9</x:v>
      </x:c>
      <x:c r="U1860" t="n">
        <x:v>1135</x:v>
      </x:c>
      <x:c r="V1860" t="n">
        <x:v>2345</x:v>
      </x:c>
      <x:c r="W1860" t="n">
        <x:v>39.4</x:v>
      </x:c>
    </x:row>
    <x:row r="1861">
      <x:c r="A1861" t="str">
        <x:v>PJT_1860</x:v>
      </x:c>
      <x:c r="B1861" t="str">
        <x:v>Mediterranean</x:v>
      </x:c>
      <x:c r="C1861" t="n">
        <x:v>9240</x:v>
      </x:c>
      <x:c r="D1861" t="n">
        <x:v>7</x:v>
      </x:c>
      <x:c r="E1861" t="str">
        <x:v>Low</x:v>
      </x:c>
      <x:c r="F1861" t="str">
        <x:v>Commercial</x:v>
      </x:c>
      <x:c r="G1861" t="str">
        <x:v>RC Frame</x:v>
      </x:c>
      <x:c r="H1861" t="str">
        <x:v>Raft</x:v>
      </x:c>
      <x:c r="I1861" t="str">
        <x:v>Mixed</x:v>
      </x:c>
      <x:c r="J1861" t="str">
        <x:v>Medium</x:v>
      </x:c>
      <x:c r="K1861" t="n">
        <x:v>19671960</x:v>
      </x:c>
      <x:c r="L1861" t="n">
        <x:v>343</x:v>
      </x:c>
      <x:c r="M1861" t="n">
        <x:v>352.1</x:v>
      </x:c>
      <x:c r="N1861" t="n">
        <x:v>24.8</x:v>
      </x:c>
      <x:c r="O1861" t="n">
        <x:v>48.4</x:v>
      </x:c>
      <x:c r="P1861" t="str">
        <x:v>Sunny</x:v>
      </x:c>
      <x:c r="Q1861" t="n">
        <x:v>86</x:v>
      </x:c>
      <x:c r="R1861" t="n">
        <x:v>73.1</x:v>
      </x:c>
      <x:c r="S1861" t="n">
        <x:v>0.09</x:v>
      </x:c>
      <x:c r="T1861" t="n">
        <x:v>14.7</x:v>
      </x:c>
      <x:c r="U1861" t="n">
        <x:v>1320</x:v>
      </x:c>
      <x:c r="V1861" t="n">
        <x:v>2129</x:v>
      </x:c>
      <x:c r="W1861" t="n">
        <x:v>37.1</x:v>
      </x:c>
    </x:row>
    <x:row r="1862">
      <x:c r="A1862" t="str">
        <x:v>PJT_1861</x:v>
      </x:c>
      <x:c r="B1862" t="str">
        <x:v>Marine</x:v>
      </x:c>
      <x:c r="C1862" t="n">
        <x:v>7900</x:v>
      </x:c>
      <x:c r="D1862" t="n">
        <x:v>4</x:v>
      </x:c>
      <x:c r="E1862" t="str">
        <x:v>Low</x:v>
      </x:c>
      <x:c r="F1862" t="str">
        <x:v>School</x:v>
      </x:c>
      <x:c r="G1862" t="str">
        <x:v>RC Frame</x:v>
      </x:c>
      <x:c r="H1862" t="str">
        <x:v>Raft</x:v>
      </x:c>
      <x:c r="I1862" t="str">
        <x:v>Sand</x:v>
      </x:c>
      <x:c r="J1862" t="str">
        <x:v>Medium</x:v>
      </x:c>
      <x:c r="K1862" t="n">
        <x:v>13761800</x:v>
      </x:c>
      <x:c r="L1862" t="n">
        <x:v>255</x:v>
      </x:c>
      <x:c r="M1862" t="n">
        <x:v>310.2</x:v>
      </x:c>
      <x:c r="N1862" t="n">
        <x:v>14.4</x:v>
      </x:c>
      <x:c r="O1862" t="n">
        <x:v>84</x:v>
      </x:c>
      <x:c r="P1862" t="str">
        <x:v>Rainy</x:v>
      </x:c>
      <x:c r="Q1862" t="n">
        <x:v>71</x:v>
      </x:c>
      <x:c r="R1862" t="n">
        <x:v>63.4</x:v>
      </x:c>
      <x:c r="S1862" t="n">
        <x:v>0.0773</x:v>
      </x:c>
      <x:c r="T1862" t="n">
        <x:v>13.5</x:v>
      </x:c>
      <x:c r="U1862" t="n">
        <x:v>1975</x:v>
      </x:c>
      <x:c r="V1862" t="n">
        <x:v>1742</x:v>
      </x:c>
      <x:c r="W1862" t="n">
        <x:v>32.3</x:v>
      </x:c>
    </x:row>
    <x:row r="1863">
      <x:c r="A1863" t="str">
        <x:v>PJT_1862</x:v>
      </x:c>
      <x:c r="B1863" t="str">
        <x:v>Mediterranean</x:v>
      </x:c>
      <x:c r="C1863" t="n">
        <x:v>15050</x:v>
      </x:c>
      <x:c r="D1863" t="n">
        <x:v>10</x:v>
      </x:c>
      <x:c r="E1863" t="str">
        <x:v>Medium</x:v>
      </x:c>
      <x:c r="F1863" t="str">
        <x:v>Mixed-use</x:v>
      </x:c>
      <x:c r="G1863" t="str">
        <x:v>Steel</x:v>
      </x:c>
      <x:c r="H1863" t="str">
        <x:v>Raft</x:v>
      </x:c>
      <x:c r="I1863" t="str">
        <x:v>Sand</x:v>
      </x:c>
      <x:c r="J1863" t="str">
        <x:v>Medium</x:v>
      </x:c>
      <x:c r="K1863" t="n">
        <x:v>38407600</x:v>
      </x:c>
      <x:c r="L1863" t="n">
        <x:v>749</x:v>
      </x:c>
      <x:c r="M1863" t="n">
        <x:v>266.4</x:v>
      </x:c>
      <x:c r="N1863" t="n">
        <x:v>16.6</x:v>
      </x:c>
      <x:c r="O1863" t="n">
        <x:v>69.6</x:v>
      </x:c>
      <x:c r="P1863" t="str">
        <x:v>Rainy</x:v>
      </x:c>
      <x:c r="Q1863" t="n">
        <x:v>83</x:v>
      </x:c>
      <x:c r="R1863" t="n">
        <x:v>74.6</x:v>
      </x:c>
      <x:c r="S1863" t="n">
        <x:v>0.1052</x:v>
      </x:c>
      <x:c r="T1863" t="n">
        <x:v>18</x:v>
      </x:c>
      <x:c r="U1863" t="n">
        <x:v>1505</x:v>
      </x:c>
      <x:c r="V1863" t="n">
        <x:v>2552</x:v>
      </x:c>
      <x:c r="W1863" t="n">
        <x:v>49.8</x:v>
      </x:c>
    </x:row>
    <x:row r="1864">
      <x:c r="A1864" t="str">
        <x:v>PJT_1863</x:v>
      </x:c>
      <x:c r="B1864" t="str">
        <x:v>Continental</x:v>
      </x:c>
      <x:c r="C1864" t="n">
        <x:v>20930</x:v>
      </x:c>
      <x:c r="D1864" t="n">
        <x:v>14</x:v>
      </x:c>
      <x:c r="E1864" t="str">
        <x:v>Medium</x:v>
      </x:c>
      <x:c r="F1864" t="str">
        <x:v>Mixed-use</x:v>
      </x:c>
      <x:c r="G1864" t="str">
        <x:v>Steel</x:v>
      </x:c>
      <x:c r="H1864" t="str">
        <x:v>Piles</x:v>
      </x:c>
      <x:c r="I1864" t="str">
        <x:v>Soft Clay</x:v>
      </x:c>
      <x:c r="J1864" t="str">
        <x:v>Low</x:v>
      </x:c>
      <x:c r="K1864" t="n">
        <x:v>52304070</x:v>
      </x:c>
      <x:c r="L1864" t="n">
        <x:v>1017</x:v>
      </x:c>
      <x:c r="M1864" t="n">
        <x:v>171.2</x:v>
      </x:c>
      <x:c r="N1864" t="n">
        <x:v>4.7</x:v>
      </x:c>
      <x:c r="O1864" t="n">
        <x:v>66</x:v>
      </x:c>
      <x:c r="P1864" t="str">
        <x:v>Cloudy</x:v>
      </x:c>
      <x:c r="Q1864" t="n">
        <x:v>92</x:v>
      </x:c>
      <x:c r="R1864" t="n">
        <x:v>77.9</x:v>
      </x:c>
      <x:c r="S1864" t="n">
        <x:v>0.0983</x:v>
      </x:c>
      <x:c r="T1864" t="n">
        <x:v>17.7</x:v>
      </x:c>
      <x:c r="U1864" t="n">
        <x:v>1495</x:v>
      </x:c>
      <x:c r="V1864" t="n">
        <x:v>2499</x:v>
      </x:c>
      <x:c r="W1864" t="n">
        <x:v>48.6</x:v>
      </x:c>
    </x:row>
    <x:row r="1865">
      <x:c r="A1865" t="str">
        <x:v>PJT_1864</x:v>
      </x:c>
      <x:c r="B1865" t="str">
        <x:v>Humid Subtropical</x:v>
      </x:c>
      <x:c r="C1865" t="n">
        <x:v>10400</x:v>
      </x:c>
      <x:c r="D1865" t="n">
        <x:v>7</x:v>
      </x:c>
      <x:c r="E1865" t="str">
        <x:v>Medium</x:v>
      </x:c>
      <x:c r="F1865" t="str">
        <x:v>Commercial</x:v>
      </x:c>
      <x:c r="G1865" t="str">
        <x:v>RC Frame</x:v>
      </x:c>
      <x:c r="H1865" t="str">
        <x:v>Raft</x:v>
      </x:c>
      <x:c r="I1865" t="str">
        <x:v>Rock</x:v>
      </x:c>
      <x:c r="J1865" t="str">
        <x:v>Low</x:v>
      </x:c>
      <x:c r="K1865" t="n">
        <x:v>21829600</x:v>
      </x:c>
      <x:c r="L1865" t="n">
        <x:v>400</x:v>
      </x:c>
      <x:c r="M1865" t="n">
        <x:v>691</x:v>
      </x:c>
      <x:c r="N1865" t="n">
        <x:v>22.1</x:v>
      </x:c>
      <x:c r="O1865" t="n">
        <x:v>69.7</x:v>
      </x:c>
      <x:c r="P1865" t="str">
        <x:v>Cloudy</x:v>
      </x:c>
      <x:c r="Q1865" t="n">
        <x:v>77</x:v>
      </x:c>
      <x:c r="R1865" t="n">
        <x:v>75.1</x:v>
      </x:c>
      <x:c r="S1865" t="n">
        <x:v>0.09</x:v>
      </x:c>
      <x:c r="T1865" t="n">
        <x:v>17</x:v>
      </x:c>
      <x:c r="U1865" t="n">
        <x:v>1485.7</x:v>
      </x:c>
      <x:c r="V1865" t="n">
        <x:v>2099</x:v>
      </x:c>
      <x:c r="W1865" t="n">
        <x:v>38.5</x:v>
      </x:c>
    </x:row>
    <x:row r="1866">
      <x:c r="A1866" t="str">
        <x:v>PJT_1865</x:v>
      </x:c>
      <x:c r="B1866" t="str">
        <x:v>Continental</x:v>
      </x:c>
      <x:c r="C1866" t="n">
        <x:v>15050</x:v>
      </x:c>
      <x:c r="D1866" t="n">
        <x:v>17</x:v>
      </x:c>
      <x:c r="E1866" t="str">
        <x:v>Low</x:v>
      </x:c>
      <x:c r="F1866" t="str">
        <x:v>Residential</x:v>
      </x:c>
      <x:c r="G1866" t="str">
        <x:v>RC Frame</x:v>
      </x:c>
      <x:c r="H1866" t="str">
        <x:v>Piles</x:v>
      </x:c>
      <x:c r="I1866" t="str">
        <x:v>Soft Clay</x:v>
      </x:c>
      <x:c r="J1866" t="str">
        <x:v>Low</x:v>
      </x:c>
      <x:c r="K1866" t="n">
        <x:v>19173700</x:v>
      </x:c>
      <x:c r="L1866" t="n">
        <x:v>582</x:v>
      </x:c>
      <x:c r="M1866" t="n">
        <x:v>220.6</x:v>
      </x:c>
      <x:c r="N1866" t="n">
        <x:v>17.7</x:v>
      </x:c>
      <x:c r="O1866" t="n">
        <x:v>89.1</x:v>
      </x:c>
      <x:c r="P1866" t="str">
        <x:v>Stormy</x:v>
      </x:c>
      <x:c r="Q1866" t="n">
        <x:v>78</x:v>
      </x:c>
      <x:c r="R1866" t="n">
        <x:v>65</x:v>
      </x:c>
      <x:c r="S1866" t="n">
        <x:v>0.0747</x:v>
      </x:c>
      <x:c r="T1866" t="n">
        <x:v>11.1</x:v>
      </x:c>
      <x:c r="U1866" t="n">
        <x:v>885.3</x:v>
      </x:c>
      <x:c r="V1866" t="n">
        <x:v>1274</x:v>
      </x:c>
      <x:c r="W1866" t="n">
        <x:v>38.7</x:v>
      </x:c>
    </x:row>
    <x:row r="1867">
      <x:c r="A1867" t="str">
        <x:v>PJT_1866</x:v>
      </x:c>
      <x:c r="B1867" t="str">
        <x:v>Continental</x:v>
      </x:c>
      <x:c r="C1867" t="n">
        <x:v>22920</x:v>
      </x:c>
      <x:c r="D1867" t="n">
        <x:v>20</x:v>
      </x:c>
      <x:c r="E1867" t="str">
        <x:v>High</x:v>
      </x:c>
      <x:c r="F1867" t="str">
        <x:v>Mixed-use</x:v>
      </x:c>
      <x:c r="G1867" t="str">
        <x:v>Steel</x:v>
      </x:c>
      <x:c r="H1867" t="str">
        <x:v>Piles</x:v>
      </x:c>
      <x:c r="I1867" t="str">
        <x:v>Soft Clay</x:v>
      </x:c>
      <x:c r="J1867" t="str">
        <x:v>Low</x:v>
      </x:c>
      <x:c r="K1867" t="n">
        <x:v>65803320</x:v>
      </x:c>
      <x:c r="L1867" t="n">
        <x:v>1300</x:v>
      </x:c>
      <x:c r="M1867" t="n">
        <x:v>177.5</x:v>
      </x:c>
      <x:c r="N1867" t="n">
        <x:v>6.6</x:v>
      </x:c>
      <x:c r="O1867" t="n">
        <x:v>88</x:v>
      </x:c>
      <x:c r="P1867" t="str">
        <x:v>Rainy</x:v>
      </x:c>
      <x:c r="Q1867" t="n">
        <x:v>86</x:v>
      </x:c>
      <x:c r="R1867" t="n">
        <x:v>88.2</x:v>
      </x:c>
      <x:c r="S1867" t="n">
        <x:v>0.106</x:v>
      </x:c>
      <x:c r="T1867" t="n">
        <x:v>19.6</x:v>
      </x:c>
      <x:c r="U1867" t="n">
        <x:v>1146</x:v>
      </x:c>
      <x:c r="V1867" t="n">
        <x:v>2871</x:v>
      </x:c>
      <x:c r="W1867" t="n">
        <x:v>56.7</x:v>
      </x:c>
    </x:row>
    <x:row r="1868">
      <x:c r="A1868" t="str">
        <x:v>PJT_1867</x:v>
      </x:c>
      <x:c r="B1868" t="str">
        <x:v>Marine</x:v>
      </x:c>
      <x:c r="C1868" t="n">
        <x:v>27380</x:v>
      </x:c>
      <x:c r="D1868" t="n">
        <x:v>26</x:v>
      </x:c>
      <x:c r="E1868" t="str">
        <x:v>High</x:v>
      </x:c>
      <x:c r="F1868" t="str">
        <x:v>Mixed-use</x:v>
      </x:c>
      <x:c r="G1868" t="str">
        <x:v>Steel</x:v>
      </x:c>
      <x:c r="H1868" t="str">
        <x:v>Piles</x:v>
      </x:c>
      <x:c r="I1868" t="str">
        <x:v>Rock</x:v>
      </x:c>
      <x:c r="J1868" t="str">
        <x:v>Medium</x:v>
      </x:c>
      <x:c r="K1868" t="n">
        <x:v>82605460</x:v>
      </x:c>
      <x:c r="L1868" t="n">
        <x:v>1503</x:v>
      </x:c>
      <x:c r="M1868" t="n">
        <x:v>626.9</x:v>
      </x:c>
      <x:c r="N1868" t="n">
        <x:v>14.5</x:v>
      </x:c>
      <x:c r="O1868" t="n">
        <x:v>66.5</x:v>
      </x:c>
      <x:c r="P1868" t="str">
        <x:v>Cloudy</x:v>
      </x:c>
      <x:c r="Q1868" t="n">
        <x:v>76</x:v>
      </x:c>
      <x:c r="R1868" t="n">
        <x:v>89.3</x:v>
      </x:c>
      <x:c r="S1868" t="n">
        <x:v>0.1079</x:v>
      </x:c>
      <x:c r="T1868" t="n">
        <x:v>19.5</x:v>
      </x:c>
      <x:c r="U1868" t="n">
        <x:v>1053.1</x:v>
      </x:c>
      <x:c r="V1868" t="n">
        <x:v>3017</x:v>
      </x:c>
      <x:c r="W1868" t="n">
        <x:v>54.9</x:v>
      </x:c>
    </x:row>
    <x:row r="1869">
      <x:c r="A1869" t="str">
        <x:v>PJT_1868</x:v>
      </x:c>
      <x:c r="B1869" t="str">
        <x:v>Continental</x:v>
      </x:c>
      <x:c r="C1869" t="n">
        <x:v>14130</x:v>
      </x:c>
      <x:c r="D1869" t="n">
        <x:v>8</x:v>
      </x:c>
      <x:c r="E1869" t="str">
        <x:v>Medium</x:v>
      </x:c>
      <x:c r="F1869" t="str">
        <x:v>Commercial</x:v>
      </x:c>
      <x:c r="G1869" t="str">
        <x:v>Steel</x:v>
      </x:c>
      <x:c r="H1869" t="str">
        <x:v>Raft</x:v>
      </x:c>
      <x:c r="I1869" t="str">
        <x:v>Rock</x:v>
      </x:c>
      <x:c r="J1869" t="str">
        <x:v>Low</x:v>
      </x:c>
      <x:c r="K1869" t="n">
        <x:v>32908770</x:v>
      </x:c>
      <x:c r="L1869" t="n">
        <x:v>585</x:v>
      </x:c>
      <x:c r="M1869" t="n">
        <x:v>666.4</x:v>
      </x:c>
      <x:c r="N1869" t="n">
        <x:v>3.1</x:v>
      </x:c>
      <x:c r="O1869" t="n">
        <x:v>57.6</x:v>
      </x:c>
      <x:c r="P1869" t="str">
        <x:v>Cloudy</x:v>
      </x:c>
      <x:c r="Q1869" t="n">
        <x:v>79</x:v>
      </x:c>
      <x:c r="R1869" t="n">
        <x:v>71.4</x:v>
      </x:c>
      <x:c r="S1869" t="n">
        <x:v>0.0999</x:v>
      </x:c>
      <x:c r="T1869" t="n">
        <x:v>16.3</x:v>
      </x:c>
      <x:c r="U1869" t="n">
        <x:v>1766.2</x:v>
      </x:c>
      <x:c r="V1869" t="n">
        <x:v>2329</x:v>
      </x:c>
      <x:c r="W1869" t="n">
        <x:v>41.4</x:v>
      </x:c>
    </x:row>
    <x:row r="1870">
      <x:c r="A1870" t="str">
        <x:v>PJT_1869</x:v>
      </x:c>
      <x:c r="B1870" t="str">
        <x:v>Marine</x:v>
      </x:c>
      <x:c r="C1870" t="n">
        <x:v>16490</x:v>
      </x:c>
      <x:c r="D1870" t="n">
        <x:v>8</x:v>
      </x:c>
      <x:c r="E1870" t="str">
        <x:v>Medium</x:v>
      </x:c>
      <x:c r="F1870" t="str">
        <x:v>Commercial</x:v>
      </x:c>
      <x:c r="G1870" t="str">
        <x:v>Steel</x:v>
      </x:c>
      <x:c r="H1870" t="str">
        <x:v>Raft</x:v>
      </x:c>
      <x:c r="I1870" t="str">
        <x:v>Mixed</x:v>
      </x:c>
      <x:c r="J1870" t="str">
        <x:v>High</x:v>
      </x:c>
      <x:c r="K1870" t="n">
        <x:v>40285070</x:v>
      </x:c>
      <x:c r="L1870" t="n">
        <x:v>785</x:v>
      </x:c>
      <x:c r="M1870" t="n">
        <x:v>358.1</x:v>
      </x:c>
      <x:c r="N1870" t="n">
        <x:v>7.7</x:v>
      </x:c>
      <x:c r="O1870" t="n">
        <x:v>81.9</x:v>
      </x:c>
      <x:c r="P1870" t="str">
        <x:v>Stormy</x:v>
      </x:c>
      <x:c r="Q1870" t="n">
        <x:v>77</x:v>
      </x:c>
      <x:c r="R1870" t="n">
        <x:v>71.4</x:v>
      </x:c>
      <x:c r="S1870" t="n">
        <x:v>0.0962</x:v>
      </x:c>
      <x:c r="T1870" t="n">
        <x:v>16.3</x:v>
      </x:c>
      <x:c r="U1870" t="n">
        <x:v>2061.2</x:v>
      </x:c>
      <x:c r="V1870" t="n">
        <x:v>2443</x:v>
      </x:c>
      <x:c r="W1870" t="n">
        <x:v>47.6</x:v>
      </x:c>
    </x:row>
    <x:row r="1871">
      <x:c r="A1871" t="str">
        <x:v>PJT_1870</x:v>
      </x:c>
      <x:c r="B1871" t="str">
        <x:v>Mediterranean</x:v>
      </x:c>
      <x:c r="C1871" t="n">
        <x:v>16650</x:v>
      </x:c>
      <x:c r="D1871" t="n">
        <x:v>13</x:v>
      </x:c>
      <x:c r="E1871" t="str">
        <x:v>Medium</x:v>
      </x:c>
      <x:c r="F1871" t="str">
        <x:v>Residential</x:v>
      </x:c>
      <x:c r="G1871" t="str">
        <x:v>RC Frame</x:v>
      </x:c>
      <x:c r="H1871" t="str">
        <x:v>Raft</x:v>
      </x:c>
      <x:c r="I1871" t="str">
        <x:v>Mixed</x:v>
      </x:c>
      <x:c r="J1871" t="str">
        <x:v>Medium</x:v>
      </x:c>
      <x:c r="K1871" t="n">
        <x:v>24891750</x:v>
      </x:c>
      <x:c r="L1871" t="n">
        <x:v>554</x:v>
      </x:c>
      <x:c r="M1871" t="n">
        <x:v>293.1</x:v>
      </x:c>
      <x:c r="N1871" t="n">
        <x:v>20.2</x:v>
      </x:c>
      <x:c r="O1871" t="n">
        <x:v>45.3</x:v>
      </x:c>
      <x:c r="P1871" t="str">
        <x:v>Sunny</x:v>
      </x:c>
      <x:c r="Q1871" t="n">
        <x:v>57</x:v>
      </x:c>
      <x:c r="R1871" t="n">
        <x:v>69</x:v>
      </x:c>
      <x:c r="S1871" t="n">
        <x:v>0.0805</x:v>
      </x:c>
      <x:c r="T1871" t="n">
        <x:v>12.4</x:v>
      </x:c>
      <x:c r="U1871" t="n">
        <x:v>1280.8</x:v>
      </x:c>
      <x:c r="V1871" t="n">
        <x:v>1495</x:v>
      </x:c>
      <x:c r="W1871" t="n">
        <x:v>33.3</x:v>
      </x:c>
    </x:row>
    <x:row r="1872">
      <x:c r="A1872" t="str">
        <x:v>PJT_1871</x:v>
      </x:c>
      <x:c r="B1872" t="str">
        <x:v>Mediterranean</x:v>
      </x:c>
      <x:c r="C1872" t="n">
        <x:v>24030</x:v>
      </x:c>
      <x:c r="D1872" t="n">
        <x:v>19</x:v>
      </x:c>
      <x:c r="E1872" t="str">
        <x:v>Medium</x:v>
      </x:c>
      <x:c r="F1872" t="str">
        <x:v>Residential</x:v>
      </x:c>
      <x:c r="G1872" t="str">
        <x:v>Shear Wall</x:v>
      </x:c>
      <x:c r="H1872" t="str">
        <x:v>Piles</x:v>
      </x:c>
      <x:c r="I1872" t="str">
        <x:v>Sand</x:v>
      </x:c>
      <x:c r="J1872" t="str">
        <x:v>Medium</x:v>
      </x:c>
      <x:c r="K1872" t="n">
        <x:v>40971150</x:v>
      </x:c>
      <x:c r="L1872" t="n">
        <x:v>1028</x:v>
      </x:c>
      <x:c r="M1872" t="n">
        <x:v>316.1</x:v>
      </x:c>
      <x:c r="N1872" t="n">
        <x:v>17.7</x:v>
      </x:c>
      <x:c r="O1872" t="n">
        <x:v>69.4</x:v>
      </x:c>
      <x:c r="P1872" t="str">
        <x:v>Rainy</x:v>
      </x:c>
      <x:c r="Q1872" t="n">
        <x:v>63</x:v>
      </x:c>
      <x:c r="R1872" t="n">
        <x:v>72.3</x:v>
      </x:c>
      <x:c r="S1872" t="n">
        <x:v>0.0843</x:v>
      </x:c>
      <x:c r="T1872" t="n">
        <x:v>13.7</x:v>
      </x:c>
      <x:c r="U1872" t="n">
        <x:v>1264.7</x:v>
      </x:c>
      <x:c r="V1872" t="n">
        <x:v>1705</x:v>
      </x:c>
      <x:c r="W1872" t="n">
        <x:v>42.8</x:v>
      </x:c>
    </x:row>
    <x:row r="1873">
      <x:c r="A1873" t="str">
        <x:v>PJT_1872</x:v>
      </x:c>
      <x:c r="B1873" t="str">
        <x:v>Humid Subtropical</x:v>
      </x:c>
      <x:c r="C1873" t="n">
        <x:v>14390</x:v>
      </x:c>
      <x:c r="D1873" t="n">
        <x:v>14</x:v>
      </x:c>
      <x:c r="E1873" t="str">
        <x:v>Medium</x:v>
      </x:c>
      <x:c r="F1873" t="str">
        <x:v>Residential</x:v>
      </x:c>
      <x:c r="G1873" t="str">
        <x:v>RC Frame</x:v>
      </x:c>
      <x:c r="H1873" t="str">
        <x:v>Raft</x:v>
      </x:c>
      <x:c r="I1873" t="str">
        <x:v>Rock</x:v>
      </x:c>
      <x:c r="J1873" t="str">
        <x:v>Low</x:v>
      </x:c>
      <x:c r="K1873" t="n">
        <x:v>21858410</x:v>
      </x:c>
      <x:c r="L1873" t="n">
        <x:v>586</x:v>
      </x:c>
      <x:c r="M1873" t="n">
        <x:v>740.3</x:v>
      </x:c>
      <x:c r="N1873" t="n">
        <x:v>26.4</x:v>
      </x:c>
      <x:c r="O1873" t="n">
        <x:v>80.4</x:v>
      </x:c>
      <x:c r="P1873" t="str">
        <x:v>Stormy</x:v>
      </x:c>
      <x:c r="Q1873" t="n">
        <x:v>73</x:v>
      </x:c>
      <x:c r="R1873" t="n">
        <x:v>77.6</x:v>
      </x:c>
      <x:c r="S1873" t="n">
        <x:v>0.0777</x:v>
      </x:c>
      <x:c r="T1873" t="n">
        <x:v>13.8</x:v>
      </x:c>
      <x:c r="U1873" t="n">
        <x:v>1027.9</x:v>
      </x:c>
      <x:c r="V1873" t="n">
        <x:v>1519</x:v>
      </x:c>
      <x:c r="W1873" t="n">
        <x:v>40.7</x:v>
      </x:c>
    </x:row>
    <x:row r="1874">
      <x:c r="A1874" t="str">
        <x:v>PJT_1873</x:v>
      </x:c>
      <x:c r="B1874" t="str">
        <x:v>Mediterranean</x:v>
      </x:c>
      <x:c r="C1874" t="n">
        <x:v>16600</x:v>
      </x:c>
      <x:c r="D1874" t="n">
        <x:v>9</x:v>
      </x:c>
      <x:c r="E1874" t="str">
        <x:v>Medium</x:v>
      </x:c>
      <x:c r="F1874" t="str">
        <x:v>Hospital</x:v>
      </x:c>
      <x:c r="G1874" t="str">
        <x:v>RC Frame</x:v>
      </x:c>
      <x:c r="H1874" t="str">
        <x:v>Raft</x:v>
      </x:c>
      <x:c r="I1874" t="str">
        <x:v>Mixed</x:v>
      </x:c>
      <x:c r="J1874" t="str">
        <x:v>Medium</x:v>
      </x:c>
      <x:c r="K1874" t="n">
        <x:v>50829200</x:v>
      </x:c>
      <x:c r="L1874" t="n">
        <x:v>800</x:v>
      </x:c>
      <x:c r="M1874" t="n">
        <x:v>324.4</x:v>
      </x:c>
      <x:c r="N1874" t="n">
        <x:v>13.5</x:v>
      </x:c>
      <x:c r="O1874" t="n">
        <x:v>70</x:v>
      </x:c>
      <x:c r="P1874" t="str">
        <x:v>Rainy</x:v>
      </x:c>
      <x:c r="Q1874" t="n">
        <x:v>76</x:v>
      </x:c>
      <x:c r="R1874" t="n">
        <x:v>78.7</x:v>
      </x:c>
      <x:c r="S1874" t="n">
        <x:v>0.1034</x:v>
      </x:c>
      <x:c r="T1874" t="n">
        <x:v>20.8</x:v>
      </x:c>
      <x:c r="U1874" t="n">
        <x:v>1844.4</x:v>
      </x:c>
      <x:c r="V1874" t="n">
        <x:v>3062</x:v>
      </x:c>
      <x:c r="W1874" t="n">
        <x:v>48.2</x:v>
      </x:c>
    </x:row>
    <x:row r="1875">
      <x:c r="A1875" t="str">
        <x:v>PJT_1874</x:v>
      </x:c>
      <x:c r="B1875" t="str">
        <x:v>Mediterranean</x:v>
      </x:c>
      <x:c r="C1875" t="n">
        <x:v>20850</x:v>
      </x:c>
      <x:c r="D1875" t="n">
        <x:v>14</x:v>
      </x:c>
      <x:c r="E1875" t="str">
        <x:v>Medium</x:v>
      </x:c>
      <x:c r="F1875" t="str">
        <x:v>Mixed-use</x:v>
      </x:c>
      <x:c r="G1875" t="str">
        <x:v>Steel</x:v>
      </x:c>
      <x:c r="H1875" t="str">
        <x:v>Piles</x:v>
      </x:c>
      <x:c r="I1875" t="str">
        <x:v>Sand</x:v>
      </x:c>
      <x:c r="J1875" t="str">
        <x:v>High</x:v>
      </x:c>
      <x:c r="K1875" t="n">
        <x:v>56378400</x:v>
      </x:c>
      <x:c r="L1875" t="n">
        <x:v>1051</x:v>
      </x:c>
      <x:c r="M1875" t="n">
        <x:v>284.6</x:v>
      </x:c>
      <x:c r="N1875" t="n">
        <x:v>11.6</x:v>
      </x:c>
      <x:c r="O1875" t="n">
        <x:v>68.3</x:v>
      </x:c>
      <x:c r="P1875" t="str">
        <x:v>Rainy</x:v>
      </x:c>
      <x:c r="Q1875" t="n">
        <x:v>97</x:v>
      </x:c>
      <x:c r="R1875" t="n">
        <x:v>82.3</x:v>
      </x:c>
      <x:c r="S1875" t="n">
        <x:v>0.1055</x:v>
      </x:c>
      <x:c r="T1875" t="n">
        <x:v>17.6</x:v>
      </x:c>
      <x:c r="U1875" t="n">
        <x:v>1489.3</x:v>
      </x:c>
      <x:c r="V1875" t="n">
        <x:v>2704</x:v>
      </x:c>
      <x:c r="W1875" t="n">
        <x:v>50.4</x:v>
      </x:c>
    </x:row>
    <x:row r="1876">
      <x:c r="A1876" t="str">
        <x:v>PJT_1875</x:v>
      </x:c>
      <x:c r="B1876" t="str">
        <x:v>Continental</x:v>
      </x:c>
      <x:c r="C1876" t="n">
        <x:v>13100</x:v>
      </x:c>
      <x:c r="D1876" t="n">
        <x:v>12</x:v>
      </x:c>
      <x:c r="E1876" t="str">
        <x:v>Medium</x:v>
      </x:c>
      <x:c r="F1876" t="str">
        <x:v>Mixed-use</x:v>
      </x:c>
      <x:c r="G1876" t="str">
        <x:v>Steel</x:v>
      </x:c>
      <x:c r="H1876" t="str">
        <x:v>Raft</x:v>
      </x:c>
      <x:c r="I1876" t="str">
        <x:v>Mixed</x:v>
      </x:c>
      <x:c r="J1876" t="str">
        <x:v>High</x:v>
      </x:c>
      <x:c r="K1876" t="n">
        <x:v>33418100</x:v>
      </x:c>
      <x:c r="L1876" t="n">
        <x:v>646</x:v>
      </x:c>
      <x:c r="M1876" t="n">
        <x:v>333</x:v>
      </x:c>
      <x:c r="N1876" t="n">
        <x:v>1.4</x:v>
      </x:c>
      <x:c r="O1876" t="n">
        <x:v>58.3</x:v>
      </x:c>
      <x:c r="P1876" t="str">
        <x:v>Snowy</x:v>
      </x:c>
      <x:c r="Q1876" t="n">
        <x:v>87</x:v>
      </x:c>
      <x:c r="R1876" t="n">
        <x:v>84.2</x:v>
      </x:c>
      <x:c r="S1876" t="n">
        <x:v>0.1028</x:v>
      </x:c>
      <x:c r="T1876" t="n">
        <x:v>18.4</x:v>
      </x:c>
      <x:c r="U1876" t="n">
        <x:v>1091.7</x:v>
      </x:c>
      <x:c r="V1876" t="n">
        <x:v>2551</x:v>
      </x:c>
      <x:c r="W1876" t="n">
        <x:v>49.3</x:v>
      </x:c>
    </x:row>
    <x:row r="1877">
      <x:c r="A1877" t="str">
        <x:v>PJT_1876</x:v>
      </x:c>
      <x:c r="B1877" t="str">
        <x:v>Continental</x:v>
      </x:c>
      <x:c r="C1877" t="n">
        <x:v>27280</x:v>
      </x:c>
      <x:c r="D1877" t="n">
        <x:v>15</x:v>
      </x:c>
      <x:c r="E1877" t="str">
        <x:v>High</x:v>
      </x:c>
      <x:c r="F1877" t="str">
        <x:v>Hospital</x:v>
      </x:c>
      <x:c r="G1877" t="str">
        <x:v>Shear Wall</x:v>
      </x:c>
      <x:c r="H1877" t="str">
        <x:v>Piles</x:v>
      </x:c>
      <x:c r="I1877" t="str">
        <x:v>Sand</x:v>
      </x:c>
      <x:c r="J1877" t="str">
        <x:v>Medium</x:v>
      </x:c>
      <x:c r="K1877" t="n">
        <x:v>88278080</x:v>
      </x:c>
      <x:c r="L1877" t="n">
        <x:v>1582</x:v>
      </x:c>
      <x:c r="M1877" t="n">
        <x:v>283.8</x:v>
      </x:c>
      <x:c r="N1877" t="n">
        <x:v>19.4</x:v>
      </x:c>
      <x:c r="O1877" t="n">
        <x:v>69.1</x:v>
      </x:c>
      <x:c r="P1877" t="str">
        <x:v>Stormy</x:v>
      </x:c>
      <x:c r="Q1877" t="n">
        <x:v>76</x:v>
      </x:c>
      <x:c r="R1877" t="n">
        <x:v>87</x:v>
      </x:c>
      <x:c r="S1877" t="n">
        <x:v>0.1146</x:v>
      </x:c>
      <x:c r="T1877" t="n">
        <x:v>23.2</x:v>
      </x:c>
      <x:c r="U1877" t="n">
        <x:v>1818.7</x:v>
      </x:c>
      <x:c r="V1877" t="n">
        <x:v>3236</x:v>
      </x:c>
      <x:c r="W1877" t="n">
        <x:v>58</x:v>
      </x:c>
    </x:row>
    <x:row r="1878">
      <x:c r="A1878" t="str">
        <x:v>PJT_1877</x:v>
      </x:c>
      <x:c r="B1878" t="str">
        <x:v>Humid Subtropical</x:v>
      </x:c>
      <x:c r="C1878" t="n">
        <x:v>12490</x:v>
      </x:c>
      <x:c r="D1878" t="n">
        <x:v>15</x:v>
      </x:c>
      <x:c r="E1878" t="str">
        <x:v>Medium</x:v>
      </x:c>
      <x:c r="F1878" t="str">
        <x:v>Residential</x:v>
      </x:c>
      <x:c r="G1878" t="str">
        <x:v>RC Frame</x:v>
      </x:c>
      <x:c r="H1878" t="str">
        <x:v>Piles</x:v>
      </x:c>
      <x:c r="I1878" t="str">
        <x:v>Sand</x:v>
      </x:c>
      <x:c r="J1878" t="str">
        <x:v>Low</x:v>
      </x:c>
      <x:c r="K1878" t="n">
        <x:v>19946530</x:v>
      </x:c>
      <x:c r="L1878" t="n">
        <x:v>487</x:v>
      </x:c>
      <x:c r="M1878" t="n">
        <x:v>354.5</x:v>
      </x:c>
      <x:c r="N1878" t="n">
        <x:v>18.2</x:v>
      </x:c>
      <x:c r="O1878" t="n">
        <x:v>78.2</x:v>
      </x:c>
      <x:c r="P1878" t="str">
        <x:v>Rainy</x:v>
      </x:c>
      <x:c r="Q1878" t="n">
        <x:v>88</x:v>
      </x:c>
      <x:c r="R1878" t="n">
        <x:v>74.9</x:v>
      </x:c>
      <x:c r="S1878" t="n">
        <x:v>0.0746</x:v>
      </x:c>
      <x:c r="T1878" t="n">
        <x:v>12.9</x:v>
      </x:c>
      <x:c r="U1878" t="n">
        <x:v>832.7</x:v>
      </x:c>
      <x:c r="V1878" t="n">
        <x:v>1597</x:v>
      </x:c>
      <x:c r="W1878" t="n">
        <x:v>39</x:v>
      </x:c>
    </x:row>
    <x:row r="1879">
      <x:c r="A1879" t="str">
        <x:v>PJT_1878</x:v>
      </x:c>
      <x:c r="B1879" t="str">
        <x:v>Humid Subtropical</x:v>
      </x:c>
      <x:c r="C1879" t="n">
        <x:v>14600</x:v>
      </x:c>
      <x:c r="D1879" t="n">
        <x:v>9</x:v>
      </x:c>
      <x:c r="E1879" t="str">
        <x:v>Medium</x:v>
      </x:c>
      <x:c r="F1879" t="str">
        <x:v>Commercial</x:v>
      </x:c>
      <x:c r="G1879" t="str">
        <x:v>Steel</x:v>
      </x:c>
      <x:c r="H1879" t="str">
        <x:v>Piles</x:v>
      </x:c>
      <x:c r="I1879" t="str">
        <x:v>Soft Clay</x:v>
      </x:c>
      <x:c r="J1879" t="str">
        <x:v>High</x:v>
      </x:c>
      <x:c r="K1879" t="n">
        <x:v>36441600</x:v>
      </x:c>
      <x:c r="L1879" t="n">
        <x:v>708</x:v>
      </x:c>
      <x:c r="M1879" t="n">
        <x:v>186.5</x:v>
      </x:c>
      <x:c r="N1879" t="n">
        <x:v>26.6</x:v>
      </x:c>
      <x:c r="O1879" t="n">
        <x:v>82.9</x:v>
      </x:c>
      <x:c r="P1879" t="str">
        <x:v>Rainy</x:v>
      </x:c>
      <x:c r="Q1879" t="n">
        <x:v>109</x:v>
      </x:c>
      <x:c r="R1879" t="n">
        <x:v>72.8</x:v>
      </x:c>
      <x:c r="S1879" t="n">
        <x:v>0.0955</x:v>
      </x:c>
      <x:c r="T1879" t="n">
        <x:v>16.7</x:v>
      </x:c>
      <x:c r="U1879" t="n">
        <x:v>1622.2</x:v>
      </x:c>
      <x:c r="V1879" t="n">
        <x:v>2496</x:v>
      </x:c>
      <x:c r="W1879" t="n">
        <x:v>48.5</x:v>
      </x:c>
    </x:row>
    <x:row r="1880">
      <x:c r="A1880" t="str">
        <x:v>PJT_1879</x:v>
      </x:c>
      <x:c r="B1880" t="str">
        <x:v>Humid Subtropical</x:v>
      </x:c>
      <x:c r="C1880" t="n">
        <x:v>26170</x:v>
      </x:c>
      <x:c r="D1880" t="n">
        <x:v>15</x:v>
      </x:c>
      <x:c r="E1880" t="str">
        <x:v>Medium</x:v>
      </x:c>
      <x:c r="F1880" t="str">
        <x:v>Mixed-use</x:v>
      </x:c>
      <x:c r="G1880" t="str">
        <x:v>Shear Wall</x:v>
      </x:c>
      <x:c r="H1880" t="str">
        <x:v>Piles</x:v>
      </x:c>
      <x:c r="I1880" t="str">
        <x:v>Soft Clay</x:v>
      </x:c>
      <x:c r="J1880" t="str">
        <x:v>Low</x:v>
      </x:c>
      <x:c r="K1880" t="n">
        <x:v>68015830</x:v>
      </x:c>
      <x:c r="L1880" t="n">
        <x:v>1288</x:v>
      </x:c>
      <x:c r="M1880" t="n">
        <x:v>190.4</x:v>
      </x:c>
      <x:c r="N1880" t="n">
        <x:v>25.4</x:v>
      </x:c>
      <x:c r="O1880" t="n">
        <x:v>72.2</x:v>
      </x:c>
      <x:c r="P1880" t="str">
        <x:v>Cloudy</x:v>
      </x:c>
      <x:c r="Q1880" t="n">
        <x:v>81</x:v>
      </x:c>
      <x:c r="R1880" t="n">
        <x:v>85.5</x:v>
      </x:c>
      <x:c r="S1880" t="n">
        <x:v>0.0984</x:v>
      </x:c>
      <x:c r="T1880" t="n">
        <x:v>17.7</x:v>
      </x:c>
      <x:c r="U1880" t="n">
        <x:v>1744.7</x:v>
      </x:c>
      <x:c r="V1880" t="n">
        <x:v>2599</x:v>
      </x:c>
      <x:c r="W1880" t="n">
        <x:v>49.2</x:v>
      </x:c>
    </x:row>
    <x:row r="1881">
      <x:c r="A1881" t="str">
        <x:v>PJT_1880</x:v>
      </x:c>
      <x:c r="B1881" t="str">
        <x:v>Marine</x:v>
      </x:c>
      <x:c r="C1881" t="n">
        <x:v>6420</x:v>
      </x:c>
      <x:c r="D1881" t="n">
        <x:v>2</x:v>
      </x:c>
      <x:c r="E1881" t="str">
        <x:v>Low</x:v>
      </x:c>
      <x:c r="F1881" t="str">
        <x:v>School</x:v>
      </x:c>
      <x:c r="G1881" t="str">
        <x:v>Steel</x:v>
      </x:c>
      <x:c r="H1881" t="str">
        <x:v>Raft</x:v>
      </x:c>
      <x:c r="I1881" t="str">
        <x:v>Mixed</x:v>
      </x:c>
      <x:c r="J1881" t="str">
        <x:v>High</x:v>
      </x:c>
      <x:c r="K1881" t="n">
        <x:v>12165900</x:v>
      </x:c>
      <x:c r="L1881" t="n">
        <x:v>213</x:v>
      </x:c>
      <x:c r="M1881" t="n">
        <x:v>372.9</x:v>
      </x:c>
      <x:c r="N1881" t="n">
        <x:v>13</x:v>
      </x:c>
      <x:c r="O1881" t="n">
        <x:v>82.3</x:v>
      </x:c>
      <x:c r="P1881" t="str">
        <x:v>Rainy</x:v>
      </x:c>
      <x:c r="Q1881" t="n">
        <x:v>90</x:v>
      </x:c>
      <x:c r="R1881" t="n">
        <x:v>60.7</x:v>
      </x:c>
      <x:c r="S1881" t="n">
        <x:v>0.0813</x:v>
      </x:c>
      <x:c r="T1881" t="n">
        <x:v>14.4</x:v>
      </x:c>
      <x:c r="U1881" t="n">
        <x:v>3210</x:v>
      </x:c>
      <x:c r="V1881" t="n">
        <x:v>1895</x:v>
      </x:c>
      <x:c r="W1881" t="n">
        <x:v>33.1</x:v>
      </x:c>
    </x:row>
    <x:row r="1882">
      <x:c r="A1882" t="str">
        <x:v>PJT_1881</x:v>
      </x:c>
      <x:c r="B1882" t="str">
        <x:v>Mediterranean</x:v>
      </x:c>
      <x:c r="C1882" t="n">
        <x:v>35210</x:v>
      </x:c>
      <x:c r="D1882" t="n">
        <x:v>20</x:v>
      </x:c>
      <x:c r="E1882" t="str">
        <x:v>Medium</x:v>
      </x:c>
      <x:c r="F1882" t="str">
        <x:v>Mixed-use</x:v>
      </x:c>
      <x:c r="G1882" t="str">
        <x:v>Steel</x:v>
      </x:c>
      <x:c r="H1882" t="str">
        <x:v>Piles</x:v>
      </x:c>
      <x:c r="I1882" t="str">
        <x:v>Sand</x:v>
      </x:c>
      <x:c r="J1882" t="str">
        <x:v>Low</x:v>
      </x:c>
      <x:c r="K1882" t="n">
        <x:v>93236080</x:v>
      </x:c>
      <x:c r="L1882" t="n">
        <x:v>1701</x:v>
      </x:c>
      <x:c r="M1882" t="n">
        <x:v>248.5</x:v>
      </x:c>
      <x:c r="N1882" t="n">
        <x:v>26.5</x:v>
      </x:c>
      <x:c r="O1882" t="n">
        <x:v>59.8</x:v>
      </x:c>
      <x:c r="P1882" t="str">
        <x:v>Sunny</x:v>
      </x:c>
      <x:c r="Q1882" t="n">
        <x:v>73</x:v>
      </x:c>
      <x:c r="R1882" t="n">
        <x:v>79.6</x:v>
      </x:c>
      <x:c r="S1882" t="n">
        <x:v>0.1029</x:v>
      </x:c>
      <x:c r="T1882" t="n">
        <x:v>19.4</x:v>
      </x:c>
      <x:c r="U1882" t="n">
        <x:v>1760.5</x:v>
      </x:c>
      <x:c r="V1882" t="n">
        <x:v>2648</x:v>
      </x:c>
      <x:c r="W1882" t="n">
        <x:v>48.3</x:v>
      </x:c>
    </x:row>
    <x:row r="1883">
      <x:c r="A1883" t="str">
        <x:v>PJT_1882</x:v>
      </x:c>
      <x:c r="B1883" t="str">
        <x:v>Marine</x:v>
      </x:c>
      <x:c r="C1883" t="n">
        <x:v>14540</x:v>
      </x:c>
      <x:c r="D1883" t="n">
        <x:v>13</x:v>
      </x:c>
      <x:c r="E1883" t="str">
        <x:v>Medium</x:v>
      </x:c>
      <x:c r="F1883" t="str">
        <x:v>Mixed-use</x:v>
      </x:c>
      <x:c r="G1883" t="str">
        <x:v>Steel</x:v>
      </x:c>
      <x:c r="H1883" t="str">
        <x:v>Piles</x:v>
      </x:c>
      <x:c r="I1883" t="str">
        <x:v>Soft Clay</x:v>
      </x:c>
      <x:c r="J1883" t="str">
        <x:v>Medium</x:v>
      </x:c>
      <x:c r="K1883" t="n">
        <x:v>38007560</x:v>
      </x:c>
      <x:c r="L1883" t="n">
        <x:v>679</x:v>
      </x:c>
      <x:c r="M1883" t="n">
        <x:v>208.9</x:v>
      </x:c>
      <x:c r="N1883" t="n">
        <x:v>16</x:v>
      </x:c>
      <x:c r="O1883" t="n">
        <x:v>58.5</x:v>
      </x:c>
      <x:c r="P1883" t="str">
        <x:v>Sunny</x:v>
      </x:c>
      <x:c r="Q1883" t="n">
        <x:v>88</x:v>
      </x:c>
      <x:c r="R1883" t="n">
        <x:v>82.5</x:v>
      </x:c>
      <x:c r="S1883" t="n">
        <x:v>0.104</x:v>
      </x:c>
      <x:c r="T1883" t="n">
        <x:v>18</x:v>
      </x:c>
      <x:c r="U1883" t="n">
        <x:v>1118.5</x:v>
      </x:c>
      <x:c r="V1883" t="n">
        <x:v>2614</x:v>
      </x:c>
      <x:c r="W1883" t="n">
        <x:v>46.7</x:v>
      </x:c>
    </x:row>
    <x:row r="1884">
      <x:c r="A1884" t="str">
        <x:v>PJT_1883</x:v>
      </x:c>
      <x:c r="B1884" t="str">
        <x:v>Continental</x:v>
      </x:c>
      <x:c r="C1884" t="n">
        <x:v>18240</x:v>
      </x:c>
      <x:c r="D1884" t="n">
        <x:v>17</x:v>
      </x:c>
      <x:c r="E1884" t="str">
        <x:v>Medium</x:v>
      </x:c>
      <x:c r="F1884" t="str">
        <x:v>Mixed-use</x:v>
      </x:c>
      <x:c r="G1884" t="str">
        <x:v>Shear Wall</x:v>
      </x:c>
      <x:c r="H1884" t="str">
        <x:v>Raft</x:v>
      </x:c>
      <x:c r="I1884" t="str">
        <x:v>Rock</x:v>
      </x:c>
      <x:c r="J1884" t="str">
        <x:v>Medium</x:v>
      </x:c>
      <x:c r="K1884" t="n">
        <x:v>46493760</x:v>
      </x:c>
      <x:c r="L1884" t="n">
        <x:v>854</x:v>
      </x:c>
      <x:c r="M1884" t="n">
        <x:v>625.4</x:v>
      </x:c>
      <x:c r="N1884" t="n">
        <x:v>1.3</x:v>
      </x:c>
      <x:c r="O1884" t="n">
        <x:v>54.7</x:v>
      </x:c>
      <x:c r="P1884" t="str">
        <x:v>Cloudy</x:v>
      </x:c>
      <x:c r="Q1884" t="n">
        <x:v>88</x:v>
      </x:c>
      <x:c r="R1884" t="n">
        <x:v>84</x:v>
      </x:c>
      <x:c r="S1884" t="n">
        <x:v>0.101</x:v>
      </x:c>
      <x:c r="T1884" t="n">
        <x:v>18.2</x:v>
      </x:c>
      <x:c r="U1884" t="n">
        <x:v>1072.9</x:v>
      </x:c>
      <x:c r="V1884" t="n">
        <x:v>2549</x:v>
      </x:c>
      <x:c r="W1884" t="n">
        <x:v>46.8</x:v>
      </x:c>
    </x:row>
    <x:row r="1885">
      <x:c r="A1885" t="str">
        <x:v>PJT_1884</x:v>
      </x:c>
      <x:c r="B1885" t="str">
        <x:v>Continental</x:v>
      </x:c>
      <x:c r="C1885" t="n">
        <x:v>11060</x:v>
      </x:c>
      <x:c r="D1885" t="n">
        <x:v>7</x:v>
      </x:c>
      <x:c r="E1885" t="str">
        <x:v>Medium</x:v>
      </x:c>
      <x:c r="F1885" t="str">
        <x:v>Commercial</x:v>
      </x:c>
      <x:c r="G1885" t="str">
        <x:v>RC Frame</x:v>
      </x:c>
      <x:c r="H1885" t="str">
        <x:v>Raft</x:v>
      </x:c>
      <x:c r="I1885" t="str">
        <x:v>Soft Clay</x:v>
      </x:c>
      <x:c r="J1885" t="str">
        <x:v>High</x:v>
      </x:c>
      <x:c r="K1885" t="n">
        <x:v>25338460</x:v>
      </x:c>
      <x:c r="L1885" t="n">
        <x:v>486</x:v>
      </x:c>
      <x:c r="M1885" t="n">
        <x:v>191.3</x:v>
      </x:c>
      <x:c r="N1885" t="n">
        <x:v>1.9</x:v>
      </x:c>
      <x:c r="O1885" t="n">
        <x:v>66.9</x:v>
      </x:c>
      <x:c r="P1885" t="str">
        <x:v>Snowy</x:v>
      </x:c>
      <x:c r="Q1885" t="n">
        <x:v>99</x:v>
      </x:c>
      <x:c r="R1885" t="n">
        <x:v>79.6</x:v>
      </x:c>
      <x:c r="S1885" t="n">
        <x:v>0.0886</x:v>
      </x:c>
      <x:c r="T1885" t="n">
        <x:v>17.3</x:v>
      </x:c>
      <x:c r="U1885" t="n">
        <x:v>1580</x:v>
      </x:c>
      <x:c r="V1885" t="n">
        <x:v>2291</x:v>
      </x:c>
      <x:c r="W1885" t="n">
        <x:v>43.9</x:v>
      </x:c>
    </x:row>
    <x:row r="1886">
      <x:c r="A1886" t="str">
        <x:v>PJT_1885</x:v>
      </x:c>
      <x:c r="B1886" t="str">
        <x:v>Continental</x:v>
      </x:c>
      <x:c r="C1886" t="n">
        <x:v>7570</x:v>
      </x:c>
      <x:c r="D1886" t="n">
        <x:v>8</x:v>
      </x:c>
      <x:c r="E1886" t="str">
        <x:v>Low</x:v>
      </x:c>
      <x:c r="F1886" t="str">
        <x:v>Residential</x:v>
      </x:c>
      <x:c r="G1886" t="str">
        <x:v>RC Frame</x:v>
      </x:c>
      <x:c r="H1886" t="str">
        <x:v>Raft</x:v>
      </x:c>
      <x:c r="I1886" t="str">
        <x:v>Sand</x:v>
      </x:c>
      <x:c r="J1886" t="str">
        <x:v>Medium</x:v>
      </x:c>
      <x:c r="K1886" t="n">
        <x:v>9757730</x:v>
      </x:c>
      <x:c r="L1886" t="n">
        <x:v>251</x:v>
      </x:c>
      <x:c r="M1886" t="n">
        <x:v>281.9</x:v>
      </x:c>
      <x:c r="N1886" t="n">
        <x:v>10.9</x:v>
      </x:c>
      <x:c r="O1886" t="n">
        <x:v>61.8</x:v>
      </x:c>
      <x:c r="P1886" t="str">
        <x:v>Cloudy</x:v>
      </x:c>
      <x:c r="Q1886" t="n">
        <x:v>72</x:v>
      </x:c>
      <x:c r="R1886" t="n">
        <x:v>68.3</x:v>
      </x:c>
      <x:c r="S1886" t="n">
        <x:v>0.0701</x:v>
      </x:c>
      <x:c r="T1886" t="n">
        <x:v>12.7</x:v>
      </x:c>
      <x:c r="U1886" t="n">
        <x:v>946.2</x:v>
      </x:c>
      <x:c r="V1886" t="n">
        <x:v>1289</x:v>
      </x:c>
      <x:c r="W1886" t="n">
        <x:v>33.1</x:v>
      </x:c>
    </x:row>
    <x:row r="1887">
      <x:c r="A1887" t="str">
        <x:v>PJT_1886</x:v>
      </x:c>
      <x:c r="B1887" t="str">
        <x:v>Marine</x:v>
      </x:c>
      <x:c r="C1887" t="n">
        <x:v>7030</x:v>
      </x:c>
      <x:c r="D1887" t="n">
        <x:v>3</x:v>
      </x:c>
      <x:c r="E1887" t="str">
        <x:v>Low</x:v>
      </x:c>
      <x:c r="F1887" t="str">
        <x:v>School</x:v>
      </x:c>
      <x:c r="G1887" t="str">
        <x:v>RC Frame</x:v>
      </x:c>
      <x:c r="H1887" t="str">
        <x:v>Raft</x:v>
      </x:c>
      <x:c r="I1887" t="str">
        <x:v>Sand</x:v>
      </x:c>
      <x:c r="J1887" t="str">
        <x:v>Low</x:v>
      </x:c>
      <x:c r="K1887" t="n">
        <x:v>11796340</x:v>
      </x:c>
      <x:c r="L1887" t="n">
        <x:v>226</x:v>
      </x:c>
      <x:c r="M1887" t="n">
        <x:v>276.6</x:v>
      </x:c>
      <x:c r="N1887" t="n">
        <x:v>0.6</x:v>
      </x:c>
      <x:c r="O1887" t="n">
        <x:v>72.6</x:v>
      </x:c>
      <x:c r="P1887" t="str">
        <x:v>Snowy</x:v>
      </x:c>
      <x:c r="Q1887" t="n">
        <x:v>61</x:v>
      </x:c>
      <x:c r="R1887" t="n">
        <x:v>66.8</x:v>
      </x:c>
      <x:c r="S1887" t="n">
        <x:v>0.0742</x:v>
      </x:c>
      <x:c r="T1887" t="n">
        <x:v>12.5</x:v>
      </x:c>
      <x:c r="U1887" t="n">
        <x:v>2343.3</x:v>
      </x:c>
      <x:c r="V1887" t="n">
        <x:v>1678</x:v>
      </x:c>
      <x:c r="W1887" t="n">
        <x:v>32.1</x:v>
      </x:c>
    </x:row>
    <x:row r="1888">
      <x:c r="A1888" t="str">
        <x:v>PJT_1887</x:v>
      </x:c>
      <x:c r="B1888" t="str">
        <x:v>Marine</x:v>
      </x:c>
      <x:c r="C1888" t="n">
        <x:v>20290</x:v>
      </x:c>
      <x:c r="D1888" t="n">
        <x:v>16</x:v>
      </x:c>
      <x:c r="E1888" t="str">
        <x:v>Medium</x:v>
      </x:c>
      <x:c r="F1888" t="str">
        <x:v>Mixed-use</x:v>
      </x:c>
      <x:c r="G1888" t="str">
        <x:v>Steel</x:v>
      </x:c>
      <x:c r="H1888" t="str">
        <x:v>Piles</x:v>
      </x:c>
      <x:c r="I1888" t="str">
        <x:v>Soft Clay</x:v>
      </x:c>
      <x:c r="J1888" t="str">
        <x:v>High</x:v>
      </x:c>
      <x:c r="K1888" t="n">
        <x:v>57014900</x:v>
      </x:c>
      <x:c r="L1888" t="n">
        <x:v>1014</x:v>
      </x:c>
      <x:c r="M1888" t="n">
        <x:v>175.6</x:v>
      </x:c>
      <x:c r="N1888" t="n">
        <x:v>8</x:v>
      </x:c>
      <x:c r="O1888" t="n">
        <x:v>65.6</x:v>
      </x:c>
      <x:c r="P1888" t="str">
        <x:v>Cloudy</x:v>
      </x:c>
      <x:c r="Q1888" t="n">
        <x:v>74</x:v>
      </x:c>
      <x:c r="R1888" t="n">
        <x:v>83.6</x:v>
      </x:c>
      <x:c r="S1888" t="n">
        <x:v>0.0992</x:v>
      </x:c>
      <x:c r="T1888" t="n">
        <x:v>19.2</x:v>
      </x:c>
      <x:c r="U1888" t="n">
        <x:v>1268.1</x:v>
      </x:c>
      <x:c r="V1888" t="n">
        <x:v>2810</x:v>
      </x:c>
      <x:c r="W1888" t="n">
        <x:v>50</x:v>
      </x:c>
    </x:row>
    <x:row r="1889">
      <x:c r="A1889" t="str">
        <x:v>PJT_1888</x:v>
      </x:c>
      <x:c r="B1889" t="str">
        <x:v>Humid Subtropical</x:v>
      </x:c>
      <x:c r="C1889" t="n">
        <x:v>14680</x:v>
      </x:c>
      <x:c r="D1889" t="n">
        <x:v>9</x:v>
      </x:c>
      <x:c r="E1889" t="str">
        <x:v>Medium</x:v>
      </x:c>
      <x:c r="F1889" t="str">
        <x:v>Commercial</x:v>
      </x:c>
      <x:c r="G1889" t="str">
        <x:v>RC Frame</x:v>
      </x:c>
      <x:c r="H1889" t="str">
        <x:v>Raft</x:v>
      </x:c>
      <x:c r="I1889" t="str">
        <x:v>Mixed</x:v>
      </x:c>
      <x:c r="J1889" t="str">
        <x:v>High</x:v>
      </x:c>
      <x:c r="K1889" t="n">
        <x:v>34718200</x:v>
      </x:c>
      <x:c r="L1889" t="n">
        <x:v>647</x:v>
      </x:c>
      <x:c r="M1889" t="n">
        <x:v>262.9</x:v>
      </x:c>
      <x:c r="N1889" t="n">
        <x:v>22.5</x:v>
      </x:c>
      <x:c r="O1889" t="n">
        <x:v>85.8</x:v>
      </x:c>
      <x:c r="P1889" t="str">
        <x:v>Rainy</x:v>
      </x:c>
      <x:c r="Q1889" t="n">
        <x:v>98</x:v>
      </x:c>
      <x:c r="R1889" t="n">
        <x:v>78</x:v>
      </x:c>
      <x:c r="S1889" t="n">
        <x:v>0.0881</x:v>
      </x:c>
      <x:c r="T1889" t="n">
        <x:v>17</x:v>
      </x:c>
      <x:c r="U1889" t="n">
        <x:v>1631.1</x:v>
      </x:c>
      <x:c r="V1889" t="n">
        <x:v>2365</x:v>
      </x:c>
      <x:c r="W1889" t="n">
        <x:v>44.1</x:v>
      </x:c>
    </x:row>
    <x:row r="1890">
      <x:c r="A1890" t="str">
        <x:v>PJT_1889</x:v>
      </x:c>
      <x:c r="B1890" t="str">
        <x:v>Mediterranean</x:v>
      </x:c>
      <x:c r="C1890" t="n">
        <x:v>31370</x:v>
      </x:c>
      <x:c r="D1890" t="n">
        <x:v>23</x:v>
      </x:c>
      <x:c r="E1890" t="str">
        <x:v>High</x:v>
      </x:c>
      <x:c r="F1890" t="str">
        <x:v>Mixed-use</x:v>
      </x:c>
      <x:c r="G1890" t="str">
        <x:v>Steel</x:v>
      </x:c>
      <x:c r="H1890" t="str">
        <x:v>Piles</x:v>
      </x:c>
      <x:c r="I1890" t="str">
        <x:v>Sand</x:v>
      </x:c>
      <x:c r="J1890" t="str">
        <x:v>High</x:v>
      </x:c>
      <x:c r="K1890" t="n">
        <x:v>93953150</x:v>
      </x:c>
      <x:c r="L1890" t="n">
        <x:v>1681</x:v>
      </x:c>
      <x:c r="M1890" t="n">
        <x:v>330.6</x:v>
      </x:c>
      <x:c r="N1890" t="n">
        <x:v>24</x:v>
      </x:c>
      <x:c r="O1890" t="n">
        <x:v>41.5</x:v>
      </x:c>
      <x:c r="P1890" t="str">
        <x:v>Sunny</x:v>
      </x:c>
      <x:c r="Q1890" t="n">
        <x:v>76</x:v>
      </x:c>
      <x:c r="R1890" t="n">
        <x:v>85.9</x:v>
      </x:c>
      <x:c r="S1890" t="n">
        <x:v>0.1096</x:v>
      </x:c>
      <x:c r="T1890" t="n">
        <x:v>21.3</x:v>
      </x:c>
      <x:c r="U1890" t="n">
        <x:v>1363.9</x:v>
      </x:c>
      <x:c r="V1890" t="n">
        <x:v>2995</x:v>
      </x:c>
      <x:c r="W1890" t="n">
        <x:v>53.6</x:v>
      </x:c>
    </x:row>
    <x:row r="1891">
      <x:c r="A1891" t="str">
        <x:v>PJT_1890</x:v>
      </x:c>
      <x:c r="B1891" t="str">
        <x:v>Continental</x:v>
      </x:c>
      <x:c r="C1891" t="n">
        <x:v>13600</x:v>
      </x:c>
      <x:c r="D1891" t="n">
        <x:v>12</x:v>
      </x:c>
      <x:c r="E1891" t="str">
        <x:v>Medium</x:v>
      </x:c>
      <x:c r="F1891" t="str">
        <x:v>Commercial</x:v>
      </x:c>
      <x:c r="G1891" t="str">
        <x:v>RC Frame</x:v>
      </x:c>
      <x:c r="H1891" t="str">
        <x:v>Raft</x:v>
      </x:c>
      <x:c r="I1891" t="str">
        <x:v>Rock</x:v>
      </x:c>
      <x:c r="J1891" t="str">
        <x:v>Low</x:v>
      </x:c>
      <x:c r="K1891" t="n">
        <x:v>27621600</x:v>
      </x:c>
      <x:c r="L1891" t="n">
        <x:v>529</x:v>
      </x:c>
      <x:c r="M1891" t="n">
        <x:v>691.7</x:v>
      </x:c>
      <x:c r="N1891" t="n">
        <x:v>20.4</x:v>
      </x:c>
      <x:c r="O1891" t="n">
        <x:v>46.8</x:v>
      </x:c>
      <x:c r="P1891" t="str">
        <x:v>Sunny</x:v>
      </x:c>
      <x:c r="Q1891" t="n">
        <x:v>79</x:v>
      </x:c>
      <x:c r="R1891" t="n">
        <x:v>81.6</x:v>
      </x:c>
      <x:c r="S1891" t="n">
        <x:v>0.0873</x:v>
      </x:c>
      <x:c r="T1891" t="n">
        <x:v>16.2</x:v>
      </x:c>
      <x:c r="U1891" t="n">
        <x:v>1133.3</x:v>
      </x:c>
      <x:c r="V1891" t="n">
        <x:v>2031</x:v>
      </x:c>
      <x:c r="W1891" t="n">
        <x:v>38.9</x:v>
      </x:c>
    </x:row>
    <x:row r="1892">
      <x:c r="A1892" t="str">
        <x:v>PJT_1891</x:v>
      </x:c>
      <x:c r="B1892" t="str">
        <x:v>Continental</x:v>
      </x:c>
      <x:c r="C1892" t="n">
        <x:v>31780</x:v>
      </x:c>
      <x:c r="D1892" t="n">
        <x:v>17</x:v>
      </x:c>
      <x:c r="E1892" t="str">
        <x:v>Medium</x:v>
      </x:c>
      <x:c r="F1892" t="str">
        <x:v>Mixed-use</x:v>
      </x:c>
      <x:c r="G1892" t="str">
        <x:v>Shear Wall</x:v>
      </x:c>
      <x:c r="H1892" t="str">
        <x:v>Piles</x:v>
      </x:c>
      <x:c r="I1892" t="str">
        <x:v>Soft Clay</x:v>
      </x:c>
      <x:c r="J1892" t="str">
        <x:v>Medium</x:v>
      </x:c>
      <x:c r="K1892" t="n">
        <x:v>82214860</x:v>
      </x:c>
      <x:c r="L1892" t="n">
        <x:v>1545</x:v>
      </x:c>
      <x:c r="M1892" t="n">
        <x:v>208.8</x:v>
      </x:c>
      <x:c r="N1892" t="n">
        <x:v>0.2</x:v>
      </x:c>
      <x:c r="O1892" t="n">
        <x:v>63.2</x:v>
      </x:c>
      <x:c r="P1892" t="str">
        <x:v>Cloudy</x:v>
      </x:c>
      <x:c r="Q1892" t="n">
        <x:v>103</x:v>
      </x:c>
      <x:c r="R1892" t="n">
        <x:v>81.1</x:v>
      </x:c>
      <x:c r="S1892" t="n">
        <x:v>0.1016</x:v>
      </x:c>
      <x:c r="T1892" t="n">
        <x:v>18.9</x:v>
      </x:c>
      <x:c r="U1892" t="n">
        <x:v>1869.4</x:v>
      </x:c>
      <x:c r="V1892" t="n">
        <x:v>2587</x:v>
      </x:c>
      <x:c r="W1892" t="n">
        <x:v>48.6</x:v>
      </x:c>
    </x:row>
    <x:row r="1893">
      <x:c r="A1893" t="str">
        <x:v>PJT_1892</x:v>
      </x:c>
      <x:c r="B1893" t="str">
        <x:v>Marine</x:v>
      </x:c>
      <x:c r="C1893" t="n">
        <x:v>22370</x:v>
      </x:c>
      <x:c r="D1893" t="n">
        <x:v>15</x:v>
      </x:c>
      <x:c r="E1893" t="str">
        <x:v>Medium</x:v>
      </x:c>
      <x:c r="F1893" t="str">
        <x:v>Mixed-use</x:v>
      </x:c>
      <x:c r="G1893" t="str">
        <x:v>Steel</x:v>
      </x:c>
      <x:c r="H1893" t="str">
        <x:v>Piles</x:v>
      </x:c>
      <x:c r="I1893" t="str">
        <x:v>Mixed</x:v>
      </x:c>
      <x:c r="J1893" t="str">
        <x:v>Low</x:v>
      </x:c>
      <x:c r="K1893" t="n">
        <x:v>59347610</x:v>
      </x:c>
      <x:c r="L1893" t="n">
        <x:v>1094</x:v>
      </x:c>
      <x:c r="M1893" t="n">
        <x:v>400.8</x:v>
      </x:c>
      <x:c r="N1893" t="n">
        <x:v>15.1</x:v>
      </x:c>
      <x:c r="O1893" t="n">
        <x:v>65.3</x:v>
      </x:c>
      <x:c r="P1893" t="str">
        <x:v>Cloudy</x:v>
      </x:c>
      <x:c r="Q1893" t="n">
        <x:v>98</x:v>
      </x:c>
      <x:c r="R1893" t="n">
        <x:v>84.8</x:v>
      </x:c>
      <x:c r="S1893" t="n">
        <x:v>0.1056</x:v>
      </x:c>
      <x:c r="T1893" t="n">
        <x:v>18.5</x:v>
      </x:c>
      <x:c r="U1893" t="n">
        <x:v>1491.3</x:v>
      </x:c>
      <x:c r="V1893" t="n">
        <x:v>2653</x:v>
      </x:c>
      <x:c r="W1893" t="n">
        <x:v>48.9</x:v>
      </x:c>
    </x:row>
    <x:row r="1894">
      <x:c r="A1894" t="str">
        <x:v>PJT_1893</x:v>
      </x:c>
      <x:c r="B1894" t="str">
        <x:v>Mediterranean</x:v>
      </x:c>
      <x:c r="C1894" t="n">
        <x:v>23460</x:v>
      </x:c>
      <x:c r="D1894" t="n">
        <x:v>13</x:v>
      </x:c>
      <x:c r="E1894" t="str">
        <x:v>High</x:v>
      </x:c>
      <x:c r="F1894" t="str">
        <x:v>Hospital</x:v>
      </x:c>
      <x:c r="G1894" t="str">
        <x:v>Shear Wall</x:v>
      </x:c>
      <x:c r="H1894" t="str">
        <x:v>Piles</x:v>
      </x:c>
      <x:c r="I1894" t="str">
        <x:v>Soft Clay</x:v>
      </x:c>
      <x:c r="J1894" t="str">
        <x:v>Medium</x:v>
      </x:c>
      <x:c r="K1894" t="n">
        <x:v>77183400</x:v>
      </x:c>
      <x:c r="L1894" t="n">
        <x:v>1356</x:v>
      </x:c>
      <x:c r="M1894" t="n">
        <x:v>178.8</x:v>
      </x:c>
      <x:c r="N1894" t="n">
        <x:v>14.4</x:v>
      </x:c>
      <x:c r="O1894" t="n">
        <x:v>74.6</x:v>
      </x:c>
      <x:c r="P1894" t="str">
        <x:v>Rainy</x:v>
      </x:c>
      <x:c r="Q1894" t="n">
        <x:v>87</x:v>
      </x:c>
      <x:c r="R1894" t="n">
        <x:v>90.6</x:v>
      </x:c>
      <x:c r="S1894" t="n">
        <x:v>0.1123</x:v>
      </x:c>
      <x:c r="T1894" t="n">
        <x:v>23.8</x:v>
      </x:c>
      <x:c r="U1894" t="n">
        <x:v>1804.6</x:v>
      </x:c>
      <x:c r="V1894" t="n">
        <x:v>3290</x:v>
      </x:c>
      <x:c r="W1894" t="n">
        <x:v>57.8</x:v>
      </x:c>
    </x:row>
    <x:row r="1895">
      <x:c r="A1895" t="str">
        <x:v>PJT_1894</x:v>
      </x:c>
      <x:c r="B1895" t="str">
        <x:v>Continental</x:v>
      </x:c>
      <x:c r="C1895" t="n">
        <x:v>19500</x:v>
      </x:c>
      <x:c r="D1895" t="n">
        <x:v>16</x:v>
      </x:c>
      <x:c r="E1895" t="str">
        <x:v>Medium</x:v>
      </x:c>
      <x:c r="F1895" t="str">
        <x:v>Mixed-use</x:v>
      </x:c>
      <x:c r="G1895" t="str">
        <x:v>Steel</x:v>
      </x:c>
      <x:c r="H1895" t="str">
        <x:v>Piles</x:v>
      </x:c>
      <x:c r="I1895" t="str">
        <x:v>Mixed</x:v>
      </x:c>
      <x:c r="J1895" t="str">
        <x:v>Low</x:v>
      </x:c>
      <x:c r="K1895" t="n">
        <x:v>52006500</x:v>
      </x:c>
      <x:c r="L1895" t="n">
        <x:v>991</x:v>
      </x:c>
      <x:c r="M1895" t="n">
        <x:v>320.4</x:v>
      </x:c>
      <x:c r="N1895" t="n">
        <x:v>2.3</x:v>
      </x:c>
      <x:c r="O1895" t="n">
        <x:v>71.4</x:v>
      </x:c>
      <x:c r="P1895" t="str">
        <x:v>Cloudy</x:v>
      </x:c>
      <x:c r="Q1895" t="n">
        <x:v>88</x:v>
      </x:c>
      <x:c r="R1895" t="n">
        <x:v>82.6</x:v>
      </x:c>
      <x:c r="S1895" t="n">
        <x:v>0.1055</x:v>
      </x:c>
      <x:c r="T1895" t="n">
        <x:v>18</x:v>
      </x:c>
      <x:c r="U1895" t="n">
        <x:v>1218.8</x:v>
      </x:c>
      <x:c r="V1895" t="n">
        <x:v>2667</x:v>
      </x:c>
      <x:c r="W1895" t="n">
        <x:v>50.8</x:v>
      </x:c>
    </x:row>
    <x:row r="1896">
      <x:c r="A1896" t="str">
        <x:v>PJT_1895</x:v>
      </x:c>
      <x:c r="B1896" t="str">
        <x:v>Mediterranean</x:v>
      </x:c>
      <x:c r="C1896" t="n">
        <x:v>8660</x:v>
      </x:c>
      <x:c r="D1896" t="n">
        <x:v>11</x:v>
      </x:c>
      <x:c r="E1896" t="str">
        <x:v>Low</x:v>
      </x:c>
      <x:c r="F1896" t="str">
        <x:v>Residential</x:v>
      </x:c>
      <x:c r="G1896" t="str">
        <x:v>RC Frame</x:v>
      </x:c>
      <x:c r="H1896" t="str">
        <x:v>Piles</x:v>
      </x:c>
      <x:c r="I1896" t="str">
        <x:v>Soft Clay</x:v>
      </x:c>
      <x:c r="J1896" t="str">
        <x:v>Low</x:v>
      </x:c>
      <x:c r="K1896" t="n">
        <x:v>12115340</x:v>
      </x:c>
      <x:c r="L1896" t="n">
        <x:v>288</x:v>
      </x:c>
      <x:c r="M1896" t="n">
        <x:v>183.2</x:v>
      </x:c>
      <x:c r="N1896" t="n">
        <x:v>15.4</x:v>
      </x:c>
      <x:c r="O1896" t="n">
        <x:v>66.5</x:v>
      </x:c>
      <x:c r="P1896" t="str">
        <x:v>Cloudy</x:v>
      </x:c>
      <x:c r="Q1896" t="n">
        <x:v>63</x:v>
      </x:c>
      <x:c r="R1896" t="n">
        <x:v>67.3</x:v>
      </x:c>
      <x:c r="S1896" t="n">
        <x:v>0.077</x:v>
      </x:c>
      <x:c r="T1896" t="n">
        <x:v>12.6</x:v>
      </x:c>
      <x:c r="U1896" t="n">
        <x:v>787.3</x:v>
      </x:c>
      <x:c r="V1896" t="n">
        <x:v>1399</x:v>
      </x:c>
      <x:c r="W1896" t="n">
        <x:v>33.3</x:v>
      </x:c>
    </x:row>
    <x:row r="1897">
      <x:c r="A1897" t="str">
        <x:v>PJT_1896</x:v>
      </x:c>
      <x:c r="B1897" t="str">
        <x:v>Marine</x:v>
      </x:c>
      <x:c r="C1897" t="n">
        <x:v>14590</x:v>
      </x:c>
      <x:c r="D1897" t="n">
        <x:v>13</x:v>
      </x:c>
      <x:c r="E1897" t="str">
        <x:v>Medium</x:v>
      </x:c>
      <x:c r="F1897" t="str">
        <x:v>Mixed-use</x:v>
      </x:c>
      <x:c r="G1897" t="str">
        <x:v>Steel</x:v>
      </x:c>
      <x:c r="H1897" t="str">
        <x:v>Raft</x:v>
      </x:c>
      <x:c r="I1897" t="str">
        <x:v>Mixed</x:v>
      </x:c>
      <x:c r="J1897" t="str">
        <x:v>High</x:v>
      </x:c>
      <x:c r="K1897" t="n">
        <x:v>38211210</x:v>
      </x:c>
      <x:c r="L1897" t="n">
        <x:v>738</x:v>
      </x:c>
      <x:c r="M1897" t="n">
        <x:v>334.1</x:v>
      </x:c>
      <x:c r="N1897" t="n">
        <x:v>10</x:v>
      </x:c>
      <x:c r="O1897" t="n">
        <x:v>92.9</x:v>
      </x:c>
      <x:c r="P1897" t="str">
        <x:v>Stormy</x:v>
      </x:c>
      <x:c r="Q1897" t="n">
        <x:v>107</x:v>
      </x:c>
      <x:c r="R1897" t="n">
        <x:v>84.2</x:v>
      </x:c>
      <x:c r="S1897" t="n">
        <x:v>0.1015</x:v>
      </x:c>
      <x:c r="T1897" t="n">
        <x:v>19.2</x:v>
      </x:c>
      <x:c r="U1897" t="n">
        <x:v>1122.3</x:v>
      </x:c>
      <x:c r="V1897" t="n">
        <x:v>2619</x:v>
      </x:c>
      <x:c r="W1897" t="n">
        <x:v>50.6</x:v>
      </x:c>
    </x:row>
    <x:row r="1898">
      <x:c r="A1898" t="str">
        <x:v>PJT_1897</x:v>
      </x:c>
      <x:c r="B1898" t="str">
        <x:v>Mediterranean</x:v>
      </x:c>
      <x:c r="C1898" t="n">
        <x:v>34950</x:v>
      </x:c>
      <x:c r="D1898" t="n">
        <x:v>15</x:v>
      </x:c>
      <x:c r="E1898" t="str">
        <x:v>High</x:v>
      </x:c>
      <x:c r="F1898" t="str">
        <x:v>Hospital</x:v>
      </x:c>
      <x:c r="G1898" t="str">
        <x:v>Shear Wall</x:v>
      </x:c>
      <x:c r="H1898" t="str">
        <x:v>Piles</x:v>
      </x:c>
      <x:c r="I1898" t="str">
        <x:v>Soft Clay</x:v>
      </x:c>
      <x:c r="J1898" t="str">
        <x:v>High</x:v>
      </x:c>
      <x:c r="K1898" t="n">
        <x:v>122394900</x:v>
      </x:c>
      <x:c r="L1898" t="n">
        <x:v>1863</x:v>
      </x:c>
      <x:c r="M1898" t="n">
        <x:v>158.5</x:v>
      </x:c>
      <x:c r="N1898" t="n">
        <x:v>29</x:v>
      </x:c>
      <x:c r="O1898" t="n">
        <x:v>44.7</x:v>
      </x:c>
      <x:c r="P1898" t="str">
        <x:v>Sunny</x:v>
      </x:c>
      <x:c r="Q1898" t="n">
        <x:v>89</x:v>
      </x:c>
      <x:c r="R1898" t="n">
        <x:v>89.8</x:v>
      </x:c>
      <x:c r="S1898" t="n">
        <x:v>0.1107</x:v>
      </x:c>
      <x:c r="T1898" t="n">
        <x:v>23.4</x:v>
      </x:c>
      <x:c r="U1898" t="n">
        <x:v>2330</x:v>
      </x:c>
      <x:c r="V1898" t="n">
        <x:v>3502</x:v>
      </x:c>
      <x:c r="W1898" t="n">
        <x:v>53.3</x:v>
      </x:c>
    </x:row>
    <x:row r="1899">
      <x:c r="A1899" t="str">
        <x:v>PJT_1898</x:v>
      </x:c>
      <x:c r="B1899" t="str">
        <x:v>Humid Subtropical</x:v>
      </x:c>
      <x:c r="C1899" t="n">
        <x:v>7820</x:v>
      </x:c>
      <x:c r="D1899" t="n">
        <x:v>10</x:v>
      </x:c>
      <x:c r="E1899" t="str">
        <x:v>Low</x:v>
      </x:c>
      <x:c r="F1899" t="str">
        <x:v>Residential</x:v>
      </x:c>
      <x:c r="G1899" t="str">
        <x:v>RC Frame</x:v>
      </x:c>
      <x:c r="H1899" t="str">
        <x:v>Raft</x:v>
      </x:c>
      <x:c r="I1899" t="str">
        <x:v>Rock</x:v>
      </x:c>
      <x:c r="J1899" t="str">
        <x:v>Low</x:v>
      </x:c>
      <x:c r="K1899" t="n">
        <x:v>10729040</x:v>
      </x:c>
      <x:c r="L1899" t="n">
        <x:v>291</x:v>
      </x:c>
      <x:c r="M1899" t="n">
        <x:v>719.1</x:v>
      </x:c>
      <x:c r="N1899" t="n">
        <x:v>20.8</x:v>
      </x:c>
      <x:c r="O1899" t="n">
        <x:v>90.4</x:v>
      </x:c>
      <x:c r="P1899" t="str">
        <x:v>Stormy</x:v>
      </x:c>
      <x:c r="Q1899" t="n">
        <x:v>99</x:v>
      </x:c>
      <x:c r="R1899" t="n">
        <x:v>68.5</x:v>
      </x:c>
      <x:c r="S1899" t="n">
        <x:v>0.0727</x:v>
      </x:c>
      <x:c r="T1899" t="n">
        <x:v>12.1</x:v>
      </x:c>
      <x:c r="U1899" t="n">
        <x:v>782</x:v>
      </x:c>
      <x:c r="V1899" t="n">
        <x:v>1372</x:v>
      </x:c>
      <x:c r="W1899" t="n">
        <x:v>37.2</x:v>
      </x:c>
    </x:row>
    <x:row r="1900">
      <x:c r="A1900" t="str">
        <x:v>PJT_1899</x:v>
      </x:c>
      <x:c r="B1900" t="str">
        <x:v>Marine</x:v>
      </x:c>
      <x:c r="C1900" t="n">
        <x:v>3540</x:v>
      </x:c>
      <x:c r="D1900" t="n">
        <x:v>3</x:v>
      </x:c>
      <x:c r="E1900" t="str">
        <x:v>Low</x:v>
      </x:c>
      <x:c r="F1900" t="str">
        <x:v>Residential</x:v>
      </x:c>
      <x:c r="G1900" t="str">
        <x:v>RC Frame</x:v>
      </x:c>
      <x:c r="H1900" t="str">
        <x:v>Strip</x:v>
      </x:c>
      <x:c r="I1900" t="str">
        <x:v>Sand</x:v>
      </x:c>
      <x:c r="J1900" t="str">
        <x:v>Medium</x:v>
      </x:c>
      <x:c r="K1900" t="n">
        <x:v>4566600</x:v>
      </x:c>
      <x:c r="L1900" t="n">
        <x:v>180</x:v>
      </x:c>
      <x:c r="M1900" t="n">
        <x:v>192.9</x:v>
      </x:c>
      <x:c r="N1900" t="n">
        <x:v>10.7</x:v>
      </x:c>
      <x:c r="O1900" t="n">
        <x:v>71.3</x:v>
      </x:c>
      <x:c r="P1900" t="str">
        <x:v>Sunny</x:v>
      </x:c>
      <x:c r="Q1900" t="n">
        <x:v>81</x:v>
      </x:c>
      <x:c r="R1900" t="n">
        <x:v>59.9</x:v>
      </x:c>
      <x:c r="S1900" t="n">
        <x:v>0.076</x:v>
      </x:c>
      <x:c r="T1900" t="n">
        <x:v>12.6</x:v>
      </x:c>
      <x:c r="U1900" t="n">
        <x:v>1180</x:v>
      </x:c>
      <x:c r="V1900" t="n">
        <x:v>1290</x:v>
      </x:c>
      <x:c r="W1900" t="n">
        <x:v>25.3</x:v>
      </x:c>
    </x:row>
    <x:row r="1901">
      <x:c r="A1901" t="str">
        <x:v>PJT_1900</x:v>
      </x:c>
      <x:c r="B1901" t="str">
        <x:v>Continental</x:v>
      </x:c>
      <x:c r="C1901" t="n">
        <x:v>17230</x:v>
      </x:c>
      <x:c r="D1901" t="n">
        <x:v>14</x:v>
      </x:c>
      <x:c r="E1901" t="str">
        <x:v>Medium</x:v>
      </x:c>
      <x:c r="F1901" t="str">
        <x:v>Commercial</x:v>
      </x:c>
      <x:c r="G1901" t="str">
        <x:v>Steel</x:v>
      </x:c>
      <x:c r="H1901" t="str">
        <x:v>Piles</x:v>
      </x:c>
      <x:c r="I1901" t="str">
        <x:v>Soft Clay</x:v>
      </x:c>
      <x:c r="J1901" t="str">
        <x:v>Low</x:v>
      </x:c>
      <x:c r="K1901" t="n">
        <x:v>41593220</x:v>
      </x:c>
      <x:c r="L1901" t="n">
        <x:v>820</x:v>
      </x:c>
      <x:c r="M1901" t="n">
        <x:v>169.2</x:v>
      </x:c>
      <x:c r="N1901" t="n">
        <x:v>0.8</x:v>
      </x:c>
      <x:c r="O1901" t="n">
        <x:v>66.3</x:v>
      </x:c>
      <x:c r="P1901" t="str">
        <x:v>Cloudy</x:v>
      </x:c>
      <x:c r="Q1901" t="n">
        <x:v>75</x:v>
      </x:c>
      <x:c r="R1901" t="n">
        <x:v>78.1</x:v>
      </x:c>
      <x:c r="S1901" t="n">
        <x:v>0.0992</x:v>
      </x:c>
      <x:c r="T1901" t="n">
        <x:v>16.5</x:v>
      </x:c>
      <x:c r="U1901" t="n">
        <x:v>1230.7</x:v>
      </x:c>
      <x:c r="V1901" t="n">
        <x:v>2414</x:v>
      </x:c>
      <x:c r="W1901" t="n">
        <x:v>47.6</x:v>
      </x:c>
    </x:row>
    <x:row r="1902">
      <x:c r="A1902" t="str">
        <x:v>PJT_1901</x:v>
      </x:c>
      <x:c r="B1902" t="str">
        <x:v>Humid Subtropical</x:v>
      </x:c>
      <x:c r="C1902" t="n">
        <x:v>20480</x:v>
      </x:c>
      <x:c r="D1902" t="n">
        <x:v>11</x:v>
      </x:c>
      <x:c r="E1902" t="str">
        <x:v>Medium</x:v>
      </x:c>
      <x:c r="F1902" t="str">
        <x:v>Hospital</x:v>
      </x:c>
      <x:c r="G1902" t="str">
        <x:v>Steel</x:v>
      </x:c>
      <x:c r="H1902" t="str">
        <x:v>Piles</x:v>
      </x:c>
      <x:c r="I1902" t="str">
        <x:v>Mixed</x:v>
      </x:c>
      <x:c r="J1902" t="str">
        <x:v>Low</x:v>
      </x:c>
      <x:c r="K1902" t="n">
        <x:v>66211840</x:v>
      </x:c>
      <x:c r="L1902" t="n">
        <x:v>1083</x:v>
      </x:c>
      <x:c r="M1902" t="n">
        <x:v>392.8</x:v>
      </x:c>
      <x:c r="N1902" t="n">
        <x:v>19.2</x:v>
      </x:c>
      <x:c r="O1902" t="n">
        <x:v>75.5</x:v>
      </x:c>
      <x:c r="P1902" t="str">
        <x:v>Rainy</x:v>
      </x:c>
      <x:c r="Q1902" t="n">
        <x:v>86</x:v>
      </x:c>
      <x:c r="R1902" t="n">
        <x:v>77.6</x:v>
      </x:c>
      <x:c r="S1902" t="n">
        <x:v>0.1091</x:v>
      </x:c>
      <x:c r="T1902" t="n">
        <x:v>20.8</x:v>
      </x:c>
      <x:c r="U1902" t="n">
        <x:v>1861.8</x:v>
      </x:c>
      <x:c r="V1902" t="n">
        <x:v>3233</x:v>
      </x:c>
      <x:c r="W1902" t="n">
        <x:v>52.9</x:v>
      </x:c>
    </x:row>
    <x:row r="1903">
      <x:c r="A1903" t="str">
        <x:v>PJT_1902</x:v>
      </x:c>
      <x:c r="B1903" t="str">
        <x:v>Continental</x:v>
      </x:c>
      <x:c r="C1903" t="n">
        <x:v>31880</x:v>
      </x:c>
      <x:c r="D1903" t="n">
        <x:v>18</x:v>
      </x:c>
      <x:c r="E1903" t="str">
        <x:v>High</x:v>
      </x:c>
      <x:c r="F1903" t="str">
        <x:v>Mixed-use</x:v>
      </x:c>
      <x:c r="G1903" t="str">
        <x:v>Steel</x:v>
      </x:c>
      <x:c r="H1903" t="str">
        <x:v>Piles</x:v>
      </x:c>
      <x:c r="I1903" t="str">
        <x:v>Soft Clay</x:v>
      </x:c>
      <x:c r="J1903" t="str">
        <x:v>Low</x:v>
      </x:c>
      <x:c r="K1903" t="n">
        <x:v>90507320</x:v>
      </x:c>
      <x:c r="L1903" t="n">
        <x:v>1753</x:v>
      </x:c>
      <x:c r="M1903" t="n">
        <x:v>198.8</x:v>
      </x:c>
      <x:c r="N1903" t="n">
        <x:v>2.2</x:v>
      </x:c>
      <x:c r="O1903" t="n">
        <x:v>59.3</x:v>
      </x:c>
      <x:c r="P1903" t="str">
        <x:v>Cloudy</x:v>
      </x:c>
      <x:c r="Q1903" t="n">
        <x:v>98</x:v>
      </x:c>
      <x:c r="R1903" t="n">
        <x:v>85.2</x:v>
      </x:c>
      <x:c r="S1903" t="n">
        <x:v>0.1099</x:v>
      </x:c>
      <x:c r="T1903" t="n">
        <x:v>19.7</x:v>
      </x:c>
      <x:c r="U1903" t="n">
        <x:v>1771.1</x:v>
      </x:c>
      <x:c r="V1903" t="n">
        <x:v>2839</x:v>
      </x:c>
      <x:c r="W1903" t="n">
        <x:v>55</x:v>
      </x:c>
    </x:row>
    <x:row r="1904">
      <x:c r="A1904" t="str">
        <x:v>PJT_1903</x:v>
      </x:c>
      <x:c r="B1904" t="str">
        <x:v>Continental</x:v>
      </x:c>
      <x:c r="C1904" t="n">
        <x:v>28130</x:v>
      </x:c>
      <x:c r="D1904" t="n">
        <x:v>16</x:v>
      </x:c>
      <x:c r="E1904" t="str">
        <x:v>Medium</x:v>
      </x:c>
      <x:c r="F1904" t="str">
        <x:v>Commercial</x:v>
      </x:c>
      <x:c r="G1904" t="str">
        <x:v>Steel</x:v>
      </x:c>
      <x:c r="H1904" t="str">
        <x:v>Piles</x:v>
      </x:c>
      <x:c r="I1904" t="str">
        <x:v>Soft Clay</x:v>
      </x:c>
      <x:c r="J1904" t="str">
        <x:v>Medium</x:v>
      </x:c>
      <x:c r="K1904" t="n">
        <x:v>69987440</x:v>
      </x:c>
      <x:c r="L1904" t="n">
        <x:v>1271</x:v>
      </x:c>
      <x:c r="M1904" t="n">
        <x:v>177.9</x:v>
      </x:c>
      <x:c r="N1904" t="n">
        <x:v>17.6</x:v>
      </x:c>
      <x:c r="O1904" t="n">
        <x:v>54</x:v>
      </x:c>
      <x:c r="P1904" t="str">
        <x:v>Cloudy</x:v>
      </x:c>
      <x:c r="Q1904" t="n">
        <x:v>72</x:v>
      </x:c>
      <x:c r="R1904" t="n">
        <x:v>83.3</x:v>
      </x:c>
      <x:c r="S1904" t="n">
        <x:v>0.0944</x:v>
      </x:c>
      <x:c r="T1904" t="n">
        <x:v>17.8</x:v>
      </x:c>
      <x:c r="U1904" t="n">
        <x:v>1758.1</x:v>
      </x:c>
      <x:c r="V1904" t="n">
        <x:v>2488</x:v>
      </x:c>
      <x:c r="W1904" t="n">
        <x:v>45.2</x:v>
      </x:c>
    </x:row>
    <x:row r="1905">
      <x:c r="A1905" t="str">
        <x:v>PJT_1904</x:v>
      </x:c>
      <x:c r="B1905" t="str">
        <x:v>Marine</x:v>
      </x:c>
      <x:c r="C1905" t="n">
        <x:v>13420</x:v>
      </x:c>
      <x:c r="D1905" t="n">
        <x:v>19</x:v>
      </x:c>
      <x:c r="E1905" t="str">
        <x:v>Medium</x:v>
      </x:c>
      <x:c r="F1905" t="str">
        <x:v>Residential</x:v>
      </x:c>
      <x:c r="G1905" t="str">
        <x:v>Shear Wall</x:v>
      </x:c>
      <x:c r="H1905" t="str">
        <x:v>Piles</x:v>
      </x:c>
      <x:c r="I1905" t="str">
        <x:v>Soft Clay</x:v>
      </x:c>
      <x:c r="J1905" t="str">
        <x:v>Medium</x:v>
      </x:c>
      <x:c r="K1905" t="n">
        <x:v>23592360</x:v>
      </x:c>
      <x:c r="L1905" t="n">
        <x:v>530</x:v>
      </x:c>
      <x:c r="M1905" t="n">
        <x:v>213.8</x:v>
      </x:c>
      <x:c r="N1905" t="n">
        <x:v>21.7</x:v>
      </x:c>
      <x:c r="O1905" t="n">
        <x:v>59.6</x:v>
      </x:c>
      <x:c r="P1905" t="str">
        <x:v>Sunny</x:v>
      </x:c>
      <x:c r="Q1905" t="n">
        <x:v>79</x:v>
      </x:c>
      <x:c r="R1905" t="n">
        <x:v>76.1</x:v>
      </x:c>
      <x:c r="S1905" t="n">
        <x:v>0.0808</x:v>
      </x:c>
      <x:c r="T1905" t="n">
        <x:v>12.9</x:v>
      </x:c>
      <x:c r="U1905" t="n">
        <x:v>706.3</x:v>
      </x:c>
      <x:c r="V1905" t="n">
        <x:v>1758</x:v>
      </x:c>
      <x:c r="W1905" t="n">
        <x:v>39.5</x:v>
      </x:c>
    </x:row>
    <x:row r="1906">
      <x:c r="A1906" t="str">
        <x:v>PJT_1905</x:v>
      </x:c>
      <x:c r="B1906" t="str">
        <x:v>Mediterranean</x:v>
      </x:c>
      <x:c r="C1906" t="n">
        <x:v>12300</x:v>
      </x:c>
      <x:c r="D1906" t="n">
        <x:v>10</x:v>
      </x:c>
      <x:c r="E1906" t="str">
        <x:v>Medium</x:v>
      </x:c>
      <x:c r="F1906" t="str">
        <x:v>Commercial</x:v>
      </x:c>
      <x:c r="G1906" t="str">
        <x:v>Steel</x:v>
      </x:c>
      <x:c r="H1906" t="str">
        <x:v>Piles</x:v>
      </x:c>
      <x:c r="I1906" t="str">
        <x:v>Soft Clay</x:v>
      </x:c>
      <x:c r="J1906" t="str">
        <x:v>High</x:v>
      </x:c>
      <x:c r="K1906" t="n">
        <x:v>30184200</x:v>
      </x:c>
      <x:c r="L1906" t="n">
        <x:v>531</x:v>
      </x:c>
      <x:c r="M1906" t="n">
        <x:v>166.7</x:v>
      </x:c>
      <x:c r="N1906" t="n">
        <x:v>23.9</x:v>
      </x:c>
      <x:c r="O1906" t="n">
        <x:v>50.2</x:v>
      </x:c>
      <x:c r="P1906" t="str">
        <x:v>Sunny</x:v>
      </x:c>
      <x:c r="Q1906" t="n">
        <x:v>74</x:v>
      </x:c>
      <x:c r="R1906" t="n">
        <x:v>80.8</x:v>
      </x:c>
      <x:c r="S1906" t="n">
        <x:v>0.0967</x:v>
      </x:c>
      <x:c r="T1906" t="n">
        <x:v>16.2</x:v>
      </x:c>
      <x:c r="U1906" t="n">
        <x:v>1230</x:v>
      </x:c>
      <x:c r="V1906" t="n">
        <x:v>2454</x:v>
      </x:c>
      <x:c r="W1906" t="n">
        <x:v>43.2</x:v>
      </x:c>
    </x:row>
    <x:row r="1907">
      <x:c r="A1907" t="str">
        <x:v>PJT_1906</x:v>
      </x:c>
      <x:c r="B1907" t="str">
        <x:v>Continental</x:v>
      </x:c>
      <x:c r="C1907" t="n">
        <x:v>8000</x:v>
      </x:c>
      <x:c r="D1907" t="n">
        <x:v>10</x:v>
      </x:c>
      <x:c r="E1907" t="str">
        <x:v>Low</x:v>
      </x:c>
      <x:c r="F1907" t="str">
        <x:v>Residential</x:v>
      </x:c>
      <x:c r="G1907" t="str">
        <x:v>RC Frame</x:v>
      </x:c>
      <x:c r="H1907" t="str">
        <x:v>Raft</x:v>
      </x:c>
      <x:c r="I1907" t="str">
        <x:v>Mixed</x:v>
      </x:c>
      <x:c r="J1907" t="str">
        <x:v>Low</x:v>
      </x:c>
      <x:c r="K1907" t="n">
        <x:v>9960000</x:v>
      </x:c>
      <x:c r="L1907" t="n">
        <x:v>258</x:v>
      </x:c>
      <x:c r="M1907" t="n">
        <x:v>371.9</x:v>
      </x:c>
      <x:c r="N1907" t="n">
        <x:v>5.8</x:v>
      </x:c>
      <x:c r="O1907" t="n">
        <x:v>65.8</x:v>
      </x:c>
      <x:c r="P1907" t="str">
        <x:v>Cloudy</x:v>
      </x:c>
      <x:c r="Q1907" t="n">
        <x:v>73</x:v>
      </x:c>
      <x:c r="R1907" t="n">
        <x:v>67.9</x:v>
      </x:c>
      <x:c r="S1907" t="n">
        <x:v>0.0738</x:v>
      </x:c>
      <x:c r="T1907" t="n">
        <x:v>12.4</x:v>
      </x:c>
      <x:c r="U1907" t="n">
        <x:v>800</x:v>
      </x:c>
      <x:c r="V1907" t="n">
        <x:v>1245</x:v>
      </x:c>
      <x:c r="W1907" t="n">
        <x:v>32.3</x:v>
      </x:c>
    </x:row>
    <x:row r="1908">
      <x:c r="A1908" t="str">
        <x:v>PJT_1907</x:v>
      </x:c>
      <x:c r="B1908" t="str">
        <x:v>Mediterranean</x:v>
      </x:c>
      <x:c r="C1908" t="n">
        <x:v>18750</x:v>
      </x:c>
      <x:c r="D1908" t="n">
        <x:v>12</x:v>
      </x:c>
      <x:c r="E1908" t="str">
        <x:v>Medium</x:v>
      </x:c>
      <x:c r="F1908" t="str">
        <x:v>Mixed-use</x:v>
      </x:c>
      <x:c r="G1908" t="str">
        <x:v>Steel</x:v>
      </x:c>
      <x:c r="H1908" t="str">
        <x:v>Raft</x:v>
      </x:c>
      <x:c r="I1908" t="str">
        <x:v>Mixed</x:v>
      </x:c>
      <x:c r="J1908" t="str">
        <x:v>Medium</x:v>
      </x:c>
      <x:c r="K1908" t="n">
        <x:v>46987500</x:v>
      </x:c>
      <x:c r="L1908" t="n">
        <x:v>831</x:v>
      </x:c>
      <x:c r="M1908" t="n">
        <x:v>304.5</x:v>
      </x:c>
      <x:c r="N1908" t="n">
        <x:v>28.9</x:v>
      </x:c>
      <x:c r="O1908" t="n">
        <x:v>47.3</x:v>
      </x:c>
      <x:c r="P1908" t="str">
        <x:v>Sunny</x:v>
      </x:c>
      <x:c r="Q1908" t="n">
        <x:v>91</x:v>
      </x:c>
      <x:c r="R1908" t="n">
        <x:v>82.1</x:v>
      </x:c>
      <x:c r="S1908" t="n">
        <x:v>0.1005</x:v>
      </x:c>
      <x:c r="T1908" t="n">
        <x:v>19</x:v>
      </x:c>
      <x:c r="U1908" t="n">
        <x:v>1562.5</x:v>
      </x:c>
      <x:c r="V1908" t="n">
        <x:v>2506</x:v>
      </x:c>
      <x:c r="W1908" t="n">
        <x:v>44.3</x:v>
      </x:c>
    </x:row>
    <x:row r="1909">
      <x:c r="A1909" t="str">
        <x:v>PJT_1908</x:v>
      </x:c>
      <x:c r="B1909" t="str">
        <x:v>Continental</x:v>
      </x:c>
      <x:c r="C1909" t="n">
        <x:v>9860</x:v>
      </x:c>
      <x:c r="D1909" t="n">
        <x:v>7</x:v>
      </x:c>
      <x:c r="E1909" t="str">
        <x:v>Low</x:v>
      </x:c>
      <x:c r="F1909" t="str">
        <x:v>Commercial</x:v>
      </x:c>
      <x:c r="G1909" t="str">
        <x:v>RC Frame</x:v>
      </x:c>
      <x:c r="H1909" t="str">
        <x:v>Raft</x:v>
      </x:c>
      <x:c r="I1909" t="str">
        <x:v>Mixed</x:v>
      </x:c>
      <x:c r="J1909" t="str">
        <x:v>Low</x:v>
      </x:c>
      <x:c r="K1909" t="n">
        <x:v>20124260</x:v>
      </x:c>
      <x:c r="L1909" t="n">
        <x:v>339</x:v>
      </x:c>
      <x:c r="M1909" t="n">
        <x:v>293.1</x:v>
      </x:c>
      <x:c r="N1909" t="n">
        <x:v>6</x:v>
      </x:c>
      <x:c r="O1909" t="n">
        <x:v>57.8</x:v>
      </x:c>
      <x:c r="P1909" t="str">
        <x:v>Sunny</x:v>
      </x:c>
      <x:c r="Q1909" t="n">
        <x:v>80</x:v>
      </x:c>
      <x:c r="R1909" t="n">
        <x:v>67</x:v>
      </x:c>
      <x:c r="S1909" t="n">
        <x:v>0.0873</x:v>
      </x:c>
      <x:c r="T1909" t="n">
        <x:v>14.3</x:v>
      </x:c>
      <x:c r="U1909" t="n">
        <x:v>1408.6</x:v>
      </x:c>
      <x:c r="V1909" t="n">
        <x:v>2041</x:v>
      </x:c>
      <x:c r="W1909" t="n">
        <x:v>34.4</x:v>
      </x:c>
    </x:row>
    <x:row r="1910">
      <x:c r="A1910" t="str">
        <x:v>PJT_1909</x:v>
      </x:c>
      <x:c r="B1910" t="str">
        <x:v>Mediterranean</x:v>
      </x:c>
      <x:c r="C1910" t="n">
        <x:v>13730</x:v>
      </x:c>
      <x:c r="D1910" t="n">
        <x:v>21</x:v>
      </x:c>
      <x:c r="E1910" t="str">
        <x:v>Medium</x:v>
      </x:c>
      <x:c r="F1910" t="str">
        <x:v>Residential</x:v>
      </x:c>
      <x:c r="G1910" t="str">
        <x:v>Shear Wall</x:v>
      </x:c>
      <x:c r="H1910" t="str">
        <x:v>Piles</x:v>
      </x:c>
      <x:c r="I1910" t="str">
        <x:v>Mixed</x:v>
      </x:c>
      <x:c r="J1910" t="str">
        <x:v>High</x:v>
      </x:c>
      <x:c r="K1910" t="n">
        <x:v>23176240</x:v>
      </x:c>
      <x:c r="L1910" t="n">
        <x:v>511</x:v>
      </x:c>
      <x:c r="M1910" t="n">
        <x:v>370.7</x:v>
      </x:c>
      <x:c r="N1910" t="n">
        <x:v>23.6</x:v>
      </x:c>
      <x:c r="O1910" t="n">
        <x:v>53.8</x:v>
      </x:c>
      <x:c r="P1910" t="str">
        <x:v>Sunny</x:v>
      </x:c>
      <x:c r="Q1910" t="n">
        <x:v>73</x:v>
      </x:c>
      <x:c r="R1910" t="n">
        <x:v>76.1</x:v>
      </x:c>
      <x:c r="S1910" t="n">
        <x:v>0.0784</x:v>
      </x:c>
      <x:c r="T1910" t="n">
        <x:v>13.1</x:v>
      </x:c>
      <x:c r="U1910" t="n">
        <x:v>653.8</x:v>
      </x:c>
      <x:c r="V1910" t="n">
        <x:v>1688</x:v>
      </x:c>
      <x:c r="W1910" t="n">
        <x:v>37.2</x:v>
      </x:c>
    </x:row>
    <x:row r="1911">
      <x:c r="A1911" t="str">
        <x:v>PJT_1910</x:v>
      </x:c>
      <x:c r="B1911" t="str">
        <x:v>Continental</x:v>
      </x:c>
      <x:c r="C1911" t="n">
        <x:v>23210</x:v>
      </x:c>
      <x:c r="D1911" t="n">
        <x:v>15</x:v>
      </x:c>
      <x:c r="E1911" t="str">
        <x:v>Medium</x:v>
      </x:c>
      <x:c r="F1911" t="str">
        <x:v>Mixed-use</x:v>
      </x:c>
      <x:c r="G1911" t="str">
        <x:v>Steel</x:v>
      </x:c>
      <x:c r="H1911" t="str">
        <x:v>Piles</x:v>
      </x:c>
      <x:c r="I1911" t="str">
        <x:v>Soft Clay</x:v>
      </x:c>
      <x:c r="J1911" t="str">
        <x:v>Medium</x:v>
      </x:c>
      <x:c r="K1911" t="n">
        <x:v>58465990</x:v>
      </x:c>
      <x:c r="L1911" t="n">
        <x:v>1200</x:v>
      </x:c>
      <x:c r="M1911" t="n">
        <x:v>217</x:v>
      </x:c>
      <x:c r="N1911" t="n">
        <x:v>10.2</x:v>
      </x:c>
      <x:c r="O1911" t="n">
        <x:v>79.9</x:v>
      </x:c>
      <x:c r="P1911" t="str">
        <x:v>Rainy</x:v>
      </x:c>
      <x:c r="Q1911" t="n">
        <x:v>111</x:v>
      </x:c>
      <x:c r="R1911" t="n">
        <x:v>80.7</x:v>
      </x:c>
      <x:c r="S1911" t="n">
        <x:v>0.1009</x:v>
      </x:c>
      <x:c r="T1911" t="n">
        <x:v>18.1</x:v>
      </x:c>
      <x:c r="U1911" t="n">
        <x:v>1547.3</x:v>
      </x:c>
      <x:c r="V1911" t="n">
        <x:v>2519</x:v>
      </x:c>
      <x:c r="W1911" t="n">
        <x:v>51.7</x:v>
      </x:c>
    </x:row>
    <x:row r="1912">
      <x:c r="A1912" t="str">
        <x:v>PJT_1911</x:v>
      </x:c>
      <x:c r="B1912" t="str">
        <x:v>Continental</x:v>
      </x:c>
      <x:c r="C1912" t="n">
        <x:v>20870</x:v>
      </x:c>
      <x:c r="D1912" t="n">
        <x:v>17</x:v>
      </x:c>
      <x:c r="E1912" t="str">
        <x:v>Medium</x:v>
      </x:c>
      <x:c r="F1912" t="str">
        <x:v>Commercial</x:v>
      </x:c>
      <x:c r="G1912" t="str">
        <x:v>Steel</x:v>
      </x:c>
      <x:c r="H1912" t="str">
        <x:v>Piles</x:v>
      </x:c>
      <x:c r="I1912" t="str">
        <x:v>Soft Clay</x:v>
      </x:c>
      <x:c r="J1912" t="str">
        <x:v>Medium</x:v>
      </x:c>
      <x:c r="K1912" t="n">
        <x:v>52258480</x:v>
      </x:c>
      <x:c r="L1912" t="n">
        <x:v>1021</x:v>
      </x:c>
      <x:c r="M1912" t="n">
        <x:v>226</x:v>
      </x:c>
      <x:c r="N1912" t="n">
        <x:v>12.4</x:v>
      </x:c>
      <x:c r="O1912" t="n">
        <x:v>74.8</x:v>
      </x:c>
      <x:c r="P1912" t="str">
        <x:v>Stormy</x:v>
      </x:c>
      <x:c r="Q1912" t="n">
        <x:v>100</x:v>
      </x:c>
      <x:c r="R1912" t="n">
        <x:v>81.4</x:v>
      </x:c>
      <x:c r="S1912" t="n">
        <x:v>0.0998</x:v>
      </x:c>
      <x:c r="T1912" t="n">
        <x:v>16.7</x:v>
      </x:c>
      <x:c r="U1912" t="n">
        <x:v>1227.6</x:v>
      </x:c>
      <x:c r="V1912" t="n">
        <x:v>2504</x:v>
      </x:c>
      <x:c r="W1912" t="n">
        <x:v>48.9</x:v>
      </x:c>
    </x:row>
    <x:row r="1913">
      <x:c r="A1913" t="str">
        <x:v>PJT_1912</x:v>
      </x:c>
      <x:c r="B1913" t="str">
        <x:v>Mediterranean</x:v>
      </x:c>
      <x:c r="C1913" t="n">
        <x:v>30720</x:v>
      </x:c>
      <x:c r="D1913" t="n">
        <x:v>25</x:v>
      </x:c>
      <x:c r="E1913" t="str">
        <x:v>High</x:v>
      </x:c>
      <x:c r="F1913" t="str">
        <x:v>Mixed-use</x:v>
      </x:c>
      <x:c r="G1913" t="str">
        <x:v>Steel</x:v>
      </x:c>
      <x:c r="H1913" t="str">
        <x:v>Piles</x:v>
      </x:c>
      <x:c r="I1913" t="str">
        <x:v>Mixed</x:v>
      </x:c>
      <x:c r="J1913" t="str">
        <x:v>Medium</x:v>
      </x:c>
      <x:c r="K1913" t="n">
        <x:v>88043520</x:v>
      </x:c>
      <x:c r="L1913" t="n">
        <x:v>1782</x:v>
      </x:c>
      <x:c r="M1913" t="n">
        <x:v>388.6</x:v>
      </x:c>
      <x:c r="N1913" t="n">
        <x:v>16.9</x:v>
      </x:c>
      <x:c r="O1913" t="n">
        <x:v>81.9</x:v>
      </x:c>
      <x:c r="P1913" t="str">
        <x:v>Stormy</x:v>
      </x:c>
      <x:c r="Q1913" t="n">
        <x:v>85</x:v>
      </x:c>
      <x:c r="R1913" t="n">
        <x:v>90.3</x:v>
      </x:c>
      <x:c r="S1913" t="n">
        <x:v>0.1043</x:v>
      </x:c>
      <x:c r="T1913" t="n">
        <x:v>19.4</x:v>
      </x:c>
      <x:c r="U1913" t="n">
        <x:v>1228.8</x:v>
      </x:c>
      <x:c r="V1913" t="n">
        <x:v>2866</x:v>
      </x:c>
      <x:c r="W1913" t="n">
        <x:v>58</x:v>
      </x:c>
    </x:row>
    <x:row r="1914">
      <x:c r="A1914" t="str">
        <x:v>PJT_1913</x:v>
      </x:c>
      <x:c r="B1914" t="str">
        <x:v>Mediterranean</x:v>
      </x:c>
      <x:c r="C1914" t="n">
        <x:v>7320</x:v>
      </x:c>
      <x:c r="D1914" t="n">
        <x:v>10</x:v>
      </x:c>
      <x:c r="E1914" t="str">
        <x:v>Low</x:v>
      </x:c>
      <x:c r="F1914" t="str">
        <x:v>Residential</x:v>
      </x:c>
      <x:c r="G1914" t="str">
        <x:v>RC Frame</x:v>
      </x:c>
      <x:c r="H1914" t="str">
        <x:v>Piles</x:v>
      </x:c>
      <x:c r="I1914" t="str">
        <x:v>Soft Clay</x:v>
      </x:c>
      <x:c r="J1914" t="str">
        <x:v>Medium</x:v>
      </x:c>
      <x:c r="K1914" t="n">
        <x:v>10877520</x:v>
      </x:c>
      <x:c r="L1914" t="n">
        <x:v>237</x:v>
      </x:c>
      <x:c r="M1914" t="n">
        <x:v>216.7</x:v>
      </x:c>
      <x:c r="N1914" t="n">
        <x:v>27.6</x:v>
      </x:c>
      <x:c r="O1914" t="n">
        <x:v>40.1</x:v>
      </x:c>
      <x:c r="P1914" t="str">
        <x:v>Sunny</x:v>
      </x:c>
      <x:c r="Q1914" t="n">
        <x:v>85</x:v>
      </x:c>
      <x:c r="R1914" t="n">
        <x:v>63.8</x:v>
      </x:c>
      <x:c r="S1914" t="n">
        <x:v>0.0753</x:v>
      </x:c>
      <x:c r="T1914" t="n">
        <x:v>12.9</x:v>
      </x:c>
      <x:c r="U1914" t="n">
        <x:v>732</x:v>
      </x:c>
      <x:c r="V1914" t="n">
        <x:v>1486</x:v>
      </x:c>
      <x:c r="W1914" t="n">
        <x:v>32.4</x:v>
      </x:c>
    </x:row>
    <x:row r="1915">
      <x:c r="A1915" t="str">
        <x:v>PJT_1914</x:v>
      </x:c>
      <x:c r="B1915" t="str">
        <x:v>Mediterranean</x:v>
      </x:c>
      <x:c r="C1915" t="n">
        <x:v>8200</x:v>
      </x:c>
      <x:c r="D1915" t="n">
        <x:v>3</x:v>
      </x:c>
      <x:c r="E1915" t="str">
        <x:v>Low</x:v>
      </x:c>
      <x:c r="F1915" t="str">
        <x:v>School</x:v>
      </x:c>
      <x:c r="G1915" t="str">
        <x:v>RC Frame</x:v>
      </x:c>
      <x:c r="H1915" t="str">
        <x:v>Raft</x:v>
      </x:c>
      <x:c r="I1915" t="str">
        <x:v>Soft Clay</x:v>
      </x:c>
      <x:c r="J1915" t="str">
        <x:v>Low</x:v>
      </x:c>
      <x:c r="K1915" t="n">
        <x:v>13546400</x:v>
      </x:c>
      <x:c r="L1915" t="n">
        <x:v>236</x:v>
      </x:c>
      <x:c r="M1915" t="n">
        <x:v>196.4</x:v>
      </x:c>
      <x:c r="N1915" t="n">
        <x:v>14.5</x:v>
      </x:c>
      <x:c r="O1915" t="n">
        <x:v>50.2</x:v>
      </x:c>
      <x:c r="P1915" t="str">
        <x:v>Cloudy</x:v>
      </x:c>
      <x:c r="Q1915" t="n">
        <x:v>83</x:v>
      </x:c>
      <x:c r="R1915" t="n">
        <x:v>66.7</x:v>
      </x:c>
      <x:c r="S1915" t="n">
        <x:v>0.0802</x:v>
      </x:c>
      <x:c r="T1915" t="n">
        <x:v>12.4</x:v>
      </x:c>
      <x:c r="U1915" t="n">
        <x:v>2733.3</x:v>
      </x:c>
      <x:c r="V1915" t="n">
        <x:v>1652</x:v>
      </x:c>
      <x:c r="W1915" t="n">
        <x:v>28.8</x:v>
      </x:c>
    </x:row>
    <x:row r="1916">
      <x:c r="A1916" t="str">
        <x:v>PJT_1915</x:v>
      </x:c>
      <x:c r="B1916" t="str">
        <x:v>Mediterranean</x:v>
      </x:c>
      <x:c r="C1916" t="n">
        <x:v>11480</x:v>
      </x:c>
      <x:c r="D1916" t="n">
        <x:v>10</x:v>
      </x:c>
      <x:c r="E1916" t="str">
        <x:v>Low</x:v>
      </x:c>
      <x:c r="F1916" t="str">
        <x:v>Residential</x:v>
      </x:c>
      <x:c r="G1916" t="str">
        <x:v>Shear Wall</x:v>
      </x:c>
      <x:c r="H1916" t="str">
        <x:v>Raft</x:v>
      </x:c>
      <x:c r="I1916" t="str">
        <x:v>Sand</x:v>
      </x:c>
      <x:c r="J1916" t="str">
        <x:v>High</x:v>
      </x:c>
      <x:c r="K1916" t="n">
        <x:v>16944480</x:v>
      </x:c>
      <x:c r="L1916" t="n">
        <x:v>401</x:v>
      </x:c>
      <x:c r="M1916" t="n">
        <x:v>285.8</x:v>
      </x:c>
      <x:c r="N1916" t="n">
        <x:v>13.2</x:v>
      </x:c>
      <x:c r="O1916" t="n">
        <x:v>74.8</x:v>
      </x:c>
      <x:c r="P1916" t="str">
        <x:v>Rainy</x:v>
      </x:c>
      <x:c r="Q1916" t="n">
        <x:v>67</x:v>
      </x:c>
      <x:c r="R1916" t="n">
        <x:v>66.2</x:v>
      </x:c>
      <x:c r="S1916" t="n">
        <x:v>0.0741</x:v>
      </x:c>
      <x:c r="T1916" t="n">
        <x:v>11.8</x:v>
      </x:c>
      <x:c r="U1916" t="n">
        <x:v>1148</x:v>
      </x:c>
      <x:c r="V1916" t="n">
        <x:v>1476</x:v>
      </x:c>
      <x:c r="W1916" t="n">
        <x:v>34.9</x:v>
      </x:c>
    </x:row>
    <x:row r="1917">
      <x:c r="A1917" t="str">
        <x:v>PJT_1916</x:v>
      </x:c>
      <x:c r="B1917" t="str">
        <x:v>Continental</x:v>
      </x:c>
      <x:c r="C1917" t="n">
        <x:v>23210</x:v>
      </x:c>
      <x:c r="D1917" t="n">
        <x:v>14</x:v>
      </x:c>
      <x:c r="E1917" t="str">
        <x:v>Medium</x:v>
      </x:c>
      <x:c r="F1917" t="str">
        <x:v>Mixed-use</x:v>
      </x:c>
      <x:c r="G1917" t="str">
        <x:v>Steel</x:v>
      </x:c>
      <x:c r="H1917" t="str">
        <x:v>Piles</x:v>
      </x:c>
      <x:c r="I1917" t="str">
        <x:v>Sand</x:v>
      </x:c>
      <x:c r="J1917" t="str">
        <x:v>Low</x:v>
      </x:c>
      <x:c r="K1917" t="n">
        <x:v>60392420</x:v>
      </x:c>
      <x:c r="L1917" t="n">
        <x:v>1202</x:v>
      </x:c>
      <x:c r="M1917" t="n">
        <x:v>305.7</x:v>
      </x:c>
      <x:c r="N1917" t="n">
        <x:v>19.5</x:v>
      </x:c>
      <x:c r="O1917" t="n">
        <x:v>59.5</x:v>
      </x:c>
      <x:c r="P1917" t="str">
        <x:v>Cloudy</x:v>
      </x:c>
      <x:c r="Q1917" t="n">
        <x:v>92</x:v>
      </x:c>
      <x:c r="R1917" t="n">
        <x:v>80.6</x:v>
      </x:c>
      <x:c r="S1917" t="n">
        <x:v>0.1011</x:v>
      </x:c>
      <x:c r="T1917" t="n">
        <x:v>19</x:v>
      </x:c>
      <x:c r="U1917" t="n">
        <x:v>1657.9</x:v>
      </x:c>
      <x:c r="V1917" t="n">
        <x:v>2602</x:v>
      </x:c>
      <x:c r="W1917" t="n">
        <x:v>51.8</x:v>
      </x:c>
    </x:row>
    <x:row r="1918">
      <x:c r="A1918" t="str">
        <x:v>PJT_1917</x:v>
      </x:c>
      <x:c r="B1918" t="str">
        <x:v>Marine</x:v>
      </x:c>
      <x:c r="C1918" t="n">
        <x:v>22290</x:v>
      </x:c>
      <x:c r="D1918" t="n">
        <x:v>16</x:v>
      </x:c>
      <x:c r="E1918" t="str">
        <x:v>High</x:v>
      </x:c>
      <x:c r="F1918" t="str">
        <x:v>Mixed-use</x:v>
      </x:c>
      <x:c r="G1918" t="str">
        <x:v>Steel</x:v>
      </x:c>
      <x:c r="H1918" t="str">
        <x:v>Piles</x:v>
      </x:c>
      <x:c r="I1918" t="str">
        <x:v>Mixed</x:v>
      </x:c>
      <x:c r="J1918" t="str">
        <x:v>High</x:v>
      </x:c>
      <x:c r="K1918" t="n">
        <x:v>66624810</x:v>
      </x:c>
      <x:c r="L1918" t="n">
        <x:v>1217</x:v>
      </x:c>
      <x:c r="M1918" t="n">
        <x:v>344.8</x:v>
      </x:c>
      <x:c r="N1918" t="n">
        <x:v>18.4</x:v>
      </x:c>
      <x:c r="O1918" t="n">
        <x:v>71.2</x:v>
      </x:c>
      <x:c r="P1918" t="str">
        <x:v>Sunny</x:v>
      </x:c>
      <x:c r="Q1918" t="n">
        <x:v>69</x:v>
      </x:c>
      <x:c r="R1918" t="n">
        <x:v>81.2</x:v>
      </x:c>
      <x:c r="S1918" t="n">
        <x:v>0.1085</x:v>
      </x:c>
      <x:c r="T1918" t="n">
        <x:v>19.9</x:v>
      </x:c>
      <x:c r="U1918" t="n">
        <x:v>1393.1</x:v>
      </x:c>
      <x:c r="V1918" t="n">
        <x:v>2989</x:v>
      </x:c>
      <x:c r="W1918" t="n">
        <x:v>54.6</x:v>
      </x:c>
    </x:row>
    <x:row r="1919">
      <x:c r="A1919" t="str">
        <x:v>PJT_1918</x:v>
      </x:c>
      <x:c r="B1919" t="str">
        <x:v>Humid Subtropical</x:v>
      </x:c>
      <x:c r="C1919" t="n">
        <x:v>6660</x:v>
      </x:c>
      <x:c r="D1919" t="n">
        <x:v>5</x:v>
      </x:c>
      <x:c r="E1919" t="str">
        <x:v>Low</x:v>
      </x:c>
      <x:c r="F1919" t="str">
        <x:v>Commercial</x:v>
      </x:c>
      <x:c r="G1919" t="str">
        <x:v>RC Frame</x:v>
      </x:c>
      <x:c r="H1919" t="str">
        <x:v>Raft</x:v>
      </x:c>
      <x:c r="I1919" t="str">
        <x:v>Mixed</x:v>
      </x:c>
      <x:c r="J1919" t="str">
        <x:v>Low</x:v>
      </x:c>
      <x:c r="K1919" t="n">
        <x:v>13712940</x:v>
      </x:c>
      <x:c r="L1919" t="n">
        <x:v>252</x:v>
      </x:c>
      <x:c r="M1919" t="n">
        <x:v>342.8</x:v>
      </x:c>
      <x:c r="N1919" t="n">
        <x:v>27.5</x:v>
      </x:c>
      <x:c r="O1919" t="n">
        <x:v>87.4</x:v>
      </x:c>
      <x:c r="P1919" t="str">
        <x:v>Rainy</x:v>
      </x:c>
      <x:c r="Q1919" t="n">
        <x:v>104</x:v>
      </x:c>
      <x:c r="R1919" t="n">
        <x:v>65.2</x:v>
      </x:c>
      <x:c r="S1919" t="n">
        <x:v>0.0909</x:v>
      </x:c>
      <x:c r="T1919" t="n">
        <x:v>15.5</x:v>
      </x:c>
      <x:c r="U1919" t="n">
        <x:v>1332</x:v>
      </x:c>
      <x:c r="V1919" t="n">
        <x:v>2059</x:v>
      </x:c>
      <x:c r="W1919" t="n">
        <x:v>37.9</x:v>
      </x:c>
    </x:row>
    <x:row r="1920">
      <x:c r="A1920" t="str">
        <x:v>PJT_1919</x:v>
      </x:c>
      <x:c r="B1920" t="str">
        <x:v>Humid Subtropical</x:v>
      </x:c>
      <x:c r="C1920" t="n">
        <x:v>12900</x:v>
      </x:c>
      <x:c r="D1920" t="n">
        <x:v>11</x:v>
      </x:c>
      <x:c r="E1920" t="str">
        <x:v>Low</x:v>
      </x:c>
      <x:c r="F1920" t="str">
        <x:v>Residential</x:v>
      </x:c>
      <x:c r="G1920" t="str">
        <x:v>RC Frame</x:v>
      </x:c>
      <x:c r="H1920" t="str">
        <x:v>Raft</x:v>
      </x:c>
      <x:c r="I1920" t="str">
        <x:v>Mixed</x:v>
      </x:c>
      <x:c r="J1920" t="str">
        <x:v>Medium</x:v>
      </x:c>
      <x:c r="K1920" t="n">
        <x:v>18614700</x:v>
      </x:c>
      <x:c r="L1920" t="n">
        <x:v>432</x:v>
      </x:c>
      <x:c r="M1920" t="n">
        <x:v>294.6</x:v>
      </x:c>
      <x:c r="N1920" t="n">
        <x:v>27.6</x:v>
      </x:c>
      <x:c r="O1920" t="n">
        <x:v>76.8</x:v>
      </x:c>
      <x:c r="P1920" t="str">
        <x:v>Rainy</x:v>
      </x:c>
      <x:c r="Q1920" t="n">
        <x:v>77</x:v>
      </x:c>
      <x:c r="R1920" t="n">
        <x:v>69.1</x:v>
      </x:c>
      <x:c r="S1920" t="n">
        <x:v>0.0751</x:v>
      </x:c>
      <x:c r="T1920" t="n">
        <x:v>11.1</x:v>
      </x:c>
      <x:c r="U1920" t="n">
        <x:v>1172.7</x:v>
      </x:c>
      <x:c r="V1920" t="n">
        <x:v>1443</x:v>
      </x:c>
      <x:c r="W1920" t="n">
        <x:v>33.5</x:v>
      </x:c>
    </x:row>
    <x:row r="1921">
      <x:c r="A1921" t="str">
        <x:v>PJT_1920</x:v>
      </x:c>
      <x:c r="B1921" t="str">
        <x:v>Mediterranean</x:v>
      </x:c>
      <x:c r="C1921" t="n">
        <x:v>14550</x:v>
      </x:c>
      <x:c r="D1921" t="n">
        <x:v>12</x:v>
      </x:c>
      <x:c r="E1921" t="str">
        <x:v>Medium</x:v>
      </x:c>
      <x:c r="F1921" t="str">
        <x:v>Mixed-use</x:v>
      </x:c>
      <x:c r="G1921" t="str">
        <x:v>Shear Wall</x:v>
      </x:c>
      <x:c r="H1921" t="str">
        <x:v>Piles</x:v>
      </x:c>
      <x:c r="I1921" t="str">
        <x:v>Soft Clay</x:v>
      </x:c>
      <x:c r="J1921" t="str">
        <x:v>High</x:v>
      </x:c>
      <x:c r="K1921" t="n">
        <x:v>37975500</x:v>
      </x:c>
      <x:c r="L1921" t="n">
        <x:v>665</x:v>
      </x:c>
      <x:c r="M1921" t="n">
        <x:v>196</x:v>
      </x:c>
      <x:c r="N1921" t="n">
        <x:v>27.1</x:v>
      </x:c>
      <x:c r="O1921" t="n">
        <x:v>41</x:v>
      </x:c>
      <x:c r="P1921" t="str">
        <x:v>Sunny</x:v>
      </x:c>
      <x:c r="Q1921" t="n">
        <x:v>65</x:v>
      </x:c>
      <x:c r="R1921" t="n">
        <x:v>75.7</x:v>
      </x:c>
      <x:c r="S1921" t="n">
        <x:v>0.1</x:v>
      </x:c>
      <x:c r="T1921" t="n">
        <x:v>17.6</x:v>
      </x:c>
      <x:c r="U1921" t="n">
        <x:v>1212.5</x:v>
      </x:c>
      <x:c r="V1921" t="n">
        <x:v>2610</x:v>
      </x:c>
      <x:c r="W1921" t="n">
        <x:v>45.7</x:v>
      </x:c>
    </x:row>
    <x:row r="1922">
      <x:c r="A1922" t="str">
        <x:v>PJT_1921</x:v>
      </x:c>
      <x:c r="B1922" t="str">
        <x:v>Humid Subtropical</x:v>
      </x:c>
      <x:c r="C1922" t="n">
        <x:v>13850</x:v>
      </x:c>
      <x:c r="D1922" t="n">
        <x:v>10</x:v>
      </x:c>
      <x:c r="E1922" t="str">
        <x:v>Medium</x:v>
      </x:c>
      <x:c r="F1922" t="str">
        <x:v>Commercial</x:v>
      </x:c>
      <x:c r="G1922" t="str">
        <x:v>Steel</x:v>
      </x:c>
      <x:c r="H1922" t="str">
        <x:v>Raft</x:v>
      </x:c>
      <x:c r="I1922" t="str">
        <x:v>Mixed</x:v>
      </x:c>
      <x:c r="J1922" t="str">
        <x:v>Medium</x:v>
      </x:c>
      <x:c r="K1922" t="n">
        <x:v>33517000</x:v>
      </x:c>
      <x:c r="L1922" t="n">
        <x:v>579</x:v>
      </x:c>
      <x:c r="M1922" t="n">
        <x:v>333.6</x:v>
      </x:c>
      <x:c r="N1922" t="n">
        <x:v>25.4</x:v>
      </x:c>
      <x:c r="O1922" t="n">
        <x:v>65.9</x:v>
      </x:c>
      <x:c r="P1922" t="str">
        <x:v>Cloudy</x:v>
      </x:c>
      <x:c r="Q1922" t="n">
        <x:v>76</x:v>
      </x:c>
      <x:c r="R1922" t="n">
        <x:v>72</x:v>
      </x:c>
      <x:c r="S1922" t="n">
        <x:v>0.0947</x:v>
      </x:c>
      <x:c r="T1922" t="n">
        <x:v>17.8</x:v>
      </x:c>
      <x:c r="U1922" t="n">
        <x:v>1385</x:v>
      </x:c>
      <x:c r="V1922" t="n">
        <x:v>2420</x:v>
      </x:c>
      <x:c r="W1922" t="n">
        <x:v>41.8</x:v>
      </x:c>
    </x:row>
    <x:row r="1923">
      <x:c r="A1923" t="str">
        <x:v>PJT_1922</x:v>
      </x:c>
      <x:c r="B1923" t="str">
        <x:v>Humid Subtropical</x:v>
      </x:c>
      <x:c r="C1923" t="n">
        <x:v>14650</x:v>
      </x:c>
      <x:c r="D1923" t="n">
        <x:v>12</x:v>
      </x:c>
      <x:c r="E1923" t="str">
        <x:v>Low</x:v>
      </x:c>
      <x:c r="F1923" t="str">
        <x:v>Residential</x:v>
      </x:c>
      <x:c r="G1923" t="str">
        <x:v>RC Frame</x:v>
      </x:c>
      <x:c r="H1923" t="str">
        <x:v>Piles</x:v>
      </x:c>
      <x:c r="I1923" t="str">
        <x:v>Sand</x:v>
      </x:c>
      <x:c r="J1923" t="str">
        <x:v>Medium</x:v>
      </x:c>
      <x:c r="K1923" t="n">
        <x:v>22355900</x:v>
      </x:c>
      <x:c r="L1923" t="n">
        <x:v>555</x:v>
      </x:c>
      <x:c r="M1923" t="n">
        <x:v>294.7</x:v>
      </x:c>
      <x:c r="N1923" t="n">
        <x:v>22</x:v>
      </x:c>
      <x:c r="O1923" t="n">
        <x:v>93.9</x:v>
      </x:c>
      <x:c r="P1923" t="str">
        <x:v>Stormy</x:v>
      </x:c>
      <x:c r="Q1923" t="n">
        <x:v>83</x:v>
      </x:c>
      <x:c r="R1923" t="n">
        <x:v>66.8</x:v>
      </x:c>
      <x:c r="S1923" t="n">
        <x:v>0.0714</x:v>
      </x:c>
      <x:c r="T1923" t="n">
        <x:v>11</x:v>
      </x:c>
      <x:c r="U1923" t="n">
        <x:v>1220.8</x:v>
      </x:c>
      <x:c r="V1923" t="n">
        <x:v>1526</x:v>
      </x:c>
      <x:c r="W1923" t="n">
        <x:v>37.9</x:v>
      </x:c>
    </x:row>
    <x:row r="1924">
      <x:c r="A1924" t="str">
        <x:v>PJT_1923</x:v>
      </x:c>
      <x:c r="B1924" t="str">
        <x:v>Humid Subtropical</x:v>
      </x:c>
      <x:c r="C1924" t="n">
        <x:v>23300</x:v>
      </x:c>
      <x:c r="D1924" t="n">
        <x:v>12</x:v>
      </x:c>
      <x:c r="E1924" t="str">
        <x:v>High</x:v>
      </x:c>
      <x:c r="F1924" t="str">
        <x:v>Hospital</x:v>
      </x:c>
      <x:c r="G1924" t="str">
        <x:v>Shear Wall</x:v>
      </x:c>
      <x:c r="H1924" t="str">
        <x:v>Piles</x:v>
      </x:c>
      <x:c r="I1924" t="str">
        <x:v>Mixed</x:v>
      </x:c>
      <x:c r="J1924" t="str">
        <x:v>High</x:v>
      </x:c>
      <x:c r="K1924" t="n">
        <x:v>80315100</x:v>
      </x:c>
      <x:c r="L1924" t="n">
        <x:v>1351</x:v>
      </x:c>
      <x:c r="M1924" t="n">
        <x:v>343.3</x:v>
      </x:c>
      <x:c r="N1924" t="n">
        <x:v>19.1</x:v>
      </x:c>
      <x:c r="O1924" t="n">
        <x:v>90.6</x:v>
      </x:c>
      <x:c r="P1924" t="str">
        <x:v>Rainy</x:v>
      </x:c>
      <x:c r="Q1924" t="n">
        <x:v>114</x:v>
      </x:c>
      <x:c r="R1924" t="n">
        <x:v>84.5</x:v>
      </x:c>
      <x:c r="S1924" t="n">
        <x:v>0.1145</x:v>
      </x:c>
      <x:c r="T1924" t="n">
        <x:v>22</x:v>
      </x:c>
      <x:c r="U1924" t="n">
        <x:v>1941.7</x:v>
      </x:c>
      <x:c r="V1924" t="n">
        <x:v>3447</x:v>
      </x:c>
      <x:c r="W1924" t="n">
        <x:v>58</x:v>
      </x:c>
    </x:row>
    <x:row r="1925">
      <x:c r="A1925" t="str">
        <x:v>PJT_1924</x:v>
      </x:c>
      <x:c r="B1925" t="str">
        <x:v>Mediterranean</x:v>
      </x:c>
      <x:c r="C1925" t="n">
        <x:v>15880</x:v>
      </x:c>
      <x:c r="D1925" t="n">
        <x:v>5</x:v>
      </x:c>
      <x:c r="E1925" t="str">
        <x:v>Low</x:v>
      </x:c>
      <x:c r="F1925" t="str">
        <x:v>School</x:v>
      </x:c>
      <x:c r="G1925" t="str">
        <x:v>RC Frame</x:v>
      </x:c>
      <x:c r="H1925" t="str">
        <x:v>Raft</x:v>
      </x:c>
      <x:c r="I1925" t="str">
        <x:v>Sand</x:v>
      </x:c>
      <x:c r="J1925" t="str">
        <x:v>Medium</x:v>
      </x:c>
      <x:c r="K1925" t="n">
        <x:v>26487840</x:v>
      </x:c>
      <x:c r="L1925" t="n">
        <x:v>467</x:v>
      </x:c>
      <x:c r="M1925" t="n">
        <x:v>252.3</x:v>
      </x:c>
      <x:c r="N1925" t="n">
        <x:v>22.2</x:v>
      </x:c>
      <x:c r="O1925" t="n">
        <x:v>58</x:v>
      </x:c>
      <x:c r="P1925" t="str">
        <x:v>Cloudy</x:v>
      </x:c>
      <x:c r="Q1925" t="n">
        <x:v>56</x:v>
      </x:c>
      <x:c r="R1925" t="n">
        <x:v>60.6</x:v>
      </x:c>
      <x:c r="S1925" t="n">
        <x:v>0.0771</x:v>
      </x:c>
      <x:c r="T1925" t="n">
        <x:v>13.1</x:v>
      </x:c>
      <x:c r="U1925" t="n">
        <x:v>3176</x:v>
      </x:c>
      <x:c r="V1925" t="n">
        <x:v>1668</x:v>
      </x:c>
      <x:c r="W1925" t="n">
        <x:v>29.4</x:v>
      </x:c>
    </x:row>
    <x:row r="1926">
      <x:c r="A1926" t="str">
        <x:v>PJT_1925</x:v>
      </x:c>
      <x:c r="B1926" t="str">
        <x:v>Humid Subtropical</x:v>
      </x:c>
      <x:c r="C1926" t="n">
        <x:v>18400</x:v>
      </x:c>
      <x:c r="D1926" t="n">
        <x:v>24</x:v>
      </x:c>
      <x:c r="E1926" t="str">
        <x:v>Medium</x:v>
      </x:c>
      <x:c r="F1926" t="str">
        <x:v>Residential</x:v>
      </x:c>
      <x:c r="G1926" t="str">
        <x:v>Shear Wall</x:v>
      </x:c>
      <x:c r="H1926" t="str">
        <x:v>Piles</x:v>
      </x:c>
      <x:c r="I1926" t="str">
        <x:v>Rock</x:v>
      </x:c>
      <x:c r="J1926" t="str">
        <x:v>Medium</x:v>
      </x:c>
      <x:c r="K1926" t="n">
        <x:v>31519200</x:v>
      </x:c>
      <x:c r="L1926" t="n">
        <x:v>804</x:v>
      </x:c>
      <x:c r="M1926" t="n">
        <x:v>747.8</x:v>
      </x:c>
      <x:c r="N1926" t="n">
        <x:v>26.2</x:v>
      </x:c>
      <x:c r="O1926" t="n">
        <x:v>74.5</x:v>
      </x:c>
      <x:c r="P1926" t="str">
        <x:v>Rainy</x:v>
      </x:c>
      <x:c r="Q1926" t="n">
        <x:v>79</x:v>
      </x:c>
      <x:c r="R1926" t="n">
        <x:v>78.9</x:v>
      </x:c>
      <x:c r="S1926" t="n">
        <x:v>0.0806</x:v>
      </x:c>
      <x:c r="T1926" t="n">
        <x:v>14.2</x:v>
      </x:c>
      <x:c r="U1926" t="n">
        <x:v>766.7</x:v>
      </x:c>
      <x:c r="V1926" t="n">
        <x:v>1713</x:v>
      </x:c>
      <x:c r="W1926" t="n">
        <x:v>43.7</x:v>
      </x:c>
    </x:row>
    <x:row r="1927">
      <x:c r="A1927" t="str">
        <x:v>PJT_1926</x:v>
      </x:c>
      <x:c r="B1927" t="str">
        <x:v>Marine</x:v>
      </x:c>
      <x:c r="C1927" t="n">
        <x:v>16340</x:v>
      </x:c>
      <x:c r="D1927" t="n">
        <x:v>18</x:v>
      </x:c>
      <x:c r="E1927" t="str">
        <x:v>Medium</x:v>
      </x:c>
      <x:c r="F1927" t="str">
        <x:v>Residential</x:v>
      </x:c>
      <x:c r="G1927" t="str">
        <x:v>Shear Wall</x:v>
      </x:c>
      <x:c r="H1927" t="str">
        <x:v>Piles</x:v>
      </x:c>
      <x:c r="I1927" t="str">
        <x:v>Rock</x:v>
      </x:c>
      <x:c r="J1927" t="str">
        <x:v>Medium</x:v>
      </x:c>
      <x:c r="K1927" t="n">
        <x:v>27892380</x:v>
      </x:c>
      <x:c r="L1927" t="n">
        <x:v>601</x:v>
      </x:c>
      <x:c r="M1927" t="n">
        <x:v>779.9</x:v>
      </x:c>
      <x:c r="N1927" t="n">
        <x:v>13.2</x:v>
      </x:c>
      <x:c r="O1927" t="n">
        <x:v>70.1</x:v>
      </x:c>
      <x:c r="P1927" t="str">
        <x:v>Sunny</x:v>
      </x:c>
      <x:c r="Q1927" t="n">
        <x:v>65</x:v>
      </x:c>
      <x:c r="R1927" t="n">
        <x:v>72.6</x:v>
      </x:c>
      <x:c r="S1927" t="n">
        <x:v>0.0811</x:v>
      </x:c>
      <x:c r="T1927" t="n">
        <x:v>13.7</x:v>
      </x:c>
      <x:c r="U1927" t="n">
        <x:v>907.8</x:v>
      </x:c>
      <x:c r="V1927" t="n">
        <x:v>1707</x:v>
      </x:c>
      <x:c r="W1927" t="n">
        <x:v>36.8</x:v>
      </x:c>
    </x:row>
    <x:row r="1928">
      <x:c r="A1928" t="str">
        <x:v>PJT_1927</x:v>
      </x:c>
      <x:c r="B1928" t="str">
        <x:v>Mediterranean</x:v>
      </x:c>
      <x:c r="C1928" t="n">
        <x:v>14330</x:v>
      </x:c>
      <x:c r="D1928" t="n">
        <x:v>13</x:v>
      </x:c>
      <x:c r="E1928" t="str">
        <x:v>Medium</x:v>
      </x:c>
      <x:c r="F1928" t="str">
        <x:v>Commercial</x:v>
      </x:c>
      <x:c r="G1928" t="str">
        <x:v>Steel</x:v>
      </x:c>
      <x:c r="H1928" t="str">
        <x:v>Piles</x:v>
      </x:c>
      <x:c r="I1928" t="str">
        <x:v>Soft Clay</x:v>
      </x:c>
      <x:c r="J1928" t="str">
        <x:v>High</x:v>
      </x:c>
      <x:c r="K1928" t="n">
        <x:v>35165820</x:v>
      </x:c>
      <x:c r="L1928" t="n">
        <x:v>628</x:v>
      </x:c>
      <x:c r="M1928" t="n">
        <x:v>169.1</x:v>
      </x:c>
      <x:c r="N1928" t="n">
        <x:v>28.1</x:v>
      </x:c>
      <x:c r="O1928" t="n">
        <x:v>55.6</x:v>
      </x:c>
      <x:c r="P1928" t="str">
        <x:v>Sunny</x:v>
      </x:c>
      <x:c r="Q1928" t="n">
        <x:v>96</x:v>
      </x:c>
      <x:c r="R1928" t="n">
        <x:v>81.4</x:v>
      </x:c>
      <x:c r="S1928" t="n">
        <x:v>0.0992</x:v>
      </x:c>
      <x:c r="T1928" t="n">
        <x:v>17.9</x:v>
      </x:c>
      <x:c r="U1928" t="n">
        <x:v>1102.3</x:v>
      </x:c>
      <x:c r="V1928" t="n">
        <x:v>2454</x:v>
      </x:c>
      <x:c r="W1928" t="n">
        <x:v>43.8</x:v>
      </x:c>
    </x:row>
    <x:row r="1929">
      <x:c r="A1929" t="str">
        <x:v>PJT_1928</x:v>
      </x:c>
      <x:c r="B1929" t="str">
        <x:v>Continental</x:v>
      </x:c>
      <x:c r="C1929" t="n">
        <x:v>13070</x:v>
      </x:c>
      <x:c r="D1929" t="n">
        <x:v>19</x:v>
      </x:c>
      <x:c r="E1929" t="str">
        <x:v>Medium</x:v>
      </x:c>
      <x:c r="F1929" t="str">
        <x:v>Residential</x:v>
      </x:c>
      <x:c r="G1929" t="str">
        <x:v>RC Frame</x:v>
      </x:c>
      <x:c r="H1929" t="str">
        <x:v>Piles</x:v>
      </x:c>
      <x:c r="I1929" t="str">
        <x:v>Soft Clay</x:v>
      </x:c>
      <x:c r="J1929" t="str">
        <x:v>Low</x:v>
      </x:c>
      <x:c r="K1929" t="n">
        <x:v>19970960</x:v>
      </x:c>
      <x:c r="L1929" t="n">
        <x:v>529</x:v>
      </x:c>
      <x:c r="M1929" t="n">
        <x:v>190.5</x:v>
      </x:c>
      <x:c r="N1929" t="n">
        <x:v>17.1</x:v>
      </x:c>
      <x:c r="O1929" t="n">
        <x:v>82.6</x:v>
      </x:c>
      <x:c r="P1929" t="str">
        <x:v>Rainy</x:v>
      </x:c>
      <x:c r="Q1929" t="n">
        <x:v>75</x:v>
      </x:c>
      <x:c r="R1929" t="n">
        <x:v>76.7</x:v>
      </x:c>
      <x:c r="S1929" t="n">
        <x:v>0.0804</x:v>
      </x:c>
      <x:c r="T1929" t="n">
        <x:v>13.3</x:v>
      </x:c>
      <x:c r="U1929" t="n">
        <x:v>687.9</x:v>
      </x:c>
      <x:c r="V1929" t="n">
        <x:v>1528</x:v>
      </x:c>
      <x:c r="W1929" t="n">
        <x:v>40.5</x:v>
      </x:c>
    </x:row>
    <x:row r="1930">
      <x:c r="A1930" t="str">
        <x:v>PJT_1929</x:v>
      </x:c>
      <x:c r="B1930" t="str">
        <x:v>Humid Subtropical</x:v>
      </x:c>
      <x:c r="C1930" t="n">
        <x:v>8240</x:v>
      </x:c>
      <x:c r="D1930" t="n">
        <x:v>10</x:v>
      </x:c>
      <x:c r="E1930" t="str">
        <x:v>Low</x:v>
      </x:c>
      <x:c r="F1930" t="str">
        <x:v>Residential</x:v>
      </x:c>
      <x:c r="G1930" t="str">
        <x:v>Shear Wall</x:v>
      </x:c>
      <x:c r="H1930" t="str">
        <x:v>Raft</x:v>
      </x:c>
      <x:c r="I1930" t="str">
        <x:v>Mixed</x:v>
      </x:c>
      <x:c r="J1930" t="str">
        <x:v>High</x:v>
      </x:c>
      <x:c r="K1930" t="n">
        <x:v>12879120</x:v>
      </x:c>
      <x:c r="L1930" t="n">
        <x:v>260</x:v>
      </x:c>
      <x:c r="M1930" t="n">
        <x:v>322.9</x:v>
      </x:c>
      <x:c r="N1930" t="n">
        <x:v>31.1</x:v>
      </x:c>
      <x:c r="O1930" t="n">
        <x:v>59.3</x:v>
      </x:c>
      <x:c r="P1930" t="str">
        <x:v>Sunny</x:v>
      </x:c>
      <x:c r="Q1930" t="n">
        <x:v>85</x:v>
      </x:c>
      <x:c r="R1930" t="n">
        <x:v>68.2</x:v>
      </x:c>
      <x:c r="S1930" t="n">
        <x:v>0.0812</x:v>
      </x:c>
      <x:c r="T1930" t="n">
        <x:v>12.2</x:v>
      </x:c>
      <x:c r="U1930" t="n">
        <x:v>824</x:v>
      </x:c>
      <x:c r="V1930" t="n">
        <x:v>1563</x:v>
      </x:c>
      <x:c r="W1930" t="n">
        <x:v>31.5</x:v>
      </x:c>
    </x:row>
    <x:row r="1931">
      <x:c r="A1931" t="str">
        <x:v>PJT_1930</x:v>
      </x:c>
      <x:c r="B1931" t="str">
        <x:v>Humid Subtropical</x:v>
      </x:c>
      <x:c r="C1931" t="n">
        <x:v>29650</x:v>
      </x:c>
      <x:c r="D1931" t="n">
        <x:v>18</x:v>
      </x:c>
      <x:c r="E1931" t="str">
        <x:v>Medium</x:v>
      </x:c>
      <x:c r="F1931" t="str">
        <x:v>Commercial</x:v>
      </x:c>
      <x:c r="G1931" t="str">
        <x:v>Steel</x:v>
      </x:c>
      <x:c r="H1931" t="str">
        <x:v>Piles</x:v>
      </x:c>
      <x:c r="I1931" t="str">
        <x:v>Sand</x:v>
      </x:c>
      <x:c r="J1931" t="str">
        <x:v>Low</x:v>
      </x:c>
      <x:c r="K1931" t="n">
        <x:v>76289450</x:v>
      </x:c>
      <x:c r="L1931" t="n">
        <x:v>1334</x:v>
      </x:c>
      <x:c r="M1931" t="n">
        <x:v>295.3</x:v>
      </x:c>
      <x:c r="N1931" t="n">
        <x:v>31.8</x:v>
      </x:c>
      <x:c r="O1931" t="n">
        <x:v>66.6</x:v>
      </x:c>
      <x:c r="P1931" t="str">
        <x:v>Sunny</x:v>
      </x:c>
      <x:c r="Q1931" t="n">
        <x:v>82</x:v>
      </x:c>
      <x:c r="R1931" t="n">
        <x:v>75.6</x:v>
      </x:c>
      <x:c r="S1931" t="n">
        <x:v>0.0986</x:v>
      </x:c>
      <x:c r="T1931" t="n">
        <x:v>17.2</x:v>
      </x:c>
      <x:c r="U1931" t="n">
        <x:v>1647.2</x:v>
      </x:c>
      <x:c r="V1931" t="n">
        <x:v>2573</x:v>
      </x:c>
      <x:c r="W1931" t="n">
        <x:v>45</x:v>
      </x:c>
    </x:row>
    <x:row r="1932">
      <x:c r="A1932" t="str">
        <x:v>PJT_1931</x:v>
      </x:c>
      <x:c r="B1932" t="str">
        <x:v>Continental</x:v>
      </x:c>
      <x:c r="C1932" t="n">
        <x:v>25860</x:v>
      </x:c>
      <x:c r="D1932" t="n">
        <x:v>12</x:v>
      </x:c>
      <x:c r="E1932" t="str">
        <x:v>Medium</x:v>
      </x:c>
      <x:c r="F1932" t="str">
        <x:v>Hospital</x:v>
      </x:c>
      <x:c r="G1932" t="str">
        <x:v>Shear Wall</x:v>
      </x:c>
      <x:c r="H1932" t="str">
        <x:v>Piles</x:v>
      </x:c>
      <x:c r="I1932" t="str">
        <x:v>Sand</x:v>
      </x:c>
      <x:c r="J1932" t="str">
        <x:v>Medium</x:v>
      </x:c>
      <x:c r="K1932" t="n">
        <x:v>79390200</x:v>
      </x:c>
      <x:c r="L1932" t="n">
        <x:v>1231</x:v>
      </x:c>
      <x:c r="M1932" t="n">
        <x:v>294.2</x:v>
      </x:c>
      <x:c r="N1932" t="n">
        <x:v>10.5</x:v>
      </x:c>
      <x:c r="O1932" t="n">
        <x:v>47</x:v>
      </x:c>
      <x:c r="P1932" t="str">
        <x:v>Sunny</x:v>
      </x:c>
      <x:c r="Q1932" t="n">
        <x:v>89</x:v>
      </x:c>
      <x:c r="R1932" t="n">
        <x:v>84.6</x:v>
      </x:c>
      <x:c r="S1932" t="n">
        <x:v>0.1054</x:v>
      </x:c>
      <x:c r="T1932" t="n">
        <x:v>20.7</x:v>
      </x:c>
      <x:c r="U1932" t="n">
        <x:v>2155</x:v>
      </x:c>
      <x:c r="V1932" t="n">
        <x:v>3070</x:v>
      </x:c>
      <x:c r="W1932" t="n">
        <x:v>47.6</x:v>
      </x:c>
    </x:row>
    <x:row r="1933">
      <x:c r="A1933" t="str">
        <x:v>PJT_1932</x:v>
      </x:c>
      <x:c r="B1933" t="str">
        <x:v>Continental</x:v>
      </x:c>
      <x:c r="C1933" t="n">
        <x:v>21440</x:v>
      </x:c>
      <x:c r="D1933" t="n">
        <x:v>19</x:v>
      </x:c>
      <x:c r="E1933" t="str">
        <x:v>Medium</x:v>
      </x:c>
      <x:c r="F1933" t="str">
        <x:v>Residential</x:v>
      </x:c>
      <x:c r="G1933" t="str">
        <x:v>RC Frame</x:v>
      </x:c>
      <x:c r="H1933" t="str">
        <x:v>Piles</x:v>
      </x:c>
      <x:c r="I1933" t="str">
        <x:v>Mixed</x:v>
      </x:c>
      <x:c r="J1933" t="str">
        <x:v>Low</x:v>
      </x:c>
      <x:c r="K1933" t="n">
        <x:v>31152320</x:v>
      </x:c>
      <x:c r="L1933" t="n">
        <x:v>795</x:v>
      </x:c>
      <x:c r="M1933" t="n">
        <x:v>354.7</x:v>
      </x:c>
      <x:c r="N1933" t="n">
        <x:v>20.6</x:v>
      </x:c>
      <x:c r="O1933" t="n">
        <x:v>57</x:v>
      </x:c>
      <x:c r="P1933" t="str">
        <x:v>Cloudy</x:v>
      </x:c>
      <x:c r="Q1933" t="n">
        <x:v>85</x:v>
      </x:c>
      <x:c r="R1933" t="n">
        <x:v>79.3</x:v>
      </x:c>
      <x:c r="S1933" t="n">
        <x:v>0.0804</x:v>
      </x:c>
      <x:c r="T1933" t="n">
        <x:v>13.5</x:v>
      </x:c>
      <x:c r="U1933" t="n">
        <x:v>1128.4</x:v>
      </x:c>
      <x:c r="V1933" t="n">
        <x:v>1453</x:v>
      </x:c>
      <x:c r="W1933" t="n">
        <x:v>37.1</x:v>
      </x:c>
    </x:row>
    <x:row r="1934">
      <x:c r="A1934" t="str">
        <x:v>PJT_1933</x:v>
      </x:c>
      <x:c r="B1934" t="str">
        <x:v>Continental</x:v>
      </x:c>
      <x:c r="C1934" t="n">
        <x:v>4060</x:v>
      </x:c>
      <x:c r="D1934" t="n">
        <x:v>5</x:v>
      </x:c>
      <x:c r="E1934" t="str">
        <x:v>Low</x:v>
      </x:c>
      <x:c r="F1934" t="str">
        <x:v>Residential</x:v>
      </x:c>
      <x:c r="G1934" t="str">
        <x:v>RC Frame</x:v>
      </x:c>
      <x:c r="H1934" t="str">
        <x:v>Raft</x:v>
      </x:c>
      <x:c r="I1934" t="str">
        <x:v>Rock</x:v>
      </x:c>
      <x:c r="J1934" t="str">
        <x:v>Low</x:v>
      </x:c>
      <x:c r="K1934" t="n">
        <x:v>4652760</x:v>
      </x:c>
      <x:c r="L1934" t="n">
        <x:v>180</x:v>
      </x:c>
      <x:c r="M1934" t="n">
        <x:v>762.4</x:v>
      </x:c>
      <x:c r="N1934" t="n">
        <x:v>17.5</x:v>
      </x:c>
      <x:c r="O1934" t="n">
        <x:v>78.9</x:v>
      </x:c>
      <x:c r="P1934" t="str">
        <x:v>Rainy</x:v>
      </x:c>
      <x:c r="Q1934" t="n">
        <x:v>84</x:v>
      </x:c>
      <x:c r="R1934" t="n">
        <x:v>61.5</x:v>
      </x:c>
      <x:c r="S1934" t="n">
        <x:v>0.077</x:v>
      </x:c>
      <x:c r="T1934" t="n">
        <x:v>11.9</x:v>
      </x:c>
      <x:c r="U1934" t="n">
        <x:v>812</x:v>
      </x:c>
      <x:c r="V1934" t="n">
        <x:v>1146</x:v>
      </x:c>
      <x:c r="W1934" t="n">
        <x:v>31.3</x:v>
      </x:c>
    </x:row>
    <x:row r="1935">
      <x:c r="A1935" t="str">
        <x:v>PJT_1934</x:v>
      </x:c>
      <x:c r="B1935" t="str">
        <x:v>Humid Subtropical</x:v>
      </x:c>
      <x:c r="C1935" t="n">
        <x:v>11770</x:v>
      </x:c>
      <x:c r="D1935" t="n">
        <x:v>12</x:v>
      </x:c>
      <x:c r="E1935" t="str">
        <x:v>Low</x:v>
      </x:c>
      <x:c r="F1935" t="str">
        <x:v>Residential</x:v>
      </x:c>
      <x:c r="G1935" t="str">
        <x:v>RC Frame</x:v>
      </x:c>
      <x:c r="H1935" t="str">
        <x:v>Raft</x:v>
      </x:c>
      <x:c r="I1935" t="str">
        <x:v>Mixed</x:v>
      </x:c>
      <x:c r="J1935" t="str">
        <x:v>Medium</x:v>
      </x:c>
      <x:c r="K1935" t="n">
        <x:v>16548620</x:v>
      </x:c>
      <x:c r="L1935" t="n">
        <x:v>370</x:v>
      </x:c>
      <x:c r="M1935" t="n">
        <x:v>309.9</x:v>
      </x:c>
      <x:c r="N1935" t="n">
        <x:v>26.6</x:v>
      </x:c>
      <x:c r="O1935" t="n">
        <x:v>76.2</x:v>
      </x:c>
      <x:c r="P1935" t="str">
        <x:v>Cloudy</x:v>
      </x:c>
      <x:c r="Q1935" t="n">
        <x:v>76</x:v>
      </x:c>
      <x:c r="R1935" t="n">
        <x:v>69.8</x:v>
      </x:c>
      <x:c r="S1935" t="n">
        <x:v>0.0701</x:v>
      </x:c>
      <x:c r="T1935" t="n">
        <x:v>11.5</x:v>
      </x:c>
      <x:c r="U1935" t="n">
        <x:v>980.8</x:v>
      </x:c>
      <x:c r="V1935" t="n">
        <x:v>1406</x:v>
      </x:c>
      <x:c r="W1935" t="n">
        <x:v>31.4</x:v>
      </x:c>
    </x:row>
    <x:row r="1936">
      <x:c r="A1936" t="str">
        <x:v>PJT_1935</x:v>
      </x:c>
      <x:c r="B1936" t="str">
        <x:v>Mediterranean</x:v>
      </x:c>
      <x:c r="C1936" t="n">
        <x:v>22240</x:v>
      </x:c>
      <x:c r="D1936" t="n">
        <x:v>12</x:v>
      </x:c>
      <x:c r="E1936" t="str">
        <x:v>Medium</x:v>
      </x:c>
      <x:c r="F1936" t="str">
        <x:v>Commercial</x:v>
      </x:c>
      <x:c r="G1936" t="str">
        <x:v>RC Frame</x:v>
      </x:c>
      <x:c r="H1936" t="str">
        <x:v>Piles</x:v>
      </x:c>
      <x:c r="I1936" t="str">
        <x:v>Mixed</x:v>
      </x:c>
      <x:c r="J1936" t="str">
        <x:v>High</x:v>
      </x:c>
      <x:c r="K1936" t="n">
        <x:v>53242560</x:v>
      </x:c>
      <x:c r="L1936" t="n">
        <x:v>1039</x:v>
      </x:c>
      <x:c r="M1936" t="n">
        <x:v>408.6</x:v>
      </x:c>
      <x:c r="N1936" t="n">
        <x:v>14.8</x:v>
      </x:c>
      <x:c r="O1936" t="n">
        <x:v>71.9</x:v>
      </x:c>
      <x:c r="P1936" t="str">
        <x:v>Rainy</x:v>
      </x:c>
      <x:c r="Q1936" t="n">
        <x:v>105</x:v>
      </x:c>
      <x:c r="R1936" t="n">
        <x:v>72.5</x:v>
      </x:c>
      <x:c r="S1936" t="n">
        <x:v>0.0941</x:v>
      </x:c>
      <x:c r="T1936" t="n">
        <x:v>16.4</x:v>
      </x:c>
      <x:c r="U1936" t="n">
        <x:v>1853.3</x:v>
      </x:c>
      <x:c r="V1936" t="n">
        <x:v>2394</x:v>
      </x:c>
      <x:c r="W1936" t="n">
        <x:v>46.7</x:v>
      </x:c>
    </x:row>
    <x:row r="1937">
      <x:c r="A1937" t="str">
        <x:v>PJT_1936</x:v>
      </x:c>
      <x:c r="B1937" t="str">
        <x:v>Marine</x:v>
      </x:c>
      <x:c r="C1937" t="n">
        <x:v>21960</x:v>
      </x:c>
      <x:c r="D1937" t="n">
        <x:v>16</x:v>
      </x:c>
      <x:c r="E1937" t="str">
        <x:v>High</x:v>
      </x:c>
      <x:c r="F1937" t="str">
        <x:v>Mixed-use</x:v>
      </x:c>
      <x:c r="G1937" t="str">
        <x:v>Steel</x:v>
      </x:c>
      <x:c r="H1937" t="str">
        <x:v>Piles</x:v>
      </x:c>
      <x:c r="I1937" t="str">
        <x:v>Sand</x:v>
      </x:c>
      <x:c r="J1937" t="str">
        <x:v>Medium</x:v>
      </x:c>
      <x:c r="K1937" t="n">
        <x:v>66319200</x:v>
      </x:c>
      <x:c r="L1937" t="n">
        <x:v>1146</x:v>
      </x:c>
      <x:c r="M1937" t="n">
        <x:v>329</x:v>
      </x:c>
      <x:c r="N1937" t="n">
        <x:v>21.6</x:v>
      </x:c>
      <x:c r="O1937" t="n">
        <x:v>71.7</x:v>
      </x:c>
      <x:c r="P1937" t="str">
        <x:v>Sunny</x:v>
      </x:c>
      <x:c r="Q1937" t="n">
        <x:v>90</x:v>
      </x:c>
      <x:c r="R1937" t="n">
        <x:v>85.5</x:v>
      </x:c>
      <x:c r="S1937" t="n">
        <x:v>0.1106</x:v>
      </x:c>
      <x:c r="T1937" t="n">
        <x:v>20.2</x:v>
      </x:c>
      <x:c r="U1937" t="n">
        <x:v>1372.5</x:v>
      </x:c>
      <x:c r="V1937" t="n">
        <x:v>3020</x:v>
      </x:c>
      <x:c r="W1937" t="n">
        <x:v>52.2</x:v>
      </x:c>
    </x:row>
    <x:row r="1938">
      <x:c r="A1938" t="str">
        <x:v>PJT_1937</x:v>
      </x:c>
      <x:c r="B1938" t="str">
        <x:v>Mediterranean</x:v>
      </x:c>
      <x:c r="C1938" t="n">
        <x:v>22480</x:v>
      </x:c>
      <x:c r="D1938" t="n">
        <x:v>18</x:v>
      </x:c>
      <x:c r="E1938" t="str">
        <x:v>High</x:v>
      </x:c>
      <x:c r="F1938" t="str">
        <x:v>Mixed-use</x:v>
      </x:c>
      <x:c r="G1938" t="str">
        <x:v>Steel</x:v>
      </x:c>
      <x:c r="H1938" t="str">
        <x:v>Piles</x:v>
      </x:c>
      <x:c r="I1938" t="str">
        <x:v>Rock</x:v>
      </x:c>
      <x:c r="J1938" t="str">
        <x:v>Medium</x:v>
      </x:c>
      <x:c r="K1938" t="n">
        <x:v>66653200</x:v>
      </x:c>
      <x:c r="L1938" t="n">
        <x:v>1250</x:v>
      </x:c>
      <x:c r="M1938" t="n">
        <x:v>772.5</x:v>
      </x:c>
      <x:c r="N1938" t="n">
        <x:v>16.6</x:v>
      </x:c>
      <x:c r="O1938" t="n">
        <x:v>54</x:v>
      </x:c>
      <x:c r="P1938" t="str">
        <x:v>Cloudy</x:v>
      </x:c>
      <x:c r="Q1938" t="n">
        <x:v>96</x:v>
      </x:c>
      <x:c r="R1938" t="n">
        <x:v>92</x:v>
      </x:c>
      <x:c r="S1938" t="n">
        <x:v>0.1064</x:v>
      </x:c>
      <x:c r="T1938" t="n">
        <x:v>21</x:v>
      </x:c>
      <x:c r="U1938" t="n">
        <x:v>1248.9</x:v>
      </x:c>
      <x:c r="V1938" t="n">
        <x:v>2965</x:v>
      </x:c>
      <x:c r="W1938" t="n">
        <x:v>55.6</x:v>
      </x:c>
    </x:row>
    <x:row r="1939">
      <x:c r="A1939" t="str">
        <x:v>PJT_1938</x:v>
      </x:c>
      <x:c r="B1939" t="str">
        <x:v>Mediterranean</x:v>
      </x:c>
      <x:c r="C1939" t="n">
        <x:v>8390</x:v>
      </x:c>
      <x:c r="D1939" t="n">
        <x:v>12</x:v>
      </x:c>
      <x:c r="E1939" t="str">
        <x:v>Medium</x:v>
      </x:c>
      <x:c r="F1939" t="str">
        <x:v>Residential</x:v>
      </x:c>
      <x:c r="G1939" t="str">
        <x:v>Shear Wall</x:v>
      </x:c>
      <x:c r="H1939" t="str">
        <x:v>Piles</x:v>
      </x:c>
      <x:c r="I1939" t="str">
        <x:v>Sand</x:v>
      </x:c>
      <x:c r="J1939" t="str">
        <x:v>High</x:v>
      </x:c>
      <x:c r="K1939" t="n">
        <x:v>15009710</x:v>
      </x:c>
      <x:c r="L1939" t="n">
        <x:v>316</x:v>
      </x:c>
      <x:c r="M1939" t="n">
        <x:v>288.9</x:v>
      </x:c>
      <x:c r="N1939" t="n">
        <x:v>19</x:v>
      </x:c>
      <x:c r="O1939" t="n">
        <x:v>52.3</x:v>
      </x:c>
      <x:c r="P1939" t="str">
        <x:v>Cloudy</x:v>
      </x:c>
      <x:c r="Q1939" t="n">
        <x:v>72</x:v>
      </x:c>
      <x:c r="R1939" t="n">
        <x:v>72.1</x:v>
      </x:c>
      <x:c r="S1939" t="n">
        <x:v>0.0836</x:v>
      </x:c>
      <x:c r="T1939" t="n">
        <x:v>13.5</x:v>
      </x:c>
      <x:c r="U1939" t="n">
        <x:v>699.2</x:v>
      </x:c>
      <x:c r="V1939" t="n">
        <x:v>1789</x:v>
      </x:c>
      <x:c r="W1939" t="n">
        <x:v>37.7</x:v>
      </x:c>
    </x:row>
    <x:row r="1940">
      <x:c r="A1940" t="str">
        <x:v>PJT_1939</x:v>
      </x:c>
      <x:c r="B1940" t="str">
        <x:v>Continental</x:v>
      </x:c>
      <x:c r="C1940" t="n">
        <x:v>5940</x:v>
      </x:c>
      <x:c r="D1940" t="n">
        <x:v>2</x:v>
      </x:c>
      <x:c r="E1940" t="str">
        <x:v>Low</x:v>
      </x:c>
      <x:c r="F1940" t="str">
        <x:v>School</x:v>
      </x:c>
      <x:c r="G1940" t="str">
        <x:v>Steel</x:v>
      </x:c>
      <x:c r="H1940" t="str">
        <x:v>Raft</x:v>
      </x:c>
      <x:c r="I1940" t="str">
        <x:v>Sand</x:v>
      </x:c>
      <x:c r="J1940" t="str">
        <x:v>High</x:v>
      </x:c>
      <x:c r="K1940" t="n">
        <x:v>10864260</x:v>
      </x:c>
      <x:c r="L1940" t="n">
        <x:v>180</x:v>
      </x:c>
      <x:c r="M1940" t="n">
        <x:v>297.5</x:v>
      </x:c>
      <x:c r="N1940" t="n">
        <x:v>23.8</x:v>
      </x:c>
      <x:c r="O1940" t="n">
        <x:v>38.8</x:v>
      </x:c>
      <x:c r="P1940" t="str">
        <x:v>Sunny</x:v>
      </x:c>
      <x:c r="Q1940" t="n">
        <x:v>74</x:v>
      </x:c>
      <x:c r="R1940" t="n">
        <x:v>64.1</x:v>
      </x:c>
      <x:c r="S1940" t="n">
        <x:v>0.0826</x:v>
      </x:c>
      <x:c r="T1940" t="n">
        <x:v>13.3</x:v>
      </x:c>
      <x:c r="U1940" t="n">
        <x:v>2970</x:v>
      </x:c>
      <x:c r="V1940" t="n">
        <x:v>1829</x:v>
      </x:c>
      <x:c r="W1940" t="n">
        <x:v>29</x:v>
      </x:c>
    </x:row>
    <x:row r="1941">
      <x:c r="A1941" t="str">
        <x:v>PJT_1940</x:v>
      </x:c>
      <x:c r="B1941" t="str">
        <x:v>Continental</x:v>
      </x:c>
      <x:c r="C1941" t="n">
        <x:v>8790</x:v>
      </x:c>
      <x:c r="D1941" t="n">
        <x:v>3</x:v>
      </x:c>
      <x:c r="E1941" t="str">
        <x:v>Low</x:v>
      </x:c>
      <x:c r="F1941" t="str">
        <x:v>School</x:v>
      </x:c>
      <x:c r="G1941" t="str">
        <x:v>Steel</x:v>
      </x:c>
      <x:c r="H1941" t="str">
        <x:v>Piles</x:v>
      </x:c>
      <x:c r="I1941" t="str">
        <x:v>Soft Clay</x:v>
      </x:c>
      <x:c r="J1941" t="str">
        <x:v>High</x:v>
      </x:c>
      <x:c r="K1941" t="n">
        <x:v>17483310</x:v>
      </x:c>
      <x:c r="L1941" t="n">
        <x:v>265</x:v>
      </x:c>
      <x:c r="M1941" t="n">
        <x:v>188.1</x:v>
      </x:c>
      <x:c r="N1941" t="n">
        <x:v>25.8</x:v>
      </x:c>
      <x:c r="O1941" t="n">
        <x:v>49.8</x:v>
      </x:c>
      <x:c r="P1941" t="str">
        <x:v>Sunny</x:v>
      </x:c>
      <x:c r="Q1941" t="n">
        <x:v>91</x:v>
      </x:c>
      <x:c r="R1941" t="n">
        <x:v>64.1</x:v>
      </x:c>
      <x:c r="S1941" t="n">
        <x:v>0.081</x:v>
      </x:c>
      <x:c r="T1941" t="n">
        <x:v>14</x:v>
      </x:c>
      <x:c r="U1941" t="n">
        <x:v>2930</x:v>
      </x:c>
      <x:c r="V1941" t="n">
        <x:v>1989</x:v>
      </x:c>
      <x:c r="W1941" t="n">
        <x:v>30.2</x:v>
      </x:c>
    </x:row>
    <x:row r="1942">
      <x:c r="A1942" t="str">
        <x:v>PJT_1941</x:v>
      </x:c>
      <x:c r="B1942" t="str">
        <x:v>Marine</x:v>
      </x:c>
      <x:c r="C1942" t="n">
        <x:v>15710</x:v>
      </x:c>
      <x:c r="D1942" t="n">
        <x:v>11</x:v>
      </x:c>
      <x:c r="E1942" t="str">
        <x:v>Medium</x:v>
      </x:c>
      <x:c r="F1942" t="str">
        <x:v>Mixed-use</x:v>
      </x:c>
      <x:c r="G1942" t="str">
        <x:v>Shear Wall</x:v>
      </x:c>
      <x:c r="H1942" t="str">
        <x:v>Raft</x:v>
      </x:c>
      <x:c r="I1942" t="str">
        <x:v>Mixed</x:v>
      </x:c>
      <x:c r="J1942" t="str">
        <x:v>Low</x:v>
      </x:c>
      <x:c r="K1942" t="n">
        <x:v>39086480</x:v>
      </x:c>
      <x:c r="L1942" t="n">
        <x:v>740</x:v>
      </x:c>
      <x:c r="M1942" t="n">
        <x:v>282.4</x:v>
      </x:c>
      <x:c r="N1942" t="n">
        <x:v>15</x:v>
      </x:c>
      <x:c r="O1942" t="n">
        <x:v>81.3</x:v>
      </x:c>
      <x:c r="P1942" t="str">
        <x:v>Rainy</x:v>
      </x:c>
      <x:c r="Q1942" t="n">
        <x:v>91</x:v>
      </x:c>
      <x:c r="R1942" t="n">
        <x:v>82.6</x:v>
      </x:c>
      <x:c r="S1942" t="n">
        <x:v>0.1002</x:v>
      </x:c>
      <x:c r="T1942" t="n">
        <x:v>18.2</x:v>
      </x:c>
      <x:c r="U1942" t="n">
        <x:v>1428.2</x:v>
      </x:c>
      <x:c r="V1942" t="n">
        <x:v>2488</x:v>
      </x:c>
      <x:c r="W1942" t="n">
        <x:v>47.1</x:v>
      </x:c>
    </x:row>
    <x:row r="1943">
      <x:c r="A1943" t="str">
        <x:v>PJT_1942</x:v>
      </x:c>
      <x:c r="B1943" t="str">
        <x:v>Marine</x:v>
      </x:c>
      <x:c r="C1943" t="n">
        <x:v>28810</x:v>
      </x:c>
      <x:c r="D1943" t="n">
        <x:v>21</x:v>
      </x:c>
      <x:c r="E1943" t="str">
        <x:v>Medium</x:v>
      </x:c>
      <x:c r="F1943" t="str">
        <x:v>Commercial</x:v>
      </x:c>
      <x:c r="G1943" t="str">
        <x:v>Steel</x:v>
      </x:c>
      <x:c r="H1943" t="str">
        <x:v>Piles</x:v>
      </x:c>
      <x:c r="I1943" t="str">
        <x:v>Sand</x:v>
      </x:c>
      <x:c r="J1943" t="str">
        <x:v>Low</x:v>
      </x:c>
      <x:c r="K1943" t="n">
        <x:v>69950680</x:v>
      </x:c>
      <x:c r="L1943" t="n">
        <x:v>1386</x:v>
      </x:c>
      <x:c r="M1943" t="n">
        <x:v>355.8</x:v>
      </x:c>
      <x:c r="N1943" t="n">
        <x:v>17.4</x:v>
      </x:c>
      <x:c r="O1943" t="n">
        <x:v>70.8</x:v>
      </x:c>
      <x:c r="P1943" t="str">
        <x:v>Cloudy</x:v>
      </x:c>
      <x:c r="Q1943" t="n">
        <x:v>73</x:v>
      </x:c>
      <x:c r="R1943" t="n">
        <x:v>77.4</x:v>
      </x:c>
      <x:c r="S1943" t="n">
        <x:v>0.0974</x:v>
      </x:c>
      <x:c r="T1943" t="n">
        <x:v>18</x:v>
      </x:c>
      <x:c r="U1943" t="n">
        <x:v>1371.9</x:v>
      </x:c>
      <x:c r="V1943" t="n">
        <x:v>2428</x:v>
      </x:c>
      <x:c r="W1943" t="n">
        <x:v>48.1</x:v>
      </x:c>
    </x:row>
    <x:row r="1944">
      <x:c r="A1944" t="str">
        <x:v>PJT_1943</x:v>
      </x:c>
      <x:c r="B1944" t="str">
        <x:v>Mediterranean</x:v>
      </x:c>
      <x:c r="C1944" t="n">
        <x:v>20880</x:v>
      </x:c>
      <x:c r="D1944" t="n">
        <x:v>10</x:v>
      </x:c>
      <x:c r="E1944" t="str">
        <x:v>High</x:v>
      </x:c>
      <x:c r="F1944" t="str">
        <x:v>Hospital</x:v>
      </x:c>
      <x:c r="G1944" t="str">
        <x:v>Shear Wall</x:v>
      </x:c>
      <x:c r="H1944" t="str">
        <x:v>Piles</x:v>
      </x:c>
      <x:c r="I1944" t="str">
        <x:v>Soft Clay</x:v>
      </x:c>
      <x:c r="J1944" t="str">
        <x:v>High</x:v>
      </x:c>
      <x:c r="K1944" t="n">
        <x:v>70992000</x:v>
      </x:c>
      <x:c r="L1944" t="n">
        <x:v>1117</x:v>
      </x:c>
      <x:c r="M1944" t="n">
        <x:v>226.6</x:v>
      </x:c>
      <x:c r="N1944" t="n">
        <x:v>20.4</x:v>
      </x:c>
      <x:c r="O1944" t="n">
        <x:v>48.7</x:v>
      </x:c>
      <x:c r="P1944" t="str">
        <x:v>Sunny</x:v>
      </x:c>
      <x:c r="Q1944" t="n">
        <x:v>98</x:v>
      </x:c>
      <x:c r="R1944" t="n">
        <x:v>83.6</x:v>
      </x:c>
      <x:c r="S1944" t="n">
        <x:v>0.112</x:v>
      </x:c>
      <x:c r="T1944" t="n">
        <x:v>23.7</x:v>
      </x:c>
      <x:c r="U1944" t="n">
        <x:v>2088</x:v>
      </x:c>
      <x:c r="V1944" t="n">
        <x:v>3400</x:v>
      </x:c>
      <x:c r="W1944" t="n">
        <x:v>53.5</x:v>
      </x:c>
    </x:row>
    <x:row r="1945">
      <x:c r="A1945" t="str">
        <x:v>PJT_1944</x:v>
      </x:c>
      <x:c r="B1945" t="str">
        <x:v>Mediterranean</x:v>
      </x:c>
      <x:c r="C1945" t="n">
        <x:v>10590</x:v>
      </x:c>
      <x:c r="D1945" t="n">
        <x:v>4</x:v>
      </x:c>
      <x:c r="E1945" t="str">
        <x:v>Medium</x:v>
      </x:c>
      <x:c r="F1945" t="str">
        <x:v>School</x:v>
      </x:c>
      <x:c r="G1945" t="str">
        <x:v>RC Frame</x:v>
      </x:c>
      <x:c r="H1945" t="str">
        <x:v>Raft</x:v>
      </x:c>
      <x:c r="I1945" t="str">
        <x:v>Rock</x:v>
      </x:c>
      <x:c r="J1945" t="str">
        <x:v>Medium</x:v>
      </x:c>
      <x:c r="K1945" t="n">
        <x:v>18691350</x:v>
      </x:c>
      <x:c r="L1945" t="n">
        <x:v>345</x:v>
      </x:c>
      <x:c r="M1945" t="n">
        <x:v>721.7</x:v>
      </x:c>
      <x:c r="N1945" t="n">
        <x:v>16.6</x:v>
      </x:c>
      <x:c r="O1945" t="n">
        <x:v>63.1</x:v>
      </x:c>
      <x:c r="P1945" t="str">
        <x:v>Cloudy</x:v>
      </x:c>
      <x:c r="Q1945" t="n">
        <x:v>79</x:v>
      </x:c>
      <x:c r="R1945" t="n">
        <x:v>71.8</x:v>
      </x:c>
      <x:c r="S1945" t="n">
        <x:v>0.0843</x:v>
      </x:c>
      <x:c r="T1945" t="n">
        <x:v>14.2</x:v>
      </x:c>
      <x:c r="U1945" t="n">
        <x:v>2647.5</x:v>
      </x:c>
      <x:c r="V1945" t="n">
        <x:v>1765</x:v>
      </x:c>
      <x:c r="W1945" t="n">
        <x:v>32.6</x:v>
      </x:c>
    </x:row>
    <x:row r="1946">
      <x:c r="A1946" t="str">
        <x:v>PJT_1945</x:v>
      </x:c>
      <x:c r="B1946" t="str">
        <x:v>Mediterranean</x:v>
      </x:c>
      <x:c r="C1946" t="n">
        <x:v>30170</x:v>
      </x:c>
      <x:c r="D1946" t="n">
        <x:v>23</x:v>
      </x:c>
      <x:c r="E1946" t="str">
        <x:v>High</x:v>
      </x:c>
      <x:c r="F1946" t="str">
        <x:v>Mixed-use</x:v>
      </x:c>
      <x:c r="G1946" t="str">
        <x:v>Steel</x:v>
      </x:c>
      <x:c r="H1946" t="str">
        <x:v>Piles</x:v>
      </x:c>
      <x:c r="I1946" t="str">
        <x:v>Sand</x:v>
      </x:c>
      <x:c r="J1946" t="str">
        <x:v>Medium</x:v>
      </x:c>
      <x:c r="K1946" t="n">
        <x:v>90600510</x:v>
      </x:c>
      <x:c r="L1946" t="n">
        <x:v>1617</x:v>
      </x:c>
      <x:c r="M1946" t="n">
        <x:v>239.1</x:v>
      </x:c>
      <x:c r="N1946" t="n">
        <x:v>29.6</x:v>
      </x:c>
      <x:c r="O1946" t="n">
        <x:v>60.7</x:v>
      </x:c>
      <x:c r="P1946" t="str">
        <x:v>Sunny</x:v>
      </x:c>
      <x:c r="Q1946" t="n">
        <x:v>95</x:v>
      </x:c>
      <x:c r="R1946" t="n">
        <x:v>87.1</x:v>
      </x:c>
      <x:c r="S1946" t="n">
        <x:v>0.1106</x:v>
      </x:c>
      <x:c r="T1946" t="n">
        <x:v>20.4</x:v>
      </x:c>
      <x:c r="U1946" t="n">
        <x:v>1311.7</x:v>
      </x:c>
      <x:c r="V1946" t="n">
        <x:v>3003</x:v>
      </x:c>
      <x:c r="W1946" t="n">
        <x:v>53.6</x:v>
      </x:c>
    </x:row>
    <x:row r="1947">
      <x:c r="A1947" t="str">
        <x:v>PJT_1946</x:v>
      </x:c>
      <x:c r="B1947" t="str">
        <x:v>Humid Subtropical</x:v>
      </x:c>
      <x:c r="C1947" t="n">
        <x:v>13370</x:v>
      </x:c>
      <x:c r="D1947" t="n">
        <x:v>10</x:v>
      </x:c>
      <x:c r="E1947" t="str">
        <x:v>Medium</x:v>
      </x:c>
      <x:c r="F1947" t="str">
        <x:v>Residential</x:v>
      </x:c>
      <x:c r="G1947" t="str">
        <x:v>RC Frame</x:v>
      </x:c>
      <x:c r="H1947" t="str">
        <x:v>Raft</x:v>
      </x:c>
      <x:c r="I1947" t="str">
        <x:v>Mixed</x:v>
      </x:c>
      <x:c r="J1947" t="str">
        <x:v>Low</x:v>
      </x:c>
      <x:c r="K1947" t="n">
        <x:v>20161960</x:v>
      </x:c>
      <x:c r="L1947" t="n">
        <x:v>479</x:v>
      </x:c>
      <x:c r="M1947" t="n">
        <x:v>290.6</x:v>
      </x:c>
      <x:c r="N1947" t="n">
        <x:v>24.2</x:v>
      </x:c>
      <x:c r="O1947" t="n">
        <x:v>88.3</x:v>
      </x:c>
      <x:c r="P1947" t="str">
        <x:v>Rainy</x:v>
      </x:c>
      <x:c r="Q1947" t="n">
        <x:v>78</x:v>
      </x:c>
      <x:c r="R1947" t="n">
        <x:v>75.3</x:v>
      </x:c>
      <x:c r="S1947" t="n">
        <x:v>0.0798</x:v>
      </x:c>
      <x:c r="T1947" t="n">
        <x:v>13.9</x:v>
      </x:c>
      <x:c r="U1947" t="n">
        <x:v>1337</x:v>
      </x:c>
      <x:c r="V1947" t="n">
        <x:v>1508</x:v>
      </x:c>
      <x:c r="W1947" t="n">
        <x:v>35.8</x:v>
      </x:c>
    </x:row>
    <x:row r="1948">
      <x:c r="A1948" t="str">
        <x:v>PJT_1947</x:v>
      </x:c>
      <x:c r="B1948" t="str">
        <x:v>Mediterranean</x:v>
      </x:c>
      <x:c r="C1948" t="n">
        <x:v>23880</x:v>
      </x:c>
      <x:c r="D1948" t="n">
        <x:v>11</x:v>
      </x:c>
      <x:c r="E1948" t="str">
        <x:v>Medium</x:v>
      </x:c>
      <x:c r="F1948" t="str">
        <x:v>Hospital</x:v>
      </x:c>
      <x:c r="G1948" t="str">
        <x:v>Steel</x:v>
      </x:c>
      <x:c r="H1948" t="str">
        <x:v>Raft</x:v>
      </x:c>
      <x:c r="I1948" t="str">
        <x:v>Sand</x:v>
      </x:c>
      <x:c r="J1948" t="str">
        <x:v>Low</x:v>
      </x:c>
      <x:c r="K1948" t="n">
        <x:v>71902680</x:v>
      </x:c>
      <x:c r="L1948" t="n">
        <x:v>1141</x:v>
      </x:c>
      <x:c r="M1948" t="n">
        <x:v>223.2</x:v>
      </x:c>
      <x:c r="N1948" t="n">
        <x:v>25.3</x:v>
      </x:c>
      <x:c r="O1948" t="n">
        <x:v>40.5</x:v>
      </x:c>
      <x:c r="P1948" t="str">
        <x:v>Sunny</x:v>
      </x:c>
      <x:c r="Q1948" t="n">
        <x:v>76</x:v>
      </x:c>
      <x:c r="R1948" t="n">
        <x:v>77.2</x:v>
      </x:c>
      <x:c r="S1948" t="n">
        <x:v>0.1076</x:v>
      </x:c>
      <x:c r="T1948" t="n">
        <x:v>20.9</x:v>
      </x:c>
      <x:c r="U1948" t="n">
        <x:v>2170.9</x:v>
      </x:c>
      <x:c r="V1948" t="n">
        <x:v>3011</x:v>
      </x:c>
      <x:c r="W1948" t="n">
        <x:v>47.8</x:v>
      </x:c>
    </x:row>
    <x:row r="1949">
      <x:c r="A1949" t="str">
        <x:v>PJT_1948</x:v>
      </x:c>
      <x:c r="B1949" t="str">
        <x:v>Continental</x:v>
      </x:c>
      <x:c r="C1949" t="n">
        <x:v>9230</x:v>
      </x:c>
      <x:c r="D1949" t="n">
        <x:v>6</x:v>
      </x:c>
      <x:c r="E1949" t="str">
        <x:v>Medium</x:v>
      </x:c>
      <x:c r="F1949" t="str">
        <x:v>Commercial</x:v>
      </x:c>
      <x:c r="G1949" t="str">
        <x:v>RC Frame</x:v>
      </x:c>
      <x:c r="H1949" t="str">
        <x:v>Raft</x:v>
      </x:c>
      <x:c r="I1949" t="str">
        <x:v>Soft Clay</x:v>
      </x:c>
      <x:c r="J1949" t="str">
        <x:v>Medium</x:v>
      </x:c>
      <x:c r="K1949" t="n">
        <x:v>19502990</x:v>
      </x:c>
      <x:c r="L1949" t="n">
        <x:v>354</x:v>
      </x:c>
      <x:c r="M1949" t="n">
        <x:v>172.1</x:v>
      </x:c>
      <x:c r="N1949" t="n">
        <x:v>13.8</x:v>
      </x:c>
      <x:c r="O1949" t="n">
        <x:v>57</x:v>
      </x:c>
      <x:c r="P1949" t="str">
        <x:v>Sunny</x:v>
      </x:c>
      <x:c r="Q1949" t="n">
        <x:v>77</x:v>
      </x:c>
      <x:c r="R1949" t="n">
        <x:v>75.2</x:v>
      </x:c>
      <x:c r="S1949" t="n">
        <x:v>0.0876</x:v>
      </x:c>
      <x:c r="T1949" t="n">
        <x:v>16.6</x:v>
      </x:c>
      <x:c r="U1949" t="n">
        <x:v>1538.3</x:v>
      </x:c>
      <x:c r="V1949" t="n">
        <x:v>2113</x:v>
      </x:c>
      <x:c r="W1949" t="n">
        <x:v>38.3</x:v>
      </x:c>
    </x:row>
    <x:row r="1950">
      <x:c r="A1950" t="str">
        <x:v>PJT_1949</x:v>
      </x:c>
      <x:c r="B1950" t="str">
        <x:v>Humid Subtropical</x:v>
      </x:c>
      <x:c r="C1950" t="n">
        <x:v>13110</x:v>
      </x:c>
      <x:c r="D1950" t="n">
        <x:v>12</x:v>
      </x:c>
      <x:c r="E1950" t="str">
        <x:v>Low</x:v>
      </x:c>
      <x:c r="F1950" t="str">
        <x:v>Residential</x:v>
      </x:c>
      <x:c r="G1950" t="str">
        <x:v>Shear Wall</x:v>
      </x:c>
      <x:c r="H1950" t="str">
        <x:v>Raft</x:v>
      </x:c>
      <x:c r="I1950" t="str">
        <x:v>Mixed</x:v>
      </x:c>
      <x:c r="J1950" t="str">
        <x:v>High</x:v>
      </x:c>
      <x:c r="K1950" t="n">
        <x:v>21421740</x:v>
      </x:c>
      <x:c r="L1950" t="n">
        <x:v>433</x:v>
      </x:c>
      <x:c r="M1950" t="n">
        <x:v>264.1</x:v>
      </x:c>
      <x:c r="N1950" t="n">
        <x:v>26.1</x:v>
      </x:c>
      <x:c r="O1950" t="n">
        <x:v>64.2</x:v>
      </x:c>
      <x:c r="P1950" t="str">
        <x:v>Sunny</x:v>
      </x:c>
      <x:c r="Q1950" t="n">
        <x:v>90</x:v>
      </x:c>
      <x:c r="R1950" t="n">
        <x:v>61.2</x:v>
      </x:c>
      <x:c r="S1950" t="n">
        <x:v>0.0804</x:v>
      </x:c>
      <x:c r="T1950" t="n">
        <x:v>12.8</x:v>
      </x:c>
      <x:c r="U1950" t="n">
        <x:v>1092.5</x:v>
      </x:c>
      <x:c r="V1950" t="n">
        <x:v>1634</x:v>
      </x:c>
      <x:c r="W1950" t="n">
        <x:v>33</x:v>
      </x:c>
    </x:row>
    <x:row r="1951">
      <x:c r="A1951" t="str">
        <x:v>PJT_1950</x:v>
      </x:c>
      <x:c r="B1951" t="str">
        <x:v>Marine</x:v>
      </x:c>
      <x:c r="C1951" t="n">
        <x:v>6770</x:v>
      </x:c>
      <x:c r="D1951" t="n">
        <x:v>3</x:v>
      </x:c>
      <x:c r="E1951" t="str">
        <x:v>Low</x:v>
      </x:c>
      <x:c r="F1951" t="str">
        <x:v>School</x:v>
      </x:c>
      <x:c r="G1951" t="str">
        <x:v>RC Frame</x:v>
      </x:c>
      <x:c r="H1951" t="str">
        <x:v>Strip</x:v>
      </x:c>
      <x:c r="I1951" t="str">
        <x:v>Rock</x:v>
      </x:c>
      <x:c r="J1951" t="str">
        <x:v>Low</x:v>
      </x:c>
      <x:c r="K1951" t="n">
        <x:v>10547660</x:v>
      </x:c>
      <x:c r="L1951" t="n">
        <x:v>180</x:v>
      </x:c>
      <x:c r="M1951" t="n">
        <x:v>617.8</x:v>
      </x:c>
      <x:c r="N1951" t="n">
        <x:v>13.7</x:v>
      </x:c>
      <x:c r="O1951" t="n">
        <x:v>69.5</x:v>
      </x:c>
      <x:c r="P1951" t="str">
        <x:v>Sunny</x:v>
      </x:c>
      <x:c r="Q1951" t="n">
        <x:v>86</x:v>
      </x:c>
      <x:c r="R1951" t="n">
        <x:v>59.8</x:v>
      </x:c>
      <x:c r="S1951" t="n">
        <x:v>0.0765</x:v>
      </x:c>
      <x:c r="T1951" t="n">
        <x:v>13.8</x:v>
      </x:c>
      <x:c r="U1951" t="n">
        <x:v>2256.7</x:v>
      </x:c>
      <x:c r="V1951" t="n">
        <x:v>1558</x:v>
      </x:c>
      <x:c r="W1951" t="n">
        <x:v>24</x:v>
      </x:c>
    </x:row>
    <x:row r="1952">
      <x:c r="A1952" t="str">
        <x:v>PJT_1951</x:v>
      </x:c>
      <x:c r="B1952" t="str">
        <x:v>Mediterranean</x:v>
      </x:c>
      <x:c r="C1952" t="n">
        <x:v>8950</x:v>
      </x:c>
      <x:c r="D1952" t="n">
        <x:v>4</x:v>
      </x:c>
      <x:c r="E1952" t="str">
        <x:v>Medium</x:v>
      </x:c>
      <x:c r="F1952" t="str">
        <x:v>School</x:v>
      </x:c>
      <x:c r="G1952" t="str">
        <x:v>RC Frame</x:v>
      </x:c>
      <x:c r="H1952" t="str">
        <x:v>Raft</x:v>
      </x:c>
      <x:c r="I1952" t="str">
        <x:v>Sand</x:v>
      </x:c>
      <x:c r="J1952" t="str">
        <x:v>High</x:v>
      </x:c>
      <x:c r="K1952" t="n">
        <x:v>17121350</x:v>
      </x:c>
      <x:c r="L1952" t="n">
        <x:v>275</x:v>
      </x:c>
      <x:c r="M1952" t="n">
        <x:v>309.1</x:v>
      </x:c>
      <x:c r="N1952" t="n">
        <x:v>28.6</x:v>
      </x:c>
      <x:c r="O1952" t="n">
        <x:v>55.1</x:v>
      </x:c>
      <x:c r="P1952" t="str">
        <x:v>Sunny</x:v>
      </x:c>
      <x:c r="Q1952" t="n">
        <x:v>61</x:v>
      </x:c>
      <x:c r="R1952" t="n">
        <x:v>75.3</x:v>
      </x:c>
      <x:c r="S1952" t="n">
        <x:v>0.0822</x:v>
      </x:c>
      <x:c r="T1952" t="n">
        <x:v>15.2</x:v>
      </x:c>
      <x:c r="U1952" t="n">
        <x:v>2237.5</x:v>
      </x:c>
      <x:c r="V1952" t="n">
        <x:v>1913</x:v>
      </x:c>
      <x:c r="W1952" t="n">
        <x:v>30.7</x:v>
      </x:c>
    </x:row>
    <x:row r="1953">
      <x:c r="A1953" t="str">
        <x:v>PJT_1952</x:v>
      </x:c>
      <x:c r="B1953" t="str">
        <x:v>Continental</x:v>
      </x:c>
      <x:c r="C1953" t="n">
        <x:v>18760</x:v>
      </x:c>
      <x:c r="D1953" t="n">
        <x:v>11</x:v>
      </x:c>
      <x:c r="E1953" t="str">
        <x:v>Medium</x:v>
      </x:c>
      <x:c r="F1953" t="str">
        <x:v>Hospital</x:v>
      </x:c>
      <x:c r="G1953" t="str">
        <x:v>Steel</x:v>
      </x:c>
      <x:c r="H1953" t="str">
        <x:v>Piles</x:v>
      </x:c>
      <x:c r="I1953" t="str">
        <x:v>Soft Clay</x:v>
      </x:c>
      <x:c r="J1953" t="str">
        <x:v>Low</x:v>
      </x:c>
      <x:c r="K1953" t="n">
        <x:v>58925160</x:v>
      </x:c>
      <x:c r="L1953" t="n">
        <x:v>942</x:v>
      </x:c>
      <x:c r="M1953" t="n">
        <x:v>222.1</x:v>
      </x:c>
      <x:c r="N1953" t="n">
        <x:v>6.8</x:v>
      </x:c>
      <x:c r="O1953" t="n">
        <x:v>51</x:v>
      </x:c>
      <x:c r="P1953" t="str">
        <x:v>Sunny</x:v>
      </x:c>
      <x:c r="Q1953" t="n">
        <x:v>74</x:v>
      </x:c>
      <x:c r="R1953" t="n">
        <x:v>86</x:v>
      </x:c>
      <x:c r="S1953" t="n">
        <x:v>0.1109</x:v>
      </x:c>
      <x:c r="T1953" t="n">
        <x:v>21.3</x:v>
      </x:c>
      <x:c r="U1953" t="n">
        <x:v>1705.5</x:v>
      </x:c>
      <x:c r="V1953" t="n">
        <x:v>3141</x:v>
      </x:c>
      <x:c r="W1953" t="n">
        <x:v>50.2</x:v>
      </x:c>
    </x:row>
    <x:row r="1954">
      <x:c r="A1954" t="str">
        <x:v>PJT_1953</x:v>
      </x:c>
      <x:c r="B1954" t="str">
        <x:v>Continental</x:v>
      </x:c>
      <x:c r="C1954" t="n">
        <x:v>21990</x:v>
      </x:c>
      <x:c r="D1954" t="n">
        <x:v>22</x:v>
      </x:c>
      <x:c r="E1954" t="str">
        <x:v>Medium</x:v>
      </x:c>
      <x:c r="F1954" t="str">
        <x:v>Residential</x:v>
      </x:c>
      <x:c r="G1954" t="str">
        <x:v>Shear Wall</x:v>
      </x:c>
      <x:c r="H1954" t="str">
        <x:v>Piles</x:v>
      </x:c>
      <x:c r="I1954" t="str">
        <x:v>Soft Clay</x:v>
      </x:c>
      <x:c r="J1954" t="str">
        <x:v>High</x:v>
      </x:c>
      <x:c r="K1954" t="n">
        <x:v>38042700</x:v>
      </x:c>
      <x:c r="L1954" t="n">
        <x:v>825</x:v>
      </x:c>
      <x:c r="M1954" t="n">
        <x:v>214.4</x:v>
      </x:c>
      <x:c r="N1954" t="n">
        <x:v>21.8</x:v>
      </x:c>
      <x:c r="O1954" t="n">
        <x:v>51.4</x:v>
      </x:c>
      <x:c r="P1954" t="str">
        <x:v>Sunny</x:v>
      </x:c>
      <x:c r="Q1954" t="n">
        <x:v>80</x:v>
      </x:c>
      <x:c r="R1954" t="n">
        <x:v>79.5</x:v>
      </x:c>
      <x:c r="S1954" t="n">
        <x:v>0.0803</x:v>
      </x:c>
      <x:c r="T1954" t="n">
        <x:v>13.2</x:v>
      </x:c>
      <x:c r="U1954" t="n">
        <x:v>999.5</x:v>
      </x:c>
      <x:c r="V1954" t="n">
        <x:v>1730</x:v>
      </x:c>
      <x:c r="W1954" t="n">
        <x:v>37.5</x:v>
      </x:c>
    </x:row>
    <x:row r="1955">
      <x:c r="A1955" t="str">
        <x:v>PJT_1954</x:v>
      </x:c>
      <x:c r="B1955" t="str">
        <x:v>Continental</x:v>
      </x:c>
      <x:c r="C1955" t="n">
        <x:v>21480</x:v>
      </x:c>
      <x:c r="D1955" t="n">
        <x:v>13</x:v>
      </x:c>
      <x:c r="E1955" t="str">
        <x:v>Medium</x:v>
      </x:c>
      <x:c r="F1955" t="str">
        <x:v>Commercial</x:v>
      </x:c>
      <x:c r="G1955" t="str">
        <x:v>Steel</x:v>
      </x:c>
      <x:c r="H1955" t="str">
        <x:v>Piles</x:v>
      </x:c>
      <x:c r="I1955" t="str">
        <x:v>Soft Clay</x:v>
      </x:c>
      <x:c r="J1955" t="str">
        <x:v>High</x:v>
      </x:c>
      <x:c r="K1955" t="n">
        <x:v>53034120</x:v>
      </x:c>
      <x:c r="L1955" t="n">
        <x:v>1029</x:v>
      </x:c>
      <x:c r="M1955" t="n">
        <x:v>224.4</x:v>
      </x:c>
      <x:c r="N1955" t="n">
        <x:v>-4.6</x:v>
      </x:c>
      <x:c r="O1955" t="n">
        <x:v>82.1</x:v>
      </x:c>
      <x:c r="P1955" t="str">
        <x:v>Snowy</x:v>
      </x:c>
      <x:c r="Q1955" t="n">
        <x:v>71</x:v>
      </x:c>
      <x:c r="R1955" t="n">
        <x:v>75.5</x:v>
      </x:c>
      <x:c r="S1955" t="n">
        <x:v>0.0958</x:v>
      </x:c>
      <x:c r="T1955" t="n">
        <x:v>17.3</x:v>
      </x:c>
      <x:c r="U1955" t="n">
        <x:v>1652.3</x:v>
      </x:c>
      <x:c r="V1955" t="n">
        <x:v>2469</x:v>
      </x:c>
      <x:c r="W1955" t="n">
        <x:v>47.9</x:v>
      </x:c>
    </x:row>
    <x:row r="1956">
      <x:c r="A1956" t="str">
        <x:v>PJT_1955</x:v>
      </x:c>
      <x:c r="B1956" t="str">
        <x:v>Mediterranean</x:v>
      </x:c>
      <x:c r="C1956" t="n">
        <x:v>7520</x:v>
      </x:c>
      <x:c r="D1956" t="n">
        <x:v>11</x:v>
      </x:c>
      <x:c r="E1956" t="str">
        <x:v>Low</x:v>
      </x:c>
      <x:c r="F1956" t="str">
        <x:v>Residential</x:v>
      </x:c>
      <x:c r="G1956" t="str">
        <x:v>RC Frame</x:v>
      </x:c>
      <x:c r="H1956" t="str">
        <x:v>Raft</x:v>
      </x:c>
      <x:c r="I1956" t="str">
        <x:v>Rock</x:v>
      </x:c>
      <x:c r="J1956" t="str">
        <x:v>Medium</x:v>
      </x:c>
      <x:c r="K1956" t="n">
        <x:v>10272320</x:v>
      </x:c>
      <x:c r="L1956" t="n">
        <x:v>264</x:v>
      </x:c>
      <x:c r="M1956" t="n">
        <x:v>599.6</x:v>
      </x:c>
      <x:c r="N1956" t="n">
        <x:v>14.8</x:v>
      </x:c>
      <x:c r="O1956" t="n">
        <x:v>86.6</x:v>
      </x:c>
      <x:c r="P1956" t="str">
        <x:v>Stormy</x:v>
      </x:c>
      <x:c r="Q1956" t="n">
        <x:v>90</x:v>
      </x:c>
      <x:c r="R1956" t="n">
        <x:v>68.5</x:v>
      </x:c>
      <x:c r="S1956" t="n">
        <x:v>0.0756</x:v>
      </x:c>
      <x:c r="T1956" t="n">
        <x:v>11.5</x:v>
      </x:c>
      <x:c r="U1956" t="n">
        <x:v>683.6</x:v>
      </x:c>
      <x:c r="V1956" t="n">
        <x:v>1366</x:v>
      </x:c>
      <x:c r="W1956" t="n">
        <x:v>35.1</x:v>
      </x:c>
    </x:row>
    <x:row r="1957">
      <x:c r="A1957" t="str">
        <x:v>PJT_1956</x:v>
      </x:c>
      <x:c r="B1957" t="str">
        <x:v>Mediterranean</x:v>
      </x:c>
      <x:c r="C1957" t="n">
        <x:v>16510</x:v>
      </x:c>
      <x:c r="D1957" t="n">
        <x:v>14</x:v>
      </x:c>
      <x:c r="E1957" t="str">
        <x:v>Medium</x:v>
      </x:c>
      <x:c r="F1957" t="str">
        <x:v>Mixed-use</x:v>
      </x:c>
      <x:c r="G1957" t="str">
        <x:v>Steel</x:v>
      </x:c>
      <x:c r="H1957" t="str">
        <x:v>Piles</x:v>
      </x:c>
      <x:c r="I1957" t="str">
        <x:v>Sand</x:v>
      </x:c>
      <x:c r="J1957" t="str">
        <x:v>Medium</x:v>
      </x:c>
      <x:c r="K1957" t="n">
        <x:v>44874180</x:v>
      </x:c>
      <x:c r="L1957" t="n">
        <x:v>812</x:v>
      </x:c>
      <x:c r="M1957" t="n">
        <x:v>284.9</x:v>
      </x:c>
      <x:c r="N1957" t="n">
        <x:v>28.8</x:v>
      </x:c>
      <x:c r="O1957" t="n">
        <x:v>56.1</x:v>
      </x:c>
      <x:c r="P1957" t="str">
        <x:v>Sunny</x:v>
      </x:c>
      <x:c r="Q1957" t="n">
        <x:v>72</x:v>
      </x:c>
      <x:c r="R1957" t="n">
        <x:v>82.4</x:v>
      </x:c>
      <x:c r="S1957" t="n">
        <x:v>0.1003</x:v>
      </x:c>
      <x:c r="T1957" t="n">
        <x:v>18.6</x:v>
      </x:c>
      <x:c r="U1957" t="n">
        <x:v>1179.3</x:v>
      </x:c>
      <x:c r="V1957" t="n">
        <x:v>2718</x:v>
      </x:c>
      <x:c r="W1957" t="n">
        <x:v>49.2</x:v>
      </x:c>
    </x:row>
    <x:row r="1958">
      <x:c r="A1958" t="str">
        <x:v>PJT_1957</x:v>
      </x:c>
      <x:c r="B1958" t="str">
        <x:v>Mediterranean</x:v>
      </x:c>
      <x:c r="C1958" t="n">
        <x:v>25170</x:v>
      </x:c>
      <x:c r="D1958" t="n">
        <x:v>14</x:v>
      </x:c>
      <x:c r="E1958" t="str">
        <x:v>Medium</x:v>
      </x:c>
      <x:c r="F1958" t="str">
        <x:v>Commercial</x:v>
      </x:c>
      <x:c r="G1958" t="str">
        <x:v>Steel</x:v>
      </x:c>
      <x:c r="H1958" t="str">
        <x:v>Piles</x:v>
      </x:c>
      <x:c r="I1958" t="str">
        <x:v>Soft Clay</x:v>
      </x:c>
      <x:c r="J1958" t="str">
        <x:v>Low</x:v>
      </x:c>
      <x:c r="K1958" t="n">
        <x:v>57614130</x:v>
      </x:c>
      <x:c r="L1958" t="n">
        <x:v>1158</x:v>
      </x:c>
      <x:c r="M1958" t="n">
        <x:v>203.9</x:v>
      </x:c>
      <x:c r="N1958" t="n">
        <x:v>19.3</x:v>
      </x:c>
      <x:c r="O1958" t="n">
        <x:v>46.4</x:v>
      </x:c>
      <x:c r="P1958" t="str">
        <x:v>Sunny</x:v>
      </x:c>
      <x:c r="Q1958" t="n">
        <x:v>82</x:v>
      </x:c>
      <x:c r="R1958" t="n">
        <x:v>76.4</x:v>
      </x:c>
      <x:c r="S1958" t="n">
        <x:v>0.0985</x:v>
      </x:c>
      <x:c r="T1958" t="n">
        <x:v>16.4</x:v>
      </x:c>
      <x:c r="U1958" t="n">
        <x:v>1797.9</x:v>
      </x:c>
      <x:c r="V1958" t="n">
        <x:v>2289</x:v>
      </x:c>
      <x:c r="W1958" t="n">
        <x:v>46</x:v>
      </x:c>
    </x:row>
    <x:row r="1959">
      <x:c r="A1959" t="str">
        <x:v>PJT_1958</x:v>
      </x:c>
      <x:c r="B1959" t="str">
        <x:v>Continental</x:v>
      </x:c>
      <x:c r="C1959" t="n">
        <x:v>14640</x:v>
      </x:c>
      <x:c r="D1959" t="n">
        <x:v>8</x:v>
      </x:c>
      <x:c r="E1959" t="str">
        <x:v>Medium</x:v>
      </x:c>
      <x:c r="F1959" t="str">
        <x:v>Commercial</x:v>
      </x:c>
      <x:c r="G1959" t="str">
        <x:v>Steel</x:v>
      </x:c>
      <x:c r="H1959" t="str">
        <x:v>Raft</x:v>
      </x:c>
      <x:c r="I1959" t="str">
        <x:v>Mixed</x:v>
      </x:c>
      <x:c r="J1959" t="str">
        <x:v>High</x:v>
      </x:c>
      <x:c r="K1959" t="n">
        <x:v>35355600</x:v>
      </x:c>
      <x:c r="L1959" t="n">
        <x:v>619</x:v>
      </x:c>
      <x:c r="M1959" t="n">
        <x:v>350.5</x:v>
      </x:c>
      <x:c r="N1959" t="n">
        <x:v>22.4</x:v>
      </x:c>
      <x:c r="O1959" t="n">
        <x:v>38.7</x:v>
      </x:c>
      <x:c r="P1959" t="str">
        <x:v>Sunny</x:v>
      </x:c>
      <x:c r="Q1959" t="n">
        <x:v>71</x:v>
      </x:c>
      <x:c r="R1959" t="n">
        <x:v>74.3</x:v>
      </x:c>
      <x:c r="S1959" t="n">
        <x:v>0.1005</x:v>
      </x:c>
      <x:c r="T1959" t="n">
        <x:v>16.8</x:v>
      </x:c>
      <x:c r="U1959" t="n">
        <x:v>1830</x:v>
      </x:c>
      <x:c r="V1959" t="n">
        <x:v>2415</x:v>
      </x:c>
      <x:c r="W1959" t="n">
        <x:v>42.3</x:v>
      </x:c>
    </x:row>
    <x:row r="1960">
      <x:c r="A1960" t="str">
        <x:v>PJT_1959</x:v>
      </x:c>
      <x:c r="B1960" t="str">
        <x:v>Continental</x:v>
      </x:c>
      <x:c r="C1960" t="n">
        <x:v>22510</x:v>
      </x:c>
      <x:c r="D1960" t="n">
        <x:v>14</x:v>
      </x:c>
      <x:c r="E1960" t="str">
        <x:v>Medium</x:v>
      </x:c>
      <x:c r="F1960" t="str">
        <x:v>Mixed-use</x:v>
      </x:c>
      <x:c r="G1960" t="str">
        <x:v>Shear Wall</x:v>
      </x:c>
      <x:c r="H1960" t="str">
        <x:v>Raft</x:v>
      </x:c>
      <x:c r="I1960" t="str">
        <x:v>Rock</x:v>
      </x:c>
      <x:c r="J1960" t="str">
        <x:v>Medium</x:v>
      </x:c>
      <x:c r="K1960" t="n">
        <x:v>55689740</x:v>
      </x:c>
      <x:c r="L1960" t="n">
        <x:v>1153</x:v>
      </x:c>
      <x:c r="M1960" t="n">
        <x:v>595.3</x:v>
      </x:c>
      <x:c r="N1960" t="n">
        <x:v>-3.9</x:v>
      </x:c>
      <x:c r="O1960" t="n">
        <x:v>62.4</x:v>
      </x:c>
      <x:c r="P1960" t="str">
        <x:v>Snowy</x:v>
      </x:c>
      <x:c r="Q1960" t="n">
        <x:v>102</x:v>
      </x:c>
      <x:c r="R1960" t="n">
        <x:v>80.1</x:v>
      </x:c>
      <x:c r="S1960" t="n">
        <x:v>0.1023</x:v>
      </x:c>
      <x:c r="T1960" t="n">
        <x:v>18.2</x:v>
      </x:c>
      <x:c r="U1960" t="n">
        <x:v>1607.9</x:v>
      </x:c>
      <x:c r="V1960" t="n">
        <x:v>2474</x:v>
      </x:c>
      <x:c r="W1960" t="n">
        <x:v>51.2</x:v>
      </x:c>
    </x:row>
    <x:row r="1961">
      <x:c r="A1961" t="str">
        <x:v>PJT_1960</x:v>
      </x:c>
      <x:c r="B1961" t="str">
        <x:v>Continental</x:v>
      </x:c>
      <x:c r="C1961" t="n">
        <x:v>24220</x:v>
      </x:c>
      <x:c r="D1961" t="n">
        <x:v>21</x:v>
      </x:c>
      <x:c r="E1961" t="str">
        <x:v>Medium</x:v>
      </x:c>
      <x:c r="F1961" t="str">
        <x:v>Mixed-use</x:v>
      </x:c>
      <x:c r="G1961" t="str">
        <x:v>Steel</x:v>
      </x:c>
      <x:c r="H1961" t="str">
        <x:v>Piles</x:v>
      </x:c>
      <x:c r="I1961" t="str">
        <x:v>Soft Clay</x:v>
      </x:c>
      <x:c r="J1961" t="str">
        <x:v>Medium</x:v>
      </x:c>
      <x:c r="K1961" t="n">
        <x:v>67283160</x:v>
      </x:c>
      <x:c r="L1961" t="n">
        <x:v>1373</x:v>
      </x:c>
      <x:c r="M1961" t="n">
        <x:v>192.5</x:v>
      </x:c>
      <x:c r="N1961" t="n">
        <x:v>9.7</x:v>
      </x:c>
      <x:c r="O1961" t="n">
        <x:v>81.8</x:v>
      </x:c>
      <x:c r="P1961" t="str">
        <x:v>Stormy</x:v>
      </x:c>
      <x:c r="Q1961" t="n">
        <x:v>104</x:v>
      </x:c>
      <x:c r="R1961" t="n">
        <x:v>87</x:v>
      </x:c>
      <x:c r="S1961" t="n">
        <x:v>0.105</x:v>
      </x:c>
      <x:c r="T1961" t="n">
        <x:v>17.9</x:v>
      </x:c>
      <x:c r="U1961" t="n">
        <x:v>1153.3</x:v>
      </x:c>
      <x:c r="V1961" t="n">
        <x:v>2778</x:v>
      </x:c>
      <x:c r="W1961" t="n">
        <x:v>56.7</x:v>
      </x:c>
    </x:row>
    <x:row r="1962">
      <x:c r="A1962" t="str">
        <x:v>PJT_1961</x:v>
      </x:c>
      <x:c r="B1962" t="str">
        <x:v>Mediterranean</x:v>
      </x:c>
      <x:c r="C1962" t="n">
        <x:v>6950</x:v>
      </x:c>
      <x:c r="D1962" t="n">
        <x:v>2</x:v>
      </x:c>
      <x:c r="E1962" t="str">
        <x:v>Low</x:v>
      </x:c>
      <x:c r="F1962" t="str">
        <x:v>School</x:v>
      </x:c>
      <x:c r="G1962" t="str">
        <x:v>RC Frame</x:v>
      </x:c>
      <x:c r="H1962" t="str">
        <x:v>Raft</x:v>
      </x:c>
      <x:c r="I1962" t="str">
        <x:v>Mixed</x:v>
      </x:c>
      <x:c r="J1962" t="str">
        <x:v>Medium</x:v>
      </x:c>
      <x:c r="K1962" t="n">
        <x:v>12322350</x:v>
      </x:c>
      <x:c r="L1962" t="n">
        <x:v>201</x:v>
      </x:c>
      <x:c r="M1962" t="n">
        <x:v>290.4</x:v>
      </x:c>
      <x:c r="N1962" t="n">
        <x:v>15.8</x:v>
      </x:c>
      <x:c r="O1962" t="n">
        <x:v>54.7</x:v>
      </x:c>
      <x:c r="P1962" t="str">
        <x:v>Cloudy</x:v>
      </x:c>
      <x:c r="Q1962" t="n">
        <x:v>72</x:v>
      </x:c>
      <x:c r="R1962" t="n">
        <x:v>68.7</x:v>
      </x:c>
      <x:c r="S1962" t="n">
        <x:v>0.08</x:v>
      </x:c>
      <x:c r="T1962" t="n">
        <x:v>14</x:v>
      </x:c>
      <x:c r="U1962" t="n">
        <x:v>3475</x:v>
      </x:c>
      <x:c r="V1962" t="n">
        <x:v>1773</x:v>
      </x:c>
      <x:c r="W1962" t="n">
        <x:v>28.9</x:v>
      </x:c>
    </x:row>
    <x:row r="1963">
      <x:c r="A1963" t="str">
        <x:v>PJT_1962</x:v>
      </x:c>
      <x:c r="B1963" t="str">
        <x:v>Continental</x:v>
      </x:c>
      <x:c r="C1963" t="n">
        <x:v>26420</x:v>
      </x:c>
      <x:c r="D1963" t="n">
        <x:v>15</x:v>
      </x:c>
      <x:c r="E1963" t="str">
        <x:v>Medium</x:v>
      </x:c>
      <x:c r="F1963" t="str">
        <x:v>Commercial</x:v>
      </x:c>
      <x:c r="G1963" t="str">
        <x:v>Steel</x:v>
      </x:c>
      <x:c r="H1963" t="str">
        <x:v>Piles</x:v>
      </x:c>
      <x:c r="I1963" t="str">
        <x:v>Soft Clay</x:v>
      </x:c>
      <x:c r="J1963" t="str">
        <x:v>High</x:v>
      </x:c>
      <x:c r="K1963" t="n">
        <x:v>67899400</x:v>
      </x:c>
      <x:c r="L1963" t="n">
        <x:v>1205</x:v>
      </x:c>
      <x:c r="M1963" t="n">
        <x:v>216.2</x:v>
      </x:c>
      <x:c r="N1963" t="n">
        <x:v>17.8</x:v>
      </x:c>
      <x:c r="O1963" t="n">
        <x:v>41.6</x:v>
      </x:c>
      <x:c r="P1963" t="str">
        <x:v>Sunny</x:v>
      </x:c>
      <x:c r="Q1963" t="n">
        <x:v>90</x:v>
      </x:c>
      <x:c r="R1963" t="n">
        <x:v>82</x:v>
      </x:c>
      <x:c r="S1963" t="n">
        <x:v>0.0953</x:v>
      </x:c>
      <x:c r="T1963" t="n">
        <x:v>16.8</x:v>
      </x:c>
      <x:c r="U1963" t="n">
        <x:v>1761.3</x:v>
      </x:c>
      <x:c r="V1963" t="n">
        <x:v>2570</x:v>
      </x:c>
      <x:c r="W1963" t="n">
        <x:v>45.6</x:v>
      </x:c>
    </x:row>
    <x:row r="1964">
      <x:c r="A1964" t="str">
        <x:v>PJT_1963</x:v>
      </x:c>
      <x:c r="B1964" t="str">
        <x:v>Mediterranean</x:v>
      </x:c>
      <x:c r="C1964" t="n">
        <x:v>8840</x:v>
      </x:c>
      <x:c r="D1964" t="n">
        <x:v>8</x:v>
      </x:c>
      <x:c r="E1964" t="str">
        <x:v>Medium</x:v>
      </x:c>
      <x:c r="F1964" t="str">
        <x:v>Commercial</x:v>
      </x:c>
      <x:c r="G1964" t="str">
        <x:v>RC Frame</x:v>
      </x:c>
      <x:c r="H1964" t="str">
        <x:v>Raft</x:v>
      </x:c>
      <x:c r="I1964" t="str">
        <x:v>Mixed</x:v>
      </x:c>
      <x:c r="J1964" t="str">
        <x:v>High</x:v>
      </x:c>
      <x:c r="K1964" t="n">
        <x:v>19465680</x:v>
      </x:c>
      <x:c r="L1964" t="n">
        <x:v>335</x:v>
      </x:c>
      <x:c r="M1964" t="n">
        <x:v>271.1</x:v>
      </x:c>
      <x:c r="N1964" t="n">
        <x:v>30.6</x:v>
      </x:c>
      <x:c r="O1964" t="n">
        <x:v>54.1</x:v>
      </x:c>
      <x:c r="P1964" t="str">
        <x:v>Sunny</x:v>
      </x:c>
      <x:c r="Q1964" t="n">
        <x:v>84</x:v>
      </x:c>
      <x:c r="R1964" t="n">
        <x:v>77.7</x:v>
      </x:c>
      <x:c r="S1964" t="n">
        <x:v>0.0877</x:v>
      </x:c>
      <x:c r="T1964" t="n">
        <x:v>15.8</x:v>
      </x:c>
      <x:c r="U1964" t="n">
        <x:v>1105</x:v>
      </x:c>
      <x:c r="V1964" t="n">
        <x:v>2202</x:v>
      </x:c>
      <x:c r="W1964" t="n">
        <x:v>37.9</x:v>
      </x:c>
    </x:row>
    <x:row r="1965">
      <x:c r="A1965" t="str">
        <x:v>PJT_1964</x:v>
      </x:c>
      <x:c r="B1965" t="str">
        <x:v>Mediterranean</x:v>
      </x:c>
      <x:c r="C1965" t="n">
        <x:v>32720</x:v>
      </x:c>
      <x:c r="D1965" t="n">
        <x:v>21</x:v>
      </x:c>
      <x:c r="E1965" t="str">
        <x:v>High</x:v>
      </x:c>
      <x:c r="F1965" t="str">
        <x:v>Mixed-use</x:v>
      </x:c>
      <x:c r="G1965" t="str">
        <x:v>Steel</x:v>
      </x:c>
      <x:c r="H1965" t="str">
        <x:v>Piles</x:v>
      </x:c>
      <x:c r="I1965" t="str">
        <x:v>Mixed</x:v>
      </x:c>
      <x:c r="J1965" t="str">
        <x:v>Medium</x:v>
      </x:c>
      <x:c r="K1965" t="n">
        <x:v>94789840</x:v>
      </x:c>
      <x:c r="L1965" t="n">
        <x:v>1819</x:v>
      </x:c>
      <x:c r="M1965" t="n">
        <x:v>388.1</x:v>
      </x:c>
      <x:c r="N1965" t="n">
        <x:v>15.1</x:v>
      </x:c>
      <x:c r="O1965" t="n">
        <x:v>55.6</x:v>
      </x:c>
      <x:c r="P1965" t="str">
        <x:v>Cloudy</x:v>
      </x:c>
      <x:c r="Q1965" t="n">
        <x:v>92</x:v>
      </x:c>
      <x:c r="R1965" t="n">
        <x:v>92</x:v>
      </x:c>
      <x:c r="S1965" t="n">
        <x:v>0.1076</x:v>
      </x:c>
      <x:c r="T1965" t="n">
        <x:v>19.5</x:v>
      </x:c>
      <x:c r="U1965" t="n">
        <x:v>1558.1</x:v>
      </x:c>
      <x:c r="V1965" t="n">
        <x:v>2897</x:v>
      </x:c>
      <x:c r="W1965" t="n">
        <x:v>55.6</x:v>
      </x:c>
    </x:row>
    <x:row r="1966">
      <x:c r="A1966" t="str">
        <x:v>PJT_1965</x:v>
      </x:c>
      <x:c r="B1966" t="str">
        <x:v>Continental</x:v>
      </x:c>
      <x:c r="C1966" t="n">
        <x:v>16860</x:v>
      </x:c>
      <x:c r="D1966" t="n">
        <x:v>8</x:v>
      </x:c>
      <x:c r="E1966" t="str">
        <x:v>Medium</x:v>
      </x:c>
      <x:c r="F1966" t="str">
        <x:v>Commercial</x:v>
      </x:c>
      <x:c r="G1966" t="str">
        <x:v>Steel</x:v>
      </x:c>
      <x:c r="H1966" t="str">
        <x:v>Piles</x:v>
      </x:c>
      <x:c r="I1966" t="str">
        <x:v>Soft Clay</x:v>
      </x:c>
      <x:c r="J1966" t="str">
        <x:v>Low</x:v>
      </x:c>
      <x:c r="K1966" t="n">
        <x:v>40565160</x:v>
      </x:c>
      <x:c r="L1966" t="n">
        <x:v>814</x:v>
      </x:c>
      <x:c r="M1966" t="n">
        <x:v>210.4</x:v>
      </x:c>
      <x:c r="N1966" t="n">
        <x:v>13.7</x:v>
      </x:c>
      <x:c r="O1966" t="n">
        <x:v>78.1</x:v>
      </x:c>
      <x:c r="P1966" t="str">
        <x:v>Rainy</x:v>
      </x:c>
      <x:c r="Q1966" t="n">
        <x:v>104</x:v>
      </x:c>
      <x:c r="R1966" t="n">
        <x:v>70.8</x:v>
      </x:c>
      <x:c r="S1966" t="n">
        <x:v>0.0934</x:v>
      </x:c>
      <x:c r="T1966" t="n">
        <x:v>17.2</x:v>
      </x:c>
      <x:c r="U1966" t="n">
        <x:v>2107.5</x:v>
      </x:c>
      <x:c r="V1966" t="n">
        <x:v>2406</x:v>
      </x:c>
      <x:c r="W1966" t="n">
        <x:v>48.3</x:v>
      </x:c>
    </x:row>
    <x:row r="1967">
      <x:c r="A1967" t="str">
        <x:v>PJT_1966</x:v>
      </x:c>
      <x:c r="B1967" t="str">
        <x:v>Mediterranean</x:v>
      </x:c>
      <x:c r="C1967" t="n">
        <x:v>15040</x:v>
      </x:c>
      <x:c r="D1967" t="n">
        <x:v>10</x:v>
      </x:c>
      <x:c r="E1967" t="str">
        <x:v>Medium</x:v>
      </x:c>
      <x:c r="F1967" t="str">
        <x:v>Commercial</x:v>
      </x:c>
      <x:c r="G1967" t="str">
        <x:v>RC Frame</x:v>
      </x:c>
      <x:c r="H1967" t="str">
        <x:v>Piles</x:v>
      </x:c>
      <x:c r="I1967" t="str">
        <x:v>Soft Clay</x:v>
      </x:c>
      <x:c r="J1967" t="str">
        <x:v>High</x:v>
      </x:c>
      <x:c r="K1967" t="n">
        <x:v>34441600</x:v>
      </x:c>
      <x:c r="L1967" t="n">
        <x:v>681</x:v>
      </x:c>
      <x:c r="M1967" t="n">
        <x:v>218.7</x:v>
      </x:c>
      <x:c r="N1967" t="n">
        <x:v>14.5</x:v>
      </x:c>
      <x:c r="O1967" t="n">
        <x:v>82</x:v>
      </x:c>
      <x:c r="P1967" t="str">
        <x:v>Rainy</x:v>
      </x:c>
      <x:c r="Q1967" t="n">
        <x:v>84</x:v>
      </x:c>
      <x:c r="R1967" t="n">
        <x:v>77.5</x:v>
      </x:c>
      <x:c r="S1967" t="n">
        <x:v>0.0926</x:v>
      </x:c>
      <x:c r="T1967" t="n">
        <x:v>15.5</x:v>
      </x:c>
      <x:c r="U1967" t="n">
        <x:v>1504</x:v>
      </x:c>
      <x:c r="V1967" t="n">
        <x:v>2290</x:v>
      </x:c>
      <x:c r="W1967" t="n">
        <x:v>45.3</x:v>
      </x:c>
    </x:row>
    <x:row r="1968">
      <x:c r="A1968" t="str">
        <x:v>PJT_1967</x:v>
      </x:c>
      <x:c r="B1968" t="str">
        <x:v>Marine</x:v>
      </x:c>
      <x:c r="C1968" t="n">
        <x:v>33510</x:v>
      </x:c>
      <x:c r="D1968" t="n">
        <x:v>26</x:v>
      </x:c>
      <x:c r="E1968" t="str">
        <x:v>High</x:v>
      </x:c>
      <x:c r="F1968" t="str">
        <x:v>Mixed-use</x:v>
      </x:c>
      <x:c r="G1968" t="str">
        <x:v>Steel</x:v>
      </x:c>
      <x:c r="H1968" t="str">
        <x:v>Piles</x:v>
      </x:c>
      <x:c r="I1968" t="str">
        <x:v>Rock</x:v>
      </x:c>
      <x:c r="J1968" t="str">
        <x:v>Low</x:v>
      </x:c>
      <x:c r="K1968" t="n">
        <x:v>98519400</x:v>
      </x:c>
      <x:c r="L1968" t="n">
        <x:v>1944</x:v>
      </x:c>
      <x:c r="M1968" t="n">
        <x:v>645.6</x:v>
      </x:c>
      <x:c r="N1968" t="n">
        <x:v>12.3</x:v>
      </x:c>
      <x:c r="O1968" t="n">
        <x:v>91.2</x:v>
      </x:c>
      <x:c r="P1968" t="str">
        <x:v>Rainy</x:v>
      </x:c>
      <x:c r="Q1968" t="n">
        <x:v>99</x:v>
      </x:c>
      <x:c r="R1968" t="n">
        <x:v>92</x:v>
      </x:c>
      <x:c r="S1968" t="n">
        <x:v>0.1042</x:v>
      </x:c>
      <x:c r="T1968" t="n">
        <x:v>20.1</x:v>
      </x:c>
      <x:c r="U1968" t="n">
        <x:v>1288.8</x:v>
      </x:c>
      <x:c r="V1968" t="n">
        <x:v>2940</x:v>
      </x:c>
      <x:c r="W1968" t="n">
        <x:v>58</x:v>
      </x:c>
    </x:row>
    <x:row r="1969">
      <x:c r="A1969" t="str">
        <x:v>PJT_1968</x:v>
      </x:c>
      <x:c r="B1969" t="str">
        <x:v>Mediterranean</x:v>
      </x:c>
      <x:c r="C1969" t="n">
        <x:v>6840</x:v>
      </x:c>
      <x:c r="D1969" t="n">
        <x:v>6</x:v>
      </x:c>
      <x:c r="E1969" t="str">
        <x:v>Medium</x:v>
      </x:c>
      <x:c r="F1969" t="str">
        <x:v>Commercial</x:v>
      </x:c>
      <x:c r="G1969" t="str">
        <x:v>RC Frame</x:v>
      </x:c>
      <x:c r="H1969" t="str">
        <x:v>Raft</x:v>
      </x:c>
      <x:c r="I1969" t="str">
        <x:v>Mixed</x:v>
      </x:c>
      <x:c r="J1969" t="str">
        <x:v>High</x:v>
      </x:c>
      <x:c r="K1969" t="n">
        <x:v>16012440</x:v>
      </x:c>
      <x:c r="L1969" t="n">
        <x:v>302</x:v>
      </x:c>
      <x:c r="M1969" t="n">
        <x:v>305.3</x:v>
      </x:c>
      <x:c r="N1969" t="n">
        <x:v>16.5</x:v>
      </x:c>
      <x:c r="O1969" t="n">
        <x:v>79.5</x:v>
      </x:c>
      <x:c r="P1969" t="str">
        <x:v>Stormy</x:v>
      </x:c>
      <x:c r="Q1969" t="n">
        <x:v>104</x:v>
      </x:c>
      <x:c r="R1969" t="n">
        <x:v>70.3</x:v>
      </x:c>
      <x:c r="S1969" t="n">
        <x:v>0.0879</x:v>
      </x:c>
      <x:c r="T1969" t="n">
        <x:v>16.1</x:v>
      </x:c>
      <x:c r="U1969" t="n">
        <x:v>1140</x:v>
      </x:c>
      <x:c r="V1969" t="n">
        <x:v>2341</x:v>
      </x:c>
      <x:c r="W1969" t="n">
        <x:v>44.2</x:v>
      </x:c>
    </x:row>
    <x:row r="1970">
      <x:c r="A1970" t="str">
        <x:v>PJT_1969</x:v>
      </x:c>
      <x:c r="B1970" t="str">
        <x:v>Marine</x:v>
      </x:c>
      <x:c r="C1970" t="n">
        <x:v>11760</x:v>
      </x:c>
      <x:c r="D1970" t="n">
        <x:v>5</x:v>
      </x:c>
      <x:c r="E1970" t="str">
        <x:v>Low</x:v>
      </x:c>
      <x:c r="F1970" t="str">
        <x:v>School</x:v>
      </x:c>
      <x:c r="G1970" t="str">
        <x:v>RC Frame</x:v>
      </x:c>
      <x:c r="H1970" t="str">
        <x:v>Raft</x:v>
      </x:c>
      <x:c r="I1970" t="str">
        <x:v>Mixed</x:v>
      </x:c>
      <x:c r="J1970" t="str">
        <x:v>Medium</x:v>
      </x:c>
      <x:c r="K1970" t="n">
        <x:v>20168400</x:v>
      </x:c>
      <x:c r="L1970" t="n">
        <x:v>369</x:v>
      </x:c>
      <x:c r="M1970" t="n">
        <x:v>279.3</x:v>
      </x:c>
      <x:c r="N1970" t="n">
        <x:v>9.4</x:v>
      </x:c>
      <x:c r="O1970" t="n">
        <x:v>82.2</x:v>
      </x:c>
      <x:c r="P1970" t="str">
        <x:v>Rainy</x:v>
      </x:c>
      <x:c r="Q1970" t="n">
        <x:v>85</x:v>
      </x:c>
      <x:c r="R1970" t="n">
        <x:v>63.6</x:v>
      </x:c>
      <x:c r="S1970" t="n">
        <x:v>0.076</x:v>
      </x:c>
      <x:c r="T1970" t="n">
        <x:v>13.1</x:v>
      </x:c>
      <x:c r="U1970" t="n">
        <x:v>2352</x:v>
      </x:c>
      <x:c r="V1970" t="n">
        <x:v>1715</x:v>
      </x:c>
      <x:c r="W1970" t="n">
        <x:v>31.4</x:v>
      </x:c>
    </x:row>
    <x:row r="1971">
      <x:c r="A1971" t="str">
        <x:v>PJT_1970</x:v>
      </x:c>
      <x:c r="B1971" t="str">
        <x:v>Humid Subtropical</x:v>
      </x:c>
      <x:c r="C1971" t="n">
        <x:v>17510</x:v>
      </x:c>
      <x:c r="D1971" t="n">
        <x:v>12</x:v>
      </x:c>
      <x:c r="E1971" t="str">
        <x:v>Medium</x:v>
      </x:c>
      <x:c r="F1971" t="str">
        <x:v>Commercial</x:v>
      </x:c>
      <x:c r="G1971" t="str">
        <x:v>Steel</x:v>
      </x:c>
      <x:c r="H1971" t="str">
        <x:v>Piles</x:v>
      </x:c>
      <x:c r="I1971" t="str">
        <x:v>Soft Clay</x:v>
      </x:c>
      <x:c r="J1971" t="str">
        <x:v>Medium</x:v>
      </x:c>
      <x:c r="K1971" t="n">
        <x:v>42794440</x:v>
      </x:c>
      <x:c r="L1971" t="n">
        <x:v>876</x:v>
      </x:c>
      <x:c r="M1971" t="n">
        <x:v>158.6</x:v>
      </x:c>
      <x:c r="N1971" t="n">
        <x:v>28</x:v>
      </x:c>
      <x:c r="O1971" t="n">
        <x:v>87.1</x:v>
      </x:c>
      <x:c r="P1971" t="str">
        <x:v>Stormy</x:v>
      </x:c>
      <x:c r="Q1971" t="n">
        <x:v>105</x:v>
      </x:c>
      <x:c r="R1971" t="n">
        <x:v>78.4</x:v>
      </x:c>
      <x:c r="S1971" t="n">
        <x:v>0.0935</x:v>
      </x:c>
      <x:c r="T1971" t="n">
        <x:v>18</x:v>
      </x:c>
      <x:c r="U1971" t="n">
        <x:v>1459.2</x:v>
      </x:c>
      <x:c r="V1971" t="n">
        <x:v>2444</x:v>
      </x:c>
      <x:c r="W1971" t="n">
        <x:v>50</x:v>
      </x:c>
    </x:row>
    <x:row r="1972">
      <x:c r="A1972" t="str">
        <x:v>PJT_1971</x:v>
      </x:c>
      <x:c r="B1972" t="str">
        <x:v>Marine</x:v>
      </x:c>
      <x:c r="C1972" t="n">
        <x:v>26340</x:v>
      </x:c>
      <x:c r="D1972" t="n">
        <x:v>17</x:v>
      </x:c>
      <x:c r="E1972" t="str">
        <x:v>Medium</x:v>
      </x:c>
      <x:c r="F1972" t="str">
        <x:v>Mixed-use</x:v>
      </x:c>
      <x:c r="G1972" t="str">
        <x:v>Steel</x:v>
      </x:c>
      <x:c r="H1972" t="str">
        <x:v>Raft</x:v>
      </x:c>
      <x:c r="I1972" t="str">
        <x:v>Rock</x:v>
      </x:c>
      <x:c r="J1972" t="str">
        <x:v>High</x:v>
      </x:c>
      <x:c r="K1972" t="n">
        <x:v>73936380</x:v>
      </x:c>
      <x:c r="L1972" t="n">
        <x:v>1264</x:v>
      </x:c>
      <x:c r="M1972" t="n">
        <x:v>695.2</x:v>
      </x:c>
      <x:c r="N1972" t="n">
        <x:v>22.2</x:v>
      </x:c>
      <x:c r="O1972" t="n">
        <x:v>67</x:v>
      </x:c>
      <x:c r="P1972" t="str">
        <x:v>Sunny</x:v>
      </x:c>
      <x:c r="Q1972" t="n">
        <x:v>96</x:v>
      </x:c>
      <x:c r="R1972" t="n">
        <x:v>79.7</x:v>
      </x:c>
      <x:c r="S1972" t="n">
        <x:v>0.1026</x:v>
      </x:c>
      <x:c r="T1972" t="n">
        <x:v>18.1</x:v>
      </x:c>
      <x:c r="U1972" t="n">
        <x:v>1549.4</x:v>
      </x:c>
      <x:c r="V1972" t="n">
        <x:v>2807</x:v>
      </x:c>
      <x:c r="W1972" t="n">
        <x:v>48</x:v>
      </x:c>
    </x:row>
    <x:row r="1973">
      <x:c r="A1973" t="str">
        <x:v>PJT_1972</x:v>
      </x:c>
      <x:c r="B1973" t="str">
        <x:v>Mediterranean</x:v>
      </x:c>
      <x:c r="C1973" t="n">
        <x:v>20910</x:v>
      </x:c>
      <x:c r="D1973" t="n">
        <x:v>12</x:v>
      </x:c>
      <x:c r="E1973" t="str">
        <x:v>Medium</x:v>
      </x:c>
      <x:c r="F1973" t="str">
        <x:v>Mixed-use</x:v>
      </x:c>
      <x:c r="G1973" t="str">
        <x:v>Steel</x:v>
      </x:c>
      <x:c r="H1973" t="str">
        <x:v>Piles</x:v>
      </x:c>
      <x:c r="I1973" t="str">
        <x:v>Soft Clay</x:v>
      </x:c>
      <x:c r="J1973" t="str">
        <x:v>Low</x:v>
      </x:c>
      <x:c r="K1973" t="n">
        <x:v>53989620</x:v>
      </x:c>
      <x:c r="L1973" t="n">
        <x:v>981</x:v>
      </x:c>
      <x:c r="M1973" t="n">
        <x:v>157.2</x:v>
      </x:c>
      <x:c r="N1973" t="n">
        <x:v>20.2</x:v>
      </x:c>
      <x:c r="O1973" t="n">
        <x:v>41.5</x:v>
      </x:c>
      <x:c r="P1973" t="str">
        <x:v>Sunny</x:v>
      </x:c>
      <x:c r="Q1973" t="n">
        <x:v>70</x:v>
      </x:c>
      <x:c r="R1973" t="n">
        <x:v>78.6</x:v>
      </x:c>
      <x:c r="S1973" t="n">
        <x:v>0.0992</x:v>
      </x:c>
      <x:c r="T1973" t="n">
        <x:v>19.1</x:v>
      </x:c>
      <x:c r="U1973" t="n">
        <x:v>1742.5</x:v>
      </x:c>
      <x:c r="V1973" t="n">
        <x:v>2582</x:v>
      </x:c>
      <x:c r="W1973" t="n">
        <x:v>46.9</x:v>
      </x:c>
    </x:row>
    <x:row r="1974">
      <x:c r="A1974" t="str">
        <x:v>PJT_1973</x:v>
      </x:c>
      <x:c r="B1974" t="str">
        <x:v>Marine</x:v>
      </x:c>
      <x:c r="C1974" t="n">
        <x:v>11300</x:v>
      </x:c>
      <x:c r="D1974" t="n">
        <x:v>8</x:v>
      </x:c>
      <x:c r="E1974" t="str">
        <x:v>Low</x:v>
      </x:c>
      <x:c r="F1974" t="str">
        <x:v>Residential</x:v>
      </x:c>
      <x:c r="G1974" t="str">
        <x:v>RC Frame</x:v>
      </x:c>
      <x:c r="H1974" t="str">
        <x:v>Raft</x:v>
      </x:c>
      <x:c r="I1974" t="str">
        <x:v>Mixed</x:v>
      </x:c>
      <x:c r="J1974" t="str">
        <x:v>Medium</x:v>
      </x:c>
      <x:c r="K1974" t="n">
        <x:v>15006400</x:v>
      </x:c>
      <x:c r="L1974" t="n">
        <x:v>363</x:v>
      </x:c>
      <x:c r="M1974" t="n">
        <x:v>346.8</x:v>
      </x:c>
      <x:c r="N1974" t="n">
        <x:v>14.1</x:v>
      </x:c>
      <x:c r="O1974" t="n">
        <x:v>72.4</x:v>
      </x:c>
      <x:c r="P1974" t="str">
        <x:v>Cloudy</x:v>
      </x:c>
      <x:c r="Q1974" t="n">
        <x:v>69</x:v>
      </x:c>
      <x:c r="R1974" t="n">
        <x:v>68.7</x:v>
      </x:c>
      <x:c r="S1974" t="n">
        <x:v>0.0766</x:v>
      </x:c>
      <x:c r="T1974" t="n">
        <x:v>11.4</x:v>
      </x:c>
      <x:c r="U1974" t="n">
        <x:v>1412.5</x:v>
      </x:c>
      <x:c r="V1974" t="n">
        <x:v>1328</x:v>
      </x:c>
      <x:c r="W1974" t="n">
        <x:v>32.1</x:v>
      </x:c>
    </x:row>
    <x:row r="1975">
      <x:c r="A1975" t="str">
        <x:v>PJT_1974</x:v>
      </x:c>
      <x:c r="B1975" t="str">
        <x:v>Mediterranean</x:v>
      </x:c>
      <x:c r="C1975" t="n">
        <x:v>20150</x:v>
      </x:c>
      <x:c r="D1975" t="n">
        <x:v>15</x:v>
      </x:c>
      <x:c r="E1975" t="str">
        <x:v>Medium</x:v>
      </x:c>
      <x:c r="F1975" t="str">
        <x:v>Commercial</x:v>
      </x:c>
      <x:c r="G1975" t="str">
        <x:v>Steel</x:v>
      </x:c>
      <x:c r="H1975" t="str">
        <x:v>Piles</x:v>
      </x:c>
      <x:c r="I1975" t="str">
        <x:v>Soft Clay</x:v>
      </x:c>
      <x:c r="J1975" t="str">
        <x:v>Low</x:v>
      </x:c>
      <x:c r="K1975" t="n">
        <x:v>47916700</x:v>
      </x:c>
      <x:c r="L1975" t="n">
        <x:v>975</x:v>
      </x:c>
      <x:c r="M1975" t="n">
        <x:v>159.7</x:v>
      </x:c>
      <x:c r="N1975" t="n">
        <x:v>15.2</x:v>
      </x:c>
      <x:c r="O1975" t="n">
        <x:v>76.4</x:v>
      </x:c>
      <x:c r="P1975" t="str">
        <x:v>Rainy</x:v>
      </x:c>
      <x:c r="Q1975" t="n">
        <x:v>100</x:v>
      </x:c>
      <x:c r="R1975" t="n">
        <x:v>76.7</x:v>
      </x:c>
      <x:c r="S1975" t="n">
        <x:v>0.0935</x:v>
      </x:c>
      <x:c r="T1975" t="n">
        <x:v>16.5</x:v>
      </x:c>
      <x:c r="U1975" t="n">
        <x:v>1343.3</x:v>
      </x:c>
      <x:c r="V1975" t="n">
        <x:v>2378</x:v>
      </x:c>
      <x:c r="W1975" t="n">
        <x:v>48.4</x:v>
      </x:c>
    </x:row>
    <x:row r="1976">
      <x:c r="A1976" t="str">
        <x:v>PJT_1975</x:v>
      </x:c>
      <x:c r="B1976" t="str">
        <x:v>Continental</x:v>
      </x:c>
      <x:c r="C1976" t="n">
        <x:v>9200</x:v>
      </x:c>
      <x:c r="D1976" t="n">
        <x:v>8</x:v>
      </x:c>
      <x:c r="E1976" t="str">
        <x:v>Low</x:v>
      </x:c>
      <x:c r="F1976" t="str">
        <x:v>Commercial</x:v>
      </x:c>
      <x:c r="G1976" t="str">
        <x:v>RC Frame</x:v>
      </x:c>
      <x:c r="H1976" t="str">
        <x:v>Piles</x:v>
      </x:c>
      <x:c r="I1976" t="str">
        <x:v>Soft Clay</x:v>
      </x:c>
      <x:c r="J1976" t="str">
        <x:v>Low</x:v>
      </x:c>
      <x:c r="K1976" t="n">
        <x:v>18197600</x:v>
      </x:c>
      <x:c r="L1976" t="n">
        <x:v>370</x:v>
      </x:c>
      <x:c r="M1976" t="n">
        <x:v>230.8</x:v>
      </x:c>
      <x:c r="N1976" t="n">
        <x:v>8.1</x:v>
      </x:c>
      <x:c r="O1976" t="n">
        <x:v>63.7</x:v>
      </x:c>
      <x:c r="P1976" t="str">
        <x:v>Cloudy</x:v>
      </x:c>
      <x:c r="Q1976" t="n">
        <x:v>75</x:v>
      </x:c>
      <x:c r="R1976" t="n">
        <x:v>70</x:v>
      </x:c>
      <x:c r="S1976" t="n">
        <x:v>0.0836</x:v>
      </x:c>
      <x:c r="T1976" t="n">
        <x:v>15.3</x:v>
      </x:c>
      <x:c r="U1976" t="n">
        <x:v>1150</x:v>
      </x:c>
      <x:c r="V1976" t="n">
        <x:v>1978</x:v>
      </x:c>
      <x:c r="W1976" t="n">
        <x:v>40.2</x:v>
      </x:c>
    </x:row>
    <x:row r="1977">
      <x:c r="A1977" t="str">
        <x:v>PJT_1976</x:v>
      </x:c>
      <x:c r="B1977" t="str">
        <x:v>Humid Subtropical</x:v>
      </x:c>
      <x:c r="C1977" t="n">
        <x:v>32090</x:v>
      </x:c>
      <x:c r="D1977" t="n">
        <x:v>27</x:v>
      </x:c>
      <x:c r="E1977" t="str">
        <x:v>High</x:v>
      </x:c>
      <x:c r="F1977" t="str">
        <x:v>Mixed-use</x:v>
      </x:c>
      <x:c r="G1977" t="str">
        <x:v>Steel</x:v>
      </x:c>
      <x:c r="H1977" t="str">
        <x:v>Piles</x:v>
      </x:c>
      <x:c r="I1977" t="str">
        <x:v>Sand</x:v>
      </x:c>
      <x:c r="J1977" t="str">
        <x:v>Low</x:v>
      </x:c>
      <x:c r="K1977" t="n">
        <x:v>94986400</x:v>
      </x:c>
      <x:c r="L1977" t="n">
        <x:v>1791</x:v>
      </x:c>
      <x:c r="M1977" t="n">
        <x:v>260.7</x:v>
      </x:c>
      <x:c r="N1977" t="n">
        <x:v>25.5</x:v>
      </x:c>
      <x:c r="O1977" t="n">
        <x:v>61.5</x:v>
      </x:c>
      <x:c r="P1977" t="str">
        <x:v>Sunny</x:v>
      </x:c>
      <x:c r="Q1977" t="n">
        <x:v>105</x:v>
      </x:c>
      <x:c r="R1977" t="n">
        <x:v>91.8</x:v>
      </x:c>
      <x:c r="S1977" t="n">
        <x:v>0.1071</x:v>
      </x:c>
      <x:c r="T1977" t="n">
        <x:v>20.6</x:v>
      </x:c>
      <x:c r="U1977" t="n">
        <x:v>1188.5</x:v>
      </x:c>
      <x:c r="V1977" t="n">
        <x:v>2960</x:v>
      </x:c>
      <x:c r="W1977" t="n">
        <x:v>55.8</x:v>
      </x:c>
    </x:row>
    <x:row r="1978">
      <x:c r="A1978" t="str">
        <x:v>PJT_1977</x:v>
      </x:c>
      <x:c r="B1978" t="str">
        <x:v>Mediterranean</x:v>
      </x:c>
      <x:c r="C1978" t="n">
        <x:v>27720</x:v>
      </x:c>
      <x:c r="D1978" t="n">
        <x:v>14</x:v>
      </x:c>
      <x:c r="E1978" t="str">
        <x:v>Medium</x:v>
      </x:c>
      <x:c r="F1978" t="str">
        <x:v>Commercial</x:v>
      </x:c>
      <x:c r="G1978" t="str">
        <x:v>Steel</x:v>
      </x:c>
      <x:c r="H1978" t="str">
        <x:v>Piles</x:v>
      </x:c>
      <x:c r="I1978" t="str">
        <x:v>Sand</x:v>
      </x:c>
      <x:c r="J1978" t="str">
        <x:v>Medium</x:v>
      </x:c>
      <x:c r="K1978" t="n">
        <x:v>65807280</x:v>
      </x:c>
      <x:c r="L1978" t="n">
        <x:v>1372</x:v>
      </x:c>
      <x:c r="M1978" t="n">
        <x:v>294.7</x:v>
      </x:c>
      <x:c r="N1978" t="n">
        <x:v>17.5</x:v>
      </x:c>
      <x:c r="O1978" t="n">
        <x:v>73.2</x:v>
      </x:c>
      <x:c r="P1978" t="str">
        <x:v>Rainy</x:v>
      </x:c>
      <x:c r="Q1978" t="n">
        <x:v>80</x:v>
      </x:c>
      <x:c r="R1978" t="n">
        <x:v>77.2</x:v>
      </x:c>
      <x:c r="S1978" t="n">
        <x:v>0.1009</x:v>
      </x:c>
      <x:c r="T1978" t="n">
        <x:v>16.4</x:v>
      </x:c>
      <x:c r="U1978" t="n">
        <x:v>1980</x:v>
      </x:c>
      <x:c r="V1978" t="n">
        <x:v>2374</x:v>
      </x:c>
      <x:c r="W1978" t="n">
        <x:v>49.5</x:v>
      </x:c>
    </x:row>
    <x:row r="1979">
      <x:c r="A1979" t="str">
        <x:v>PJT_1978</x:v>
      </x:c>
      <x:c r="B1979" t="str">
        <x:v>Marine</x:v>
      </x:c>
      <x:c r="C1979" t="n">
        <x:v>7980</x:v>
      </x:c>
      <x:c r="D1979" t="n">
        <x:v>4</x:v>
      </x:c>
      <x:c r="E1979" t="str">
        <x:v>Low</x:v>
      </x:c>
      <x:c r="F1979" t="str">
        <x:v>Commercial</x:v>
      </x:c>
      <x:c r="G1979" t="str">
        <x:v>RC Frame</x:v>
      </x:c>
      <x:c r="H1979" t="str">
        <x:v>Raft</x:v>
      </x:c>
      <x:c r="I1979" t="str">
        <x:v>Mixed</x:v>
      </x:c>
      <x:c r="J1979" t="str">
        <x:v>Medium</x:v>
      </x:c>
      <x:c r="K1979" t="n">
        <x:v>17204880</x:v>
      </x:c>
      <x:c r="L1979" t="n">
        <x:v>321</x:v>
      </x:c>
      <x:c r="M1979" t="n">
        <x:v>290.8</x:v>
      </x:c>
      <x:c r="N1979" t="n">
        <x:v>17.9</x:v>
      </x:c>
      <x:c r="O1979" t="n">
        <x:v>82.9</x:v>
      </x:c>
      <x:c r="P1979" t="str">
        <x:v>Stormy</x:v>
      </x:c>
      <x:c r="Q1979" t="n">
        <x:v>74</x:v>
      </x:c>
      <x:c r="R1979" t="n">
        <x:v>68.8</x:v>
      </x:c>
      <x:c r="S1979" t="n">
        <x:v>0.0865</x:v>
      </x:c>
      <x:c r="T1979" t="n">
        <x:v>14.2</x:v>
      </x:c>
      <x:c r="U1979" t="n">
        <x:v>1995</x:v>
      </x:c>
      <x:c r="V1979" t="n">
        <x:v>2156</x:v>
      </x:c>
      <x:c r="W1979" t="n">
        <x:v>40.2</x:v>
      </x:c>
    </x:row>
    <x:row r="1980">
      <x:c r="A1980" t="str">
        <x:v>PJT_1979</x:v>
      </x:c>
      <x:c r="B1980" t="str">
        <x:v>Humid Subtropical</x:v>
      </x:c>
      <x:c r="C1980" t="n">
        <x:v>12710</x:v>
      </x:c>
      <x:c r="D1980" t="n">
        <x:v>8</x:v>
      </x:c>
      <x:c r="E1980" t="str">
        <x:v>Medium</x:v>
      </x:c>
      <x:c r="F1980" t="str">
        <x:v>Mixed-use</x:v>
      </x:c>
      <x:c r="G1980" t="str">
        <x:v>RC Frame</x:v>
      </x:c>
      <x:c r="H1980" t="str">
        <x:v>Raft</x:v>
      </x:c>
      <x:c r="I1980" t="str">
        <x:v>Rock</x:v>
      </x:c>
      <x:c r="J1980" t="str">
        <x:v>High</x:v>
      </x:c>
      <x:c r="K1980" t="n">
        <x:v>32906190</x:v>
      </x:c>
      <x:c r="L1980" t="n">
        <x:v>526</x:v>
      </x:c>
      <x:c r="M1980" t="n">
        <x:v>697.6</x:v>
      </x:c>
      <x:c r="N1980" t="n">
        <x:v>34.5</x:v>
      </x:c>
      <x:c r="O1980" t="n">
        <x:v>64.6</x:v>
      </x:c>
      <x:c r="P1980" t="str">
        <x:v>Sunny</x:v>
      </x:c>
      <x:c r="Q1980" t="n">
        <x:v>84</x:v>
      </x:c>
      <x:c r="R1980" t="n">
        <x:v>75</x:v>
      </x:c>
      <x:c r="S1980" t="n">
        <x:v>0.0983</x:v>
      </x:c>
      <x:c r="T1980" t="n">
        <x:v>18.6</x:v>
      </x:c>
      <x:c r="U1980" t="n">
        <x:v>1588.8</x:v>
      </x:c>
      <x:c r="V1980" t="n">
        <x:v>2589</x:v>
      </x:c>
      <x:c r="W1980" t="n">
        <x:v>41.4</x:v>
      </x:c>
    </x:row>
    <x:row r="1981">
      <x:c r="A1981" t="str">
        <x:v>PJT_1980</x:v>
      </x:c>
      <x:c r="B1981" t="str">
        <x:v>Mediterranean</x:v>
      </x:c>
      <x:c r="C1981" t="n">
        <x:v>27380</x:v>
      </x:c>
      <x:c r="D1981" t="n">
        <x:v>17</x:v>
      </x:c>
      <x:c r="E1981" t="str">
        <x:v>Medium</x:v>
      </x:c>
      <x:c r="F1981" t="str">
        <x:v>Mixed-use</x:v>
      </x:c>
      <x:c r="G1981" t="str">
        <x:v>Steel</x:v>
      </x:c>
      <x:c r="H1981" t="str">
        <x:v>Piles</x:v>
      </x:c>
      <x:c r="I1981" t="str">
        <x:v>Soft Clay</x:v>
      </x:c>
      <x:c r="J1981" t="str">
        <x:v>Low</x:v>
      </x:c>
      <x:c r="K1981" t="n">
        <x:v>72283200</x:v>
      </x:c>
      <x:c r="L1981" t="n">
        <x:v>1446</x:v>
      </x:c>
      <x:c r="M1981" t="n">
        <x:v>208</x:v>
      </x:c>
      <x:c r="N1981" t="n">
        <x:v>9.3</x:v>
      </x:c>
      <x:c r="O1981" t="n">
        <x:v>79</x:v>
      </x:c>
      <x:c r="P1981" t="str">
        <x:v>Rainy</x:v>
      </x:c>
      <x:c r="Q1981" t="n">
        <x:v>85</x:v>
      </x:c>
      <x:c r="R1981" t="n">
        <x:v>80.2</x:v>
      </x:c>
      <x:c r="S1981" t="n">
        <x:v>0.1012</x:v>
      </x:c>
      <x:c r="T1981" t="n">
        <x:v>18.7</x:v>
      </x:c>
      <x:c r="U1981" t="n">
        <x:v>1610.6</x:v>
      </x:c>
      <x:c r="V1981" t="n">
        <x:v>2640</x:v>
      </x:c>
      <x:c r="W1981" t="n">
        <x:v>52.8</x:v>
      </x:c>
    </x:row>
    <x:row r="1982">
      <x:c r="A1982" t="str">
        <x:v>PJT_1981</x:v>
      </x:c>
      <x:c r="B1982" t="str">
        <x:v>Humid Subtropical</x:v>
      </x:c>
      <x:c r="C1982" t="n">
        <x:v>16500</x:v>
      </x:c>
      <x:c r="D1982" t="n">
        <x:v>12</x:v>
      </x:c>
      <x:c r="E1982" t="str">
        <x:v>Medium</x:v>
      </x:c>
      <x:c r="F1982" t="str">
        <x:v>Commercial</x:v>
      </x:c>
      <x:c r="G1982" t="str">
        <x:v>Steel</x:v>
      </x:c>
      <x:c r="H1982" t="str">
        <x:v>Piles</x:v>
      </x:c>
      <x:c r="I1982" t="str">
        <x:v>Soft Clay</x:v>
      </x:c>
      <x:c r="J1982" t="str">
        <x:v>Medium</x:v>
      </x:c>
      <x:c r="K1982" t="n">
        <x:v>39501000</x:v>
      </x:c>
      <x:c r="L1982" t="n">
        <x:v>733</x:v>
      </x:c>
      <x:c r="M1982" t="n">
        <x:v>166</x:v>
      </x:c>
      <x:c r="N1982" t="n">
        <x:v>34.2</x:v>
      </x:c>
      <x:c r="O1982" t="n">
        <x:v>53.9</x:v>
      </x:c>
      <x:c r="P1982" t="str">
        <x:v>Sunny</x:v>
      </x:c>
      <x:c r="Q1982" t="n">
        <x:v>102</x:v>
      </x:c>
      <x:c r="R1982" t="n">
        <x:v>77.1</x:v>
      </x:c>
      <x:c r="S1982" t="n">
        <x:v>0.0965</x:v>
      </x:c>
      <x:c r="T1982" t="n">
        <x:v>17.4</x:v>
      </x:c>
      <x:c r="U1982" t="n">
        <x:v>1375</x:v>
      </x:c>
      <x:c r="V1982" t="n">
        <x:v>2394</x:v>
      </x:c>
      <x:c r="W1982" t="n">
        <x:v>44.4</x:v>
      </x:c>
    </x:row>
    <x:row r="1983">
      <x:c r="A1983" t="str">
        <x:v>PJT_1982</x:v>
      </x:c>
      <x:c r="B1983" t="str">
        <x:v>Humid Subtropical</x:v>
      </x:c>
      <x:c r="C1983" t="n">
        <x:v>19190</x:v>
      </x:c>
      <x:c r="D1983" t="n">
        <x:v>11</x:v>
      </x:c>
      <x:c r="E1983" t="str">
        <x:v>Medium</x:v>
      </x:c>
      <x:c r="F1983" t="str">
        <x:v>Commercial</x:v>
      </x:c>
      <x:c r="G1983" t="str">
        <x:v>RC Frame</x:v>
      </x:c>
      <x:c r="H1983" t="str">
        <x:v>Raft</x:v>
      </x:c>
      <x:c r="I1983" t="str">
        <x:v>Rock</x:v>
      </x:c>
      <x:c r="J1983" t="str">
        <x:v>Low</x:v>
      </x:c>
      <x:c r="K1983" t="n">
        <x:v>41507970</x:v>
      </x:c>
      <x:c r="L1983" t="n">
        <x:v>766</x:v>
      </x:c>
      <x:c r="M1983" t="n">
        <x:v>632.7</x:v>
      </x:c>
      <x:c r="N1983" t="n">
        <x:v>32.1</x:v>
      </x:c>
      <x:c r="O1983" t="n">
        <x:v>69.4</x:v>
      </x:c>
      <x:c r="P1983" t="str">
        <x:v>Sunny</x:v>
      </x:c>
      <x:c r="Q1983" t="n">
        <x:v>73</x:v>
      </x:c>
      <x:c r="R1983" t="n">
        <x:v>75.8</x:v>
      </x:c>
      <x:c r="S1983" t="n">
        <x:v>0.093</x:v>
      </x:c>
      <x:c r="T1983" t="n">
        <x:v>16.5</x:v>
      </x:c>
      <x:c r="U1983" t="n">
        <x:v>1744.5</x:v>
      </x:c>
      <x:c r="V1983" t="n">
        <x:v>2163</x:v>
      </x:c>
      <x:c r="W1983" t="n">
        <x:v>39.9</x:v>
      </x:c>
    </x:row>
    <x:row r="1984">
      <x:c r="A1984" t="str">
        <x:v>PJT_1983</x:v>
      </x:c>
      <x:c r="B1984" t="str">
        <x:v>Continental</x:v>
      </x:c>
      <x:c r="C1984" t="n">
        <x:v>24080</x:v>
      </x:c>
      <x:c r="D1984" t="n">
        <x:v>11</x:v>
      </x:c>
      <x:c r="E1984" t="str">
        <x:v>Medium</x:v>
      </x:c>
      <x:c r="F1984" t="str">
        <x:v>Commercial</x:v>
      </x:c>
      <x:c r="G1984" t="str">
        <x:v>Steel</x:v>
      </x:c>
      <x:c r="H1984" t="str">
        <x:v>Piles</x:v>
      </x:c>
      <x:c r="I1984" t="str">
        <x:v>Soft Clay</x:v>
      </x:c>
      <x:c r="J1984" t="str">
        <x:v>Low</x:v>
      </x:c>
      <x:c r="K1984" t="n">
        <x:v>56034160</x:v>
      </x:c>
      <x:c r="L1984" t="n">
        <x:v>1055</x:v>
      </x:c>
      <x:c r="M1984" t="n">
        <x:v>221.5</x:v>
      </x:c>
      <x:c r="N1984" t="n">
        <x:v>8.8</x:v>
      </x:c>
      <x:c r="O1984" t="n">
        <x:v>51.4</x:v>
      </x:c>
      <x:c r="P1984" t="str">
        <x:v>Sunny</x:v>
      </x:c>
      <x:c r="Q1984" t="n">
        <x:v>82</x:v>
      </x:c>
      <x:c r="R1984" t="n">
        <x:v>75.3</x:v>
      </x:c>
      <x:c r="S1984" t="n">
        <x:v>0.0971</x:v>
      </x:c>
      <x:c r="T1984" t="n">
        <x:v>17.2</x:v>
      </x:c>
      <x:c r="U1984" t="n">
        <x:v>2189.1</x:v>
      </x:c>
      <x:c r="V1984" t="n">
        <x:v>2327</x:v>
      </x:c>
      <x:c r="W1984" t="n">
        <x:v>43.8</x:v>
      </x:c>
    </x:row>
    <x:row r="1985">
      <x:c r="A1985" t="str">
        <x:v>PJT_1984</x:v>
      </x:c>
      <x:c r="B1985" t="str">
        <x:v>Marine</x:v>
      </x:c>
      <x:c r="C1985" t="n">
        <x:v>16880</x:v>
      </x:c>
      <x:c r="D1985" t="n">
        <x:v>18</x:v>
      </x:c>
      <x:c r="E1985" t="str">
        <x:v>Medium</x:v>
      </x:c>
      <x:c r="F1985" t="str">
        <x:v>Commercial</x:v>
      </x:c>
      <x:c r="G1985" t="str">
        <x:v>Steel</x:v>
      </x:c>
      <x:c r="H1985" t="str">
        <x:v>Piles</x:v>
      </x:c>
      <x:c r="I1985" t="str">
        <x:v>Mixed</x:v>
      </x:c>
      <x:c r="J1985" t="str">
        <x:v>Low</x:v>
      </x:c>
      <x:c r="K1985" t="n">
        <x:v>42486960</x:v>
      </x:c>
      <x:c r="L1985" t="n">
        <x:v>805</x:v>
      </x:c>
      <x:c r="M1985" t="n">
        <x:v>289.8</x:v>
      </x:c>
      <x:c r="N1985" t="n">
        <x:v>15.2</x:v>
      </x:c>
      <x:c r="O1985" t="n">
        <x:v>85.6</x:v>
      </x:c>
      <x:c r="P1985" t="str">
        <x:v>Rainy</x:v>
      </x:c>
      <x:c r="Q1985" t="n">
        <x:v>75</x:v>
      </x:c>
      <x:c r="R1985" t="n">
        <x:v>76.8</x:v>
      </x:c>
      <x:c r="S1985" t="n">
        <x:v>0.0983</x:v>
      </x:c>
      <x:c r="T1985" t="n">
        <x:v>17.6</x:v>
      </x:c>
      <x:c r="U1985" t="n">
        <x:v>937.8</x:v>
      </x:c>
      <x:c r="V1985" t="n">
        <x:v>2517</x:v>
      </x:c>
      <x:c r="W1985" t="n">
        <x:v>47.7</x:v>
      </x:c>
    </x:row>
    <x:row r="1986">
      <x:c r="A1986" t="str">
        <x:v>PJT_1985</x:v>
      </x:c>
      <x:c r="B1986" t="str">
        <x:v>Humid Subtropical</x:v>
      </x:c>
      <x:c r="C1986" t="n">
        <x:v>19490</x:v>
      </x:c>
      <x:c r="D1986" t="n">
        <x:v>18</x:v>
      </x:c>
      <x:c r="E1986" t="str">
        <x:v>Medium</x:v>
      </x:c>
      <x:c r="F1986" t="str">
        <x:v>Commercial</x:v>
      </x:c>
      <x:c r="G1986" t="str">
        <x:v>Steel</x:v>
      </x:c>
      <x:c r="H1986" t="str">
        <x:v>Piles</x:v>
      </x:c>
      <x:c r="I1986" t="str">
        <x:v>Rock</x:v>
      </x:c>
      <x:c r="J1986" t="str">
        <x:v>Medium</x:v>
      </x:c>
      <x:c r="K1986" t="n">
        <x:v>51122270</x:v>
      </x:c>
      <x:c r="L1986" t="n">
        <x:v>902</x:v>
      </x:c>
      <x:c r="M1986" t="n">
        <x:v>846.3</x:v>
      </x:c>
      <x:c r="N1986" t="n">
        <x:v>25.8</x:v>
      </x:c>
      <x:c r="O1986" t="n">
        <x:v>67</x:v>
      </x:c>
      <x:c r="P1986" t="str">
        <x:v>Cloudy</x:v>
      </x:c>
      <x:c r="Q1986" t="n">
        <x:v>78</x:v>
      </x:c>
      <x:c r="R1986" t="n">
        <x:v>81.8</x:v>
      </x:c>
      <x:c r="S1986" t="n">
        <x:v>0.0994</x:v>
      </x:c>
      <x:c r="T1986" t="n">
        <x:v>17.2</x:v>
      </x:c>
      <x:c r="U1986" t="n">
        <x:v>1082.8</x:v>
      </x:c>
      <x:c r="V1986" t="n">
        <x:v>2623</x:v>
      </x:c>
      <x:c r="W1986" t="n">
        <x:v>46.3</x:v>
      </x:c>
    </x:row>
    <x:row r="1987">
      <x:c r="A1987" t="str">
        <x:v>PJT_1986</x:v>
      </x:c>
      <x:c r="B1987" t="str">
        <x:v>Marine</x:v>
      </x:c>
      <x:c r="C1987" t="n">
        <x:v>14190</x:v>
      </x:c>
      <x:c r="D1987" t="n">
        <x:v>21</x:v>
      </x:c>
      <x:c r="E1987" t="str">
        <x:v>Medium</x:v>
      </x:c>
      <x:c r="F1987" t="str">
        <x:v>Residential</x:v>
      </x:c>
      <x:c r="G1987" t="str">
        <x:v>RC Frame</x:v>
      </x:c>
      <x:c r="H1987" t="str">
        <x:v>Piles</x:v>
      </x:c>
      <x:c r="I1987" t="str">
        <x:v>Rock</x:v>
      </x:c>
      <x:c r="J1987" t="str">
        <x:v>Low</x:v>
      </x:c>
      <x:c r="K1987" t="n">
        <x:v>22476960</x:v>
      </x:c>
      <x:c r="L1987" t="n">
        <x:v>565</x:v>
      </x:c>
      <x:c r="M1987" t="n">
        <x:v>835.3</x:v>
      </x:c>
      <x:c r="N1987" t="n">
        <x:v>13</x:v>
      </x:c>
      <x:c r="O1987" t="n">
        <x:v>67.9</x:v>
      </x:c>
      <x:c r="P1987" t="str">
        <x:v>Cloudy</x:v>
      </x:c>
      <x:c r="Q1987" t="n">
        <x:v>87</x:v>
      </x:c>
      <x:c r="R1987" t="n">
        <x:v>80.6</x:v>
      </x:c>
      <x:c r="S1987" t="n">
        <x:v>0.0785</x:v>
      </x:c>
      <x:c r="T1987" t="n">
        <x:v>12.8</x:v>
      </x:c>
      <x:c r="U1987" t="n">
        <x:v>675.7</x:v>
      </x:c>
      <x:c r="V1987" t="n">
        <x:v>1584</x:v>
      </x:c>
      <x:c r="W1987" t="n">
        <x:v>39.8</x:v>
      </x:c>
    </x:row>
    <x:row r="1988">
      <x:c r="A1988" t="str">
        <x:v>PJT_1987</x:v>
      </x:c>
      <x:c r="B1988" t="str">
        <x:v>Mediterranean</x:v>
      </x:c>
      <x:c r="C1988" t="n">
        <x:v>13690</x:v>
      </x:c>
      <x:c r="D1988" t="n">
        <x:v>14</x:v>
      </x:c>
      <x:c r="E1988" t="str">
        <x:v>Medium</x:v>
      </x:c>
      <x:c r="F1988" t="str">
        <x:v>Residential</x:v>
      </x:c>
      <x:c r="G1988" t="str">
        <x:v>Shear Wall</x:v>
      </x:c>
      <x:c r="H1988" t="str">
        <x:v>Piles</x:v>
      </x:c>
      <x:c r="I1988" t="str">
        <x:v>Sand</x:v>
      </x:c>
      <x:c r="J1988" t="str">
        <x:v>Medium</x:v>
      </x:c>
      <x:c r="K1988" t="n">
        <x:v>23793220</x:v>
      </x:c>
      <x:c r="L1988" t="n">
        <x:v>490</x:v>
      </x:c>
      <x:c r="M1988" t="n">
        <x:v>309.5</x:v>
      </x:c>
      <x:c r="N1988" t="n">
        <x:v>25.9</x:v>
      </x:c>
      <x:c r="O1988" t="n">
        <x:v>55.4</x:v>
      </x:c>
      <x:c r="P1988" t="str">
        <x:v>Sunny</x:v>
      </x:c>
      <x:c r="Q1988" t="n">
        <x:v>57</x:v>
      </x:c>
      <x:c r="R1988" t="n">
        <x:v>72.9</x:v>
      </x:c>
      <x:c r="S1988" t="n">
        <x:v>0.085</x:v>
      </x:c>
      <x:c r="T1988" t="n">
        <x:v>13.8</x:v>
      </x:c>
      <x:c r="U1988" t="n">
        <x:v>977.9</x:v>
      </x:c>
      <x:c r="V1988" t="n">
        <x:v>1738</x:v>
      </x:c>
      <x:c r="W1988" t="n">
        <x:v>35.8</x:v>
      </x:c>
    </x:row>
    <x:row r="1989">
      <x:c r="A1989" t="str">
        <x:v>PJT_1988</x:v>
      </x:c>
      <x:c r="B1989" t="str">
        <x:v>Continental</x:v>
      </x:c>
      <x:c r="C1989" t="n">
        <x:v>37330</x:v>
      </x:c>
      <x:c r="D1989" t="n">
        <x:v>25</x:v>
      </x:c>
      <x:c r="E1989" t="str">
        <x:v>High</x:v>
      </x:c>
      <x:c r="F1989" t="str">
        <x:v>Mixed-use</x:v>
      </x:c>
      <x:c r="G1989" t="str">
        <x:v>Steel</x:v>
      </x:c>
      <x:c r="H1989" t="str">
        <x:v>Piles</x:v>
      </x:c>
      <x:c r="I1989" t="str">
        <x:v>Soft Clay</x:v>
      </x:c>
      <x:c r="J1989" t="str">
        <x:v>Low</x:v>
      </x:c>
      <x:c r="K1989" t="n">
        <x:v>105382590</x:v>
      </x:c>
      <x:c r="L1989" t="n">
        <x:v>2038</x:v>
      </x:c>
      <x:c r="M1989" t="n">
        <x:v>217</x:v>
      </x:c>
      <x:c r="N1989" t="n">
        <x:v>10</x:v>
      </x:c>
      <x:c r="O1989" t="n">
        <x:v>43</x:v>
      </x:c>
      <x:c r="P1989" t="str">
        <x:v>Sunny</x:v>
      </x:c>
      <x:c r="Q1989" t="n">
        <x:v>80</x:v>
      </x:c>
      <x:c r="R1989" t="n">
        <x:v>86.8</x:v>
      </x:c>
      <x:c r="S1989" t="n">
        <x:v>0.1071</x:v>
      </x:c>
      <x:c r="T1989" t="n">
        <x:v>20.8</x:v>
      </x:c>
      <x:c r="U1989" t="n">
        <x:v>1493.2</x:v>
      </x:c>
      <x:c r="V1989" t="n">
        <x:v>2823</x:v>
      </x:c>
      <x:c r="W1989" t="n">
        <x:v>54.6</x:v>
      </x:c>
    </x:row>
    <x:row r="1990">
      <x:c r="A1990" t="str">
        <x:v>PJT_1989</x:v>
      </x:c>
      <x:c r="B1990" t="str">
        <x:v>Continental</x:v>
      </x:c>
      <x:c r="C1990" t="n">
        <x:v>27630</x:v>
      </x:c>
      <x:c r="D1990" t="n">
        <x:v>20</x:v>
      </x:c>
      <x:c r="E1990" t="str">
        <x:v>High</x:v>
      </x:c>
      <x:c r="F1990" t="str">
        <x:v>Mixed-use</x:v>
      </x:c>
      <x:c r="G1990" t="str">
        <x:v>Steel</x:v>
      </x:c>
      <x:c r="H1990" t="str">
        <x:v>Piles</x:v>
      </x:c>
      <x:c r="I1990" t="str">
        <x:v>Mixed</x:v>
      </x:c>
      <x:c r="J1990" t="str">
        <x:v>High</x:v>
      </x:c>
      <x:c r="K1990" t="n">
        <x:v>83111040</x:v>
      </x:c>
      <x:c r="L1990" t="n">
        <x:v>1603</x:v>
      </x:c>
      <x:c r="M1990" t="n">
        <x:v>415.6</x:v>
      </x:c>
      <x:c r="N1990" t="n">
        <x:v>17.3</x:v>
      </x:c>
      <x:c r="O1990" t="n">
        <x:v>84.3</x:v>
      </x:c>
      <x:c r="P1990" t="str">
        <x:v>Stormy</x:v>
      </x:c>
      <x:c r="Q1990" t="n">
        <x:v>88</x:v>
      </x:c>
      <x:c r="R1990" t="n">
        <x:v>83.6</x:v>
      </x:c>
      <x:c r="S1990" t="n">
        <x:v>0.1083</x:v>
      </x:c>
      <x:c r="T1990" t="n">
        <x:v>19.3</x:v>
      </x:c>
      <x:c r="U1990" t="n">
        <x:v>1381.5</x:v>
      </x:c>
      <x:c r="V1990" t="n">
        <x:v>3008</x:v>
      </x:c>
      <x:c r="W1990" t="n">
        <x:v>58</x:v>
      </x:c>
    </x:row>
    <x:row r="1991">
      <x:c r="A1991" t="str">
        <x:v>PJT_1990</x:v>
      </x:c>
      <x:c r="B1991" t="str">
        <x:v>Marine</x:v>
      </x:c>
      <x:c r="C1991" t="n">
        <x:v>6780</x:v>
      </x:c>
      <x:c r="D1991" t="n">
        <x:v>8</x:v>
      </x:c>
      <x:c r="E1991" t="str">
        <x:v>Low</x:v>
      </x:c>
      <x:c r="F1991" t="str">
        <x:v>Residential</x:v>
      </x:c>
      <x:c r="G1991" t="str">
        <x:v>RC Frame</x:v>
      </x:c>
      <x:c r="H1991" t="str">
        <x:v>Raft</x:v>
      </x:c>
      <x:c r="I1991" t="str">
        <x:v>Mixed</x:v>
      </x:c>
      <x:c r="J1991" t="str">
        <x:v>Low</x:v>
      </x:c>
      <x:c r="K1991" t="n">
        <x:v>8685180</x:v>
      </x:c>
      <x:c r="L1991" t="n">
        <x:v>196</x:v>
      </x:c>
      <x:c r="M1991" t="n">
        <x:v>333.3</x:v>
      </x:c>
      <x:c r="N1991" t="n">
        <x:v>15.5</x:v>
      </x:c>
      <x:c r="O1991" t="n">
        <x:v>60.8</x:v>
      </x:c>
      <x:c r="P1991" t="str">
        <x:v>Sunny</x:v>
      </x:c>
      <x:c r="Q1991" t="n">
        <x:v>54</x:v>
      </x:c>
      <x:c r="R1991" t="n">
        <x:v>62.5</x:v>
      </x:c>
      <x:c r="S1991" t="n">
        <x:v>0.0727</x:v>
      </x:c>
      <x:c r="T1991" t="n">
        <x:v>12.9</x:v>
      </x:c>
      <x:c r="U1991" t="n">
        <x:v>847.5</x:v>
      </x:c>
      <x:c r="V1991" t="n">
        <x:v>1281</x:v>
      </x:c>
      <x:c r="W1991" t="n">
        <x:v>28.9</x:v>
      </x:c>
    </x:row>
    <x:row r="1992">
      <x:c r="A1992" t="str">
        <x:v>PJT_1991</x:v>
      </x:c>
      <x:c r="B1992" t="str">
        <x:v>Mediterranean</x:v>
      </x:c>
      <x:c r="C1992" t="n">
        <x:v>12420</x:v>
      </x:c>
      <x:c r="D1992" t="n">
        <x:v>7</x:v>
      </x:c>
      <x:c r="E1992" t="str">
        <x:v>Medium</x:v>
      </x:c>
      <x:c r="F1992" t="str">
        <x:v>Mixed-use</x:v>
      </x:c>
      <x:c r="G1992" t="str">
        <x:v>RC Frame</x:v>
      </x:c>
      <x:c r="H1992" t="str">
        <x:v>Raft</x:v>
      </x:c>
      <x:c r="I1992" t="str">
        <x:v>Mixed</x:v>
      </x:c>
      <x:c r="J1992" t="str">
        <x:v>High</x:v>
      </x:c>
      <x:c r="K1992" t="n">
        <x:v>30739500</x:v>
      </x:c>
      <x:c r="L1992" t="n">
        <x:v>597</x:v>
      </x:c>
      <x:c r="M1992" t="n">
        <x:v>304.5</x:v>
      </x:c>
      <x:c r="N1992" t="n">
        <x:v>-0.6</x:v>
      </x:c>
      <x:c r="O1992" t="n">
        <x:v>80.6</x:v>
      </x:c>
      <x:c r="P1992" t="str">
        <x:v>Snowy</x:v>
      </x:c>
      <x:c r="Q1992" t="n">
        <x:v>67</x:v>
      </x:c>
      <x:c r="R1992" t="n">
        <x:v>82.7</x:v>
      </x:c>
      <x:c r="S1992" t="n">
        <x:v>0.0996</x:v>
      </x:c>
      <x:c r="T1992" t="n">
        <x:v>18.4</x:v>
      </x:c>
      <x:c r="U1992" t="n">
        <x:v>1774.3</x:v>
      </x:c>
      <x:c r="V1992" t="n">
        <x:v>2475</x:v>
      </x:c>
      <x:c r="W1992" t="n">
        <x:v>48.1</x:v>
      </x:c>
    </x:row>
    <x:row r="1993">
      <x:c r="A1993" t="str">
        <x:v>PJT_1992</x:v>
      </x:c>
      <x:c r="B1993" t="str">
        <x:v>Continental</x:v>
      </x:c>
      <x:c r="C1993" t="n">
        <x:v>11320</x:v>
      </x:c>
      <x:c r="D1993" t="n">
        <x:v>13</x:v>
      </x:c>
      <x:c r="E1993" t="str">
        <x:v>Medium</x:v>
      </x:c>
      <x:c r="F1993" t="str">
        <x:v>Residential</x:v>
      </x:c>
      <x:c r="G1993" t="str">
        <x:v>RC Frame</x:v>
      </x:c>
      <x:c r="H1993" t="str">
        <x:v>Raft</x:v>
      </x:c>
      <x:c r="I1993" t="str">
        <x:v>Mixed</x:v>
      </x:c>
      <x:c r="J1993" t="str">
        <x:v>Medium</x:v>
      </x:c>
      <x:c r="K1993" t="n">
        <x:v>17263000</x:v>
      </x:c>
      <x:c r="L1993" t="n">
        <x:v>424</x:v>
      </x:c>
      <x:c r="M1993" t="n">
        <x:v>321.2</x:v>
      </x:c>
      <x:c r="N1993" t="n">
        <x:v>1</x:v>
      </x:c>
      <x:c r="O1993" t="n">
        <x:v>65.1</x:v>
      </x:c>
      <x:c r="P1993" t="str">
        <x:v>Snowy</x:v>
      </x:c>
      <x:c r="Q1993" t="n">
        <x:v>70</x:v>
      </x:c>
      <x:c r="R1993" t="n">
        <x:v>75.5</x:v>
      </x:c>
      <x:c r="S1993" t="n">
        <x:v>0.075</x:v>
      </x:c>
      <x:c r="T1993" t="n">
        <x:v>13.6</x:v>
      </x:c>
      <x:c r="U1993" t="n">
        <x:v>870.8</x:v>
      </x:c>
      <x:c r="V1993" t="n">
        <x:v>1525</x:v>
      </x:c>
      <x:c r="W1993" t="n">
        <x:v>37.5</x:v>
      </x:c>
    </x:row>
    <x:row r="1994">
      <x:c r="A1994" t="str">
        <x:v>PJT_1993</x:v>
      </x:c>
      <x:c r="B1994" t="str">
        <x:v>Humid Subtropical</x:v>
      </x:c>
      <x:c r="C1994" t="n">
        <x:v>5010</x:v>
      </x:c>
      <x:c r="D1994" t="n">
        <x:v>3</x:v>
      </x:c>
      <x:c r="E1994" t="str">
        <x:v>Low</x:v>
      </x:c>
      <x:c r="F1994" t="str">
        <x:v>School</x:v>
      </x:c>
      <x:c r="G1994" t="str">
        <x:v>RC Frame</x:v>
      </x:c>
      <x:c r="H1994" t="str">
        <x:v>Raft</x:v>
      </x:c>
      <x:c r="I1994" t="str">
        <x:v>Soft Clay</x:v>
      </x:c>
      <x:c r="J1994" t="str">
        <x:v>Low</x:v>
      </x:c>
      <x:c r="K1994" t="n">
        <x:v>8241450</x:v>
      </x:c>
      <x:c r="L1994" t="n">
        <x:v>180</x:v>
      </x:c>
      <x:c r="M1994" t="n">
        <x:v>189.3</x:v>
      </x:c>
      <x:c r="N1994" t="n">
        <x:v>26.6</x:v>
      </x:c>
      <x:c r="O1994" t="n">
        <x:v>84.1</x:v>
      </x:c>
      <x:c r="P1994" t="str">
        <x:v>Rainy</x:v>
      </x:c>
      <x:c r="Q1994" t="n">
        <x:v>78</x:v>
      </x:c>
      <x:c r="R1994" t="n">
        <x:v>61.5</x:v>
      </x:c>
      <x:c r="S1994" t="n">
        <x:v>0.0786</x:v>
      </x:c>
      <x:c r="T1994" t="n">
        <x:v>12.5</x:v>
      </x:c>
      <x:c r="U1994" t="n">
        <x:v>1670</x:v>
      </x:c>
      <x:c r="V1994" t="n">
        <x:v>1645</x:v>
      </x:c>
      <x:c r="W1994" t="n">
        <x:v>29.4</x:v>
      </x:c>
    </x:row>
    <x:row r="1995">
      <x:c r="A1995" t="str">
        <x:v>PJT_1994</x:v>
      </x:c>
      <x:c r="B1995" t="str">
        <x:v>Marine</x:v>
      </x:c>
      <x:c r="C1995" t="n">
        <x:v>25580</x:v>
      </x:c>
      <x:c r="D1995" t="n">
        <x:v>15</x:v>
      </x:c>
      <x:c r="E1995" t="str">
        <x:v>Medium</x:v>
      </x:c>
      <x:c r="F1995" t="str">
        <x:v>Hospital</x:v>
      </x:c>
      <x:c r="G1995" t="str">
        <x:v>Shear Wall</x:v>
      </x:c>
      <x:c r="H1995" t="str">
        <x:v>Raft</x:v>
      </x:c>
      <x:c r="I1995" t="str">
        <x:v>Rock</x:v>
      </x:c>
      <x:c r="J1995" t="str">
        <x:v>High</x:v>
      </x:c>
      <x:c r="K1995" t="n">
        <x:v>79298000</x:v>
      </x:c>
      <x:c r="L1995" t="n">
        <x:v>1225</x:v>
      </x:c>
      <x:c r="M1995" t="n">
        <x:v>701.5</x:v>
      </x:c>
      <x:c r="N1995" t="n">
        <x:v>10.3</x:v>
      </x:c>
      <x:c r="O1995" t="n">
        <x:v>65.1</x:v>
      </x:c>
      <x:c r="P1995" t="str">
        <x:v>Cloudy</x:v>
      </x:c>
      <x:c r="Q1995" t="n">
        <x:v>75</x:v>
      </x:c>
      <x:c r="R1995" t="n">
        <x:v>80.5</x:v>
      </x:c>
      <x:c r="S1995" t="n">
        <x:v>0.1127</x:v>
      </x:c>
      <x:c r="T1995" t="n">
        <x:v>21.7</x:v>
      </x:c>
      <x:c r="U1995" t="n">
        <x:v>1705.3</x:v>
      </x:c>
      <x:c r="V1995" t="n">
        <x:v>3100</x:v>
      </x:c>
      <x:c r="W1995" t="n">
        <x:v>47.9</x:v>
      </x:c>
    </x:row>
    <x:row r="1996">
      <x:c r="A1996" t="str">
        <x:v>PJT_1995</x:v>
      </x:c>
      <x:c r="B1996" t="str">
        <x:v>Mediterranean</x:v>
      </x:c>
      <x:c r="C1996" t="n">
        <x:v>30040</x:v>
      </x:c>
      <x:c r="D1996" t="n">
        <x:v>21</x:v>
      </x:c>
      <x:c r="E1996" t="str">
        <x:v>High</x:v>
      </x:c>
      <x:c r="F1996" t="str">
        <x:v>Mixed-use</x:v>
      </x:c>
      <x:c r="G1996" t="str">
        <x:v>Steel</x:v>
      </x:c>
      <x:c r="H1996" t="str">
        <x:v>Piles</x:v>
      </x:c>
      <x:c r="I1996" t="str">
        <x:v>Soft Clay</x:v>
      </x:c>
      <x:c r="J1996" t="str">
        <x:v>Medium</x:v>
      </x:c>
      <x:c r="K1996" t="n">
        <x:v>88738160</x:v>
      </x:c>
      <x:c r="L1996" t="n">
        <x:v>1739</x:v>
      </x:c>
      <x:c r="M1996" t="n">
        <x:v>190.7</x:v>
      </x:c>
      <x:c r="N1996" t="n">
        <x:v>11.6</x:v>
      </x:c>
      <x:c r="O1996" t="n">
        <x:v>82.7</x:v>
      </x:c>
      <x:c r="P1996" t="str">
        <x:v>Stormy</x:v>
      </x:c>
      <x:c r="Q1996" t="n">
        <x:v>81</x:v>
      </x:c>
      <x:c r="R1996" t="n">
        <x:v>86.2</x:v>
      </x:c>
      <x:c r="S1996" t="n">
        <x:v>0.1107</x:v>
      </x:c>
      <x:c r="T1996" t="n">
        <x:v>19.9</x:v>
      </x:c>
      <x:c r="U1996" t="n">
        <x:v>1430.5</x:v>
      </x:c>
      <x:c r="V1996" t="n">
        <x:v>2954</x:v>
      </x:c>
      <x:c r="W1996" t="n">
        <x:v>57.9</x:v>
      </x:c>
    </x:row>
    <x:row r="1997">
      <x:c r="A1997" t="str">
        <x:v>PJT_1996</x:v>
      </x:c>
      <x:c r="B1997" t="str">
        <x:v>Mediterranean</x:v>
      </x:c>
      <x:c r="C1997" t="n">
        <x:v>15870</x:v>
      </x:c>
      <x:c r="D1997" t="n">
        <x:v>11</x:v>
      </x:c>
      <x:c r="E1997" t="str">
        <x:v>Medium</x:v>
      </x:c>
      <x:c r="F1997" t="str">
        <x:v>Mixed-use</x:v>
      </x:c>
      <x:c r="G1997" t="str">
        <x:v>Shear Wall</x:v>
      </x:c>
      <x:c r="H1997" t="str">
        <x:v>Raft</x:v>
      </x:c>
      <x:c r="I1997" t="str">
        <x:v>Rock</x:v>
      </x:c>
      <x:c r="J1997" t="str">
        <x:v>High</x:v>
      </x:c>
      <x:c r="K1997" t="n">
        <x:v>39500430</x:v>
      </x:c>
      <x:c r="L1997" t="n">
        <x:v>694</x:v>
      </x:c>
      <x:c r="M1997" t="n">
        <x:v>629</x:v>
      </x:c>
      <x:c r="N1997" t="n">
        <x:v>27.7</x:v>
      </x:c>
      <x:c r="O1997" t="n">
        <x:v>44.1</x:v>
      </x:c>
      <x:c r="P1997" t="str">
        <x:v>Sunny</x:v>
      </x:c>
      <x:c r="Q1997" t="n">
        <x:v>90</x:v>
      </x:c>
      <x:c r="R1997" t="n">
        <x:v>80.5</x:v>
      </x:c>
      <x:c r="S1997" t="n">
        <x:v>0.1006</x:v>
      </x:c>
      <x:c r="T1997" t="n">
        <x:v>18.8</x:v>
      </x:c>
      <x:c r="U1997" t="n">
        <x:v>1442.7</x:v>
      </x:c>
      <x:c r="V1997" t="n">
        <x:v>2489</x:v>
      </x:c>
      <x:c r="W1997" t="n">
        <x:v>43.7</x:v>
      </x:c>
    </x:row>
    <x:row r="1998">
      <x:c r="A1998" t="str">
        <x:v>PJT_1997</x:v>
      </x:c>
      <x:c r="B1998" t="str">
        <x:v>Continental</x:v>
      </x:c>
      <x:c r="C1998" t="n">
        <x:v>10150</x:v>
      </x:c>
      <x:c r="D1998" t="n">
        <x:v>12</x:v>
      </x:c>
      <x:c r="E1998" t="str">
        <x:v>Low</x:v>
      </x:c>
      <x:c r="F1998" t="str">
        <x:v>Residential</x:v>
      </x:c>
      <x:c r="G1998" t="str">
        <x:v>RC Frame</x:v>
      </x:c>
      <x:c r="H1998" t="str">
        <x:v>Raft</x:v>
      </x:c>
      <x:c r="I1998" t="str">
        <x:v>Rock</x:v>
      </x:c>
      <x:c r="J1998" t="str">
        <x:v>Low</x:v>
      </x:c>
      <x:c r="K1998" t="n">
        <x:v>12403300</x:v>
      </x:c>
      <x:c r="L1998" t="n">
        <x:v>340</x:v>
      </x:c>
      <x:c r="M1998" t="n">
        <x:v>774.4</x:v>
      </x:c>
      <x:c r="N1998" t="n">
        <x:v>9.6</x:v>
      </x:c>
      <x:c r="O1998" t="n">
        <x:v>68.8</x:v>
      </x:c>
      <x:c r="P1998" t="str">
        <x:v>Cloudy</x:v>
      </x:c>
      <x:c r="Q1998" t="n">
        <x:v>65</x:v>
      </x:c>
      <x:c r="R1998" t="n">
        <x:v>69.9</x:v>
      </x:c>
      <x:c r="S1998" t="n">
        <x:v>0.0721</x:v>
      </x:c>
      <x:c r="T1998" t="n">
        <x:v>11</x:v>
      </x:c>
      <x:c r="U1998" t="n">
        <x:v>845.8</x:v>
      </x:c>
      <x:c r="V1998" t="n">
        <x:v>1222</x:v>
      </x:c>
      <x:c r="W1998" t="n">
        <x:v>33.5</x:v>
      </x:c>
    </x:row>
    <x:row r="1999">
      <x:c r="A1999" t="str">
        <x:v>PJT_1998</x:v>
      </x:c>
      <x:c r="B1999" t="str">
        <x:v>Mediterranean</x:v>
      </x:c>
      <x:c r="C1999" t="n">
        <x:v>8890</x:v>
      </x:c>
      <x:c r="D1999" t="n">
        <x:v>12</x:v>
      </x:c>
      <x:c r="E1999" t="str">
        <x:v>Low</x:v>
      </x:c>
      <x:c r="F1999" t="str">
        <x:v>Residential</x:v>
      </x:c>
      <x:c r="G1999" t="str">
        <x:v>Shear Wall</x:v>
      </x:c>
      <x:c r="H1999" t="str">
        <x:v>Raft</x:v>
      </x:c>
      <x:c r="I1999" t="str">
        <x:v>Mixed</x:v>
      </x:c>
      <x:c r="J1999" t="str">
        <x:v>High</x:v>
      </x:c>
      <x:c r="K1999" t="n">
        <x:v>13094970</x:v>
      </x:c>
      <x:c r="L1999" t="n">
        <x:v>323</x:v>
      </x:c>
      <x:c r="M1999" t="n">
        <x:v>312.3</x:v>
      </x:c>
      <x:c r="N1999" t="n">
        <x:v>11.5</x:v>
      </x:c>
      <x:c r="O1999" t="n">
        <x:v>69.4</x:v>
      </x:c>
      <x:c r="P1999" t="str">
        <x:v>Rainy</x:v>
      </x:c>
      <x:c r="Q1999" t="n">
        <x:v>81</x:v>
      </x:c>
      <x:c r="R1999" t="n">
        <x:v>68.6</x:v>
      </x:c>
      <x:c r="S1999" t="n">
        <x:v>0.0776</x:v>
      </x:c>
      <x:c r="T1999" t="n">
        <x:v>12.4</x:v>
      </x:c>
      <x:c r="U1999" t="n">
        <x:v>740.8</x:v>
      </x:c>
      <x:c r="V1999" t="n">
        <x:v>1473</x:v>
      </x:c>
      <x:c r="W1999" t="n">
        <x:v>36.3</x:v>
      </x:c>
    </x:row>
    <x:row r="2000">
      <x:c r="A2000" t="str">
        <x:v>PJT_1999</x:v>
      </x:c>
      <x:c r="B2000" t="str">
        <x:v>Humid Subtropical</x:v>
      </x:c>
      <x:c r="C2000" t="n">
        <x:v>13680</x:v>
      </x:c>
      <x:c r="D2000" t="n">
        <x:v>5</x:v>
      </x:c>
      <x:c r="E2000" t="str">
        <x:v>Low</x:v>
      </x:c>
      <x:c r="F2000" t="str">
        <x:v>School</x:v>
      </x:c>
      <x:c r="G2000" t="str">
        <x:v>RC Frame</x:v>
      </x:c>
      <x:c r="H2000" t="str">
        <x:v>Raft</x:v>
      </x:c>
      <x:c r="I2000" t="str">
        <x:v>Mixed</x:v>
      </x:c>
      <x:c r="J2000" t="str">
        <x:v>High</x:v>
      </x:c>
      <x:c r="K2000" t="n">
        <x:v>23474880</x:v>
      </x:c>
      <x:c r="L2000" t="n">
        <x:v>394</x:v>
      </x:c>
      <x:c r="M2000" t="n">
        <x:v>263.1</x:v>
      </x:c>
      <x:c r="N2000" t="n">
        <x:v>30.5</x:v>
      </x:c>
      <x:c r="O2000" t="n">
        <x:v>69.2</x:v>
      </x:c>
      <x:c r="P2000" t="str">
        <x:v>Sunny</x:v>
      </x:c>
      <x:c r="Q2000" t="n">
        <x:v>70</x:v>
      </x:c>
      <x:c r="R2000" t="n">
        <x:v>60.8</x:v>
      </x:c>
      <x:c r="S2000" t="n">
        <x:v>0.077</x:v>
      </x:c>
      <x:c r="T2000" t="n">
        <x:v>13.9</x:v>
      </x:c>
      <x:c r="U2000" t="n">
        <x:v>2736</x:v>
      </x:c>
      <x:c r="V2000" t="n">
        <x:v>1716</x:v>
      </x:c>
      <x:c r="W2000" t="n">
        <x:v>28.8</x:v>
      </x:c>
    </x:row>
    <x:row r="2001">
      <x:c r="A2001" t="str">
        <x:v>PJT_2000</x:v>
      </x:c>
      <x:c r="B2001" t="str">
        <x:v>Mediterranean</x:v>
      </x:c>
      <x:c r="C2001" t="n">
        <x:v>29610</x:v>
      </x:c>
      <x:c r="D2001" t="n">
        <x:v>17</x:v>
      </x:c>
      <x:c r="E2001" t="str">
        <x:v>Medium</x:v>
      </x:c>
      <x:c r="F2001" t="str">
        <x:v>Mixed-use</x:v>
      </x:c>
      <x:c r="G2001" t="str">
        <x:v>Steel</x:v>
      </x:c>
      <x:c r="H2001" t="str">
        <x:v>Piles</x:v>
      </x:c>
      <x:c r="I2001" t="str">
        <x:v>Sand</x:v>
      </x:c>
      <x:c r="J2001" t="str">
        <x:v>Low</x:v>
      </x:c>
      <x:c r="K2001" t="n">
        <x:v>80687250</x:v>
      </x:c>
      <x:c r="L2001" t="n">
        <x:v>1457</x:v>
      </x:c>
      <x:c r="M2001" t="n">
        <x:v>254.4</x:v>
      </x:c>
      <x:c r="N2001" t="n">
        <x:v>26</x:v>
      </x:c>
      <x:c r="O2001" t="n">
        <x:v>45.4</x:v>
      </x:c>
      <x:c r="P2001" t="str">
        <x:v>Sunny</x:v>
      </x:c>
      <x:c r="Q2001" t="n">
        <x:v>75</x:v>
      </x:c>
      <x:c r="R2001" t="n">
        <x:v>79.3</x:v>
      </x:c>
      <x:c r="S2001" t="n">
        <x:v>0.0987</x:v>
      </x:c>
      <x:c r="T2001" t="n">
        <x:v>18.9</x:v>
      </x:c>
      <x:c r="U2001" t="n">
        <x:v>1741.8</x:v>
      </x:c>
      <x:c r="V2001" t="n">
        <x:v>2725</x:v>
      </x:c>
      <x:c r="W2001" t="n">
        <x:v>49.2</x:v>
      </x:c>
    </x:row>
  </x:sheetData>
  <x:pageMargins left="0.7" right="0.7" top="0.75" bottom="0.75" header="0.3" footer="0.3"/>
  <x:tableParts count="1">
    <x:tablePart xmlns:r="http://schemas.openxmlformats.org/officeDocument/2006/relationships" r:id="R992b7577cd984ee8"/>
  </x:tableParts>
</x:worksheet>
</file>

<file path=xl/worksheets/sheet3.xml><?xml version="1.0" encoding="utf-8"?>
<x:worksheet xmlns:x="http://schemas.openxmlformats.org/spreadsheetml/2006/main">
  <x:sheetFormatPr defaultRowHeight="13.800000190734863"/>
  <x:cols>
    <x:col min="1" max="4" width="14" customWidth="1"/>
    <x:col min="5" max="5" width="12" customWidth="1"/>
    <x:col min="6" max="8" width="14" customWidth="1"/>
    <x:col min="9" max="9" width="12" customWidth="1"/>
    <x:col min="10" max="10" width="11" customWidth="1"/>
    <x:col min="11" max="13" width="12" customWidth="1"/>
    <x:col min="14" max="14" width="16" hidden="0" customWidth="1"/>
    <x:col min="15" max="15" width="16" hidden="0" customWidth="1"/>
  </x:cols>
  <x:sheetData>
    <x:row r="1" ht="40.95000076293945" customHeight="1">
      <x:c r="A1" s="4" t="str">
        <x:v>Project_ID</x:v>
      </x:c>
      <x:c r="B1" s="4" t="str">
        <x:v>Planned_Cost</x:v>
      </x:c>
      <x:c r="C1" s="4" t="str">
        <x:v>Actual_Cost</x:v>
      </x:c>
      <x:c r="D1" s="4" t="str">
        <x:v>Cost_Overrun</x:v>
      </x:c>
      <x:c r="E1" s="4" t="str">
        <x:v>Cost_Overrun_Percentage</x:v>
      </x:c>
      <x:c r="F1" s="4" t="str">
        <x:v>Planned_Duration</x:v>
      </x:c>
      <x:c r="G1" s="4" t="str">
        <x:v>Actual_Duration</x:v>
      </x:c>
      <x:c r="H1" s="4" t="str">
        <x:v>Schedule_Deviation</x:v>
      </x:c>
      <x:c r="I1" s="4" t="str">
        <x:v>Schedule_Overrun_Percentage</x:v>
      </x:c>
      <x:c r="J1" s="4" t="str">
        <x:v>Risk_Level</x:v>
      </x:c>
      <x:c r="K1" s="4" t="str">
        <x:v>Risk_Score</x:v>
      </x:c>
      <x:c r="L1" s="4" t="str">
        <x:v>Cost_Risk_Score</x:v>
      </x:c>
      <x:c r="M1" s="4" t="str">
        <x:v>Schedule_Risk_Score</x:v>
      </x:c>
      <x:c r="N1" s="18" t="str">
        <x:v>Cost_Scenario</x:v>
      </x:c>
      <x:c r="O1" s="19" t="str">
        <x:v>Time_Scenario</x:v>
      </x:c>
    </x:row>
    <x:row r="2" ht="13.649999618530273" customHeight="1">
      <x:c r="A2" s="3" t="str">
        <x:v>PJT_1</x:v>
      </x:c>
      <x:c r="B2" s="9" t="n">
        <x:v>62098620</x:v>
      </x:c>
      <x:c r="C2" s="9" t="n">
        <x:v>71463092</x:v>
      </x:c>
      <x:c r="D2" s="9" t="n">
        <x:f t="shared" ref="D2:D33" si="0">C2-B2</x:f>
        <x:v>9364472</x:v>
      </x:c>
      <x:c r="E2" s="8" t="n">
        <x:f t="shared" ref="E2:E33" si="1">IFERROR(D2/B2,0)</x:f>
        <x:v>0.1508000016747554</x:v>
      </x:c>
      <x:c r="F2" s="9" t="n">
        <x:v>1032</x:v>
      </x:c>
      <x:c r="G2" s="9" t="n">
        <x:v>1200</x:v>
      </x:c>
      <x:c r="H2" s="9" t="n">
        <x:f t="shared" ref="H2:H33" si="2">G2-F2</x:f>
        <x:v>168</x:v>
      </x:c>
      <x:c r="I2" s="8" t="n">
        <x:f t="shared" ref="I2:I33" si="3">IFERROR(H2/F2,0)</x:f>
        <x:v>0.16279069767441862</x:v>
      </x:c>
      <x:c r="J2" s="3" t="str">
        <x:f t="shared" ref="J2:J33" si="4">IF(K2&lt;45,"Low",IF(K2&lt;67,"Medium","High"))</x:f>
        <x:v>Medium</x:v>
      </x:c>
      <x:c r="K2" s="7" t="n">
        <x:v>66</x:v>
      </x:c>
      <x:c r="L2" s="7" t="n">
        <x:v>67.3</x:v>
      </x:c>
      <x:c r="M2" s="7" t="n">
        <x:v>65.9</x:v>
      </x:c>
      <x:c r="N2" s="28" t="str">
        <x:v>Pessimistic</x:v>
      </x:c>
      <x:c r="O2" s="29" t="str">
        <x:v>Pessimistic</x:v>
      </x:c>
    </x:row>
    <x:row r="3" ht="13.649999618530273" customHeight="1">
      <x:c r="A3" s="3" t="str">
        <x:v>PJT_2</x:v>
      </x:c>
      <x:c r="B3" s="9" t="n">
        <x:v>62636860</x:v>
      </x:c>
      <x:c r="C3" s="9" t="n">
        <x:v>75928402</x:v>
      </x:c>
      <x:c r="D3" s="9" t="n">
        <x:f t="shared" si="0"/>
        <x:v>13291542</x:v>
      </x:c>
      <x:c r="E3" s="8" t="n">
        <x:f t="shared" si="1"/>
        <x:v>0.21220000491723245</x:v>
      </x:c>
      <x:c r="F3" s="9" t="n">
        <x:v>1063</x:v>
      </x:c>
      <x:c r="G3" s="9" t="n">
        <x:v>1232</x:v>
      </x:c>
      <x:c r="H3" s="9" t="n">
        <x:f t="shared" si="2"/>
        <x:v>169</x:v>
      </x:c>
      <x:c r="I3" s="8" t="n">
        <x:f t="shared" si="3"/>
        <x:v>0.1589840075258702</x:v>
      </x:c>
      <x:c r="J3" s="3" t="str">
        <x:f t="shared" si="4"/>
        <x:v>High</x:v>
      </x:c>
      <x:c r="K3" s="7" t="n">
        <x:v>68.9</x:v>
      </x:c>
      <x:c r="L3" s="7" t="n">
        <x:v>70.2</x:v>
      </x:c>
      <x:c r="M3" s="7" t="n">
        <x:v>66.8</x:v>
      </x:c>
      <x:c r="N3" s="28" t="str">
        <x:v>Pessimistic</x:v>
      </x:c>
      <x:c r="O3" s="29" t="str">
        <x:v>Pessimistic</x:v>
      </x:c>
    </x:row>
    <x:row r="4" ht="13.649999618530273" customHeight="1">
      <x:c r="A4" s="3" t="str">
        <x:v>PJT_3</x:v>
      </x:c>
      <x:c r="B4" s="9" t="n">
        <x:v>78937960</x:v>
      </x:c>
      <x:c r="C4" s="9" t="n">
        <x:v>90952318</x:v>
      </x:c>
      <x:c r="D4" s="9" t="n">
        <x:f t="shared" si="0"/>
        <x:v>12014358</x:v>
      </x:c>
      <x:c r="E4" s="8" t="n">
        <x:f t="shared" si="1"/>
        <x:v>0.15220000618207008</x:v>
      </x:c>
      <x:c r="F4" s="9" t="n">
        <x:v>1039</x:v>
      </x:c>
      <x:c r="G4" s="9" t="n">
        <x:v>1229</x:v>
      </x:c>
      <x:c r="H4" s="9" t="n">
        <x:f t="shared" si="2"/>
        <x:v>190</x:v>
      </x:c>
      <x:c r="I4" s="8" t="n">
        <x:f t="shared" si="3"/>
        <x:v>0.18286814244465832</x:v>
      </x:c>
      <x:c r="J4" s="3" t="str">
        <x:f t="shared" si="4"/>
        <x:v>High</x:v>
      </x:c>
      <x:c r="K4" s="7" t="n">
        <x:v>67.2</x:v>
      </x:c>
      <x:c r="L4" s="7" t="n">
        <x:v>67.2</x:v>
      </x:c>
      <x:c r="M4" s="7" t="n">
        <x:v>68.3</x:v>
      </x:c>
      <x:c r="N4" s="28" t="str">
        <x:v>Pessimistic</x:v>
      </x:c>
      <x:c r="O4" s="29" t="str">
        <x:v>Pessimistic</x:v>
      </x:c>
    </x:row>
    <x:row r="5" ht="13.649999618530273" customHeight="1">
      <x:c r="A5" s="3" t="str">
        <x:v>PJT_4</x:v>
      </x:c>
      <x:c r="B5" s="9" t="n">
        <x:v>51274080</x:v>
      </x:c>
      <x:c r="C5" s="9" t="n">
        <x:v>60282936</x:v>
      </x:c>
      <x:c r="D5" s="9" t="n">
        <x:f t="shared" si="0"/>
        <x:v>9008856</x:v>
      </x:c>
      <x:c r="E5" s="8" t="n">
        <x:f t="shared" si="1"/>
        <x:v>0.17570000280843653</x:v>
      </x:c>
      <x:c r="F5" s="9" t="n">
        <x:v>978</x:v>
      </x:c>
      <x:c r="G5" s="9" t="n">
        <x:v>1168</x:v>
      </x:c>
      <x:c r="H5" s="9" t="n">
        <x:f t="shared" si="2"/>
        <x:v>190</x:v>
      </x:c>
      <x:c r="I5" s="8" t="n">
        <x:f t="shared" si="3"/>
        <x:v>0.19427402862985685</x:v>
      </x:c>
      <x:c r="J5" s="3" t="str">
        <x:f t="shared" si="4"/>
        <x:v>Medium</x:v>
      </x:c>
      <x:c r="K5" s="7" t="n">
        <x:v>63.7</x:v>
      </x:c>
      <x:c r="L5" s="7" t="n">
        <x:v>65.8</x:v>
      </x:c>
      <x:c r="M5" s="7" t="n">
        <x:v>63.9</x:v>
      </x:c>
      <x:c r="N5" s="28" t="str">
        <x:v>Pessimistic</x:v>
      </x:c>
      <x:c r="O5" s="29" t="str">
        <x:v>Pessimistic</x:v>
      </x:c>
    </x:row>
    <x:row r="6" ht="13.649999618530273" customHeight="1">
      <x:c r="A6" s="3" t="str">
        <x:v>PJT_5</x:v>
      </x:c>
      <x:c r="B6" s="9" t="n">
        <x:v>22255080</x:v>
      </x:c>
      <x:c r="C6" s="9" t="n">
        <x:v>25077024</x:v>
      </x:c>
      <x:c r="D6" s="9" t="n">
        <x:f t="shared" si="0"/>
        <x:v>2821944</x:v>
      </x:c>
      <x:c r="E6" s="8" t="n">
        <x:f t="shared" si="1"/>
        <x:v>0.1267999935295672</x:v>
      </x:c>
      <x:c r="F6" s="9" t="n">
        <x:v>637</x:v>
      </x:c>
      <x:c r="G6" s="9" t="n">
        <x:v>698</x:v>
      </x:c>
      <x:c r="H6" s="9" t="n">
        <x:f t="shared" si="2"/>
        <x:v>61</x:v>
      </x:c>
      <x:c r="I6" s="8" t="n">
        <x:f t="shared" si="3"/>
        <x:v>0.09576138147566719</x:v>
      </x:c>
      <x:c r="J6" s="3" t="str">
        <x:f t="shared" si="4"/>
        <x:v>Medium</x:v>
      </x:c>
      <x:c r="K6" s="7" t="n">
        <x:v>49.2</x:v>
      </x:c>
      <x:c r="L6" s="7" t="n">
        <x:v>49</x:v>
      </x:c>
      <x:c r="M6" s="7" t="n">
        <x:v>48.5</x:v>
      </x:c>
      <x:c r="N6" s="28" t="str">
        <x:v>Pessimistic</x:v>
      </x:c>
      <x:c r="O6" s="29" t="str">
        <x:v>Most Likely</x:v>
      </x:c>
    </x:row>
    <x:row r="7" ht="13.649999618530273" customHeight="1">
      <x:c r="A7" s="3" t="str">
        <x:v>PJT_6</x:v>
      </x:c>
      <x:c r="B7" s="9" t="n">
        <x:v>24547830</x:v>
      </x:c>
      <x:c r="C7" s="9" t="n">
        <x:v>28301193</x:v>
      </x:c>
      <x:c r="D7" s="9" t="n">
        <x:f t="shared" si="0"/>
        <x:v>3753363</x:v>
      </x:c>
      <x:c r="E7" s="8" t="n">
        <x:f t="shared" si="1"/>
        <x:v>0.15289999156748274</x:v>
      </x:c>
      <x:c r="F7" s="9" t="n">
        <x:v>636</x:v>
      </x:c>
      <x:c r="G7" s="9" t="n">
        <x:v>729</x:v>
      </x:c>
      <x:c r="H7" s="9" t="n">
        <x:f t="shared" si="2"/>
        <x:v>93</x:v>
      </x:c>
      <x:c r="I7" s="8" t="n">
        <x:f t="shared" si="3"/>
        <x:v>0.14622641509433962</x:v>
      </x:c>
      <x:c r="J7" s="3" t="str">
        <x:f t="shared" si="4"/>
        <x:v>Medium</x:v>
      </x:c>
      <x:c r="K7" s="7" t="n">
        <x:v>50.6</x:v>
      </x:c>
      <x:c r="L7" s="7" t="n">
        <x:v>52.9</x:v>
      </x:c>
      <x:c r="M7" s="7" t="n">
        <x:v>49.5</x:v>
      </x:c>
      <x:c r="N7" s="28" t="str">
        <x:v>Pessimistic</x:v>
      </x:c>
      <x:c r="O7" s="29" t="str">
        <x:v>Pessimistic</x:v>
      </x:c>
    </x:row>
    <x:row r="8" ht="13.649999618530273" customHeight="1">
      <x:c r="A8" s="3" t="str">
        <x:v>PJT_7</x:v>
      </x:c>
      <x:c r="B8" s="9" t="n">
        <x:v>63575120</x:v>
      </x:c>
      <x:c r="C8" s="9" t="n">
        <x:v>72787155</x:v>
      </x:c>
      <x:c r="D8" s="9" t="n">
        <x:f t="shared" si="0"/>
        <x:v>9212035</x:v>
      </x:c>
      <x:c r="E8" s="8" t="n">
        <x:f t="shared" si="1"/>
        <x:v>0.14490000176169546</x:v>
      </x:c>
      <x:c r="F8" s="9" t="n">
        <x:v>957</x:v>
      </x:c>
      <x:c r="G8" s="9" t="n">
        <x:v>1103</x:v>
      </x:c>
      <x:c r="H8" s="9" t="n">
        <x:f t="shared" si="2"/>
        <x:v>146</x:v>
      </x:c>
      <x:c r="I8" s="8" t="n">
        <x:f t="shared" si="3"/>
        <x:v>0.15256008359456635</x:v>
      </x:c>
      <x:c r="J8" s="3" t="str">
        <x:f t="shared" si="4"/>
        <x:v>Medium</x:v>
      </x:c>
      <x:c r="K8" s="7" t="n">
        <x:v>64.3</x:v>
      </x:c>
      <x:c r="L8" s="7" t="n">
        <x:v>65.7</x:v>
      </x:c>
      <x:c r="M8" s="7" t="n">
        <x:v>66.1</x:v>
      </x:c>
      <x:c r="N8" s="28" t="str">
        <x:v>Pessimistic</x:v>
      </x:c>
      <x:c r="O8" s="29" t="str">
        <x:v>Pessimistic</x:v>
      </x:c>
    </x:row>
    <x:row r="9" ht="13.649999618530273" customHeight="1">
      <x:c r="A9" s="3" t="str">
        <x:v>PJT_8</x:v>
      </x:c>
      <x:c r="B9" s="9" t="n">
        <x:v>35074360</x:v>
      </x:c>
      <x:c r="C9" s="9" t="n">
        <x:v>40388126</x:v>
      </x:c>
      <x:c r="D9" s="9" t="n">
        <x:f t="shared" si="0"/>
        <x:v>5313766</x:v>
      </x:c>
      <x:c r="E9" s="8" t="n">
        <x:f t="shared" si="1"/>
        <x:v>0.1515000131149934</x:v>
      </x:c>
      <x:c r="F9" s="9" t="n">
        <x:v>784</x:v>
      </x:c>
      <x:c r="G9" s="9" t="n">
        <x:v>897</x:v>
      </x:c>
      <x:c r="H9" s="9" t="n">
        <x:f t="shared" si="2"/>
        <x:v>113</x:v>
      </x:c>
      <x:c r="I9" s="8" t="n">
        <x:f t="shared" si="3"/>
        <x:v>0.1441326530612245</x:v>
      </x:c>
      <x:c r="J9" s="3" t="str">
        <x:f t="shared" si="4"/>
        <x:v>Medium</x:v>
      </x:c>
      <x:c r="K9" s="7" t="n">
        <x:v>64</x:v>
      </x:c>
      <x:c r="L9" s="7" t="n">
        <x:v>66.9</x:v>
      </x:c>
      <x:c r="M9" s="7" t="n">
        <x:v>64.3</x:v>
      </x:c>
      <x:c r="N9" s="28" t="str">
        <x:v>Pessimistic</x:v>
      </x:c>
      <x:c r="O9" s="29" t="str">
        <x:v>Pessimistic</x:v>
      </x:c>
    </x:row>
    <x:row r="10" ht="13.649999618530273" customHeight="1">
      <x:c r="A10" s="3" t="str">
        <x:v>PJT_9</x:v>
      </x:c>
      <x:c r="B10" s="9" t="n">
        <x:v>42003900</x:v>
      </x:c>
      <x:c r="C10" s="9" t="n">
        <x:v>47561016</x:v>
      </x:c>
      <x:c r="D10" s="9" t="n">
        <x:f t="shared" si="0"/>
        <x:v>5557116</x:v>
      </x:c>
      <x:c r="E10" s="8" t="n">
        <x:f t="shared" si="1"/>
        <x:v>0.1323000007142194</x:v>
      </x:c>
      <x:c r="F10" s="9" t="n">
        <x:v>853</x:v>
      </x:c>
      <x:c r="G10" s="9" t="n">
        <x:v>962</x:v>
      </x:c>
      <x:c r="H10" s="9" t="n">
        <x:f t="shared" si="2"/>
        <x:v>109</x:v>
      </x:c>
      <x:c r="I10" s="8" t="n">
        <x:f t="shared" si="3"/>
        <x:v>0.12778429073856976</x:v>
      </x:c>
      <x:c r="J10" s="3" t="str">
        <x:f t="shared" si="4"/>
        <x:v>Medium</x:v>
      </x:c>
      <x:c r="K10" s="7" t="n">
        <x:v>53.7</x:v>
      </x:c>
      <x:c r="L10" s="7" t="n">
        <x:v>53.9</x:v>
      </x:c>
      <x:c r="M10" s="7" t="n">
        <x:v>58.2</x:v>
      </x:c>
      <x:c r="N10" s="28" t="str">
        <x:v>Pessimistic</x:v>
      </x:c>
      <x:c r="O10" s="29" t="str">
        <x:v>Pessimistic</x:v>
      </x:c>
    </x:row>
    <x:row r="11" ht="13.649999618530273" customHeight="1">
      <x:c r="A11" s="3" t="str">
        <x:v>PJT_10</x:v>
      </x:c>
      <x:c r="B11" s="9" t="n">
        <x:v>58104620</x:v>
      </x:c>
      <x:c r="C11" s="9" t="n">
        <x:v>70289159</x:v>
      </x:c>
      <x:c r="D11" s="9" t="n">
        <x:f t="shared" si="0"/>
        <x:v>12184539</x:v>
      </x:c>
      <x:c r="E11" s="8" t="n">
        <x:f t="shared" si="1"/>
        <x:v>0.2097000032011224</x:v>
      </x:c>
      <x:c r="F11" s="9" t="n">
        <x:v>996</x:v>
      </x:c>
      <x:c r="G11" s="9" t="n">
        <x:v>1216</x:v>
      </x:c>
      <x:c r="H11" s="9" t="n">
        <x:f t="shared" si="2"/>
        <x:v>220</x:v>
      </x:c>
      <x:c r="I11" s="8" t="n">
        <x:f t="shared" si="3"/>
        <x:v>0.22088353413654618</x:v>
      </x:c>
      <x:c r="J11" s="3" t="str">
        <x:f t="shared" si="4"/>
        <x:v>High</x:v>
      </x:c>
      <x:c r="K11" s="7" t="n">
        <x:v>67.3</x:v>
      </x:c>
      <x:c r="L11" s="7" t="n">
        <x:v>68.6</x:v>
      </x:c>
      <x:c r="M11" s="7" t="n">
        <x:v>65.6</x:v>
      </x:c>
      <x:c r="N11" s="28" t="str">
        <x:v>Pessimistic</x:v>
      </x:c>
      <x:c r="O11" s="29" t="str">
        <x:v>Pessimistic</x:v>
      </x:c>
    </x:row>
    <x:row r="12" ht="13.649999618530273" customHeight="1">
      <x:c r="A12" s="3" t="str">
        <x:v>PJT_11</x:v>
      </x:c>
      <x:c r="B12" s="9" t="n">
        <x:v>30807450</x:v>
      </x:c>
      <x:c r="C12" s="9" t="n">
        <x:v>33620170</x:v>
      </x:c>
      <x:c r="D12" s="9" t="n">
        <x:f t="shared" si="0"/>
        <x:v>2812720</x:v>
      </x:c>
      <x:c r="E12" s="8" t="n">
        <x:f t="shared" si="1"/>
        <x:v>0.09129999399495901</x:v>
      </x:c>
      <x:c r="F12" s="9" t="n">
        <x:v>727</x:v>
      </x:c>
      <x:c r="G12" s="9" t="n">
        <x:v>853</x:v>
      </x:c>
      <x:c r="H12" s="9" t="n">
        <x:f t="shared" si="2"/>
        <x:v>126</x:v>
      </x:c>
      <x:c r="I12" s="8" t="n">
        <x:f t="shared" si="3"/>
        <x:v>0.1733149931224209</x:v>
      </x:c>
      <x:c r="J12" s="3" t="str">
        <x:f t="shared" si="4"/>
        <x:v>Medium</x:v>
      </x:c>
      <x:c r="K12" s="7" t="n">
        <x:v>50.4</x:v>
      </x:c>
      <x:c r="L12" s="7" t="n">
        <x:v>49.8</x:v>
      </x:c>
      <x:c r="M12" s="7" t="n">
        <x:v>52.5</x:v>
      </x:c>
      <x:c r="N12" s="28" t="str">
        <x:v>Most Likely</x:v>
      </x:c>
      <x:c r="O12" s="29" t="str">
        <x:v>Pessimistic</x:v>
      </x:c>
    </x:row>
    <x:row r="13" ht="13.649999618530273" customHeight="1">
      <x:c r="A13" s="3" t="str">
        <x:v>PJT_12</x:v>
      </x:c>
      <x:c r="B13" s="9" t="n">
        <x:v>2819600</x:v>
      </x:c>
      <x:c r="C13" s="9" t="n">
        <x:v>2867815</x:v>
      </x:c>
      <x:c r="D13" s="9" t="n">
        <x:f t="shared" si="0"/>
        <x:v>48215</x:v>
      </x:c>
      <x:c r="E13" s="8" t="n">
        <x:f t="shared" si="1"/>
        <x:v>0.017099943254362322</x:v>
      </x:c>
      <x:c r="F13" s="9" t="n">
        <x:v>250</x:v>
      </x:c>
      <x:c r="G13" s="9" t="n">
        <x:v>250</x:v>
      </x:c>
      <x:c r="H13" s="9" t="n">
        <x:f t="shared" si="2"/>
        <x:v>0</x:v>
      </x:c>
      <x:c r="I13" s="8" t="n">
        <x:f t="shared" si="3"/>
        <x:v>0</x:v>
      </x:c>
      <x:c r="J13" s="3" t="str">
        <x:f t="shared" si="4"/>
        <x:v>Low</x:v>
      </x:c>
      <x:c r="K13" s="7" t="n">
        <x:v>21.2</x:v>
      </x:c>
      <x:c r="L13" s="7" t="n">
        <x:v>23.2</x:v>
      </x:c>
      <x:c r="M13" s="7" t="n">
        <x:v>19.6</x:v>
      </x:c>
      <x:c r="N13" s="28" t="str">
        <x:v>Most Likely</x:v>
      </x:c>
      <x:c r="O13" s="29" t="str">
        <x:v>Optimistic</x:v>
      </x:c>
    </x:row>
    <x:row r="14" ht="13.649999618530273" customHeight="1">
      <x:c r="A14" s="3" t="str">
        <x:v>PJT_13</x:v>
      </x:c>
      <x:c r="B14" s="9" t="n">
        <x:v>30125200</x:v>
      </x:c>
      <x:c r="C14" s="9" t="n">
        <x:v>32535216</x:v>
      </x:c>
      <x:c r="D14" s="9" t="n">
        <x:f t="shared" si="0"/>
        <x:v>2410016</x:v>
      </x:c>
      <x:c r="E14" s="8" t="n">
        <x:f t="shared" si="1"/>
        <x:v>0.08</x:v>
      </x:c>
      <x:c r="F14" s="9" t="n">
        <x:v>753</x:v>
      </x:c>
      <x:c r="G14" s="9" t="n">
        <x:v>828</x:v>
      </x:c>
      <x:c r="H14" s="9" t="n">
        <x:f t="shared" si="2"/>
        <x:v>75</x:v>
      </x:c>
      <x:c r="I14" s="8" t="n">
        <x:f t="shared" si="3"/>
        <x:v>0.099601593625498</x:v>
      </x:c>
      <x:c r="J14" s="3" t="str">
        <x:f t="shared" si="4"/>
        <x:v>Low</x:v>
      </x:c>
      <x:c r="K14" s="7" t="n">
        <x:v>44.5</x:v>
      </x:c>
      <x:c r="L14" s="7" t="n">
        <x:v>43.6</x:v>
      </x:c>
      <x:c r="M14" s="7" t="n">
        <x:v>44.8</x:v>
      </x:c>
      <x:c r="N14" s="28" t="str">
        <x:v>Most Likely</x:v>
      </x:c>
      <x:c r="O14" s="29" t="str">
        <x:v>Most Likely</x:v>
      </x:c>
    </x:row>
    <x:row r="15" ht="13.649999618530273" customHeight="1">
      <x:c r="A15" s="3" t="str">
        <x:v>PJT_14</x:v>
      </x:c>
      <x:c r="B15" s="9" t="n">
        <x:v>3630900</x:v>
      </x:c>
      <x:c r="C15" s="9" t="n">
        <x:v>3921372</x:v>
      </x:c>
      <x:c r="D15" s="9" t="n">
        <x:f t="shared" si="0"/>
        <x:v>290472</x:v>
      </x:c>
      <x:c r="E15" s="8" t="n">
        <x:f t="shared" si="1"/>
        <x:v>0.08</x:v>
      </x:c>
      <x:c r="F15" s="9" t="n">
        <x:v>294</x:v>
      </x:c>
      <x:c r="G15" s="9" t="n">
        <x:v>303</x:v>
      </x:c>
      <x:c r="H15" s="9" t="n">
        <x:f t="shared" si="2"/>
        <x:v>9</x:v>
      </x:c>
      <x:c r="I15" s="8" t="n">
        <x:f t="shared" si="3"/>
        <x:v>0.030612244897959183</x:v>
      </x:c>
      <x:c r="J15" s="3" t="str">
        <x:f t="shared" si="4"/>
        <x:v>Low</x:v>
      </x:c>
      <x:c r="K15" s="7" t="n">
        <x:v>37</x:v>
      </x:c>
      <x:c r="L15" s="7" t="n">
        <x:v>41.8</x:v>
      </x:c>
      <x:c r="M15" s="7" t="n">
        <x:v>30.8</x:v>
      </x:c>
      <x:c r="N15" s="28" t="str">
        <x:v>Most Likely</x:v>
      </x:c>
      <x:c r="O15" s="29" t="str">
        <x:v>Most Likely</x:v>
      </x:c>
    </x:row>
    <x:row r="16" ht="13.649999618530273" customHeight="1">
      <x:c r="A16" s="3" t="str">
        <x:v>PJT_15</x:v>
      </x:c>
      <x:c r="B16" s="9" t="n">
        <x:v>8785040</x:v>
      </x:c>
      <x:c r="C16" s="9" t="n">
        <x:v>9487843</x:v>
      </x:c>
      <x:c r="D16" s="9" t="n">
        <x:f t="shared" si="0"/>
        <x:v>702803</x:v>
      </x:c>
      <x:c r="E16" s="8" t="n">
        <x:f t="shared" si="1"/>
        <x:v>0.07999997723402512</x:v>
      </x:c>
      <x:c r="F16" s="9" t="n">
        <x:v>410</x:v>
      </x:c>
      <x:c r="G16" s="9" t="n">
        <x:v>451</x:v>
      </x:c>
      <x:c r="H16" s="9" t="n">
        <x:f t="shared" si="2"/>
        <x:v>41</x:v>
      </x:c>
      <x:c r="I16" s="8" t="n">
        <x:f t="shared" si="3"/>
        <x:v>0.1</x:v>
      </x:c>
      <x:c r="J16" s="3" t="str">
        <x:f t="shared" si="4"/>
        <x:v>Low</x:v>
      </x:c>
      <x:c r="K16" s="7" t="n">
        <x:v>44.5</x:v>
      </x:c>
      <x:c r="L16" s="7" t="n">
        <x:v>47.3</x:v>
      </x:c>
      <x:c r="M16" s="7" t="n">
        <x:v>41.7</x:v>
      </x:c>
      <x:c r="N16" s="28" t="str">
        <x:v>Most Likely</x:v>
      </x:c>
      <x:c r="O16" s="29" t="str">
        <x:v>Most Likely</x:v>
      </x:c>
    </x:row>
    <x:row r="17" ht="13.649999618530273" customHeight="1">
      <x:c r="A17" s="3" t="str">
        <x:v>PJT_16</x:v>
      </x:c>
      <x:c r="B17" s="9" t="n">
        <x:v>27505060</x:v>
      </x:c>
      <x:c r="C17" s="9" t="n">
        <x:v>31242998</x:v>
      </x:c>
      <x:c r="D17" s="9" t="n">
        <x:f t="shared" si="0"/>
        <x:v>3737938</x:v>
      </x:c>
      <x:c r="E17" s="8" t="n">
        <x:f t="shared" si="1"/>
        <x:v>0.13590001257950354</x:v>
      </x:c>
      <x:c r="F17" s="9" t="n">
        <x:v>685</x:v>
      </x:c>
      <x:c r="G17" s="9" t="n">
        <x:v>764</x:v>
      </x:c>
      <x:c r="H17" s="9" t="n">
        <x:f t="shared" si="2"/>
        <x:v>79</x:v>
      </x:c>
      <x:c r="I17" s="8" t="n">
        <x:f t="shared" si="3"/>
        <x:v>0.11532846715328467</x:v>
      </x:c>
      <x:c r="J17" s="3" t="str">
        <x:f t="shared" si="4"/>
        <x:v>Medium</x:v>
      </x:c>
      <x:c r="K17" s="7" t="n">
        <x:v>58.6</x:v>
      </x:c>
      <x:c r="L17" s="7" t="n">
        <x:v>61.9</x:v>
      </x:c>
      <x:c r="M17" s="7" t="n">
        <x:v>55.1</x:v>
      </x:c>
      <x:c r="N17" s="28" t="str">
        <x:v>Pessimistic</x:v>
      </x:c>
      <x:c r="O17" s="29" t="str">
        <x:v>Pessimistic</x:v>
      </x:c>
    </x:row>
    <x:row r="18" ht="13.649999618530273" customHeight="1">
      <x:c r="A18" s="3" t="str">
        <x:v>PJT_17</x:v>
      </x:c>
      <x:c r="B18" s="9" t="n">
        <x:v>40492530</x:v>
      </x:c>
      <x:c r="C18" s="9" t="n">
        <x:v>45817298</x:v>
      </x:c>
      <x:c r="D18" s="9" t="n">
        <x:f t="shared" si="0"/>
        <x:v>5324768</x:v>
      </x:c>
      <x:c r="E18" s="8" t="n">
        <x:f t="shared" si="1"/>
        <x:v>0.1315000075322535</x:v>
      </x:c>
      <x:c r="F18" s="9" t="n">
        <x:v>857</x:v>
      </x:c>
      <x:c r="G18" s="9" t="n">
        <x:v>972</x:v>
      </x:c>
      <x:c r="H18" s="9" t="n">
        <x:f t="shared" si="2"/>
        <x:v>115</x:v>
      </x:c>
      <x:c r="I18" s="8" t="n">
        <x:f t="shared" si="3"/>
        <x:v>0.13418903150525088</x:v>
      </x:c>
      <x:c r="J18" s="3" t="str">
        <x:f t="shared" si="4"/>
        <x:v>Medium</x:v>
      </x:c>
      <x:c r="K18" s="7" t="n">
        <x:v>53.6</x:v>
      </x:c>
      <x:c r="L18" s="7" t="n">
        <x:v>53.9</x:v>
      </x:c>
      <x:c r="M18" s="7" t="n">
        <x:v>53.7</x:v>
      </x:c>
      <x:c r="N18" s="28" t="str">
        <x:v>Pessimistic</x:v>
      </x:c>
      <x:c r="O18" s="29" t="str">
        <x:v>Pessimistic</x:v>
      </x:c>
    </x:row>
    <x:row r="19" ht="13.649999618530273" customHeight="1">
      <x:c r="A19" s="3" t="str">
        <x:v>PJT_18</x:v>
      </x:c>
      <x:c r="B19" s="9" t="n">
        <x:v>36730180</x:v>
      </x:c>
      <x:c r="C19" s="9" t="n">
        <x:v>42911869</x:v>
      </x:c>
      <x:c r="D19" s="9" t="n">
        <x:f t="shared" si="0"/>
        <x:v>6181689</x:v>
      </x:c>
      <x:c r="E19" s="8" t="n">
        <x:f t="shared" si="1"/>
        <x:v>0.1682999919956831</x:v>
      </x:c>
      <x:c r="F19" s="9" t="n">
        <x:v>818</x:v>
      </x:c>
      <x:c r="G19" s="9" t="n">
        <x:v>941</x:v>
      </x:c>
      <x:c r="H19" s="9" t="n">
        <x:f t="shared" si="2"/>
        <x:v>123</x:v>
      </x:c>
      <x:c r="I19" s="8" t="n">
        <x:f t="shared" si="3"/>
        <x:v>0.15036674816625917</x:v>
      </x:c>
      <x:c r="J19" s="3" t="str">
        <x:f t="shared" si="4"/>
        <x:v>Medium</x:v>
      </x:c>
      <x:c r="K19" s="7" t="n">
        <x:v>60.7</x:v>
      </x:c>
      <x:c r="L19" s="7" t="n">
        <x:v>61.9</x:v>
      </x:c>
      <x:c r="M19" s="7" t="n">
        <x:v>65.5</x:v>
      </x:c>
      <x:c r="N19" s="28" t="str">
        <x:v>Pessimistic</x:v>
      </x:c>
      <x:c r="O19" s="29" t="str">
        <x:v>Pessimistic</x:v>
      </x:c>
    </x:row>
    <x:row r="20" ht="13.649999618530273" customHeight="1">
      <x:c r="A20" s="3" t="str">
        <x:v>PJT_19</x:v>
      </x:c>
      <x:c r="B20" s="9" t="n">
        <x:v>75550020</x:v>
      </x:c>
      <x:c r="C20" s="9" t="n">
        <x:v>88136653</x:v>
      </x:c>
      <x:c r="D20" s="9" t="n">
        <x:f t="shared" si="0"/>
        <x:v>12586633</x:v>
      </x:c>
      <x:c r="E20" s="8" t="n">
        <x:f t="shared" si="1"/>
        <x:v>0.1665999956055604</x:v>
      </x:c>
      <x:c r="F20" s="9" t="n">
        <x:v>1006</x:v>
      </x:c>
      <x:c r="G20" s="9" t="n">
        <x:v>1214</x:v>
      </x:c>
      <x:c r="H20" s="9" t="n">
        <x:f t="shared" si="2"/>
        <x:v>208</x:v>
      </x:c>
      <x:c r="I20" s="8" t="n">
        <x:f t="shared" si="3"/>
        <x:v>0.20675944333996024</x:v>
      </x:c>
      <x:c r="J20" s="3" t="str">
        <x:f t="shared" si="4"/>
        <x:v>Medium</x:v>
      </x:c>
      <x:c r="K20" s="7" t="n">
        <x:v>66.8</x:v>
      </x:c>
      <x:c r="L20" s="7" t="n">
        <x:v>68.1</x:v>
      </x:c>
      <x:c r="M20" s="7" t="n">
        <x:v>66.4</x:v>
      </x:c>
      <x:c r="N20" s="28" t="str">
        <x:v>Pessimistic</x:v>
      </x:c>
      <x:c r="O20" s="29" t="str">
        <x:v>Pessimistic</x:v>
      </x:c>
    </x:row>
    <x:row r="21" ht="13.649999618530273" customHeight="1">
      <x:c r="A21" s="3" t="str">
        <x:v>PJT_20</x:v>
      </x:c>
      <x:c r="B21" s="9" t="n">
        <x:v>12113010</x:v>
      </x:c>
      <x:c r="C21" s="9" t="n">
        <x:v>13082051</x:v>
      </x:c>
      <x:c r="D21" s="9" t="n">
        <x:f t="shared" si="0"/>
        <x:v>969041</x:v>
      </x:c>
      <x:c r="E21" s="8" t="n">
        <x:f t="shared" si="1"/>
        <x:v>0.0800000165111727</x:v>
      </x:c>
      <x:c r="F21" s="9" t="n">
        <x:v>463</x:v>
      </x:c>
      <x:c r="G21" s="9" t="n">
        <x:v>489</x:v>
      </x:c>
      <x:c r="H21" s="9" t="n">
        <x:f t="shared" si="2"/>
        <x:v>26</x:v>
      </x:c>
      <x:c r="I21" s="8" t="n">
        <x:f t="shared" si="3"/>
        <x:v>0.056155507559395246</x:v>
      </x:c>
      <x:c r="J21" s="3" t="str">
        <x:f t="shared" si="4"/>
        <x:v>Low</x:v>
      </x:c>
      <x:c r="K21" s="7" t="n">
        <x:v>43.1</x:v>
      </x:c>
      <x:c r="L21" s="7" t="n">
        <x:v>47.5</x:v>
      </x:c>
      <x:c r="M21" s="7" t="n">
        <x:v>39.2</x:v>
      </x:c>
      <x:c r="N21" s="28" t="str">
        <x:v>Most Likely</x:v>
      </x:c>
      <x:c r="O21" s="29" t="str">
        <x:v>Most Likely</x:v>
      </x:c>
    </x:row>
    <x:row r="22" ht="13.649999618530273" customHeight="1">
      <x:c r="A22" s="3" t="str">
        <x:v>PJT_21</x:v>
      </x:c>
      <x:c r="B22" s="9" t="n">
        <x:v>38542710</x:v>
      </x:c>
      <x:c r="C22" s="9" t="n">
        <x:v>42978976</x:v>
      </x:c>
      <x:c r="D22" s="9" t="n">
        <x:f t="shared" si="0"/>
        <x:v>4436266</x:v>
      </x:c>
      <x:c r="E22" s="8" t="n">
        <x:f t="shared" si="1"/>
        <x:v>0.11510000204967424</x:v>
      </x:c>
      <x:c r="F22" s="9" t="n">
        <x:v>771</x:v>
      </x:c>
      <x:c r="G22" s="9" t="n">
        <x:v>880</x:v>
      </x:c>
      <x:c r="H22" s="9" t="n">
        <x:f t="shared" si="2"/>
        <x:v>109</x:v>
      </x:c>
      <x:c r="I22" s="8" t="n">
        <x:f t="shared" si="3"/>
        <x:v>0.14137483787289234</x:v>
      </x:c>
      <x:c r="J22" s="3" t="str">
        <x:f t="shared" si="4"/>
        <x:v>Medium</x:v>
      </x:c>
      <x:c r="K22" s="7" t="n">
        <x:v>49</x:v>
      </x:c>
      <x:c r="L22" s="7" t="n">
        <x:v>51.1</x:v>
      </x:c>
      <x:c r="M22" s="7" t="n">
        <x:v>48.9</x:v>
      </x:c>
      <x:c r="N22" s="28" t="str">
        <x:v>Pessimistic</x:v>
      </x:c>
      <x:c r="O22" s="29" t="str">
        <x:v>Pessimistic</x:v>
      </x:c>
    </x:row>
    <x:row r="23" ht="13.649999618530273" customHeight="1">
      <x:c r="A23" s="3" t="str">
        <x:v>PJT_22</x:v>
      </x:c>
      <x:c r="B23" s="9" t="n">
        <x:v>47412900</x:v>
      </x:c>
      <x:c r="C23" s="9" t="n">
        <x:v>55994635</x:v>
      </x:c>
      <x:c r="D23" s="9" t="n">
        <x:f t="shared" si="0"/>
        <x:v>8581735</x:v>
      </x:c>
      <x:c r="E23" s="8" t="n">
        <x:f t="shared" si="1"/>
        <x:v>0.18100000210913064</x:v>
      </x:c>
      <x:c r="F23" s="9" t="n">
        <x:v>928</x:v>
      </x:c>
      <x:c r="G23" s="9" t="n">
        <x:v>1098</x:v>
      </x:c>
      <x:c r="H23" s="9" t="n">
        <x:f t="shared" si="2"/>
        <x:v>170</x:v>
      </x:c>
      <x:c r="I23" s="8" t="n">
        <x:f t="shared" si="3"/>
        <x:v>0.18318965517241378</x:v>
      </x:c>
      <x:c r="J23" s="3" t="str">
        <x:f t="shared" si="4"/>
        <x:v>High</x:v>
      </x:c>
      <x:c r="K23" s="7" t="n">
        <x:v>71.1</x:v>
      </x:c>
      <x:c r="L23" s="7" t="n">
        <x:v>71.3</x:v>
      </x:c>
      <x:c r="M23" s="7" t="n">
        <x:v>74.3</x:v>
      </x:c>
      <x:c r="N23" s="28" t="str">
        <x:v>Pessimistic</x:v>
      </x:c>
      <x:c r="O23" s="29" t="str">
        <x:v>Pessimistic</x:v>
      </x:c>
    </x:row>
    <x:row r="24" ht="13.649999618530273" customHeight="1">
      <x:c r="A24" s="3" t="str">
        <x:v>PJT_23</x:v>
      </x:c>
      <x:c r="B24" s="9" t="n">
        <x:v>32915400</x:v>
      </x:c>
      <x:c r="C24" s="9" t="n">
        <x:v>38139074</x:v>
      </x:c>
      <x:c r="D24" s="9" t="n">
        <x:f t="shared" si="0"/>
        <x:v>5223674</x:v>
      </x:c>
      <x:c r="E24" s="8" t="n">
        <x:f t="shared" si="1"/>
        <x:v>0.15870000060761832</x:v>
      </x:c>
      <x:c r="F24" s="9" t="n">
        <x:v>748</x:v>
      </x:c>
      <x:c r="G24" s="9" t="n">
        <x:v>866</x:v>
      </x:c>
      <x:c r="H24" s="9" t="n">
        <x:f t="shared" si="2"/>
        <x:v>118</x:v>
      </x:c>
      <x:c r="I24" s="8" t="n">
        <x:f t="shared" si="3"/>
        <x:v>0.15775401069518716</x:v>
      </x:c>
      <x:c r="J24" s="3" t="str">
        <x:f t="shared" si="4"/>
        <x:v>Medium</x:v>
      </x:c>
      <x:c r="K24" s="7" t="n">
        <x:v>61.9</x:v>
      </x:c>
      <x:c r="L24" s="7" t="n">
        <x:v>66.4</x:v>
      </x:c>
      <x:c r="M24" s="7" t="n">
        <x:v>60.1</x:v>
      </x:c>
      <x:c r="N24" s="28" t="str">
        <x:v>Pessimistic</x:v>
      </x:c>
      <x:c r="O24" s="29" t="str">
        <x:v>Pessimistic</x:v>
      </x:c>
    </x:row>
    <x:row r="25" ht="13.649999618530273" customHeight="1">
      <x:c r="A25" s="3" t="str">
        <x:v>PJT_24</x:v>
      </x:c>
      <x:c r="B25" s="9" t="n">
        <x:v>61439500</x:v>
      </x:c>
      <x:c r="C25" s="9" t="n">
        <x:v>72498610</x:v>
      </x:c>
      <x:c r="D25" s="9" t="n">
        <x:f t="shared" si="0"/>
        <x:v>11059110</x:v>
      </x:c>
      <x:c r="E25" s="8" t="n">
        <x:f t="shared" si="1"/>
        <x:v>0.18</x:v>
      </x:c>
      <x:c r="F25" s="9" t="n">
        <x:v>1004</x:v>
      </x:c>
      <x:c r="G25" s="9" t="n">
        <x:v>1149</x:v>
      </x:c>
      <x:c r="H25" s="9" t="n">
        <x:f t="shared" si="2"/>
        <x:v>145</x:v>
      </x:c>
      <x:c r="I25" s="8" t="n">
        <x:f t="shared" si="3"/>
        <x:v>0.14442231075697212</x:v>
      </x:c>
      <x:c r="J25" s="3" t="str">
        <x:f t="shared" si="4"/>
        <x:v>Medium</x:v>
      </x:c>
      <x:c r="K25" s="7" t="n">
        <x:v>61.1</x:v>
      </x:c>
      <x:c r="L25" s="7" t="n">
        <x:v>61.9</x:v>
      </x:c>
      <x:c r="M25" s="7" t="n">
        <x:v>60.7</x:v>
      </x:c>
      <x:c r="N25" s="28" t="str">
        <x:v>Pessimistic</x:v>
      </x:c>
      <x:c r="O25" s="29" t="str">
        <x:v>Pessimistic</x:v>
      </x:c>
    </x:row>
    <x:row r="26" ht="13.649999618530273" customHeight="1">
      <x:c r="A26" s="3" t="str">
        <x:v>PJT_25</x:v>
      </x:c>
      <x:c r="B26" s="9" t="n">
        <x:v>30687280</x:v>
      </x:c>
      <x:c r="C26" s="9" t="n">
        <x:v>33894101</x:v>
      </x:c>
      <x:c r="D26" s="9" t="n">
        <x:f t="shared" si="0"/>
        <x:v>3206821</x:v>
      </x:c>
      <x:c r="E26" s="8" t="n">
        <x:f t="shared" si="1"/>
        <x:v>0.10450000782083</x:v>
      </x:c>
      <x:c r="F26" s="9" t="n">
        <x:v>706</x:v>
      </x:c>
      <x:c r="G26" s="9" t="n">
        <x:v>807</x:v>
      </x:c>
      <x:c r="H26" s="9" t="n">
        <x:f t="shared" si="2"/>
        <x:v>101</x:v>
      </x:c>
      <x:c r="I26" s="8" t="n">
        <x:f t="shared" si="3"/>
        <x:v>0.14305949008498584</x:v>
      </x:c>
      <x:c r="J26" s="3" t="str">
        <x:f t="shared" si="4"/>
        <x:v>Medium</x:v>
      </x:c>
      <x:c r="K26" s="7" t="n">
        <x:v>49.5</x:v>
      </x:c>
      <x:c r="L26" s="7" t="n">
        <x:v>51.3</x:v>
      </x:c>
      <x:c r="M26" s="7" t="n">
        <x:v>47.3</x:v>
      </x:c>
      <x:c r="N26" s="28" t="str">
        <x:v>Pessimistic</x:v>
      </x:c>
      <x:c r="O26" s="29" t="str">
        <x:v>Pessimistic</x:v>
      </x:c>
    </x:row>
    <x:row r="27" ht="13.649999618530273" customHeight="1">
      <x:c r="A27" s="3" t="str">
        <x:v>PJT_26</x:v>
      </x:c>
      <x:c r="B27" s="9" t="n">
        <x:v>12553520</x:v>
      </x:c>
      <x:c r="C27" s="9" t="n">
        <x:v>13557802</x:v>
      </x:c>
      <x:c r="D27" s="9" t="n">
        <x:f t="shared" si="0"/>
        <x:v>1004282</x:v>
      </x:c>
      <x:c r="E27" s="8" t="n">
        <x:f t="shared" si="1"/>
        <x:v>0.08000003186357292</x:v>
      </x:c>
      <x:c r="F27" s="9" t="n">
        <x:v>433</x:v>
      </x:c>
      <x:c r="G27" s="9" t="n">
        <x:v>476</x:v>
      </x:c>
      <x:c r="H27" s="9" t="n">
        <x:f t="shared" si="2"/>
        <x:v>43</x:v>
      </x:c>
      <x:c r="I27" s="8" t="n">
        <x:f t="shared" si="3"/>
        <x:v>0.09930715935334873</x:v>
      </x:c>
      <x:c r="J27" s="3" t="str">
        <x:f t="shared" si="4"/>
        <x:v>Low</x:v>
      </x:c>
      <x:c r="K27" s="7" t="n">
        <x:v>43.5</x:v>
      </x:c>
      <x:c r="L27" s="7" t="n">
        <x:v>47.3</x:v>
      </x:c>
      <x:c r="M27" s="7" t="n">
        <x:v>38.1</x:v>
      </x:c>
      <x:c r="N27" s="28" t="str">
        <x:v>Most Likely</x:v>
      </x:c>
      <x:c r="O27" s="29" t="str">
        <x:v>Most Likely</x:v>
      </x:c>
    </x:row>
    <x:row r="28" ht="13.649999618530273" customHeight="1">
      <x:c r="A28" s="3" t="str">
        <x:v>PJT_27</x:v>
      </x:c>
      <x:c r="B28" s="9" t="n">
        <x:v>3358080</x:v>
      </x:c>
      <x:c r="C28" s="9" t="n">
        <x:v>3601541</x:v>
      </x:c>
      <x:c r="D28" s="9" t="n">
        <x:f t="shared" si="0"/>
        <x:v>243461</x:v>
      </x:c>
      <x:c r="E28" s="8" t="n">
        <x:f t="shared" si="1"/>
        <x:v>0.07250005955784258</x:v>
      </x:c>
      <x:c r="F28" s="9" t="n">
        <x:v>319</x:v>
      </x:c>
      <x:c r="G28" s="9" t="n">
        <x:v>338</x:v>
      </x:c>
      <x:c r="H28" s="9" t="n">
        <x:f t="shared" si="2"/>
        <x:v>19</x:v>
      </x:c>
      <x:c r="I28" s="8" t="n">
        <x:f t="shared" si="3"/>
        <x:v>0.05956112852664577</x:v>
      </x:c>
      <x:c r="J28" s="3" t="str">
        <x:f t="shared" si="4"/>
        <x:v>Low</x:v>
      </x:c>
      <x:c r="K28" s="7" t="n">
        <x:v>38</x:v>
      </x:c>
      <x:c r="L28" s="7" t="n">
        <x:v>43.7</x:v>
      </x:c>
      <x:c r="M28" s="7" t="n">
        <x:v>34.1</x:v>
      </x:c>
      <x:c r="N28" s="28" t="str">
        <x:v>Most Likely</x:v>
      </x:c>
      <x:c r="O28" s="29" t="str">
        <x:v>Most Likely</x:v>
      </x:c>
    </x:row>
    <x:row r="29" ht="13.649999618530273" customHeight="1">
      <x:c r="A29" s="3" t="str">
        <x:v>PJT_28</x:v>
      </x:c>
      <x:c r="B29" s="9" t="n">
        <x:v>13702860</x:v>
      </x:c>
      <x:c r="C29" s="9" t="n">
        <x:v>15200583</x:v>
      </x:c>
      <x:c r="D29" s="9" t="n">
        <x:f t="shared" si="0"/>
        <x:v>1497723</x:v>
      </x:c>
      <x:c r="E29" s="8" t="n">
        <x:f t="shared" si="1"/>
        <x:v>0.10930002933694134</x:v>
      </x:c>
      <x:c r="F29" s="9" t="n">
        <x:v>535</x:v>
      </x:c>
      <x:c r="G29" s="9" t="n">
        <x:v>614</x:v>
      </x:c>
      <x:c r="H29" s="9" t="n">
        <x:f t="shared" si="2"/>
        <x:v>79</x:v>
      </x:c>
      <x:c r="I29" s="8" t="n">
        <x:f t="shared" si="3"/>
        <x:v>0.14766355140186915</x:v>
      </x:c>
      <x:c r="J29" s="3" t="str">
        <x:f t="shared" si="4"/>
        <x:v>Medium</x:v>
      </x:c>
      <x:c r="K29" s="7" t="n">
        <x:v>45.7</x:v>
      </x:c>
      <x:c r="L29" s="7" t="n">
        <x:v>49.3</x:v>
      </x:c>
      <x:c r="M29" s="7" t="n">
        <x:v>44.3</x:v>
      </x:c>
      <x:c r="N29" s="28" t="str">
        <x:v>Pessimistic</x:v>
      </x:c>
      <x:c r="O29" s="29" t="str">
        <x:v>Pessimistic</x:v>
      </x:c>
    </x:row>
    <x:row r="30" ht="13.649999618530273" customHeight="1">
      <x:c r="A30" s="3" t="str">
        <x:v>PJT_29</x:v>
      </x:c>
      <x:c r="B30" s="9" t="n">
        <x:v>49408960</x:v>
      </x:c>
      <x:c r="C30" s="9" t="n">
        <x:v>60145527</x:v>
      </x:c>
      <x:c r="D30" s="9" t="n">
        <x:f t="shared" si="0"/>
        <x:v>10736567</x:v>
      </x:c>
      <x:c r="E30" s="8" t="n">
        <x:f t="shared" si="1"/>
        <x:v>0.21729999983808604</x:v>
      </x:c>
      <x:c r="F30" s="9" t="n">
        <x:v>934</x:v>
      </x:c>
      <x:c r="G30" s="9" t="n">
        <x:v>1111</x:v>
      </x:c>
      <x:c r="H30" s="9" t="n">
        <x:f t="shared" si="2"/>
        <x:v>177</x:v>
      </x:c>
      <x:c r="I30" s="8" t="n">
        <x:f t="shared" si="3"/>
        <x:v>0.18950749464668093</x:v>
      </x:c>
      <x:c r="J30" s="3" t="str">
        <x:f t="shared" si="4"/>
        <x:v>High</x:v>
      </x:c>
      <x:c r="K30" s="7" t="n">
        <x:v>72.8</x:v>
      </x:c>
      <x:c r="L30" s="7" t="n">
        <x:v>75</x:v>
      </x:c>
      <x:c r="M30" s="7" t="n">
        <x:v>72.1</x:v>
      </x:c>
      <x:c r="N30" s="28" t="str">
        <x:v>Pessimistic</x:v>
      </x:c>
      <x:c r="O30" s="29" t="str">
        <x:v>Pessimistic</x:v>
      </x:c>
    </x:row>
    <x:row r="31" ht="13.649999618530273" customHeight="1">
      <x:c r="A31" s="3" t="str">
        <x:v>PJT_30</x:v>
      </x:c>
      <x:c r="B31" s="9" t="n">
        <x:v>61835690</x:v>
      </x:c>
      <x:c r="C31" s="9" t="n">
        <x:v>70610174</x:v>
      </x:c>
      <x:c r="D31" s="9" t="n">
        <x:f t="shared" si="0"/>
        <x:v>8774484</x:v>
      </x:c>
      <x:c r="E31" s="8" t="n">
        <x:f t="shared" si="1"/>
        <x:v>0.14189999335335304</x:v>
      </x:c>
      <x:c r="F31" s="9" t="n">
        <x:v>1018</x:v>
      </x:c>
      <x:c r="G31" s="9" t="n">
        <x:v>1181</x:v>
      </x:c>
      <x:c r="H31" s="9" t="n">
        <x:f t="shared" si="2"/>
        <x:v>163</x:v>
      </x:c>
      <x:c r="I31" s="8" t="n">
        <x:f t="shared" si="3"/>
        <x:v>0.16011787819253437</x:v>
      </x:c>
      <x:c r="J31" s="3" t="str">
        <x:f t="shared" si="4"/>
        <x:v>Medium</x:v>
      </x:c>
      <x:c r="K31" s="7" t="n">
        <x:v>59.8</x:v>
      </x:c>
      <x:c r="L31" s="7" t="n">
        <x:v>58.3</x:v>
      </x:c>
      <x:c r="M31" s="7" t="n">
        <x:v>64.6</x:v>
      </x:c>
      <x:c r="N31" s="28" t="str">
        <x:v>Pessimistic</x:v>
      </x:c>
      <x:c r="O31" s="29" t="str">
        <x:v>Pessimistic</x:v>
      </x:c>
    </x:row>
    <x:row r="32" ht="13.649999618530273" customHeight="1">
      <x:c r="A32" s="3" t="str">
        <x:v>PJT_31</x:v>
      </x:c>
      <x:c r="B32" s="9" t="n">
        <x:v>66348760</x:v>
      </x:c>
      <x:c r="C32" s="9" t="n">
        <x:v>79950256</x:v>
      </x:c>
      <x:c r="D32" s="9" t="n">
        <x:f t="shared" si="0"/>
        <x:v>13601496</x:v>
      </x:c>
      <x:c r="E32" s="8" t="n">
        <x:f t="shared" si="1"/>
        <x:v>0.20500000301437435</x:v>
      </x:c>
      <x:c r="F32" s="9" t="n">
        <x:v>1054</x:v>
      </x:c>
      <x:c r="G32" s="9" t="n">
        <x:v>1274</x:v>
      </x:c>
      <x:c r="H32" s="9" t="n">
        <x:f t="shared" si="2"/>
        <x:v>220</x:v>
      </x:c>
      <x:c r="I32" s="8" t="n">
        <x:f t="shared" si="3"/>
        <x:v>0.20872865275142316</x:v>
      </x:c>
      <x:c r="J32" s="3" t="str">
        <x:f t="shared" si="4"/>
        <x:v>High</x:v>
      </x:c>
      <x:c r="K32" s="7" t="n">
        <x:v>74.6</x:v>
      </x:c>
      <x:c r="L32" s="7" t="n">
        <x:v>72.7</x:v>
      </x:c>
      <x:c r="M32" s="7" t="n">
        <x:v>77.1</x:v>
      </x:c>
      <x:c r="N32" s="28" t="str">
        <x:v>Pessimistic</x:v>
      </x:c>
      <x:c r="O32" s="29" t="str">
        <x:v>Pessimistic</x:v>
      </x:c>
    </x:row>
    <x:row r="33" ht="13.649999618530273" customHeight="1">
      <x:c r="A33" s="3" t="str">
        <x:v>PJT_32</x:v>
      </x:c>
      <x:c r="B33" s="9" t="n">
        <x:v>41526600</x:v>
      </x:c>
      <x:c r="C33" s="9" t="n">
        <x:v>47610247</x:v>
      </x:c>
      <x:c r="D33" s="9" t="n">
        <x:f t="shared" si="0"/>
        <x:v>6083647</x:v>
      </x:c>
      <x:c r="E33" s="8" t="n">
        <x:f t="shared" si="1"/>
        <x:v>0.14650000240809505</x:v>
      </x:c>
      <x:c r="F33" s="9" t="n">
        <x:v>797</x:v>
      </x:c>
      <x:c r="G33" s="9" t="n">
        <x:v>931</x:v>
      </x:c>
      <x:c r="H33" s="9" t="n">
        <x:f t="shared" si="2"/>
        <x:v>134</x:v>
      </x:c>
      <x:c r="I33" s="8" t="n">
        <x:f t="shared" si="3"/>
        <x:v>0.16813048933500627</x:v>
      </x:c>
      <x:c r="J33" s="3" t="str">
        <x:f t="shared" si="4"/>
        <x:v>Medium</x:v>
      </x:c>
      <x:c r="K33" s="7" t="n">
        <x:v>54.6</x:v>
      </x:c>
      <x:c r="L33" s="7" t="n">
        <x:v>54.4</x:v>
      </x:c>
      <x:c r="M33" s="7" t="n">
        <x:v>53.2</x:v>
      </x:c>
      <x:c r="N33" s="28" t="str">
        <x:v>Pessimistic</x:v>
      </x:c>
      <x:c r="O33" s="29" t="str">
        <x:v>Pessimistic</x:v>
      </x:c>
    </x:row>
    <x:row r="34" ht="13.649999618530273" customHeight="1">
      <x:c r="A34" s="3" t="str">
        <x:v>PJT_33</x:v>
      </x:c>
      <x:c r="B34" s="9" t="n">
        <x:v>67490100</x:v>
      </x:c>
      <x:c r="C34" s="9" t="n">
        <x:v>77424643</x:v>
      </x:c>
      <x:c r="D34" s="9" t="n">
        <x:f t="shared" ref="D34:D65" si="5">C34-B34</x:f>
        <x:v>9934543</x:v>
      </x:c>
      <x:c r="E34" s="8" t="n">
        <x:f t="shared" ref="E34:E65" si="6">IFERROR(D34/B34,0)</x:f>
        <x:v>0.14720000414875664</x:v>
      </x:c>
      <x:c r="F34" s="9" t="n">
        <x:v>1086</x:v>
      </x:c>
      <x:c r="G34" s="9" t="n">
        <x:v>1275</x:v>
      </x:c>
      <x:c r="H34" s="9" t="n">
        <x:f t="shared" ref="H34:H65" si="7">G34-F34</x:f>
        <x:v>189</x:v>
      </x:c>
      <x:c r="I34" s="8" t="n">
        <x:f t="shared" ref="I34:I65" si="8">IFERROR(H34/F34,0)</x:f>
        <x:v>0.17403314917127072</x:v>
      </x:c>
      <x:c r="J34" s="3" t="str">
        <x:f t="shared" ref="J34:J65" si="9">IF(K34&lt;45,"Low",IF(K34&lt;67,"Medium","High"))</x:f>
        <x:v>Medium</x:v>
      </x:c>
      <x:c r="K34" s="7" t="n">
        <x:v>64.3</x:v>
      </x:c>
      <x:c r="L34" s="7" t="n">
        <x:v>63.9</x:v>
      </x:c>
      <x:c r="M34" s="7" t="n">
        <x:v>64.2</x:v>
      </x:c>
      <x:c r="N34" s="28" t="str">
        <x:v>Pessimistic</x:v>
      </x:c>
      <x:c r="O34" s="29" t="str">
        <x:v>Pessimistic</x:v>
      </x:c>
    </x:row>
    <x:row r="35" ht="13.649999618530273" customHeight="1">
      <x:c r="A35" s="3" t="str">
        <x:v>PJT_34</x:v>
      </x:c>
      <x:c r="B35" s="9" t="n">
        <x:v>67954000</x:v>
      </x:c>
      <x:c r="C35" s="9" t="n">
        <x:v>77501537</x:v>
      </x:c>
      <x:c r="D35" s="9" t="n">
        <x:f t="shared" si="5"/>
        <x:v>9547537</x:v>
      </x:c>
      <x:c r="E35" s="8" t="n">
        <x:f t="shared" si="6"/>
        <x:v>0.1405</x:v>
      </x:c>
      <x:c r="F35" s="9" t="n">
        <x:v>1075</x:v>
      </x:c>
      <x:c r="G35" s="9" t="n">
        <x:v>1267</x:v>
      </x:c>
      <x:c r="H35" s="9" t="n">
        <x:f t="shared" si="7"/>
        <x:v>192</x:v>
      </x:c>
      <x:c r="I35" s="8" t="n">
        <x:f t="shared" si="8"/>
        <x:v>0.1786046511627907</x:v>
      </x:c>
      <x:c r="J35" s="3" t="str">
        <x:f t="shared" si="9"/>
        <x:v>Medium</x:v>
      </x:c>
      <x:c r="K35" s="7" t="n">
        <x:v>57.7</x:v>
      </x:c>
      <x:c r="L35" s="7" t="n">
        <x:v>57.1</x:v>
      </x:c>
      <x:c r="M35" s="7" t="n">
        <x:v>58.1</x:v>
      </x:c>
      <x:c r="N35" s="28" t="str">
        <x:v>Pessimistic</x:v>
      </x:c>
      <x:c r="O35" s="29" t="str">
        <x:v>Pessimistic</x:v>
      </x:c>
    </x:row>
    <x:row r="36" ht="13.649999618530273" customHeight="1">
      <x:c r="A36" s="3" t="str">
        <x:v>PJT_35</x:v>
      </x:c>
      <x:c r="B36" s="9" t="n">
        <x:v>43437850</x:v>
      </x:c>
      <x:c r="C36" s="9" t="n">
        <x:v>50036059</x:v>
      </x:c>
      <x:c r="D36" s="9" t="n">
        <x:f t="shared" si="5"/>
        <x:v>6598209</x:v>
      </x:c>
      <x:c r="E36" s="8" t="n">
        <x:f t="shared" si="6"/>
        <x:v>0.15189999044612015</x:v>
      </x:c>
      <x:c r="F36" s="9" t="n">
        <x:v>876</x:v>
      </x:c>
      <x:c r="G36" s="9" t="n">
        <x:v>1055</x:v>
      </x:c>
      <x:c r="H36" s="9" t="n">
        <x:f t="shared" si="7"/>
        <x:v>179</x:v>
      </x:c>
      <x:c r="I36" s="8" t="n">
        <x:f t="shared" si="8"/>
        <x:v>0.204337899543379</x:v>
      </x:c>
      <x:c r="J36" s="3" t="str">
        <x:f t="shared" si="9"/>
        <x:v>Medium</x:v>
      </x:c>
      <x:c r="K36" s="7" t="n">
        <x:v>57.8</x:v>
      </x:c>
      <x:c r="L36" s="7" t="n">
        <x:v>58.1</x:v>
      </x:c>
      <x:c r="M36" s="7" t="n">
        <x:v>61.5</x:v>
      </x:c>
      <x:c r="N36" s="28" t="str">
        <x:v>Pessimistic</x:v>
      </x:c>
      <x:c r="O36" s="29" t="str">
        <x:v>Pessimistic</x:v>
      </x:c>
    </x:row>
    <x:row r="37" ht="13.649999618530273" customHeight="1">
      <x:c r="A37" s="3" t="str">
        <x:v>PJT_36</x:v>
      </x:c>
      <x:c r="B37" s="9" t="n">
        <x:v>59250390</x:v>
      </x:c>
      <x:c r="C37" s="9" t="n">
        <x:v>69915460</x:v>
      </x:c>
      <x:c r="D37" s="9" t="n">
        <x:f t="shared" si="5"/>
        <x:v>10665070</x:v>
      </x:c>
      <x:c r="E37" s="8" t="n">
        <x:f t="shared" si="6"/>
        <x:v>0.17999999662449478</x:v>
      </x:c>
      <x:c r="F37" s="9" t="n">
        <x:v>1017</x:v>
      </x:c>
      <x:c r="G37" s="9" t="n">
        <x:v>1241</x:v>
      </x:c>
      <x:c r="H37" s="9" t="n">
        <x:f t="shared" si="7"/>
        <x:v>224</x:v>
      </x:c>
      <x:c r="I37" s="8" t="n">
        <x:f t="shared" si="8"/>
        <x:v>0.22025565388397247</x:v>
      </x:c>
      <x:c r="J37" s="3" t="str">
        <x:f t="shared" si="9"/>
        <x:v>Medium</x:v>
      </x:c>
      <x:c r="K37" s="7" t="n">
        <x:v>65.3</x:v>
      </x:c>
      <x:c r="L37" s="7" t="n">
        <x:v>67</x:v>
      </x:c>
      <x:c r="M37" s="7" t="n">
        <x:v>64.3</x:v>
      </x:c>
      <x:c r="N37" s="28" t="str">
        <x:v>Pessimistic</x:v>
      </x:c>
      <x:c r="O37" s="29" t="str">
        <x:v>Pessimistic</x:v>
      </x:c>
    </x:row>
    <x:row r="38" ht="13.649999618530273" customHeight="1">
      <x:c r="A38" s="3" t="str">
        <x:v>PJT_37</x:v>
      </x:c>
      <x:c r="B38" s="9" t="n">
        <x:v>8885500</x:v>
      </x:c>
      <x:c r="C38" s="9" t="n">
        <x:v>9596340</x:v>
      </x:c>
      <x:c r="D38" s="9" t="n">
        <x:f t="shared" si="5"/>
        <x:v>710840</x:v>
      </x:c>
      <x:c r="E38" s="8" t="n">
        <x:f t="shared" si="6"/>
        <x:v>0.08</x:v>
      </x:c>
      <x:c r="F38" s="9" t="n">
        <x:v>424</x:v>
      </x:c>
      <x:c r="G38" s="9" t="n">
        <x:v>446</x:v>
      </x:c>
      <x:c r="H38" s="9" t="n">
        <x:f t="shared" si="7"/>
        <x:v>22</x:v>
      </x:c>
      <x:c r="I38" s="8" t="n">
        <x:f t="shared" si="8"/>
        <x:v>0.05188679245283019</x:v>
      </x:c>
      <x:c r="J38" s="3" t="str">
        <x:f t="shared" si="9"/>
        <x:v>Low</x:v>
      </x:c>
      <x:c r="K38" s="7" t="n">
        <x:v>44.8</x:v>
      </x:c>
      <x:c r="L38" s="7" t="n">
        <x:v>49.8</x:v>
      </x:c>
      <x:c r="M38" s="7" t="n">
        <x:v>37.7</x:v>
      </x:c>
      <x:c r="N38" s="28" t="str">
        <x:v>Most Likely</x:v>
      </x:c>
      <x:c r="O38" s="29" t="str">
        <x:v>Most Likely</x:v>
      </x:c>
    </x:row>
    <x:row r="39" ht="13.649999618530273" customHeight="1">
      <x:c r="A39" s="3" t="str">
        <x:v>PJT_38</x:v>
      </x:c>
      <x:c r="B39" s="9" t="n">
        <x:v>64768460</x:v>
      </x:c>
      <x:c r="C39" s="9" t="n">
        <x:v>75228566</x:v>
      </x:c>
      <x:c r="D39" s="9" t="n">
        <x:f t="shared" si="5"/>
        <x:v>10460106</x:v>
      </x:c>
      <x:c r="E39" s="8" t="n">
        <x:f t="shared" si="6"/>
        <x:v>0.16149999552251204</x:v>
      </x:c>
      <x:c r="F39" s="9" t="n">
        <x:v>1035</x:v>
      </x:c>
      <x:c r="G39" s="9" t="n">
        <x:v>1251</x:v>
      </x:c>
      <x:c r="H39" s="9" t="n">
        <x:f t="shared" si="7"/>
        <x:v>216</x:v>
      </x:c>
      <x:c r="I39" s="8" t="n">
        <x:f t="shared" si="8"/>
        <x:v>0.20869565217391303</x:v>
      </x:c>
      <x:c r="J39" s="3" t="str">
        <x:f t="shared" si="9"/>
        <x:v>Medium</x:v>
      </x:c>
      <x:c r="K39" s="7" t="n">
        <x:v>61.6</x:v>
      </x:c>
      <x:c r="L39" s="7" t="n">
        <x:v>60.8</x:v>
      </x:c>
      <x:c r="M39" s="7" t="n">
        <x:v>61.2</x:v>
      </x:c>
      <x:c r="N39" s="28" t="str">
        <x:v>Pessimistic</x:v>
      </x:c>
      <x:c r="O39" s="29" t="str">
        <x:v>Pessimistic</x:v>
      </x:c>
    </x:row>
    <x:row r="40" ht="13.649999618530273" customHeight="1">
      <x:c r="A40" s="3" t="str">
        <x:v>PJT_39</x:v>
      </x:c>
      <x:c r="B40" s="9" t="n">
        <x:v>59863040</x:v>
      </x:c>
      <x:c r="C40" s="9" t="n">
        <x:v>69818264</x:v>
      </x:c>
      <x:c r="D40" s="9" t="n">
        <x:f t="shared" si="5"/>
        <x:v>9955224</x:v>
      </x:c>
      <x:c r="E40" s="8" t="n">
        <x:f t="shared" si="6"/>
        <x:v>0.16630000748374957</x:v>
      </x:c>
      <x:c r="F40" s="9" t="n">
        <x:v>915</x:v>
      </x:c>
      <x:c r="G40" s="9" t="n">
        <x:v>1116</x:v>
      </x:c>
      <x:c r="H40" s="9" t="n">
        <x:f t="shared" si="7"/>
        <x:v>201</x:v>
      </x:c>
      <x:c r="I40" s="8" t="n">
        <x:f t="shared" si="8"/>
        <x:v>0.21967213114754097</x:v>
      </x:c>
      <x:c r="J40" s="3" t="str">
        <x:f t="shared" si="9"/>
        <x:v>Medium</x:v>
      </x:c>
      <x:c r="K40" s="7" t="n">
        <x:v>64.5</x:v>
      </x:c>
      <x:c r="L40" s="7" t="n">
        <x:v>63.7</x:v>
      </x:c>
      <x:c r="M40" s="7" t="n">
        <x:v>69</x:v>
      </x:c>
      <x:c r="N40" s="28" t="str">
        <x:v>Pessimistic</x:v>
      </x:c>
      <x:c r="O40" s="29" t="str">
        <x:v>Pessimistic</x:v>
      </x:c>
    </x:row>
    <x:row r="41" ht="13.649999618530273" customHeight="1">
      <x:c r="A41" s="3" t="str">
        <x:v>PJT_40</x:v>
      </x:c>
      <x:c r="B41" s="9" t="n">
        <x:v>48777200</x:v>
      </x:c>
      <x:c r="C41" s="9" t="n">
        <x:v>58454596</x:v>
      </x:c>
      <x:c r="D41" s="9" t="n">
        <x:f t="shared" si="5"/>
        <x:v>9677396</x:v>
      </x:c>
      <x:c r="E41" s="8" t="n">
        <x:f t="shared" si="6"/>
        <x:v>0.19839999015933674</x:v>
      </x:c>
      <x:c r="F41" s="9" t="n">
        <x:v>918</x:v>
      </x:c>
      <x:c r="G41" s="9" t="n">
        <x:v>1115</x:v>
      </x:c>
      <x:c r="H41" s="9" t="n">
        <x:f t="shared" si="7"/>
        <x:v>197</x:v>
      </x:c>
      <x:c r="I41" s="8" t="n">
        <x:f t="shared" si="8"/>
        <x:v>0.21459694989106753</x:v>
      </x:c>
      <x:c r="J41" s="3" t="str">
        <x:f t="shared" si="9"/>
        <x:v>High</x:v>
      </x:c>
      <x:c r="K41" s="7" t="n">
        <x:v>70.5</x:v>
      </x:c>
      <x:c r="L41" s="7" t="n">
        <x:v>71.2</x:v>
      </x:c>
      <x:c r="M41" s="7" t="n">
        <x:v>74.4</x:v>
      </x:c>
      <x:c r="N41" s="28" t="str">
        <x:v>Pessimistic</x:v>
      </x:c>
      <x:c r="O41" s="29" t="str">
        <x:v>Pessimistic</x:v>
      </x:c>
    </x:row>
    <x:row r="42" ht="13.649999618530273" customHeight="1">
      <x:c r="A42" s="3" t="str">
        <x:v>PJT_41</x:v>
      </x:c>
      <x:c r="B42" s="9" t="n">
        <x:v>48635300</x:v>
      </x:c>
      <x:c r="C42" s="9" t="n">
        <x:v>55152430</x:v>
      </x:c>
      <x:c r="D42" s="9" t="n">
        <x:f t="shared" si="5"/>
        <x:v>6517130</x:v>
      </x:c>
      <x:c r="E42" s="8" t="n">
        <x:f t="shared" si="6"/>
        <x:v>0.13399999588776054</x:v>
      </x:c>
      <x:c r="F42" s="9" t="n">
        <x:v>913</x:v>
      </x:c>
      <x:c r="G42" s="9" t="n">
        <x:v>1065</x:v>
      </x:c>
      <x:c r="H42" s="9" t="n">
        <x:f t="shared" si="7"/>
        <x:v>152</x:v>
      </x:c>
      <x:c r="I42" s="8" t="n">
        <x:f t="shared" si="8"/>
        <x:v>0.1664841182913472</x:v>
      </x:c>
      <x:c r="J42" s="3" t="str">
        <x:f t="shared" si="9"/>
        <x:v>Medium</x:v>
      </x:c>
      <x:c r="K42" s="7" t="n">
        <x:v>54</x:v>
      </x:c>
      <x:c r="L42" s="7" t="n">
        <x:v>51.7</x:v>
      </x:c>
      <x:c r="M42" s="7" t="n">
        <x:v>57.2</x:v>
      </x:c>
      <x:c r="N42" s="28" t="str">
        <x:v>Pessimistic</x:v>
      </x:c>
      <x:c r="O42" s="29" t="str">
        <x:v>Pessimistic</x:v>
      </x:c>
    </x:row>
    <x:row r="43" ht="13.649999618530273" customHeight="1">
      <x:c r="A43" s="3" t="str">
        <x:v>PJT_42</x:v>
      </x:c>
      <x:c r="B43" s="9" t="n">
        <x:v>41378260</x:v>
      </x:c>
      <x:c r="C43" s="9" t="n">
        <x:v>46836052</x:v>
      </x:c>
      <x:c r="D43" s="9" t="n">
        <x:f t="shared" si="5"/>
        <x:v>5457792</x:v>
      </x:c>
      <x:c r="E43" s="8" t="n">
        <x:f t="shared" si="6"/>
        <x:v>0.13189998806136363</x:v>
      </x:c>
      <x:c r="F43" s="9" t="n">
        <x:v>837</x:v>
      </x:c>
      <x:c r="G43" s="9" t="n">
        <x:v>981</x:v>
      </x:c>
      <x:c r="H43" s="9" t="n">
        <x:f t="shared" si="7"/>
        <x:v>144</x:v>
      </x:c>
      <x:c r="I43" s="8" t="n">
        <x:f t="shared" si="8"/>
        <x:v>0.17204301075268819</x:v>
      </x:c>
      <x:c r="J43" s="3" t="str">
        <x:f t="shared" si="9"/>
        <x:v>Medium</x:v>
      </x:c>
      <x:c r="K43" s="7" t="n">
        <x:v>56.9</x:v>
      </x:c>
      <x:c r="L43" s="7" t="n">
        <x:v>60.1</x:v>
      </x:c>
      <x:c r="M43" s="7" t="n">
        <x:v>55.8</x:v>
      </x:c>
      <x:c r="N43" s="28" t="str">
        <x:v>Pessimistic</x:v>
      </x:c>
      <x:c r="O43" s="29" t="str">
        <x:v>Pessimistic</x:v>
      </x:c>
    </x:row>
    <x:row r="44" ht="13.649999618530273" customHeight="1">
      <x:c r="A44" s="3" t="str">
        <x:v>PJT_43</x:v>
      </x:c>
      <x:c r="B44" s="9" t="n">
        <x:v>59942270</x:v>
      </x:c>
      <x:c r="C44" s="9" t="n">
        <x:v>70731879</x:v>
      </x:c>
      <x:c r="D44" s="9" t="n">
        <x:f t="shared" si="5"/>
        <x:v>10789609</x:v>
      </x:c>
      <x:c r="E44" s="8" t="n">
        <x:f t="shared" si="6"/>
        <x:v>0.1800000066730873</x:v>
      </x:c>
      <x:c r="F44" s="9" t="n">
        <x:v>1019</x:v>
      </x:c>
      <x:c r="G44" s="9" t="n">
        <x:v>1191</x:v>
      </x:c>
      <x:c r="H44" s="9" t="n">
        <x:f t="shared" si="7"/>
        <x:v>172</x:v>
      </x:c>
      <x:c r="I44" s="8" t="n">
        <x:f t="shared" si="8"/>
        <x:v>0.16879293424926398</x:v>
      </x:c>
      <x:c r="J44" s="3" t="str">
        <x:f t="shared" si="9"/>
        <x:v>Medium</x:v>
      </x:c>
      <x:c r="K44" s="7" t="n">
        <x:v>64.5</x:v>
      </x:c>
      <x:c r="L44" s="7" t="n">
        <x:v>66.6</x:v>
      </x:c>
      <x:c r="M44" s="7" t="n">
        <x:v>63</x:v>
      </x:c>
      <x:c r="N44" s="28" t="str">
        <x:v>Pessimistic</x:v>
      </x:c>
      <x:c r="O44" s="29" t="str">
        <x:v>Pessimistic</x:v>
      </x:c>
    </x:row>
    <x:row r="45" ht="13.649999618530273" customHeight="1">
      <x:c r="A45" s="3" t="str">
        <x:v>PJT_44</x:v>
      </x:c>
      <x:c r="B45" s="9" t="n">
        <x:v>53780780</x:v>
      </x:c>
      <x:c r="C45" s="9" t="n">
        <x:v>60847574</x:v>
      </x:c>
      <x:c r="D45" s="9" t="n">
        <x:f t="shared" si="5"/>
        <x:v>7066794</x:v>
      </x:c>
      <x:c r="E45" s="8" t="n">
        <x:f t="shared" si="6"/>
        <x:v>0.1313999908517504</x:v>
      </x:c>
      <x:c r="F45" s="9" t="n">
        <x:v>964</x:v>
      </x:c>
      <x:c r="G45" s="9" t="n">
        <x:v>1126</x:v>
      </x:c>
      <x:c r="H45" s="9" t="n">
        <x:f t="shared" si="7"/>
        <x:v>162</x:v>
      </x:c>
      <x:c r="I45" s="8" t="n">
        <x:f t="shared" si="8"/>
        <x:v>0.16804979253112035</x:v>
      </x:c>
      <x:c r="J45" s="3" t="str">
        <x:f t="shared" si="9"/>
        <x:v>Medium</x:v>
      </x:c>
      <x:c r="K45" s="7" t="n">
        <x:v>54.4</x:v>
      </x:c>
      <x:c r="L45" s="7" t="n">
        <x:v>51.4</x:v>
      </x:c>
      <x:c r="M45" s="7" t="n">
        <x:v>58.6</x:v>
      </x:c>
      <x:c r="N45" s="28" t="str">
        <x:v>Pessimistic</x:v>
      </x:c>
      <x:c r="O45" s="29" t="str">
        <x:v>Pessimistic</x:v>
      </x:c>
    </x:row>
    <x:row r="46" ht="13.649999618530273" customHeight="1">
      <x:c r="A46" s="3" t="str">
        <x:v>PJT_45</x:v>
      </x:c>
      <x:c r="B46" s="9" t="n">
        <x:v>18099480</x:v>
      </x:c>
      <x:c r="C46" s="9" t="n">
        <x:v>20781823</x:v>
      </x:c>
      <x:c r="D46" s="9" t="n">
        <x:f t="shared" si="5"/>
        <x:v>2682343</x:v>
      </x:c>
      <x:c r="E46" s="8" t="n">
        <x:f t="shared" si="6"/>
        <x:v>0.1482000035360132</x:v>
      </x:c>
      <x:c r="F46" s="9" t="n">
        <x:v>578</x:v>
      </x:c>
      <x:c r="G46" s="9" t="n">
        <x:v>644</x:v>
      </x:c>
      <x:c r="H46" s="9" t="n">
        <x:f t="shared" si="7"/>
        <x:v>66</x:v>
      </x:c>
      <x:c r="I46" s="8" t="n">
        <x:f t="shared" si="8"/>
        <x:v>0.11418685121107267</x:v>
      </x:c>
      <x:c r="J46" s="3" t="str">
        <x:f t="shared" si="9"/>
        <x:v>Medium</x:v>
      </x:c>
      <x:c r="K46" s="7" t="n">
        <x:v>52.6</x:v>
      </x:c>
      <x:c r="L46" s="7" t="n">
        <x:v>54.7</x:v>
      </x:c>
      <x:c r="M46" s="7" t="n">
        <x:v>51.4</x:v>
      </x:c>
      <x:c r="N46" s="28" t="str">
        <x:v>Pessimistic</x:v>
      </x:c>
      <x:c r="O46" s="29" t="str">
        <x:v>Pessimistic</x:v>
      </x:c>
    </x:row>
    <x:row r="47" ht="13.649999618530273" customHeight="1">
      <x:c r="A47" s="3" t="str">
        <x:v>PJT_46</x:v>
      </x:c>
      <x:c r="B47" s="9" t="n">
        <x:v>19655730</x:v>
      </x:c>
      <x:c r="C47" s="9" t="n">
        <x:v>21228188</x:v>
      </x:c>
      <x:c r="D47" s="9" t="n">
        <x:f t="shared" si="5"/>
        <x:v>1572458</x:v>
      </x:c>
      <x:c r="E47" s="8" t="n">
        <x:f t="shared" si="6"/>
        <x:v>0.07999997964970011</x:v>
      </x:c>
      <x:c r="F47" s="9" t="n">
        <x:v>539</x:v>
      </x:c>
      <x:c r="G47" s="9" t="n">
        <x:v>582</x:v>
      </x:c>
      <x:c r="H47" s="9" t="n">
        <x:f t="shared" si="7"/>
        <x:v>43</x:v>
      </x:c>
      <x:c r="I47" s="8" t="n">
        <x:f t="shared" si="8"/>
        <x:v>0.07977736549165121</x:v>
      </x:c>
      <x:c r="J47" s="3" t="str">
        <x:f t="shared" si="9"/>
        <x:v>Low</x:v>
      </x:c>
      <x:c r="K47" s="7" t="n">
        <x:v>43.5</x:v>
      </x:c>
      <x:c r="L47" s="7" t="n">
        <x:v>45.8</x:v>
      </x:c>
      <x:c r="M47" s="7" t="n">
        <x:v>42.8</x:v>
      </x:c>
      <x:c r="N47" s="28" t="str">
        <x:v>Most Likely</x:v>
      </x:c>
      <x:c r="O47" s="29" t="str">
        <x:v>Most Likely</x:v>
      </x:c>
    </x:row>
    <x:row r="48" ht="13.649999618530273" customHeight="1">
      <x:c r="A48" s="3" t="str">
        <x:v>PJT_47</x:v>
      </x:c>
      <x:c r="B48" s="9" t="n">
        <x:v>59291760</x:v>
      </x:c>
      <x:c r="C48" s="9" t="n">
        <x:v>68564991</x:v>
      </x:c>
      <x:c r="D48" s="9" t="n">
        <x:f t="shared" si="5"/>
        <x:v>9273231</x:v>
      </x:c>
      <x:c r="E48" s="8" t="n">
        <x:f t="shared" si="6"/>
        <x:v>0.156399995547442</x:v>
      </x:c>
      <x:c r="F48" s="9" t="n">
        <x:v>1000</x:v>
      </x:c>
      <x:c r="G48" s="9" t="n">
        <x:v>1191</x:v>
      </x:c>
      <x:c r="H48" s="9" t="n">
        <x:f t="shared" si="7"/>
        <x:v>191</x:v>
      </x:c>
      <x:c r="I48" s="8" t="n">
        <x:f t="shared" si="8"/>
        <x:v>0.191</x:v>
      </x:c>
      <x:c r="J48" s="3" t="str">
        <x:f t="shared" si="9"/>
        <x:v>Medium</x:v>
      </x:c>
      <x:c r="K48" s="7" t="n">
        <x:v>61.1</x:v>
      </x:c>
      <x:c r="L48" s="7" t="n">
        <x:v>60.4</x:v>
      </x:c>
      <x:c r="M48" s="7" t="n">
        <x:v>60.7</x:v>
      </x:c>
      <x:c r="N48" s="28" t="str">
        <x:v>Pessimistic</x:v>
      </x:c>
      <x:c r="O48" s="29" t="str">
        <x:v>Pessimistic</x:v>
      </x:c>
    </x:row>
    <x:row r="49" ht="13.649999618530273" customHeight="1">
      <x:c r="A49" s="3" t="str">
        <x:v>PJT_48</x:v>
      </x:c>
      <x:c r="B49" s="9" t="n">
        <x:v>64817640</x:v>
      </x:c>
      <x:c r="C49" s="9" t="n">
        <x:v>74844929</x:v>
      </x:c>
      <x:c r="D49" s="9" t="n">
        <x:f t="shared" si="5"/>
        <x:v>10027289</x:v>
      </x:c>
      <x:c r="E49" s="8" t="n">
        <x:f t="shared" si="6"/>
        <x:v>0.1547000014193667</x:v>
      </x:c>
      <x:c r="F49" s="9" t="n">
        <x:v>1028</x:v>
      </x:c>
      <x:c r="G49" s="9" t="n">
        <x:v>1186</x:v>
      </x:c>
      <x:c r="H49" s="9" t="n">
        <x:f t="shared" si="7"/>
        <x:v>158</x:v>
      </x:c>
      <x:c r="I49" s="8" t="n">
        <x:f t="shared" si="8"/>
        <x:v>0.15369649805447472</x:v>
      </x:c>
      <x:c r="J49" s="3" t="str">
        <x:f t="shared" si="9"/>
        <x:v>Medium</x:v>
      </x:c>
      <x:c r="K49" s="7" t="n">
        <x:v>59.9</x:v>
      </x:c>
      <x:c r="L49" s="7" t="n">
        <x:v>58.8</x:v>
      </x:c>
      <x:c r="M49" s="7" t="n">
        <x:v>57.6</x:v>
      </x:c>
      <x:c r="N49" s="28" t="str">
        <x:v>Pessimistic</x:v>
      </x:c>
      <x:c r="O49" s="29" t="str">
        <x:v>Pessimistic</x:v>
      </x:c>
    </x:row>
    <x:row r="50" ht="13.649999618530273" customHeight="1">
      <x:c r="A50" s="3" t="str">
        <x:v>PJT_49</x:v>
      </x:c>
      <x:c r="B50" s="9" t="n">
        <x:v>63337680</x:v>
      </x:c>
      <x:c r="C50" s="9" t="n">
        <x:v>75903876</x:v>
      </x:c>
      <x:c r="D50" s="9" t="n">
        <x:f t="shared" si="5"/>
        <x:v>12566196</x:v>
      </x:c>
      <x:c r="E50" s="8" t="n">
        <x:f t="shared" si="6"/>
        <x:v>0.19840000454705634</x:v>
      </x:c>
      <x:c r="F50" s="9" t="n">
        <x:v>1076</x:v>
      </x:c>
      <x:c r="G50" s="9" t="n">
        <x:v>1328</x:v>
      </x:c>
      <x:c r="H50" s="9" t="n">
        <x:f t="shared" si="7"/>
        <x:v>252</x:v>
      </x:c>
      <x:c r="I50" s="8" t="n">
        <x:f t="shared" si="8"/>
        <x:v>0.2342007434944238</x:v>
      </x:c>
      <x:c r="J50" s="3" t="str">
        <x:f t="shared" si="9"/>
        <x:v>High</x:v>
      </x:c>
      <x:c r="K50" s="7" t="n">
        <x:v>72.5</x:v>
      </x:c>
      <x:c r="L50" s="7" t="n">
        <x:v>71.6</x:v>
      </x:c>
      <x:c r="M50" s="7" t="n">
        <x:v>75.9</x:v>
      </x:c>
      <x:c r="N50" s="28" t="str">
        <x:v>Pessimistic</x:v>
      </x:c>
      <x:c r="O50" s="29" t="str">
        <x:v>Pessimistic</x:v>
      </x:c>
    </x:row>
    <x:row r="51" ht="13.649999618530273" customHeight="1">
      <x:c r="A51" s="3" t="str">
        <x:v>PJT_50</x:v>
      </x:c>
      <x:c r="B51" s="9" t="n">
        <x:v>7124220</x:v>
      </x:c>
      <x:c r="C51" s="9" t="n">
        <x:v>7694158</x:v>
      </x:c>
      <x:c r="D51" s="9" t="n">
        <x:f t="shared" si="5"/>
        <x:v>569938</x:v>
      </x:c>
      <x:c r="E51" s="8" t="n">
        <x:f t="shared" si="6"/>
        <x:v>0.08000005614649744</x:v>
      </x:c>
      <x:c r="F51" s="9" t="n">
        <x:v>381</x:v>
      </x:c>
      <x:c r="G51" s="9" t="n">
        <x:v>408</x:v>
      </x:c>
      <x:c r="H51" s="9" t="n">
        <x:f t="shared" si="7"/>
        <x:v>27</x:v>
      </x:c>
      <x:c r="I51" s="8" t="n">
        <x:f t="shared" si="8"/>
        <x:v>0.07086614173228346</x:v>
      </x:c>
      <x:c r="J51" s="3" t="str">
        <x:f t="shared" si="9"/>
        <x:v>Low</x:v>
      </x:c>
      <x:c r="K51" s="7" t="n">
        <x:v>42.4</x:v>
      </x:c>
      <x:c r="L51" s="7" t="n">
        <x:v>44.1</x:v>
      </x:c>
      <x:c r="M51" s="7" t="n">
        <x:v>44.6</x:v>
      </x:c>
      <x:c r="N51" s="28" t="str">
        <x:v>Most Likely</x:v>
      </x:c>
      <x:c r="O51" s="29" t="str">
        <x:v>Most Likely</x:v>
      </x:c>
    </x:row>
    <x:row r="52" ht="13.649999618530273" customHeight="1">
      <x:c r="A52" s="3" t="str">
        <x:v>PJT_51</x:v>
      </x:c>
      <x:c r="B52" s="9" t="n">
        <x:v>13681920</x:v>
      </x:c>
      <x:c r="C52" s="9" t="n">
        <x:v>15612439</x:v>
      </x:c>
      <x:c r="D52" s="9" t="n">
        <x:f t="shared" si="5"/>
        <x:v>1930519</x:v>
      </x:c>
      <x:c r="E52" s="8" t="n">
        <x:f t="shared" si="6"/>
        <x:v>0.1411000064318458</x:v>
      </x:c>
      <x:c r="F52" s="9" t="n">
        <x:v>525</x:v>
      </x:c>
      <x:c r="G52" s="9" t="n">
        <x:v>588</x:v>
      </x:c>
      <x:c r="H52" s="9" t="n">
        <x:f t="shared" si="7"/>
        <x:v>63</x:v>
      </x:c>
      <x:c r="I52" s="8" t="n">
        <x:f t="shared" si="8"/>
        <x:v>0.12</x:v>
      </x:c>
      <x:c r="J52" s="3" t="str">
        <x:f t="shared" si="9"/>
        <x:v>Medium</x:v>
      </x:c>
      <x:c r="K52" s="7" t="n">
        <x:v>47.4</x:v>
      </x:c>
      <x:c r="L52" s="7" t="n">
        <x:v>51.3</x:v>
      </x:c>
      <x:c r="M52" s="7" t="n">
        <x:v>44</x:v>
      </x:c>
      <x:c r="N52" s="28" t="str">
        <x:v>Pessimistic</x:v>
      </x:c>
      <x:c r="O52" s="29" t="str">
        <x:v>Pessimistic</x:v>
      </x:c>
    </x:row>
    <x:row r="53" ht="13.649999618530273" customHeight="1">
      <x:c r="A53" s="3" t="str">
        <x:v>PJT_52</x:v>
      </x:c>
      <x:c r="B53" s="9" t="n">
        <x:v>8877440</x:v>
      </x:c>
      <x:c r="C53" s="9" t="n">
        <x:v>9433168</x:v>
      </x:c>
      <x:c r="D53" s="9" t="n">
        <x:f t="shared" si="5"/>
        <x:v>555728</x:v>
      </x:c>
      <x:c r="E53" s="8" t="n">
        <x:f t="shared" si="6"/>
        <x:v>0.06260002883714223</x:v>
      </x:c>
      <x:c r="F53" s="9" t="n">
        <x:v>412</x:v>
      </x:c>
      <x:c r="G53" s="9" t="n">
        <x:v>448</x:v>
      </x:c>
      <x:c r="H53" s="9" t="n">
        <x:f t="shared" si="7"/>
        <x:v>36</x:v>
      </x:c>
      <x:c r="I53" s="8" t="n">
        <x:f t="shared" si="8"/>
        <x:v>0.08737864077669903</x:v>
      </x:c>
      <x:c r="J53" s="3" t="str">
        <x:f t="shared" si="9"/>
        <x:v>Low</x:v>
      </x:c>
      <x:c r="K53" s="7" t="n">
        <x:v>36</x:v>
      </x:c>
      <x:c r="L53" s="7" t="n">
        <x:v>36.2</x:v>
      </x:c>
      <x:c r="M53" s="7" t="n">
        <x:v>40.5</x:v>
      </x:c>
      <x:c r="N53" s="28" t="str">
        <x:v>Most Likely</x:v>
      </x:c>
      <x:c r="O53" s="29" t="str">
        <x:v>Most Likely</x:v>
      </x:c>
    </x:row>
    <x:row r="54" ht="13.649999618530273" customHeight="1">
      <x:c r="A54" s="3" t="str">
        <x:v>PJT_53</x:v>
      </x:c>
      <x:c r="B54" s="9" t="n">
        <x:v>74227680</x:v>
      </x:c>
      <x:c r="C54" s="9" t="n">
        <x:v>91292624</x:v>
      </x:c>
      <x:c r="D54" s="9" t="n">
        <x:f t="shared" si="5"/>
        <x:v>17064944</x:v>
      </x:c>
      <x:c r="E54" s="8" t="n">
        <x:f t="shared" si="6"/>
        <x:v>0.22990000495771928</x:v>
      </x:c>
      <x:c r="F54" s="9" t="n">
        <x:v>1149</x:v>
      </x:c>
      <x:c r="G54" s="9" t="n">
        <x:v>1422</x:v>
      </x:c>
      <x:c r="H54" s="9" t="n">
        <x:f t="shared" si="7"/>
        <x:v>273</x:v>
      </x:c>
      <x:c r="I54" s="8" t="n">
        <x:f t="shared" si="8"/>
        <x:v>0.23759791122715404</x:v>
      </x:c>
      <x:c r="J54" s="3" t="str">
        <x:f t="shared" si="9"/>
        <x:v>High</x:v>
      </x:c>
      <x:c r="K54" s="7" t="n">
        <x:v>74.6</x:v>
      </x:c>
      <x:c r="L54" s="7" t="n">
        <x:v>75.7</x:v>
      </x:c>
      <x:c r="M54" s="7" t="n">
        <x:v>72.1</x:v>
      </x:c>
      <x:c r="N54" s="28" t="str">
        <x:v>Pessimistic</x:v>
      </x:c>
      <x:c r="O54" s="29" t="str">
        <x:v>Pessimistic</x:v>
      </x:c>
    </x:row>
    <x:row r="55" ht="13.649999618530273" customHeight="1">
      <x:c r="A55" s="3" t="str">
        <x:v>PJT_54</x:v>
      </x:c>
      <x:c r="B55" s="9" t="n">
        <x:v>59373600</x:v>
      </x:c>
      <x:c r="C55" s="9" t="n">
        <x:v>72358606</x:v>
      </x:c>
      <x:c r="D55" s="9" t="n">
        <x:f t="shared" si="5"/>
        <x:v>12985006</x:v>
      </x:c>
      <x:c r="E55" s="8" t="n">
        <x:f t="shared" si="6"/>
        <x:v>0.21869999461039924</x:v>
      </x:c>
      <x:c r="F55" s="9" t="n">
        <x:v>1019</x:v>
      </x:c>
      <x:c r="G55" s="9" t="n">
        <x:v>1200</x:v>
      </x:c>
      <x:c r="H55" s="9" t="n">
        <x:f t="shared" si="7"/>
        <x:v>181</x:v>
      </x:c>
      <x:c r="I55" s="8" t="n">
        <x:f t="shared" si="8"/>
        <x:v>0.17762512266928362</x:v>
      </x:c>
      <x:c r="J55" s="3" t="str">
        <x:f t="shared" si="9"/>
        <x:v>High</x:v>
      </x:c>
      <x:c r="K55" s="7" t="n">
        <x:v>68.7</x:v>
      </x:c>
      <x:c r="L55" s="7" t="n">
        <x:v>70.9</x:v>
      </x:c>
      <x:c r="M55" s="7" t="n">
        <x:v>67.2</x:v>
      </x:c>
      <x:c r="N55" s="28" t="str">
        <x:v>Pessimistic</x:v>
      </x:c>
      <x:c r="O55" s="29" t="str">
        <x:v>Pessimistic</x:v>
      </x:c>
    </x:row>
    <x:row r="56" ht="13.649999618530273" customHeight="1">
      <x:c r="A56" s="3" t="str">
        <x:v>PJT_55</x:v>
      </x:c>
      <x:c r="B56" s="9" t="n">
        <x:v>16275540</x:v>
      </x:c>
      <x:c r="C56" s="9" t="n">
        <x:v>17577583</x:v>
      </x:c>
      <x:c r="D56" s="9" t="n">
        <x:f t="shared" si="5"/>
        <x:v>1302043</x:v>
      </x:c>
      <x:c r="E56" s="8" t="n">
        <x:f t="shared" si="6"/>
        <x:v>0.07999998771162124</x:v>
      </x:c>
      <x:c r="F56" s="9" t="n">
        <x:v>508</x:v>
      </x:c>
      <x:c r="G56" s="9" t="n">
        <x:v>559</x:v>
      </x:c>
      <x:c r="H56" s="9" t="n">
        <x:f t="shared" si="7"/>
        <x:v>51</x:v>
      </x:c>
      <x:c r="I56" s="8" t="n">
        <x:f t="shared" si="8"/>
        <x:v>0.10039370078740158</x:v>
      </x:c>
      <x:c r="J56" s="3" t="str">
        <x:f t="shared" si="9"/>
        <x:v>Low</x:v>
      </x:c>
      <x:c r="K56" s="7" t="n">
        <x:v>37.7</x:v>
      </x:c>
      <x:c r="L56" s="7" t="n">
        <x:v>39.6</x:v>
      </x:c>
      <x:c r="M56" s="7" t="n">
        <x:v>39.3</x:v>
      </x:c>
      <x:c r="N56" s="28" t="str">
        <x:v>Most Likely</x:v>
      </x:c>
      <x:c r="O56" s="29" t="str">
        <x:v>Pessimistic</x:v>
      </x:c>
    </x:row>
    <x:row r="57" ht="13.649999618530273" customHeight="1">
      <x:c r="A57" s="3" t="str">
        <x:v>PJT_56</x:v>
      </x:c>
      <x:c r="B57" s="9" t="n">
        <x:v>12951400</x:v>
      </x:c>
      <x:c r="C57" s="9" t="n">
        <x:v>14124797</x:v>
      </x:c>
      <x:c r="D57" s="9" t="n">
        <x:f t="shared" si="5"/>
        <x:v>1173397</x:v>
      </x:c>
      <x:c r="E57" s="8" t="n">
        <x:f t="shared" si="6"/>
        <x:v>0.0906000123538768</x:v>
      </x:c>
      <x:c r="F57" s="9" t="n">
        <x:v>446</x:v>
      </x:c>
      <x:c r="G57" s="9" t="n">
        <x:v>502</x:v>
      </x:c>
      <x:c r="H57" s="9" t="n">
        <x:f t="shared" si="7"/>
        <x:v>56</x:v>
      </x:c>
      <x:c r="I57" s="8" t="n">
        <x:f t="shared" si="8"/>
        <x:v>0.12556053811659193</x:v>
      </x:c>
      <x:c r="J57" s="3" t="str">
        <x:f t="shared" si="9"/>
        <x:v>Medium</x:v>
      </x:c>
      <x:c r="K57" s="7" t="n">
        <x:v>47</x:v>
      </x:c>
      <x:c r="L57" s="7" t="n">
        <x:v>48</x:v>
      </x:c>
      <x:c r="M57" s="7" t="n">
        <x:v>47.7</x:v>
      </x:c>
      <x:c r="N57" s="28" t="str">
        <x:v>Most Likely</x:v>
      </x:c>
      <x:c r="O57" s="29" t="str">
        <x:v>Pessimistic</x:v>
      </x:c>
    </x:row>
    <x:row r="58" ht="13.649999618530273" customHeight="1">
      <x:c r="A58" s="3" t="str">
        <x:v>PJT_57</x:v>
      </x:c>
      <x:c r="B58" s="9" t="n">
        <x:v>39134850</x:v>
      </x:c>
      <x:c r="C58" s="9" t="n">
        <x:v>44445449</x:v>
      </x:c>
      <x:c r="D58" s="9" t="n">
        <x:f t="shared" si="5"/>
        <x:v>5310599</x:v>
      </x:c>
      <x:c r="E58" s="8" t="n">
        <x:f t="shared" si="6"/>
        <x:v>0.1356999962948625</x:v>
      </x:c>
      <x:c r="F58" s="9" t="n">
        <x:v>786</x:v>
      </x:c>
      <x:c r="G58" s="9" t="n">
        <x:v>883</x:v>
      </x:c>
      <x:c r="H58" s="9" t="n">
        <x:f t="shared" si="7"/>
        <x:v>97</x:v>
      </x:c>
      <x:c r="I58" s="8" t="n">
        <x:f t="shared" si="8"/>
        <x:v>0.12340966921119594</x:v>
      </x:c>
      <x:c r="J58" s="3" t="str">
        <x:f t="shared" si="9"/>
        <x:v>Medium</x:v>
      </x:c>
      <x:c r="K58" s="7" t="n">
        <x:v>59.1</x:v>
      </x:c>
      <x:c r="L58" s="7" t="n">
        <x:v>59.1</x:v>
      </x:c>
      <x:c r="M58" s="7" t="n">
        <x:v>58.5</x:v>
      </x:c>
      <x:c r="N58" s="28" t="str">
        <x:v>Pessimistic</x:v>
      </x:c>
      <x:c r="O58" s="29" t="str">
        <x:v>Pessimistic</x:v>
      </x:c>
    </x:row>
    <x:row r="59" ht="13.649999618530273" customHeight="1">
      <x:c r="A59" s="3" t="str">
        <x:v>PJT_58</x:v>
      </x:c>
      <x:c r="B59" s="9" t="n">
        <x:v>43749580</x:v>
      </x:c>
      <x:c r="C59" s="9" t="n">
        <x:v>51624504</x:v>
      </x:c>
      <x:c r="D59" s="9" t="n">
        <x:f t="shared" si="5"/>
        <x:v>7874924</x:v>
      </x:c>
      <x:c r="E59" s="8" t="n">
        <x:f t="shared" si="6"/>
        <x:v>0.1799999908570551</x:v>
      </x:c>
      <x:c r="F59" s="9" t="n">
        <x:v>856</x:v>
      </x:c>
      <x:c r="G59" s="9" t="n">
        <x:v>1010</x:v>
      </x:c>
      <x:c r="H59" s="9" t="n">
        <x:f t="shared" si="7"/>
        <x:v>154</x:v>
      </x:c>
      <x:c r="I59" s="8" t="n">
        <x:f t="shared" si="8"/>
        <x:v>0.17990654205607476</x:v>
      </x:c>
      <x:c r="J59" s="3" t="str">
        <x:f t="shared" si="9"/>
        <x:v>Medium</x:v>
      </x:c>
      <x:c r="K59" s="7" t="n">
        <x:v>60.5</x:v>
      </x:c>
      <x:c r="L59" s="7" t="n">
        <x:v>61.4</x:v>
      </x:c>
      <x:c r="M59" s="7" t="n">
        <x:v>62.8</x:v>
      </x:c>
      <x:c r="N59" s="28" t="str">
        <x:v>Pessimistic</x:v>
      </x:c>
      <x:c r="O59" s="29" t="str">
        <x:v>Pessimistic</x:v>
      </x:c>
    </x:row>
    <x:row r="60" ht="13.649999618530273" customHeight="1">
      <x:c r="A60" s="3" t="str">
        <x:v>PJT_59</x:v>
      </x:c>
      <x:c r="B60" s="9" t="n">
        <x:v>6940800</x:v>
      </x:c>
      <x:c r="C60" s="9" t="n">
        <x:v>7496064</x:v>
      </x:c>
      <x:c r="D60" s="9" t="n">
        <x:f t="shared" si="5"/>
        <x:v>555264</x:v>
      </x:c>
      <x:c r="E60" s="8" t="n">
        <x:f t="shared" si="6"/>
        <x:v>0.08</x:v>
      </x:c>
      <x:c r="F60" s="9" t="n">
        <x:v>344</x:v>
      </x:c>
      <x:c r="G60" s="9" t="n">
        <x:v>365</x:v>
      </x:c>
      <x:c r="H60" s="9" t="n">
        <x:f t="shared" si="7"/>
        <x:v>21</x:v>
      </x:c>
      <x:c r="I60" s="8" t="n">
        <x:f t="shared" si="8"/>
        <x:v>0.061046511627906974</x:v>
      </x:c>
      <x:c r="J60" s="3" t="str">
        <x:f t="shared" si="9"/>
        <x:v>Low</x:v>
      </x:c>
      <x:c r="K60" s="7" t="n">
        <x:v>40.6</x:v>
      </x:c>
      <x:c r="L60" s="7" t="n">
        <x:v>43.2</x:v>
      </x:c>
      <x:c r="M60" s="7" t="n">
        <x:v>38.1</x:v>
      </x:c>
      <x:c r="N60" s="28" t="str">
        <x:v>Most Likely</x:v>
      </x:c>
      <x:c r="O60" s="29" t="str">
        <x:v>Most Likely</x:v>
      </x:c>
    </x:row>
    <x:row r="61" ht="13.649999618530273" customHeight="1">
      <x:c r="A61" s="3" t="str">
        <x:v>PJT_60</x:v>
      </x:c>
      <x:c r="B61" s="9" t="n">
        <x:v>3409870</x:v>
      </x:c>
      <x:c r="C61" s="9" t="n">
        <x:v>3616508</x:v>
      </x:c>
      <x:c r="D61" s="9" t="n">
        <x:f t="shared" si="5"/>
        <x:v>206638</x:v>
      </x:c>
      <x:c r="E61" s="8" t="n">
        <x:f t="shared" si="6"/>
        <x:v>0.060599964221509914</x:v>
      </x:c>
      <x:c r="F61" s="9" t="n">
        <x:v>299</x:v>
      </x:c>
      <x:c r="G61" s="9" t="n">
        <x:v>320</x:v>
      </x:c>
      <x:c r="H61" s="9" t="n">
        <x:f t="shared" si="7"/>
        <x:v>21</x:v>
      </x:c>
      <x:c r="I61" s="8" t="n">
        <x:f t="shared" si="8"/>
        <x:v>0.07023411371237458</x:v>
      </x:c>
      <x:c r="J61" s="3" t="str">
        <x:f t="shared" si="9"/>
        <x:v>Low</x:v>
      </x:c>
      <x:c r="K61" s="7" t="n">
        <x:v>33.8</x:v>
      </x:c>
      <x:c r="L61" s="7" t="n">
        <x:v>33.9</x:v>
      </x:c>
      <x:c r="M61" s="7" t="n">
        <x:v>35.6</x:v>
      </x:c>
      <x:c r="N61" s="28" t="str">
        <x:v>Most Likely</x:v>
      </x:c>
      <x:c r="O61" s="29" t="str">
        <x:v>Most Likely</x:v>
      </x:c>
    </x:row>
    <x:row r="62" ht="13.649999618530273" customHeight="1">
      <x:c r="A62" s="3" t="str">
        <x:v>PJT_61</x:v>
      </x:c>
      <x:c r="B62" s="9" t="n">
        <x:v>9251800</x:v>
      </x:c>
      <x:c r="C62" s="9" t="n">
        <x:v>9930882</x:v>
      </x:c>
      <x:c r="D62" s="9" t="n">
        <x:f t="shared" si="5"/>
        <x:v>679082</x:v>
      </x:c>
      <x:c r="E62" s="8" t="n">
        <x:f t="shared" si="6"/>
        <x:v>0.073399987029551</x:v>
      </x:c>
      <x:c r="F62" s="9" t="n">
        <x:v>405</x:v>
      </x:c>
      <x:c r="G62" s="9" t="n">
        <x:v>416</x:v>
      </x:c>
      <x:c r="H62" s="9" t="n">
        <x:f t="shared" si="7"/>
        <x:v>11</x:v>
      </x:c>
      <x:c r="I62" s="8" t="n">
        <x:f t="shared" si="8"/>
        <x:v>0.027160493827160494</x:v>
      </x:c>
      <x:c r="J62" s="3" t="str">
        <x:f t="shared" si="9"/>
        <x:v>Low</x:v>
      </x:c>
      <x:c r="K62" s="7" t="n">
        <x:v>30.6</x:v>
      </x:c>
      <x:c r="L62" s="7" t="n">
        <x:v>31.9</x:v>
      </x:c>
      <x:c r="M62" s="7" t="n">
        <x:v>26.8</x:v>
      </x:c>
      <x:c r="N62" s="28" t="str">
        <x:v>Most Likely</x:v>
      </x:c>
      <x:c r="O62" s="29" t="str">
        <x:v>Most Likely</x:v>
      </x:c>
    </x:row>
    <x:row r="63" ht="13.649999618530273" customHeight="1">
      <x:c r="A63" s="3" t="str">
        <x:v>PJT_62</x:v>
      </x:c>
      <x:c r="B63" s="9" t="n">
        <x:v>44528400</x:v>
      </x:c>
      <x:c r="C63" s="9" t="n">
        <x:v>52543512</x:v>
      </x:c>
      <x:c r="D63" s="9" t="n">
        <x:f t="shared" si="5"/>
        <x:v>8015112</x:v>
      </x:c>
      <x:c r="E63" s="8" t="n">
        <x:f t="shared" si="6"/>
        <x:v>0.18</x:v>
      </x:c>
      <x:c r="F63" s="9" t="n">
        <x:v>888</x:v>
      </x:c>
      <x:c r="G63" s="9" t="n">
        <x:v>1058</x:v>
      </x:c>
      <x:c r="H63" s="9" t="n">
        <x:f t="shared" si="7"/>
        <x:v>170</x:v>
      </x:c>
      <x:c r="I63" s="8" t="n">
        <x:f t="shared" si="8"/>
        <x:v>0.19144144144144143</x:v>
      </x:c>
      <x:c r="J63" s="3" t="str">
        <x:f t="shared" si="9"/>
        <x:v>Medium</x:v>
      </x:c>
      <x:c r="K63" s="7" t="n">
        <x:v>63.6</x:v>
      </x:c>
      <x:c r="L63" s="7" t="n">
        <x:v>67.6</x:v>
      </x:c>
      <x:c r="M63" s="7" t="n">
        <x:v>60.8</x:v>
      </x:c>
      <x:c r="N63" s="28" t="str">
        <x:v>Pessimistic</x:v>
      </x:c>
      <x:c r="O63" s="29" t="str">
        <x:v>Pessimistic</x:v>
      </x:c>
    </x:row>
    <x:row r="64" ht="13.649999618530273" customHeight="1">
      <x:c r="A64" s="3" t="str">
        <x:v>PJT_63</x:v>
      </x:c>
      <x:c r="B64" s="9" t="n">
        <x:v>13379240</x:v>
      </x:c>
      <x:c r="C64" s="9" t="n">
        <x:v>14449579</x:v>
      </x:c>
      <x:c r="D64" s="9" t="n">
        <x:f t="shared" si="5"/>
        <x:v>1070339</x:v>
      </x:c>
      <x:c r="E64" s="8" t="n">
        <x:f t="shared" si="6"/>
        <x:v>0.0799999850514678</x:v>
      </x:c>
      <x:c r="F64" s="9" t="n">
        <x:v>515</x:v>
      </x:c>
      <x:c r="G64" s="9" t="n">
        <x:v>566</x:v>
      </x:c>
      <x:c r="H64" s="9" t="n">
        <x:f t="shared" si="7"/>
        <x:v>51</x:v>
      </x:c>
      <x:c r="I64" s="8" t="n">
        <x:f t="shared" si="8"/>
        <x:v>0.09902912621359224</x:v>
      </x:c>
      <x:c r="J64" s="3" t="str">
        <x:f t="shared" si="9"/>
        <x:v>Low</x:v>
      </x:c>
      <x:c r="K64" s="7" t="n">
        <x:v>40.2</x:v>
      </x:c>
      <x:c r="L64" s="7" t="n">
        <x:v>43.5</x:v>
      </x:c>
      <x:c r="M64" s="7" t="n">
        <x:v>38.6</x:v>
      </x:c>
      <x:c r="N64" s="28" t="str">
        <x:v>Most Likely</x:v>
      </x:c>
      <x:c r="O64" s="29" t="str">
        <x:v>Most Likely</x:v>
      </x:c>
    </x:row>
    <x:row r="65" ht="13.649999618530273" customHeight="1">
      <x:c r="A65" s="3" t="str">
        <x:v>PJT_64</x:v>
      </x:c>
      <x:c r="B65" s="9" t="n">
        <x:v>79873830</x:v>
      </x:c>
      <x:c r="C65" s="9" t="n">
        <x:v>93811813</x:v>
      </x:c>
      <x:c r="D65" s="9" t="n">
        <x:f t="shared" si="5"/>
        <x:v>13937983</x:v>
      </x:c>
      <x:c r="E65" s="8" t="n">
        <x:f t="shared" si="6"/>
        <x:v>0.17449999580588535</x:v>
      </x:c>
      <x:c r="F65" s="9" t="n">
        <x:v>1040</x:v>
      </x:c>
      <x:c r="G65" s="9" t="n">
        <x:v>1254</x:v>
      </x:c>
      <x:c r="H65" s="9" t="n">
        <x:f t="shared" si="7"/>
        <x:v>214</x:v>
      </x:c>
      <x:c r="I65" s="8" t="n">
        <x:f t="shared" si="8"/>
        <x:v>0.20576923076923076</x:v>
      </x:c>
      <x:c r="J65" s="3" t="str">
        <x:f t="shared" si="9"/>
        <x:v>Medium</x:v>
      </x:c>
      <x:c r="K65" s="7" t="n">
        <x:v>61.7</x:v>
      </x:c>
      <x:c r="L65" s="7" t="n">
        <x:v>63</x:v>
      </x:c>
      <x:c r="M65" s="7" t="n">
        <x:v>62.5</x:v>
      </x:c>
      <x:c r="N65" s="28" t="str">
        <x:v>Pessimistic</x:v>
      </x:c>
      <x:c r="O65" s="29" t="str">
        <x:v>Pessimistic</x:v>
      </x:c>
    </x:row>
    <x:row r="66" ht="13.649999618530273" customHeight="1">
      <x:c r="A66" s="3" t="str">
        <x:v>PJT_65</x:v>
      </x:c>
      <x:c r="B66" s="9" t="n">
        <x:v>48101040</x:v>
      </x:c>
      <x:c r="C66" s="9" t="n">
        <x:v>56278217</x:v>
      </x:c>
      <x:c r="D66" s="9" t="n">
        <x:f t="shared" ref="D66:D97" si="10">C66-B66</x:f>
        <x:v>8177177</x:v>
      </x:c>
      <x:c r="E66" s="8" t="n">
        <x:f t="shared" ref="E66:E97" si="11">IFERROR(D66/B66,0)</x:f>
        <x:v>0.17000000415791425</x:v>
      </x:c>
      <x:c r="F66" s="9" t="n">
        <x:v>936</x:v>
      </x:c>
      <x:c r="G66" s="9" t="n">
        <x:v>1125</x:v>
      </x:c>
      <x:c r="H66" s="9" t="n">
        <x:f t="shared" ref="H66:H97" si="12">G66-F66</x:f>
        <x:v>189</x:v>
      </x:c>
      <x:c r="I66" s="8" t="n">
        <x:f t="shared" ref="I66:I97" si="13">IFERROR(H66/F66,0)</x:f>
        <x:v>0.20192307692307693</x:v>
      </x:c>
      <x:c r="J66" s="3" t="str">
        <x:f t="shared" ref="J66:J97" si="14">IF(K66&lt;45,"Low",IF(K66&lt;67,"Medium","High"))</x:f>
        <x:v>High</x:v>
      </x:c>
      <x:c r="K66" s="7" t="n">
        <x:v>68.9</x:v>
      </x:c>
      <x:c r="L66" s="7" t="n">
        <x:v>66.7</x:v>
      </x:c>
      <x:c r="M66" s="7" t="n">
        <x:v>70.8</x:v>
      </x:c>
      <x:c r="N66" s="28" t="str">
        <x:v>Pessimistic</x:v>
      </x:c>
      <x:c r="O66" s="29" t="str">
        <x:v>Pessimistic</x:v>
      </x:c>
    </x:row>
    <x:row r="67" ht="13.649999618530273" customHeight="1">
      <x:c r="A67" s="3" t="str">
        <x:v>PJT_66</x:v>
      </x:c>
      <x:c r="B67" s="9" t="n">
        <x:v>62123450</x:v>
      </x:c>
      <x:c r="C67" s="9" t="n">
        <x:v>73305671</x:v>
      </x:c>
      <x:c r="D67" s="9" t="n">
        <x:f t="shared" si="10"/>
        <x:v>11182221</x:v>
      </x:c>
      <x:c r="E67" s="8" t="n">
        <x:f t="shared" si="11"/>
        <x:v>0.18</x:v>
      </x:c>
      <x:c r="F67" s="9" t="n">
        <x:v>1059</x:v>
      </x:c>
      <x:c r="G67" s="9" t="n">
        <x:v>1292</x:v>
      </x:c>
      <x:c r="H67" s="9" t="n">
        <x:f t="shared" si="12"/>
        <x:v>233</x:v>
      </x:c>
      <x:c r="I67" s="8" t="n">
        <x:f t="shared" si="13"/>
        <x:v>0.22001888574126535</x:v>
      </x:c>
      <x:c r="J67" s="3" t="str">
        <x:f t="shared" si="14"/>
        <x:v>Medium</x:v>
      </x:c>
      <x:c r="K67" s="7" t="n">
        <x:v>66.9</x:v>
      </x:c>
      <x:c r="L67" s="7" t="n">
        <x:v>66.6</x:v>
      </x:c>
      <x:c r="M67" s="7" t="n">
        <x:v>70</x:v>
      </x:c>
      <x:c r="N67" s="28" t="str">
        <x:v>Pessimistic</x:v>
      </x:c>
      <x:c r="O67" s="29" t="str">
        <x:v>Pessimistic</x:v>
      </x:c>
    </x:row>
    <x:row r="68" ht="13.649999618530273" customHeight="1">
      <x:c r="A68" s="3" t="str">
        <x:v>PJT_67</x:v>
      </x:c>
      <x:c r="B68" s="9" t="n">
        <x:v>15485520</x:v>
      </x:c>
      <x:c r="C68" s="9" t="n">
        <x:v>16575701</x:v>
      </x:c>
      <x:c r="D68" s="9" t="n">
        <x:f t="shared" si="10"/>
        <x:v>1090181</x:v>
      </x:c>
      <x:c r="E68" s="8" t="n">
        <x:f t="shared" si="11"/>
        <x:v>0.07040002531397073</x:v>
      </x:c>
      <x:c r="F68" s="9" t="n">
        <x:v>506</x:v>
      </x:c>
      <x:c r="G68" s="9" t="n">
        <x:v>557</x:v>
      </x:c>
      <x:c r="H68" s="9" t="n">
        <x:f t="shared" si="12"/>
        <x:v>51</x:v>
      </x:c>
      <x:c r="I68" s="8" t="n">
        <x:f t="shared" si="13"/>
        <x:v>0.1007905138339921</x:v>
      </x:c>
      <x:c r="J68" s="3" t="str">
        <x:f t="shared" si="14"/>
        <x:v>Low</x:v>
      </x:c>
      <x:c r="K68" s="7" t="n">
        <x:v>44.8</x:v>
      </x:c>
      <x:c r="L68" s="7" t="n">
        <x:v>43.9</x:v>
      </x:c>
      <x:c r="M68" s="7" t="n">
        <x:v>46.7</x:v>
      </x:c>
      <x:c r="N68" s="28" t="str">
        <x:v>Most Likely</x:v>
      </x:c>
      <x:c r="O68" s="29" t="str">
        <x:v>Pessimistic</x:v>
      </x:c>
    </x:row>
    <x:row r="69" ht="13.649999618530273" customHeight="1">
      <x:c r="A69" s="3" t="str">
        <x:v>PJT_68</x:v>
      </x:c>
      <x:c r="B69" s="9" t="n">
        <x:v>20082360</x:v>
      </x:c>
      <x:c r="C69" s="9" t="n">
        <x:v>22349658</x:v>
      </x:c>
      <x:c r="D69" s="9" t="n">
        <x:f t="shared" si="10"/>
        <x:v>2267298</x:v>
      </x:c>
      <x:c r="E69" s="8" t="n">
        <x:f t="shared" si="11"/>
        <x:v>0.11289997789104468</x:v>
      </x:c>
      <x:c r="F69" s="9" t="n">
        <x:v>607</x:v>
      </x:c>
      <x:c r="G69" s="9" t="n">
        <x:v>669</x:v>
      </x:c>
      <x:c r="H69" s="9" t="n">
        <x:f t="shared" si="12"/>
        <x:v>62</x:v>
      </x:c>
      <x:c r="I69" s="8" t="n">
        <x:f t="shared" si="13"/>
        <x:v>0.10214168039538715</x:v>
      </x:c>
      <x:c r="J69" s="3" t="str">
        <x:f t="shared" si="14"/>
        <x:v>Medium</x:v>
      </x:c>
      <x:c r="K69" s="7" t="n">
        <x:v>50.8</x:v>
      </x:c>
      <x:c r="L69" s="7" t="n">
        <x:v>53.7</x:v>
      </x:c>
      <x:c r="M69" s="7" t="n">
        <x:v>47.7</x:v>
      </x:c>
      <x:c r="N69" s="28" t="str">
        <x:v>Pessimistic</x:v>
      </x:c>
      <x:c r="O69" s="29" t="str">
        <x:v>Pessimistic</x:v>
      </x:c>
    </x:row>
    <x:row r="70" ht="13.649999618530273" customHeight="1">
      <x:c r="A70" s="3" t="str">
        <x:v>PJT_69</x:v>
      </x:c>
      <x:c r="B70" s="9" t="n">
        <x:v>31277700</x:v>
      </x:c>
      <x:c r="C70" s="9" t="n">
        <x:v>36510459</x:v>
      </x:c>
      <x:c r="D70" s="9" t="n">
        <x:f t="shared" si="10"/>
        <x:v>5232759</x:v>
      </x:c>
      <x:c r="E70" s="8" t="n">
        <x:f t="shared" si="11"/>
        <x:v>0.16729999328595133</x:v>
      </x:c>
      <x:c r="F70" s="9" t="n">
        <x:v>758</x:v>
      </x:c>
      <x:c r="G70" s="9" t="n">
        <x:v>901</x:v>
      </x:c>
      <x:c r="H70" s="9" t="n">
        <x:f t="shared" si="12"/>
        <x:v>143</x:v>
      </x:c>
      <x:c r="I70" s="8" t="n">
        <x:f t="shared" si="13"/>
        <x:v>0.18865435356200527</x:v>
      </x:c>
      <x:c r="J70" s="3" t="str">
        <x:f t="shared" si="14"/>
        <x:v>Medium</x:v>
      </x:c>
      <x:c r="K70" s="7" t="n">
        <x:v>57.9</x:v>
      </x:c>
      <x:c r="L70" s="7" t="n">
        <x:v>57.3</x:v>
      </x:c>
      <x:c r="M70" s="7" t="n">
        <x:v>61.2</x:v>
      </x:c>
      <x:c r="N70" s="28" t="str">
        <x:v>Pessimistic</x:v>
      </x:c>
      <x:c r="O70" s="29" t="str">
        <x:v>Pessimistic</x:v>
      </x:c>
    </x:row>
    <x:row r="71" ht="13.649999618530273" customHeight="1">
      <x:c r="A71" s="3" t="str">
        <x:v>PJT_70</x:v>
      </x:c>
      <x:c r="B71" s="9" t="n">
        <x:v>16544250</x:v>
      </x:c>
      <x:c r="C71" s="9" t="n">
        <x:v>18448493</x:v>
      </x:c>
      <x:c r="D71" s="9" t="n">
        <x:f t="shared" si="10"/>
        <x:v>1904243</x:v>
      </x:c>
      <x:c r="E71" s="8" t="n">
        <x:f t="shared" si="11"/>
        <x:v>0.11509998942230684</x:v>
      </x:c>
      <x:c r="F71" s="9" t="n">
        <x:v>569</x:v>
      </x:c>
      <x:c r="G71" s="9" t="n">
        <x:v>633</x:v>
      </x:c>
      <x:c r="H71" s="9" t="n">
        <x:f t="shared" si="12"/>
        <x:v>64</x:v>
      </x:c>
      <x:c r="I71" s="8" t="n">
        <x:f t="shared" si="13"/>
        <x:v>0.11247803163444639</x:v>
      </x:c>
      <x:c r="J71" s="3" t="str">
        <x:f t="shared" si="14"/>
        <x:v>Medium</x:v>
      </x:c>
      <x:c r="K71" s="7" t="n">
        <x:v>45.4</x:v>
      </x:c>
      <x:c r="L71" s="7" t="n">
        <x:v>48</x:v>
      </x:c>
      <x:c r="M71" s="7" t="n">
        <x:v>48</x:v>
      </x:c>
      <x:c r="N71" s="28" t="str">
        <x:v>Pessimistic</x:v>
      </x:c>
      <x:c r="O71" s="29" t="str">
        <x:v>Pessimistic</x:v>
      </x:c>
    </x:row>
    <x:row r="72" ht="13.649999618530273" customHeight="1">
      <x:c r="A72" s="3" t="str">
        <x:v>PJT_71</x:v>
      </x:c>
      <x:c r="B72" s="9" t="n">
        <x:v>51423840</x:v>
      </x:c>
      <x:c r="C72" s="9" t="n">
        <x:v>62870787</x:v>
      </x:c>
      <x:c r="D72" s="9" t="n">
        <x:f t="shared" si="10"/>
        <x:v>11446947</x:v>
      </x:c>
      <x:c r="E72" s="8" t="n">
        <x:f t="shared" si="11"/>
        <x:v>0.22260000420038645</x:v>
      </x:c>
      <x:c r="F72" s="9" t="n">
        <x:v>935</x:v>
      </x:c>
      <x:c r="G72" s="9" t="n">
        <x:v>1122</x:v>
      </x:c>
      <x:c r="H72" s="9" t="n">
        <x:f t="shared" si="12"/>
        <x:v>187</x:v>
      </x:c>
      <x:c r="I72" s="8" t="n">
        <x:f t="shared" si="13"/>
        <x:v>0.2</x:v>
      </x:c>
      <x:c r="J72" s="3" t="str">
        <x:f t="shared" si="14"/>
        <x:v>High</x:v>
      </x:c>
      <x:c r="K72" s="7" t="n">
        <x:v>71.7</x:v>
      </x:c>
      <x:c r="L72" s="7" t="n">
        <x:v>73.8</x:v>
      </x:c>
      <x:c r="M72" s="7" t="n">
        <x:v>70.3</x:v>
      </x:c>
      <x:c r="N72" s="28" t="str">
        <x:v>Pessimistic</x:v>
      </x:c>
      <x:c r="O72" s="29" t="str">
        <x:v>Pessimistic</x:v>
      </x:c>
    </x:row>
    <x:row r="73" ht="13.649999618530273" customHeight="1">
      <x:c r="A73" s="3" t="str">
        <x:v>PJT_72</x:v>
      </x:c>
      <x:c r="B73" s="9" t="n">
        <x:v>34085150</x:v>
      </x:c>
      <x:c r="C73" s="9" t="n">
        <x:v>39821681</x:v>
      </x:c>
      <x:c r="D73" s="9" t="n">
        <x:f t="shared" si="10"/>
        <x:v>5736531</x:v>
      </x:c>
      <x:c r="E73" s="8" t="n">
        <x:f t="shared" si="11"/>
        <x:v>0.16830000748126384</x:v>
      </x:c>
      <x:c r="F73" s="9" t="n">
        <x:v>800</x:v>
      </x:c>
      <x:c r="G73" s="9" t="n">
        <x:v>908</x:v>
      </x:c>
      <x:c r="H73" s="9" t="n">
        <x:f t="shared" si="12"/>
        <x:v>108</x:v>
      </x:c>
      <x:c r="I73" s="8" t="n">
        <x:f t="shared" si="13"/>
        <x:v>0.135</x:v>
      </x:c>
      <x:c r="J73" s="3" t="str">
        <x:f t="shared" si="14"/>
        <x:v>Medium</x:v>
      </x:c>
      <x:c r="K73" s="7" t="n">
        <x:v>56.8</x:v>
      </x:c>
      <x:c r="L73" s="7" t="n">
        <x:v>57.2</x:v>
      </x:c>
      <x:c r="M73" s="7" t="n">
        <x:v>54.2</x:v>
      </x:c>
      <x:c r="N73" s="28" t="str">
        <x:v>Pessimistic</x:v>
      </x:c>
      <x:c r="O73" s="29" t="str">
        <x:v>Pessimistic</x:v>
      </x:c>
    </x:row>
    <x:row r="74" ht="13.649999618530273" customHeight="1">
      <x:c r="A74" s="3" t="str">
        <x:v>PJT_73</x:v>
      </x:c>
      <x:c r="B74" s="9" t="n">
        <x:v>26528200</x:v>
      </x:c>
      <x:c r="C74" s="9" t="n">
        <x:v>30369483</x:v>
      </x:c>
      <x:c r="D74" s="9" t="n">
        <x:f t="shared" si="10"/>
        <x:v>3841283</x:v>
      </x:c>
      <x:c r="E74" s="8" t="n">
        <x:f t="shared" si="11"/>
        <x:v>0.14479998642953537</x:v>
      </x:c>
      <x:c r="F74" s="9" t="n">
        <x:v>706</x:v>
      </x:c>
      <x:c r="G74" s="9" t="n">
        <x:v>780</x:v>
      </x:c>
      <x:c r="H74" s="9" t="n">
        <x:f t="shared" si="12"/>
        <x:v>74</x:v>
      </x:c>
      <x:c r="I74" s="8" t="n">
        <x:f t="shared" si="13"/>
        <x:v>0.1048158640226629</x:v>
      </x:c>
      <x:c r="J74" s="3" t="str">
        <x:f t="shared" si="14"/>
        <x:v>Medium</x:v>
      </x:c>
      <x:c r="K74" s="7" t="n">
        <x:v>50.5</x:v>
      </x:c>
      <x:c r="L74" s="7" t="n">
        <x:v>52.5</x:v>
      </x:c>
      <x:c r="M74" s="7" t="n">
        <x:v>47.6</x:v>
      </x:c>
      <x:c r="N74" s="28" t="str">
        <x:v>Pessimistic</x:v>
      </x:c>
      <x:c r="O74" s="29" t="str">
        <x:v>Pessimistic</x:v>
      </x:c>
    </x:row>
    <x:row r="75" ht="13.649999618530273" customHeight="1">
      <x:c r="A75" s="3" t="str">
        <x:v>PJT_74</x:v>
      </x:c>
      <x:c r="B75" s="9" t="n">
        <x:v>19284360</x:v>
      </x:c>
      <x:c r="C75" s="9" t="n">
        <x:v>22126875</x:v>
      </x:c>
      <x:c r="D75" s="9" t="n">
        <x:f t="shared" si="10"/>
        <x:v>2842515</x:v>
      </x:c>
      <x:c r="E75" s="8" t="n">
        <x:f t="shared" si="11"/>
        <x:v>0.14740001742344574</x:v>
      </x:c>
      <x:c r="F75" s="9" t="n">
        <x:v>542</x:v>
      </x:c>
      <x:c r="G75" s="9" t="n">
        <x:v>613</x:v>
      </x:c>
      <x:c r="H75" s="9" t="n">
        <x:f t="shared" si="12"/>
        <x:v>71</x:v>
      </x:c>
      <x:c r="I75" s="8" t="n">
        <x:f t="shared" si="13"/>
        <x:v>0.13099630996309963</x:v>
      </x:c>
      <x:c r="J75" s="3" t="str">
        <x:f t="shared" si="14"/>
        <x:v>Medium</x:v>
      </x:c>
      <x:c r="K75" s="7" t="n">
        <x:v>49.6</x:v>
      </x:c>
      <x:c r="L75" s="7" t="n">
        <x:v>53</x:v>
      </x:c>
      <x:c r="M75" s="7" t="n">
        <x:v>50</x:v>
      </x:c>
      <x:c r="N75" s="28" t="str">
        <x:v>Pessimistic</x:v>
      </x:c>
      <x:c r="O75" s="29" t="str">
        <x:v>Pessimistic</x:v>
      </x:c>
    </x:row>
    <x:row r="76" ht="13.649999618530273" customHeight="1">
      <x:c r="A76" s="3" t="str">
        <x:v>PJT_75</x:v>
      </x:c>
      <x:c r="B76" s="9" t="n">
        <x:v>32193600</x:v>
      </x:c>
      <x:c r="C76" s="9" t="n">
        <x:v>37000104</x:v>
      </x:c>
      <x:c r="D76" s="9" t="n">
        <x:f t="shared" si="10"/>
        <x:v>4806504</x:v>
      </x:c>
      <x:c r="E76" s="8" t="n">
        <x:f t="shared" si="11"/>
        <x:v>0.14929998509020426</x:v>
      </x:c>
      <x:c r="F76" s="9" t="n">
        <x:v>729</x:v>
      </x:c>
      <x:c r="G76" s="9" t="n">
        <x:v>850</x:v>
      </x:c>
      <x:c r="H76" s="9" t="n">
        <x:f t="shared" si="12"/>
        <x:v>121</x:v>
      </x:c>
      <x:c r="I76" s="8" t="n">
        <x:f t="shared" si="13"/>
        <x:v>0.16598079561042525</x:v>
      </x:c>
      <x:c r="J76" s="3" t="str">
        <x:f t="shared" si="14"/>
        <x:v>Medium</x:v>
      </x:c>
      <x:c r="K76" s="7" t="n">
        <x:v>53.3</x:v>
      </x:c>
      <x:c r="L76" s="7" t="n">
        <x:v>56.6</x:v>
      </x:c>
      <x:c r="M76" s="7" t="n">
        <x:v>52.1</x:v>
      </x:c>
      <x:c r="N76" s="28" t="str">
        <x:v>Pessimistic</x:v>
      </x:c>
      <x:c r="O76" s="29" t="str">
        <x:v>Pessimistic</x:v>
      </x:c>
    </x:row>
    <x:row r="77" ht="13.649999618530273" customHeight="1">
      <x:c r="A77" s="3" t="str">
        <x:v>PJT_76</x:v>
      </x:c>
      <x:c r="B77" s="9" t="n">
        <x:v>68244050</x:v>
      </x:c>
      <x:c r="C77" s="9" t="n">
        <x:v>77764095</x:v>
      </x:c>
      <x:c r="D77" s="9" t="n">
        <x:f t="shared" si="10"/>
        <x:v>9520045</x:v>
      </x:c>
      <x:c r="E77" s="8" t="n">
        <x:f t="shared" si="11"/>
        <x:v>0.1395000003663323</x:v>
      </x:c>
      <x:c r="F77" s="9" t="n">
        <x:v>1082</x:v>
      </x:c>
      <x:c r="G77" s="9" t="n">
        <x:v>1301</x:v>
      </x:c>
      <x:c r="H77" s="9" t="n">
        <x:f t="shared" si="12"/>
        <x:v>219</x:v>
      </x:c>
      <x:c r="I77" s="8" t="n">
        <x:f t="shared" si="13"/>
        <x:v>0.2024029574861368</x:v>
      </x:c>
      <x:c r="J77" s="3" t="str">
        <x:f t="shared" si="14"/>
        <x:v>Medium</x:v>
      </x:c>
      <x:c r="K77" s="7" t="n">
        <x:v>63.2</x:v>
      </x:c>
      <x:c r="L77" s="7" t="n">
        <x:v>62.8</x:v>
      </x:c>
      <x:c r="M77" s="7" t="n">
        <x:v>63.4</x:v>
      </x:c>
      <x:c r="N77" s="28" t="str">
        <x:v>Pessimistic</x:v>
      </x:c>
      <x:c r="O77" s="29" t="str">
        <x:v>Pessimistic</x:v>
      </x:c>
    </x:row>
    <x:row r="78" ht="13.649999618530273" customHeight="1">
      <x:c r="A78" s="3" t="str">
        <x:v>PJT_77</x:v>
      </x:c>
      <x:c r="B78" s="9" t="n">
        <x:v>50493630</x:v>
      </x:c>
      <x:c r="C78" s="9" t="n">
        <x:v>59128041</x:v>
      </x:c>
      <x:c r="D78" s="9" t="n">
        <x:f t="shared" si="10"/>
        <x:v>8634411</x:v>
      </x:c>
      <x:c r="E78" s="8" t="n">
        <x:f t="shared" si="11"/>
        <x:v>0.17100000534720913</x:v>
      </x:c>
      <x:c r="F78" s="9" t="n">
        <x:v>863</x:v>
      </x:c>
      <x:c r="G78" s="9" t="n">
        <x:v>992</x:v>
      </x:c>
      <x:c r="H78" s="9" t="n">
        <x:f t="shared" si="12"/>
        <x:v>129</x:v>
      </x:c>
      <x:c r="I78" s="8" t="n">
        <x:f t="shared" si="13"/>
        <x:v>0.14947856315179606</x:v>
      </x:c>
      <x:c r="J78" s="3" t="str">
        <x:f t="shared" si="14"/>
        <x:v>Medium</x:v>
      </x:c>
      <x:c r="K78" s="7" t="n">
        <x:v>59</x:v>
      </x:c>
      <x:c r="L78" s="7" t="n">
        <x:v>62.5</x:v>
      </x:c>
      <x:c r="M78" s="7" t="n">
        <x:v>60.2</x:v>
      </x:c>
      <x:c r="N78" s="28" t="str">
        <x:v>Pessimistic</x:v>
      </x:c>
      <x:c r="O78" s="29" t="str">
        <x:v>Pessimistic</x:v>
      </x:c>
    </x:row>
    <x:row r="79" ht="13.649999618530273" customHeight="1">
      <x:c r="A79" s="3" t="str">
        <x:v>PJT_78</x:v>
      </x:c>
      <x:c r="B79" s="9" t="n">
        <x:v>5647140</x:v>
      </x:c>
      <x:c r="C79" s="9" t="n">
        <x:v>5977498</x:v>
      </x:c>
      <x:c r="D79" s="9" t="n">
        <x:f t="shared" si="10"/>
        <x:v>330358</x:v>
      </x:c>
      <x:c r="E79" s="8" t="n">
        <x:f t="shared" si="11"/>
        <x:v>0.058500054895044215</x:v>
      </x:c>
      <x:c r="F79" s="9" t="n">
        <x:v>358</x:v>
      </x:c>
      <x:c r="G79" s="9" t="n">
        <x:v>394</x:v>
      </x:c>
      <x:c r="H79" s="9" t="n">
        <x:f t="shared" si="12"/>
        <x:v>36</x:v>
      </x:c>
      <x:c r="I79" s="8" t="n">
        <x:f t="shared" si="13"/>
        <x:v>0.1005586592178771</x:v>
      </x:c>
      <x:c r="J79" s="3" t="str">
        <x:f t="shared" si="14"/>
        <x:v>Low</x:v>
      </x:c>
      <x:c r="K79" s="7" t="n">
        <x:v>35.1</x:v>
      </x:c>
      <x:c r="L79" s="7" t="n">
        <x:v>39.9</x:v>
      </x:c>
      <x:c r="M79" s="7" t="n">
        <x:v>34</x:v>
      </x:c>
      <x:c r="N79" s="28" t="str">
        <x:v>Most Likely</x:v>
      </x:c>
      <x:c r="O79" s="29" t="str">
        <x:v>Pessimistic</x:v>
      </x:c>
    </x:row>
    <x:row r="80" ht="13.649999618530273" customHeight="1">
      <x:c r="A80" s="3" t="str">
        <x:v>PJT_79</x:v>
      </x:c>
      <x:c r="B80" s="9" t="n">
        <x:v>62932400</x:v>
      </x:c>
      <x:c r="C80" s="9" t="n">
        <x:v>76160790</x:v>
      </x:c>
      <x:c r="D80" s="9" t="n">
        <x:f t="shared" si="10"/>
        <x:v>13228390</x:v>
      </x:c>
      <x:c r="E80" s="8" t="n">
        <x:f t="shared" si="11"/>
        <x:v>0.21019999237276824</x:v>
      </x:c>
      <x:c r="F80" s="9" t="n">
        <x:v>1052</x:v>
      </x:c>
      <x:c r="G80" s="9" t="n">
        <x:v>1292</x:v>
      </x:c>
      <x:c r="H80" s="9" t="n">
        <x:f t="shared" si="12"/>
        <x:v>240</x:v>
      </x:c>
      <x:c r="I80" s="8" t="n">
        <x:f t="shared" si="13"/>
        <x:v>0.22813688212927757</x:v>
      </x:c>
      <x:c r="J80" s="3" t="str">
        <x:f t="shared" si="14"/>
        <x:v>High</x:v>
      </x:c>
      <x:c r="K80" s="7" t="n">
        <x:v>73.3</x:v>
      </x:c>
      <x:c r="L80" s="7" t="n">
        <x:v>73.7</x:v>
      </x:c>
      <x:c r="M80" s="7" t="n">
        <x:v>74</x:v>
      </x:c>
      <x:c r="N80" s="28" t="str">
        <x:v>Pessimistic</x:v>
      </x:c>
      <x:c r="O80" s="29" t="str">
        <x:v>Pessimistic</x:v>
      </x:c>
    </x:row>
    <x:row r="81" ht="13.649999618530273" customHeight="1">
      <x:c r="A81" s="3" t="str">
        <x:v>PJT_80</x:v>
      </x:c>
      <x:c r="B81" s="9" t="n">
        <x:v>43464970</x:v>
      </x:c>
      <x:c r="C81" s="9" t="n">
        <x:v>48289582</x:v>
      </x:c>
      <x:c r="D81" s="9" t="n">
        <x:f t="shared" si="10"/>
        <x:v>4824612</x:v>
      </x:c>
      <x:c r="E81" s="8" t="n">
        <x:f t="shared" si="11"/>
        <x:v>0.1110000075923209</x:v>
      </x:c>
      <x:c r="F81" s="9" t="n">
        <x:v>848</x:v>
      </x:c>
      <x:c r="G81" s="9" t="n">
        <x:v>1002</x:v>
      </x:c>
      <x:c r="H81" s="9" t="n">
        <x:f t="shared" si="12"/>
        <x:v>154</x:v>
      </x:c>
      <x:c r="I81" s="8" t="n">
        <x:f t="shared" si="13"/>
        <x:v>0.18160377358490565</x:v>
      </x:c>
      <x:c r="J81" s="3" t="str">
        <x:f t="shared" si="14"/>
        <x:v>Medium</x:v>
      </x:c>
      <x:c r="K81" s="7" t="n">
        <x:v>53.7</x:v>
      </x:c>
      <x:c r="L81" s="7" t="n">
        <x:v>55.4</x:v>
      </x:c>
      <x:c r="M81" s="7" t="n">
        <x:v>54.6</x:v>
      </x:c>
      <x:c r="N81" s="28" t="str">
        <x:v>Pessimistic</x:v>
      </x:c>
      <x:c r="O81" s="29" t="str">
        <x:v>Pessimistic</x:v>
      </x:c>
    </x:row>
    <x:row r="82" ht="13.649999618530273" customHeight="1">
      <x:c r="A82" s="3" t="str">
        <x:v>PJT_81</x:v>
      </x:c>
      <x:c r="B82" s="9" t="n">
        <x:v>13618800</x:v>
      </x:c>
      <x:c r="C82" s="9" t="n">
        <x:v>15250332</x:v>
      </x:c>
      <x:c r="D82" s="9" t="n">
        <x:f t="shared" si="10"/>
        <x:v>1631532</x:v>
      </x:c>
      <x:c r="E82" s="8" t="n">
        <x:f t="shared" si="11"/>
        <x:v>0.11979998237730197</x:v>
      </x:c>
      <x:c r="F82" s="9" t="n">
        <x:v>488</x:v>
      </x:c>
      <x:c r="G82" s="9" t="n">
        <x:v>528</x:v>
      </x:c>
      <x:c r="H82" s="9" t="n">
        <x:f t="shared" si="12"/>
        <x:v>40</x:v>
      </x:c>
      <x:c r="I82" s="8" t="n">
        <x:f t="shared" si="13"/>
        <x:v>0.08196721311475409</x:v>
      </x:c>
      <x:c r="J82" s="3" t="str">
        <x:f t="shared" si="14"/>
        <x:v>Medium</x:v>
      </x:c>
      <x:c r="K82" s="7" t="n">
        <x:v>49</x:v>
      </x:c>
      <x:c r="L82" s="7" t="n">
        <x:v>52.8</x:v>
      </x:c>
      <x:c r="M82" s="7" t="n">
        <x:v>43.5</x:v>
      </x:c>
      <x:c r="N82" s="28" t="str">
        <x:v>Pessimistic</x:v>
      </x:c>
      <x:c r="O82" s="29" t="str">
        <x:v>Most Likely</x:v>
      </x:c>
    </x:row>
    <x:row r="83" ht="13.649999618530273" customHeight="1">
      <x:c r="A83" s="3" t="str">
        <x:v>PJT_82</x:v>
      </x:c>
      <x:c r="B83" s="9" t="n">
        <x:v>74155600</x:v>
      </x:c>
      <x:c r="C83" s="9" t="n">
        <x:v>88593695</x:v>
      </x:c>
      <x:c r="D83" s="9" t="n">
        <x:f t="shared" si="10"/>
        <x:v>14438095</x:v>
      </x:c>
      <x:c r="E83" s="8" t="n">
        <x:f t="shared" si="11"/>
        <x:v>0.19469999568474936</x:v>
      </x:c>
      <x:c r="F83" s="9" t="n">
        <x:v>1132</x:v>
      </x:c>
      <x:c r="G83" s="9" t="n">
        <x:v>1372</x:v>
      </x:c>
      <x:c r="H83" s="9" t="n">
        <x:f t="shared" si="12"/>
        <x:v>240</x:v>
      </x:c>
      <x:c r="I83" s="8" t="n">
        <x:f t="shared" si="13"/>
        <x:v>0.21201413427561838</x:v>
      </x:c>
      <x:c r="J83" s="3" t="str">
        <x:f t="shared" si="14"/>
        <x:v>High</x:v>
      </x:c>
      <x:c r="K83" s="7" t="n">
        <x:v>68.7</x:v>
      </x:c>
      <x:c r="L83" s="7" t="n">
        <x:v>69.5</x:v>
      </x:c>
      <x:c r="M83" s="7" t="n">
        <x:v>68.6</x:v>
      </x:c>
      <x:c r="N83" s="28" t="str">
        <x:v>Pessimistic</x:v>
      </x:c>
      <x:c r="O83" s="29" t="str">
        <x:v>Pessimistic</x:v>
      </x:c>
    </x:row>
    <x:row r="84" ht="13.649999618530273" customHeight="1">
      <x:c r="A84" s="3" t="str">
        <x:v>PJT_83</x:v>
      </x:c>
      <x:c r="B84" s="9" t="n">
        <x:v>15954400</x:v>
      </x:c>
      <x:c r="C84" s="9" t="n">
        <x:v>18476791</x:v>
      </x:c>
      <x:c r="D84" s="9" t="n">
        <x:f t="shared" si="10"/>
        <x:v>2522391</x:v>
      </x:c>
      <x:c r="E84" s="8" t="n">
        <x:f t="shared" si="11"/>
        <x:v>0.15810002256430827</x:v>
      </x:c>
      <x:c r="F84" s="9" t="n">
        <x:v>545</x:v>
      </x:c>
      <x:c r="G84" s="9" t="n">
        <x:v>625</x:v>
      </x:c>
      <x:c r="H84" s="9" t="n">
        <x:f t="shared" si="12"/>
        <x:v>80</x:v>
      </x:c>
      <x:c r="I84" s="8" t="n">
        <x:f t="shared" si="13"/>
        <x:v>0.14678899082568808</x:v>
      </x:c>
      <x:c r="J84" s="3" t="str">
        <x:f t="shared" si="14"/>
        <x:v>Medium</x:v>
      </x:c>
      <x:c r="K84" s="7" t="n">
        <x:v>55.8</x:v>
      </x:c>
      <x:c r="L84" s="7" t="n">
        <x:v>57.3</x:v>
      </x:c>
      <x:c r="M84" s="7" t="n">
        <x:v>55</x:v>
      </x:c>
      <x:c r="N84" s="28" t="str">
        <x:v>Pessimistic</x:v>
      </x:c>
      <x:c r="O84" s="29" t="str">
        <x:v>Pessimistic</x:v>
      </x:c>
    </x:row>
    <x:row r="85" ht="13.649999618530273" customHeight="1">
      <x:c r="A85" s="3" t="str">
        <x:v>PJT_84</x:v>
      </x:c>
      <x:c r="B85" s="9" t="n">
        <x:v>49472320</x:v>
      </x:c>
      <x:c r="C85" s="9" t="n">
        <x:v>56853590</x:v>
      </x:c>
      <x:c r="D85" s="9" t="n">
        <x:f t="shared" si="10"/>
        <x:v>7381270</x:v>
      </x:c>
      <x:c r="E85" s="8" t="n">
        <x:f t="shared" si="11"/>
        <x:v>0.14919999708928144</x:v>
      </x:c>
      <x:c r="F85" s="9" t="n">
        <x:v>860</x:v>
      </x:c>
      <x:c r="G85" s="9" t="n">
        <x:v>1000</x:v>
      </x:c>
      <x:c r="H85" s="9" t="n">
        <x:f t="shared" si="12"/>
        <x:v>140</x:v>
      </x:c>
      <x:c r="I85" s="8" t="n">
        <x:f t="shared" si="13"/>
        <x:v>0.16279069767441862</x:v>
      </x:c>
      <x:c r="J85" s="3" t="str">
        <x:f t="shared" si="14"/>
        <x:v>Medium</x:v>
      </x:c>
      <x:c r="K85" s="7" t="n">
        <x:v>62.8</x:v>
      </x:c>
      <x:c r="L85" s="7" t="n">
        <x:v>65.2</x:v>
      </x:c>
      <x:c r="M85" s="7" t="n">
        <x:v>64.8</x:v>
      </x:c>
      <x:c r="N85" s="28" t="str">
        <x:v>Pessimistic</x:v>
      </x:c>
      <x:c r="O85" s="29" t="str">
        <x:v>Pessimistic</x:v>
      </x:c>
    </x:row>
    <x:row r="86" ht="13.649999618530273" customHeight="1">
      <x:c r="A86" s="3" t="str">
        <x:v>PJT_85</x:v>
      </x:c>
      <x:c r="B86" s="9" t="n">
        <x:v>56547960</x:v>
      </x:c>
      <x:c r="C86" s="9" t="n">
        <x:v>66726593</x:v>
      </x:c>
      <x:c r="D86" s="9" t="n">
        <x:f t="shared" si="10"/>
        <x:v>10178633</x:v>
      </x:c>
      <x:c r="E86" s="8" t="n">
        <x:f t="shared" si="11"/>
        <x:v>0.18000000353682077</x:v>
      </x:c>
      <x:c r="F86" s="9" t="n">
        <x:v>976</x:v>
      </x:c>
      <x:c r="G86" s="9" t="n">
        <x:v>1134</x:v>
      </x:c>
      <x:c r="H86" s="9" t="n">
        <x:f t="shared" si="12"/>
        <x:v>158</x:v>
      </x:c>
      <x:c r="I86" s="8" t="n">
        <x:f t="shared" si="13"/>
        <x:v>0.16188524590163936</x:v>
      </x:c>
      <x:c r="J86" s="3" t="str">
        <x:f t="shared" si="14"/>
        <x:v>Medium</x:v>
      </x:c>
      <x:c r="K86" s="7" t="n">
        <x:v>64.8</x:v>
      </x:c>
      <x:c r="L86" s="7" t="n">
        <x:v>63.5</x:v>
      </x:c>
      <x:c r="M86" s="7" t="n">
        <x:v>65.4</x:v>
      </x:c>
      <x:c r="N86" s="28" t="str">
        <x:v>Pessimistic</x:v>
      </x:c>
      <x:c r="O86" s="29" t="str">
        <x:v>Pessimistic</x:v>
      </x:c>
    </x:row>
    <x:row r="87" ht="13.649999618530273" customHeight="1">
      <x:c r="A87" s="3" t="str">
        <x:v>PJT_86</x:v>
      </x:c>
      <x:c r="B87" s="9" t="n">
        <x:v>25934900</x:v>
      </x:c>
      <x:c r="C87" s="9" t="n">
        <x:v>30924775</x:v>
      </x:c>
      <x:c r="D87" s="9" t="n">
        <x:f t="shared" si="10"/>
        <x:v>4989875</x:v>
      </x:c>
      <x:c r="E87" s="8" t="n">
        <x:f t="shared" si="11"/>
        <x:v>0.19240000925393969</x:v>
      </x:c>
      <x:c r="F87" s="9" t="n">
        <x:v>690</x:v>
      </x:c>
      <x:c r="G87" s="9" t="n">
        <x:v>838</x:v>
      </x:c>
      <x:c r="H87" s="9" t="n">
        <x:f t="shared" si="12"/>
        <x:v>148</x:v>
      </x:c>
      <x:c r="I87" s="8" t="n">
        <x:f t="shared" si="13"/>
        <x:v>0.2144927536231884</x:v>
      </x:c>
      <x:c r="J87" s="3" t="str">
        <x:f t="shared" si="14"/>
        <x:v>High</x:v>
      </x:c>
      <x:c r="K87" s="7" t="n">
        <x:v>68.1</x:v>
      </x:c>
      <x:c r="L87" s="7" t="n">
        <x:v>71</x:v>
      </x:c>
      <x:c r="M87" s="7" t="n">
        <x:v>69.5</x:v>
      </x:c>
      <x:c r="N87" s="28" t="str">
        <x:v>Pessimistic</x:v>
      </x:c>
      <x:c r="O87" s="29" t="str">
        <x:v>Pessimistic</x:v>
      </x:c>
    </x:row>
    <x:row r="88" ht="13.649999618530273" customHeight="1">
      <x:c r="A88" s="3" t="str">
        <x:v>PJT_87</x:v>
      </x:c>
      <x:c r="B88" s="9" t="n">
        <x:v>13222500</x:v>
      </x:c>
      <x:c r="C88" s="9" t="n">
        <x:v>15053816</x:v>
      </x:c>
      <x:c r="D88" s="9" t="n">
        <x:f t="shared" si="10"/>
        <x:v>1831316</x:v>
      </x:c>
      <x:c r="E88" s="8" t="n">
        <x:f t="shared" si="11"/>
        <x:v>0.13849998109283418</x:v>
      </x:c>
      <x:c r="F88" s="9" t="n">
        <x:v>493</x:v>
      </x:c>
      <x:c r="G88" s="9" t="n">
        <x:v>530</x:v>
      </x:c>
      <x:c r="H88" s="9" t="n">
        <x:f t="shared" si="12"/>
        <x:v>37</x:v>
      </x:c>
      <x:c r="I88" s="8" t="n">
        <x:f t="shared" si="13"/>
        <x:v>0.07505070993914807</x:v>
      </x:c>
      <x:c r="J88" s="3" t="str">
        <x:f t="shared" si="14"/>
        <x:v>Medium</x:v>
      </x:c>
      <x:c r="K88" s="7" t="n">
        <x:v>47.7</x:v>
      </x:c>
      <x:c r="L88" s="7" t="n">
        <x:v>50.8</x:v>
      </x:c>
      <x:c r="M88" s="7" t="n">
        <x:v>44.4</x:v>
      </x:c>
      <x:c r="N88" s="28" t="str">
        <x:v>Pessimistic</x:v>
      </x:c>
      <x:c r="O88" s="29" t="str">
        <x:v>Most Likely</x:v>
      </x:c>
    </x:row>
    <x:row r="89" ht="13.649999618530273" customHeight="1">
      <x:c r="A89" s="3" t="str">
        <x:v>PJT_88</x:v>
      </x:c>
      <x:c r="B89" s="9" t="n">
        <x:v>16470300</x:v>
      </x:c>
      <x:c r="C89" s="9" t="n">
        <x:v>17787924</x:v>
      </x:c>
      <x:c r="D89" s="9" t="n">
        <x:f t="shared" si="10"/>
        <x:v>1317624</x:v>
      </x:c>
      <x:c r="E89" s="8" t="n">
        <x:f t="shared" si="11"/>
        <x:v>0.08</x:v>
      </x:c>
      <x:c r="F89" s="9" t="n">
        <x:v>507</x:v>
      </x:c>
      <x:c r="G89" s="9" t="n">
        <x:v>533</x:v>
      </x:c>
      <x:c r="H89" s="9" t="n">
        <x:f t="shared" si="12"/>
        <x:v>26</x:v>
      </x:c>
      <x:c r="I89" s="8" t="n">
        <x:f t="shared" si="13"/>
        <x:v>0.05128205128205128</x:v>
      </x:c>
      <x:c r="J89" s="3" t="str">
        <x:f t="shared" si="14"/>
        <x:v>Low</x:v>
      </x:c>
      <x:c r="K89" s="7" t="n">
        <x:v>36.8</x:v>
      </x:c>
      <x:c r="L89" s="7" t="n">
        <x:v>39.5</x:v>
      </x:c>
      <x:c r="M89" s="7" t="n">
        <x:v>35.5</x:v>
      </x:c>
      <x:c r="N89" s="28" t="str">
        <x:v>Most Likely</x:v>
      </x:c>
      <x:c r="O89" s="29" t="str">
        <x:v>Most Likely</x:v>
      </x:c>
    </x:row>
    <x:row r="90" ht="13.649999618530273" customHeight="1">
      <x:c r="A90" s="3" t="str">
        <x:v>PJT_89</x:v>
      </x:c>
      <x:c r="B90" s="9" t="n">
        <x:v>17310480</x:v>
      </x:c>
      <x:c r="C90" s="9" t="n">
        <x:v>19013831</x:v>
      </x:c>
      <x:c r="D90" s="9" t="n">
        <x:f t="shared" si="10"/>
        <x:v>1703351</x:v>
      </x:c>
      <x:c r="E90" s="8" t="n">
        <x:f t="shared" si="11"/>
        <x:v>0.09839998659771422</x:v>
      </x:c>
      <x:c r="F90" s="9" t="n">
        <x:v>557</x:v>
      </x:c>
      <x:c r="G90" s="9" t="n">
        <x:v>610</x:v>
      </x:c>
      <x:c r="H90" s="9" t="n">
        <x:f t="shared" si="12"/>
        <x:v>53</x:v>
      </x:c>
      <x:c r="I90" s="8" t="n">
        <x:f t="shared" si="13"/>
        <x:v>0.09515260323159784</x:v>
      </x:c>
      <x:c r="J90" s="3" t="str">
        <x:f t="shared" si="14"/>
        <x:v>Medium</x:v>
      </x:c>
      <x:c r="K90" s="7" t="n">
        <x:v>46.9</x:v>
      </x:c>
      <x:c r="L90" s="7" t="n">
        <x:v>49.3</x:v>
      </x:c>
      <x:c r="M90" s="7" t="n">
        <x:v>45.4</x:v>
      </x:c>
      <x:c r="N90" s="28" t="str">
        <x:v>Most Likely</x:v>
      </x:c>
      <x:c r="O90" s="29" t="str">
        <x:v>Most Likely</x:v>
      </x:c>
    </x:row>
    <x:row r="91" ht="13.649999618530273" customHeight="1">
      <x:c r="A91" s="3" t="str">
        <x:v>PJT_90</x:v>
      </x:c>
      <x:c r="B91" s="9" t="n">
        <x:v>60984000</x:v>
      </x:c>
      <x:c r="C91" s="9" t="n">
        <x:v>72820994</x:v>
      </x:c>
      <x:c r="D91" s="9" t="n">
        <x:f t="shared" si="10"/>
        <x:v>11836994</x:v>
      </x:c>
      <x:c r="E91" s="8" t="n">
        <x:f t="shared" si="11"/>
        <x:v>0.19409999344090254</x:v>
      </x:c>
      <x:c r="F91" s="9" t="n">
        <x:v>1024</x:v>
      </x:c>
      <x:c r="G91" s="9" t="n">
        <x:v>1269</x:v>
      </x:c>
      <x:c r="H91" s="9" t="n">
        <x:f t="shared" si="12"/>
        <x:v>245</x:v>
      </x:c>
      <x:c r="I91" s="8" t="n">
        <x:f t="shared" si="13"/>
        <x:v>0.2392578125</x:v>
      </x:c>
      <x:c r="J91" s="3" t="str">
        <x:f t="shared" si="14"/>
        <x:v>High</x:v>
      </x:c>
      <x:c r="K91" s="7" t="n">
        <x:v>69.3</x:v>
      </x:c>
      <x:c r="L91" s="7" t="n">
        <x:v>69.9</x:v>
      </x:c>
      <x:c r="M91" s="7" t="n">
        <x:v>70.9</x:v>
      </x:c>
      <x:c r="N91" s="28" t="str">
        <x:v>Pessimistic</x:v>
      </x:c>
      <x:c r="O91" s="29" t="str">
        <x:v>Pessimistic</x:v>
      </x:c>
    </x:row>
    <x:row r="92" ht="13.649999618530273" customHeight="1">
      <x:c r="A92" s="3" t="str">
        <x:v>PJT_91</x:v>
      </x:c>
      <x:c r="B92" s="9" t="n">
        <x:v>3916440</x:v>
      </x:c>
      <x:c r="C92" s="9" t="n">
        <x:v>4521530</x:v>
      </x:c>
      <x:c r="D92" s="9" t="n">
        <x:f t="shared" si="10"/>
        <x:v>605090</x:v>
      </x:c>
      <x:c r="E92" s="8" t="n">
        <x:f t="shared" si="11"/>
        <x:v>0.15450000510667852</x:v>
      </x:c>
      <x:c r="F92" s="9" t="n">
        <x:v>345</x:v>
      </x:c>
      <x:c r="G92" s="9" t="n">
        <x:v>388</x:v>
      </x:c>
      <x:c r="H92" s="9" t="n">
        <x:f t="shared" si="12"/>
        <x:v>43</x:v>
      </x:c>
      <x:c r="I92" s="8" t="n">
        <x:f t="shared" si="13"/>
        <x:v>0.1246376811594203</x:v>
      </x:c>
      <x:c r="J92" s="3" t="str">
        <x:f t="shared" si="14"/>
        <x:v>Medium</x:v>
      </x:c>
      <x:c r="K92" s="7" t="n">
        <x:v>49.4</x:v>
      </x:c>
      <x:c r="L92" s="7" t="n">
        <x:v>52.4</x:v>
      </x:c>
      <x:c r="M92" s="7" t="n">
        <x:v>48.2</x:v>
      </x:c>
      <x:c r="N92" s="28" t="str">
        <x:v>Pessimistic</x:v>
      </x:c>
      <x:c r="O92" s="29" t="str">
        <x:v>Pessimistic</x:v>
      </x:c>
    </x:row>
    <x:row r="93" ht="13.649999618530273" customHeight="1">
      <x:c r="A93" s="3" t="str">
        <x:v>PJT_92</x:v>
      </x:c>
      <x:c r="B93" s="9" t="n">
        <x:v>54625760</x:v>
      </x:c>
      <x:c r="C93" s="9" t="n">
        <x:v>65578225</x:v>
      </x:c>
      <x:c r="D93" s="9" t="n">
        <x:f t="shared" si="10"/>
        <x:v>10952465</x:v>
      </x:c>
      <x:c r="E93" s="8" t="n">
        <x:f t="shared" si="11"/>
        <x:v>0.20050000219676578</x:v>
      </x:c>
      <x:c r="F93" s="9" t="n">
        <x:v>982</x:v>
      </x:c>
      <x:c r="G93" s="9" t="n">
        <x:v>1165</x:v>
      </x:c>
      <x:c r="H93" s="9" t="n">
        <x:f t="shared" si="12"/>
        <x:v>183</x:v>
      </x:c>
      <x:c r="I93" s="8" t="n">
        <x:f t="shared" si="13"/>
        <x:v>0.18635437881873726</x:v>
      </x:c>
      <x:c r="J93" s="3" t="str">
        <x:f t="shared" si="14"/>
        <x:v>High</x:v>
      </x:c>
      <x:c r="K93" s="7" t="n">
        <x:v>68.1</x:v>
      </x:c>
      <x:c r="L93" s="7" t="n">
        <x:v>70.7</x:v>
      </x:c>
      <x:c r="M93" s="7" t="n">
        <x:v>65.4</x:v>
      </x:c>
      <x:c r="N93" s="28" t="str">
        <x:v>Pessimistic</x:v>
      </x:c>
      <x:c r="O93" s="29" t="str">
        <x:v>Pessimistic</x:v>
      </x:c>
    </x:row>
    <x:row r="94" ht="13.649999618530273" customHeight="1">
      <x:c r="A94" s="3" t="str">
        <x:v>PJT_93</x:v>
      </x:c>
      <x:c r="B94" s="9" t="n">
        <x:v>21650120</x:v>
      </x:c>
      <x:c r="C94" s="9" t="n">
        <x:v>24287105</x:v>
      </x:c>
      <x:c r="D94" s="9" t="n">
        <x:f t="shared" si="10"/>
        <x:v>2636985</x:v>
      </x:c>
      <x:c r="E94" s="8" t="n">
        <x:f t="shared" si="11"/>
        <x:v>0.12180001773662225</x:v>
      </x:c>
      <x:c r="F94" s="9" t="n">
        <x:v>624</x:v>
      </x:c>
      <x:c r="G94" s="9" t="n">
        <x:v>687</x:v>
      </x:c>
      <x:c r="H94" s="9" t="n">
        <x:f t="shared" si="12"/>
        <x:v>63</x:v>
      </x:c>
      <x:c r="I94" s="8" t="n">
        <x:f t="shared" si="13"/>
        <x:v>0.10096153846153846</x:v>
      </x:c>
      <x:c r="J94" s="3" t="str">
        <x:f t="shared" si="14"/>
        <x:v>Medium</x:v>
      </x:c>
      <x:c r="K94" s="7" t="n">
        <x:v>47.6</x:v>
      </x:c>
      <x:c r="L94" s="7" t="n">
        <x:v>49.3</x:v>
      </x:c>
      <x:c r="M94" s="7" t="n">
        <x:v>50.6</x:v>
      </x:c>
      <x:c r="N94" s="28" t="str">
        <x:v>Pessimistic</x:v>
      </x:c>
      <x:c r="O94" s="29" t="str">
        <x:v>Pessimistic</x:v>
      </x:c>
    </x:row>
    <x:row r="95" ht="13.649999618530273" customHeight="1">
      <x:c r="A95" s="3" t="str">
        <x:v>PJT_94</x:v>
      </x:c>
      <x:c r="B95" s="9" t="n">
        <x:v>25265820</x:v>
      </x:c>
      <x:c r="C95" s="9" t="n">
        <x:v>29689865</x:v>
      </x:c>
      <x:c r="D95" s="9" t="n">
        <x:f t="shared" si="10"/>
        <x:v>4424045</x:v>
      </x:c>
      <x:c r="E95" s="8" t="n">
        <x:f t="shared" si="11"/>
        <x:v>0.17509999675450866</x:v>
      </x:c>
      <x:c r="F95" s="9" t="n">
        <x:v>677</x:v>
      </x:c>
      <x:c r="G95" s="9" t="n">
        <x:v>767</x:v>
      </x:c>
      <x:c r="H95" s="9" t="n">
        <x:f t="shared" si="12"/>
        <x:v>90</x:v>
      </x:c>
      <x:c r="I95" s="8" t="n">
        <x:f t="shared" si="13"/>
        <x:v>0.1329394387001477</x:v>
      </x:c>
      <x:c r="J95" s="3" t="str">
        <x:f t="shared" si="14"/>
        <x:v>Medium</x:v>
      </x:c>
      <x:c r="K95" s="7" t="n">
        <x:v>56.9</x:v>
      </x:c>
      <x:c r="L95" s="7" t="n">
        <x:v>62.1</x:v>
      </x:c>
      <x:c r="M95" s="7" t="n">
        <x:v>56.6</x:v>
      </x:c>
      <x:c r="N95" s="28" t="str">
        <x:v>Pessimistic</x:v>
      </x:c>
      <x:c r="O95" s="29" t="str">
        <x:v>Pessimistic</x:v>
      </x:c>
    </x:row>
    <x:row r="96" ht="13.649999618530273" customHeight="1">
      <x:c r="A96" s="3" t="str">
        <x:v>PJT_95</x:v>
      </x:c>
      <x:c r="B96" s="9" t="n">
        <x:v>48435010</x:v>
      </x:c>
      <x:c r="C96" s="9" t="n">
        <x:v>57153312</x:v>
      </x:c>
      <x:c r="D96" s="9" t="n">
        <x:f t="shared" si="10"/>
        <x:v>8718302</x:v>
      </x:c>
      <x:c r="E96" s="8" t="n">
        <x:f t="shared" si="11"/>
        <x:v>0.18000000412924452</x:v>
      </x:c>
      <x:c r="F96" s="9" t="n">
        <x:v>946</x:v>
      </x:c>
      <x:c r="G96" s="9" t="n">
        <x:v>1131</x:v>
      </x:c>
      <x:c r="H96" s="9" t="n">
        <x:f t="shared" si="12"/>
        <x:v>185</x:v>
      </x:c>
      <x:c r="I96" s="8" t="n">
        <x:f t="shared" si="13"/>
        <x:v>0.19556025369978858</x:v>
      </x:c>
      <x:c r="J96" s="3" t="str">
        <x:f t="shared" si="14"/>
        <x:v>Medium</x:v>
      </x:c>
      <x:c r="K96" s="7" t="n">
        <x:v>66.7</x:v>
      </x:c>
      <x:c r="L96" s="7" t="n">
        <x:v>68</x:v>
      </x:c>
      <x:c r="M96" s="7" t="n">
        <x:v>68.6</x:v>
      </x:c>
      <x:c r="N96" s="28" t="str">
        <x:v>Pessimistic</x:v>
      </x:c>
      <x:c r="O96" s="29" t="str">
        <x:v>Pessimistic</x:v>
      </x:c>
    </x:row>
    <x:row r="97" ht="13.649999618530273" customHeight="1">
      <x:c r="A97" s="3" t="str">
        <x:v>PJT_96</x:v>
      </x:c>
      <x:c r="B97" s="9" t="n">
        <x:v>43204700</x:v>
      </x:c>
      <x:c r="C97" s="9" t="n">
        <x:v>50272989</x:v>
      </x:c>
      <x:c r="D97" s="9" t="n">
        <x:f t="shared" si="10"/>
        <x:v>7068289</x:v>
      </x:c>
      <x:c r="E97" s="8" t="n">
        <x:f t="shared" si="11"/>
        <x:v>0.1636000018516504</x:v>
      </x:c>
      <x:c r="F97" s="9" t="n">
        <x:v>859</x:v>
      </x:c>
      <x:c r="G97" s="9" t="n">
        <x:v>958</x:v>
      </x:c>
      <x:c r="H97" s="9" t="n">
        <x:f t="shared" si="12"/>
        <x:v>99</x:v>
      </x:c>
      <x:c r="I97" s="8" t="n">
        <x:f t="shared" si="13"/>
        <x:v>0.11525029103608847</x:v>
      </x:c>
      <x:c r="J97" s="3" t="str">
        <x:f t="shared" si="14"/>
        <x:v>Medium</x:v>
      </x:c>
      <x:c r="K97" s="7" t="n">
        <x:v>56.3</x:v>
      </x:c>
      <x:c r="L97" s="7" t="n">
        <x:v>57.2</x:v>
      </x:c>
      <x:c r="M97" s="7" t="n">
        <x:v>54.5</x:v>
      </x:c>
      <x:c r="N97" s="28" t="str">
        <x:v>Pessimistic</x:v>
      </x:c>
      <x:c r="O97" s="29" t="str">
        <x:v>Pessimistic</x:v>
      </x:c>
    </x:row>
    <x:row r="98" ht="13.649999618530273" customHeight="1">
      <x:c r="A98" s="3" t="str">
        <x:v>PJT_97</x:v>
      </x:c>
      <x:c r="B98" s="9" t="n">
        <x:v>46297160</x:v>
      </x:c>
      <x:c r="C98" s="9" t="n">
        <x:v>52991729</x:v>
      </x:c>
      <x:c r="D98" s="9" t="n">
        <x:f t="shared" ref="D98:D129" si="15">C98-B98</x:f>
        <x:v>6694569</x:v>
      </x:c>
      <x:c r="E98" s="8" t="n">
        <x:f t="shared" ref="E98:E129" si="16">IFERROR(D98/B98,0)</x:f>
        <x:v>0.1445999927425354</x:v>
      </x:c>
      <x:c r="F98" s="9" t="n">
        <x:v>915</x:v>
      </x:c>
      <x:c r="G98" s="9" t="n">
        <x:v>1038</x:v>
      </x:c>
      <x:c r="H98" s="9" t="n">
        <x:f t="shared" ref="H98:H129" si="17">G98-F98</x:f>
        <x:v>123</x:v>
      </x:c>
      <x:c r="I98" s="8" t="n">
        <x:f t="shared" ref="I98:I129" si="18">IFERROR(H98/F98,0)</x:f>
        <x:v>0.13442622950819672</x:v>
      </x:c>
      <x:c r="J98" s="3" t="str">
        <x:f t="shared" ref="J98:J129" si="19">IF(K98&lt;45,"Low",IF(K98&lt;67,"Medium","High"))</x:f>
        <x:v>Medium</x:v>
      </x:c>
      <x:c r="K98" s="7" t="n">
        <x:v>59.2</x:v>
      </x:c>
      <x:c r="L98" s="7" t="n">
        <x:v>60.4</x:v>
      </x:c>
      <x:c r="M98" s="7" t="n">
        <x:v>59.9</x:v>
      </x:c>
      <x:c r="N98" s="28" t="str">
        <x:v>Pessimistic</x:v>
      </x:c>
      <x:c r="O98" s="29" t="str">
        <x:v>Pessimistic</x:v>
      </x:c>
    </x:row>
    <x:row r="99" ht="13.649999618530273" customHeight="1">
      <x:c r="A99" s="3" t="str">
        <x:v>PJT_98</x:v>
      </x:c>
      <x:c r="B99" s="9" t="n">
        <x:v>19282380</x:v>
      </x:c>
      <x:c r="C99" s="9" t="n">
        <x:v>20824970</x:v>
      </x:c>
      <x:c r="D99" s="9" t="n">
        <x:f t="shared" si="15"/>
        <x:v>1542590</x:v>
      </x:c>
      <x:c r="E99" s="8" t="n">
        <x:f t="shared" si="16"/>
        <x:v>0.0799999792556728</x:v>
      </x:c>
      <x:c r="F99" s="9" t="n">
        <x:v>543</x:v>
      </x:c>
      <x:c r="G99" s="9" t="n">
        <x:v>597</x:v>
      </x:c>
      <x:c r="H99" s="9" t="n">
        <x:f t="shared" si="17"/>
        <x:v>54</x:v>
      </x:c>
      <x:c r="I99" s="8" t="n">
        <x:f t="shared" si="18"/>
        <x:v>0.09944751381215469</x:v>
      </x:c>
      <x:c r="J99" s="3" t="str">
        <x:f t="shared" si="19"/>
        <x:v>Low</x:v>
      </x:c>
      <x:c r="K99" s="7" t="n">
        <x:v>44.1</x:v>
      </x:c>
      <x:c r="L99" s="7" t="n">
        <x:v>44.6</x:v>
      </x:c>
      <x:c r="M99" s="7" t="n">
        <x:v>43.8</x:v>
      </x:c>
      <x:c r="N99" s="28" t="str">
        <x:v>Most Likely</x:v>
      </x:c>
      <x:c r="O99" s="29" t="str">
        <x:v>Most Likely</x:v>
      </x:c>
    </x:row>
    <x:row r="100" ht="13.649999618530273" customHeight="1">
      <x:c r="A100" s="3" t="str">
        <x:v>PJT_99</x:v>
      </x:c>
      <x:c r="B100" s="9" t="n">
        <x:v>27465380</x:v>
      </x:c>
      <x:c r="C100" s="9" t="n">
        <x:v>31574201</x:v>
      </x:c>
      <x:c r="D100" s="9" t="n">
        <x:f t="shared" si="15"/>
        <x:v>4108821</x:v>
      </x:c>
      <x:c r="E100" s="8" t="n">
        <x:f t="shared" si="16"/>
        <x:v>0.14960000553423983</x:v>
      </x:c>
      <x:c r="F100" s="9" t="n">
        <x:v>684</x:v>
      </x:c>
      <x:c r="G100" s="9" t="n">
        <x:v>801</x:v>
      </x:c>
      <x:c r="H100" s="9" t="n">
        <x:f t="shared" si="17"/>
        <x:v>117</x:v>
      </x:c>
      <x:c r="I100" s="8" t="n">
        <x:f t="shared" si="18"/>
        <x:v>0.17105263157894737</x:v>
      </x:c>
      <x:c r="J100" s="3" t="str">
        <x:f t="shared" si="19"/>
        <x:v>Medium</x:v>
      </x:c>
      <x:c r="K100" s="7" t="n">
        <x:v>57.3</x:v>
      </x:c>
      <x:c r="L100" s="7" t="n">
        <x:v>56.7</x:v>
      </x:c>
      <x:c r="M100" s="7" t="n">
        <x:v>58.8</x:v>
      </x:c>
      <x:c r="N100" s="28" t="str">
        <x:v>Pessimistic</x:v>
      </x:c>
      <x:c r="O100" s="29" t="str">
        <x:v>Pessimistic</x:v>
      </x:c>
    </x:row>
    <x:row r="101" ht="13.649999618530273" customHeight="1">
      <x:c r="A101" s="3" t="str">
        <x:v>PJT_100</x:v>
      </x:c>
      <x:c r="B101" s="9" t="n">
        <x:v>60831600</x:v>
      </x:c>
      <x:c r="C101" s="9" t="n">
        <x:v>70795816</x:v>
      </x:c>
      <x:c r="D101" s="9" t="n">
        <x:f t="shared" si="15"/>
        <x:v>9964216</x:v>
      </x:c>
      <x:c r="E101" s="8" t="n">
        <x:f t="shared" si="16"/>
        <x:v>0.16379999868489403</x:v>
      </x:c>
      <x:c r="F101" s="9" t="n">
        <x:v>1044</x:v>
      </x:c>
      <x:c r="G101" s="9" t="n">
        <x:v>1244</x:v>
      </x:c>
      <x:c r="H101" s="9" t="n">
        <x:f t="shared" si="17"/>
        <x:v>200</x:v>
      </x:c>
      <x:c r="I101" s="8" t="n">
        <x:f t="shared" si="18"/>
        <x:v>0.19157088122605365</x:v>
      </x:c>
      <x:c r="J101" s="3" t="str">
        <x:f t="shared" si="19"/>
        <x:v>High</x:v>
      </x:c>
      <x:c r="K101" s="7" t="n">
        <x:v>73.3</x:v>
      </x:c>
      <x:c r="L101" s="7" t="n">
        <x:v>70.6</x:v>
      </x:c>
      <x:c r="M101" s="7" t="n">
        <x:v>74.7</x:v>
      </x:c>
      <x:c r="N101" s="28" t="str">
        <x:v>Pessimistic</x:v>
      </x:c>
      <x:c r="O101" s="29" t="str">
        <x:v>Pessimistic</x:v>
      </x:c>
    </x:row>
    <x:row r="102" ht="13.649999618530273" customHeight="1">
      <x:c r="A102" s="3" t="str">
        <x:v>PJT_101</x:v>
      </x:c>
      <x:c r="B102" s="9" t="n">
        <x:v>42809770</x:v>
      </x:c>
      <x:c r="C102" s="9" t="n">
        <x:v>49509499</x:v>
      </x:c>
      <x:c r="D102" s="9" t="n">
        <x:f t="shared" si="15"/>
        <x:v>6699729</x:v>
      </x:c>
      <x:c r="E102" s="8" t="n">
        <x:f t="shared" si="16"/>
        <x:v>0.15649999988320423</x:v>
      </x:c>
      <x:c r="F102" s="9" t="n">
        <x:v>857</x:v>
      </x:c>
      <x:c r="G102" s="9" t="n">
        <x:v>1019</x:v>
      </x:c>
      <x:c r="H102" s="9" t="n">
        <x:f t="shared" si="17"/>
        <x:v>162</x:v>
      </x:c>
      <x:c r="I102" s="8" t="n">
        <x:f t="shared" si="18"/>
        <x:v>0.18903150525087514</x:v>
      </x:c>
      <x:c r="J102" s="3" t="str">
        <x:f t="shared" si="19"/>
        <x:v>Medium</x:v>
      </x:c>
      <x:c r="K102" s="7" t="n">
        <x:v>63.3</x:v>
      </x:c>
      <x:c r="L102" s="7" t="n">
        <x:v>64.7</x:v>
      </x:c>
      <x:c r="M102" s="7" t="n">
        <x:v>60.9</x:v>
      </x:c>
      <x:c r="N102" s="28" t="str">
        <x:v>Pessimistic</x:v>
      </x:c>
      <x:c r="O102" s="29" t="str">
        <x:v>Pessimistic</x:v>
      </x:c>
    </x:row>
    <x:row r="103" ht="13.649999618530273" customHeight="1">
      <x:c r="A103" s="3" t="str">
        <x:v>PJT_102</x:v>
      </x:c>
      <x:c r="B103" s="9" t="n">
        <x:v>23544320</x:v>
      </x:c>
      <x:c r="C103" s="9" t="n">
        <x:v>27714019</x:v>
      </x:c>
      <x:c r="D103" s="9" t="n">
        <x:f t="shared" si="15"/>
        <x:v>4169699</x:v>
      </x:c>
      <x:c r="E103" s="8" t="n">
        <x:f t="shared" si="16"/>
        <x:v>0.1770999969419376</x:v>
      </x:c>
      <x:c r="F103" s="9" t="n">
        <x:v>657</x:v>
      </x:c>
      <x:c r="G103" s="9" t="n">
        <x:v>766</x:v>
      </x:c>
      <x:c r="H103" s="9" t="n">
        <x:f t="shared" si="17"/>
        <x:v>109</x:v>
      </x:c>
      <x:c r="I103" s="8" t="n">
        <x:f t="shared" si="18"/>
        <x:v>0.1659056316590563</x:v>
      </x:c>
      <x:c r="J103" s="3" t="str">
        <x:f t="shared" si="19"/>
        <x:v>Medium</x:v>
      </x:c>
      <x:c r="K103" s="7" t="n">
        <x:v>56.9</x:v>
      </x:c>
      <x:c r="L103" s="7" t="n">
        <x:v>58.2</x:v>
      </x:c>
      <x:c r="M103" s="7" t="n">
        <x:v>59.4</x:v>
      </x:c>
      <x:c r="N103" s="28" t="str">
        <x:v>Pessimistic</x:v>
      </x:c>
      <x:c r="O103" s="29" t="str">
        <x:v>Pessimistic</x:v>
      </x:c>
    </x:row>
    <x:row r="104" ht="13.649999618530273" customHeight="1">
      <x:c r="A104" s="3" t="str">
        <x:v>PJT_103</x:v>
      </x:c>
      <x:c r="B104" s="9" t="n">
        <x:v>33293260</x:v>
      </x:c>
      <x:c r="C104" s="9" t="n">
        <x:v>37165266</x:v>
      </x:c>
      <x:c r="D104" s="9" t="n">
        <x:f t="shared" si="15"/>
        <x:v>3872006</x:v>
      </x:c>
      <x:c r="E104" s="8" t="n">
        <x:f t="shared" si="16"/>
        <x:v>0.11629999585501691</x:v>
      </x:c>
      <x:c r="F104" s="9" t="n">
        <x:v>807</x:v>
      </x:c>
      <x:c r="G104" s="9" t="n">
        <x:v>942</x:v>
      </x:c>
      <x:c r="H104" s="9" t="n">
        <x:f t="shared" si="17"/>
        <x:v>135</x:v>
      </x:c>
      <x:c r="I104" s="8" t="n">
        <x:f t="shared" si="18"/>
        <x:v>0.16728624535315986</x:v>
      </x:c>
      <x:c r="J104" s="3" t="str">
        <x:f t="shared" si="19"/>
        <x:v>Medium</x:v>
      </x:c>
      <x:c r="K104" s="7" t="n">
        <x:v>56.8</x:v>
      </x:c>
      <x:c r="L104" s="7" t="n">
        <x:v>57.4</x:v>
      </x:c>
      <x:c r="M104" s="7" t="n">
        <x:v>57.9</x:v>
      </x:c>
      <x:c r="N104" s="28" t="str">
        <x:v>Pessimistic</x:v>
      </x:c>
      <x:c r="O104" s="29" t="str">
        <x:v>Pessimistic</x:v>
      </x:c>
    </x:row>
    <x:row r="105" ht="13.649999618530273" customHeight="1">
      <x:c r="A105" s="3" t="str">
        <x:v>PJT_104</x:v>
      </x:c>
      <x:c r="B105" s="9" t="n">
        <x:v>33058390</x:v>
      </x:c>
      <x:c r="C105" s="9" t="n">
        <x:v>36509686</x:v>
      </x:c>
      <x:c r="D105" s="9" t="n">
        <x:f t="shared" si="15"/>
        <x:v>3451296</x:v>
      </x:c>
      <x:c r="E105" s="8" t="n">
        <x:f t="shared" si="16"/>
        <x:v>0.10440000254095859</x:v>
      </x:c>
      <x:c r="F105" s="9" t="n">
        <x:v>716</x:v>
      </x:c>
      <x:c r="G105" s="9" t="n">
        <x:v>822</x:v>
      </x:c>
      <x:c r="H105" s="9" t="n">
        <x:f t="shared" si="17"/>
        <x:v>106</x:v>
      </x:c>
      <x:c r="I105" s="8" t="n">
        <x:f t="shared" si="18"/>
        <x:v>0.14804469273743018</x:v>
      </x:c>
      <x:c r="J105" s="3" t="str">
        <x:f t="shared" si="19"/>
        <x:v>Medium</x:v>
      </x:c>
      <x:c r="K105" s="7" t="n">
        <x:v>48.7</x:v>
      </x:c>
      <x:c r="L105" s="7" t="n">
        <x:v>49.7</x:v>
      </x:c>
      <x:c r="M105" s="7" t="n">
        <x:v>47.2</x:v>
      </x:c>
      <x:c r="N105" s="28" t="str">
        <x:v>Pessimistic</x:v>
      </x:c>
      <x:c r="O105" s="29" t="str">
        <x:v>Pessimistic</x:v>
      </x:c>
    </x:row>
    <x:row r="106" ht="13.649999618530273" customHeight="1">
      <x:c r="A106" s="3" t="str">
        <x:v>PJT_105</x:v>
      </x:c>
      <x:c r="B106" s="9" t="n">
        <x:v>7104770</x:v>
      </x:c>
      <x:c r="C106" s="9" t="n">
        <x:v>7673152</x:v>
      </x:c>
      <x:c r="D106" s="9" t="n">
        <x:f t="shared" si="15"/>
        <x:v>568382</x:v>
      </x:c>
      <x:c r="E106" s="8" t="n">
        <x:f t="shared" si="16"/>
        <x:v>0.08000005630020394</x:v>
      </x:c>
      <x:c r="F106" s="9" t="n">
        <x:v>380</x:v>
      </x:c>
      <x:c r="G106" s="9" t="n">
        <x:v>417</x:v>
      </x:c>
      <x:c r="H106" s="9" t="n">
        <x:f t="shared" si="17"/>
        <x:v>37</x:v>
      </x:c>
      <x:c r="I106" s="8" t="n">
        <x:f t="shared" si="18"/>
        <x:v>0.09736842105263158</x:v>
      </x:c>
      <x:c r="J106" s="3" t="str">
        <x:f t="shared" si="19"/>
        <x:v>Low</x:v>
      </x:c>
      <x:c r="K106" s="7" t="n">
        <x:v>41.6</x:v>
      </x:c>
      <x:c r="L106" s="7" t="n">
        <x:v>42.9</x:v>
      </x:c>
      <x:c r="M106" s="7" t="n">
        <x:v>42.4</x:v>
      </x:c>
      <x:c r="N106" s="28" t="str">
        <x:v>Most Likely</x:v>
      </x:c>
      <x:c r="O106" s="29" t="str">
        <x:v>Most Likely</x:v>
      </x:c>
    </x:row>
    <x:row r="107" ht="13.649999618530273" customHeight="1">
      <x:c r="A107" s="3" t="str">
        <x:v>PJT_106</x:v>
      </x:c>
      <x:c r="B107" s="9" t="n">
        <x:v>37385440</x:v>
      </x:c>
      <x:c r="C107" s="9" t="n">
        <x:v>44051264</x:v>
      </x:c>
      <x:c r="D107" s="9" t="n">
        <x:f t="shared" si="15"/>
        <x:v>6665824</x:v>
      </x:c>
      <x:c r="E107" s="8" t="n">
        <x:f t="shared" si="16"/>
        <x:v>0.1783000012839223</x:v>
      </x:c>
      <x:c r="F107" s="9" t="n">
        <x:v>799</x:v>
      </x:c>
      <x:c r="G107" s="9" t="n">
        <x:v>964</x:v>
      </x:c>
      <x:c r="H107" s="9" t="n">
        <x:f t="shared" si="17"/>
        <x:v>165</x:v>
      </x:c>
      <x:c r="I107" s="8" t="n">
        <x:f t="shared" si="18"/>
        <x:v>0.2065081351689612</x:v>
      </x:c>
      <x:c r="J107" s="3" t="str">
        <x:f t="shared" si="19"/>
        <x:v>Medium</x:v>
      </x:c>
      <x:c r="K107" s="7" t="n">
        <x:v>58.2</x:v>
      </x:c>
      <x:c r="L107" s="7" t="n">
        <x:v>59.8</x:v>
      </x:c>
      <x:c r="M107" s="7" t="n">
        <x:v>60.7</x:v>
      </x:c>
      <x:c r="N107" s="28" t="str">
        <x:v>Pessimistic</x:v>
      </x:c>
      <x:c r="O107" s="29" t="str">
        <x:v>Pessimistic</x:v>
      </x:c>
    </x:row>
    <x:row r="108" ht="13.649999618530273" customHeight="1">
      <x:c r="A108" s="3" t="str">
        <x:v>PJT_107</x:v>
      </x:c>
      <x:c r="B108" s="9" t="n">
        <x:v>27216720</x:v>
      </x:c>
      <x:c r="C108" s="9" t="n">
        <x:v>30156126</x:v>
      </x:c>
      <x:c r="D108" s="9" t="n">
        <x:f t="shared" si="15"/>
        <x:v>2939406</x:v>
      </x:c>
      <x:c r="E108" s="8" t="n">
        <x:f t="shared" si="16"/>
        <x:v>0.10800000881810887</x:v>
      </x:c>
      <x:c r="F108" s="9" t="n">
        <x:v>670</x:v>
      </x:c>
      <x:c r="G108" s="9" t="n">
        <x:v>756</x:v>
      </x:c>
      <x:c r="H108" s="9" t="n">
        <x:f t="shared" si="17"/>
        <x:v>86</x:v>
      </x:c>
      <x:c r="I108" s="8" t="n">
        <x:f t="shared" si="18"/>
        <x:v>0.12835820895522387</x:v>
      </x:c>
      <x:c r="J108" s="3" t="str">
        <x:f t="shared" si="19"/>
        <x:v>Medium</x:v>
      </x:c>
      <x:c r="K108" s="7" t="n">
        <x:v>52.1</x:v>
      </x:c>
      <x:c r="L108" s="7" t="n">
        <x:v>51.4</x:v>
      </x:c>
      <x:c r="M108" s="7" t="n">
        <x:v>55.2</x:v>
      </x:c>
      <x:c r="N108" s="28" t="str">
        <x:v>Pessimistic</x:v>
      </x:c>
      <x:c r="O108" s="29" t="str">
        <x:v>Pessimistic</x:v>
      </x:c>
    </x:row>
    <x:row r="109" ht="13.649999618530273" customHeight="1">
      <x:c r="A109" s="3" t="str">
        <x:v>PJT_108</x:v>
      </x:c>
      <x:c r="B109" s="9" t="n">
        <x:v>39227160</x:v>
      </x:c>
      <x:c r="C109" s="9" t="n">
        <x:v>46138986</x:v>
      </x:c>
      <x:c r="D109" s="9" t="n">
        <x:f t="shared" si="15"/>
        <x:v>6911826</x:v>
      </x:c>
      <x:c r="E109" s="8" t="n">
        <x:f t="shared" si="16"/>
        <x:v>0.1762000104009569</x:v>
      </x:c>
      <x:c r="F109" s="9" t="n">
        <x:v>806</x:v>
      </x:c>
      <x:c r="G109" s="9" t="n">
        <x:v>976</x:v>
      </x:c>
      <x:c r="H109" s="9" t="n">
        <x:f t="shared" si="17"/>
        <x:v>170</x:v>
      </x:c>
      <x:c r="I109" s="8" t="n">
        <x:f t="shared" si="18"/>
        <x:v>0.2109181141439206</x:v>
      </x:c>
      <x:c r="J109" s="3" t="str">
        <x:f t="shared" si="19"/>
        <x:v>Medium</x:v>
      </x:c>
      <x:c r="K109" s="7" t="n">
        <x:v>62.2</x:v>
      </x:c>
      <x:c r="L109" s="7" t="n">
        <x:v>61.9</x:v>
      </x:c>
      <x:c r="M109" s="7" t="n">
        <x:v>64.9</x:v>
      </x:c>
      <x:c r="N109" s="28" t="str">
        <x:v>Pessimistic</x:v>
      </x:c>
      <x:c r="O109" s="29" t="str">
        <x:v>Pessimistic</x:v>
      </x:c>
    </x:row>
    <x:row r="110" ht="13.649999618530273" customHeight="1">
      <x:c r="A110" s="3" t="str">
        <x:v>PJT_109</x:v>
      </x:c>
      <x:c r="B110" s="9" t="n">
        <x:v>21632650</x:v>
      </x:c>
      <x:c r="C110" s="9" t="n">
        <x:v>23363262</x:v>
      </x:c>
      <x:c r="D110" s="9" t="n">
        <x:f t="shared" si="15"/>
        <x:v>1730612</x:v>
      </x:c>
      <x:c r="E110" s="8" t="n">
        <x:f t="shared" si="16"/>
        <x:v>0.08</x:v>
      </x:c>
      <x:c r="F110" s="9" t="n">
        <x:v>626</x:v>
      </x:c>
      <x:c r="G110" s="9" t="n">
        <x:v>673</x:v>
      </x:c>
      <x:c r="H110" s="9" t="n">
        <x:f t="shared" si="17"/>
        <x:v>47</x:v>
      </x:c>
      <x:c r="I110" s="8" t="n">
        <x:f t="shared" si="18"/>
        <x:v>0.07507987220447285</x:v>
      </x:c>
      <x:c r="J110" s="3" t="str">
        <x:f t="shared" si="19"/>
        <x:v>Low</x:v>
      </x:c>
      <x:c r="K110" s="7" t="n">
        <x:v>44.7</x:v>
      </x:c>
      <x:c r="L110" s="7" t="n">
        <x:v>45.9</x:v>
      </x:c>
      <x:c r="M110" s="7" t="n">
        <x:v>40.6</x:v>
      </x:c>
      <x:c r="N110" s="28" t="str">
        <x:v>Most Likely</x:v>
      </x:c>
      <x:c r="O110" s="29" t="str">
        <x:v>Most Likely</x:v>
      </x:c>
    </x:row>
    <x:row r="111" ht="13.649999618530273" customHeight="1">
      <x:c r="A111" s="3" t="str">
        <x:v>PJT_110</x:v>
      </x:c>
      <x:c r="B111" s="9" t="n">
        <x:v>27966100</x:v>
      </x:c>
      <x:c r="C111" s="9" t="n">
        <x:v>31461862</x:v>
      </x:c>
      <x:c r="D111" s="9" t="n">
        <x:f t="shared" si="15"/>
        <x:v>3495762</x:v>
      </x:c>
      <x:c r="E111" s="8" t="n">
        <x:f t="shared" si="16"/>
        <x:v>0.12499998212121104</x:v>
      </x:c>
      <x:c r="F111" s="9" t="n">
        <x:v>657</x:v>
      </x:c>
      <x:c r="G111" s="9" t="n">
        <x:v>765</x:v>
      </x:c>
      <x:c r="H111" s="9" t="n">
        <x:f t="shared" si="17"/>
        <x:v>108</x:v>
      </x:c>
      <x:c r="I111" s="8" t="n">
        <x:f t="shared" si="18"/>
        <x:v>0.1643835616438356</x:v>
      </x:c>
      <x:c r="J111" s="3" t="str">
        <x:f t="shared" si="19"/>
        <x:v>Medium</x:v>
      </x:c>
      <x:c r="K111" s="7" t="n">
        <x:v>47</x:v>
      </x:c>
      <x:c r="L111" s="7" t="n">
        <x:v>45.2</x:v>
      </x:c>
      <x:c r="M111" s="7" t="n">
        <x:v>51.2</x:v>
      </x:c>
      <x:c r="N111" s="28" t="str">
        <x:v>Pessimistic</x:v>
      </x:c>
      <x:c r="O111" s="29" t="str">
        <x:v>Pessimistic</x:v>
      </x:c>
    </x:row>
    <x:row r="112" ht="13.649999618530273" customHeight="1">
      <x:c r="A112" s="3" t="str">
        <x:v>PJT_111</x:v>
      </x:c>
      <x:c r="B112" s="9" t="n">
        <x:v>41427080</x:v>
      </x:c>
      <x:c r="C112" s="9" t="n">
        <x:v>47984987</x:v>
      </x:c>
      <x:c r="D112" s="9" t="n">
        <x:f t="shared" si="15"/>
        <x:v>6557907</x:v>
      </x:c>
      <x:c r="E112" s="8" t="n">
        <x:f t="shared" si="16"/>
        <x:v>0.1583000056967568</x:v>
      </x:c>
      <x:c r="F112" s="9" t="n">
        <x:v>852</x:v>
      </x:c>
      <x:c r="G112" s="9" t="n">
        <x:v>1000</x:v>
      </x:c>
      <x:c r="H112" s="9" t="n">
        <x:f t="shared" si="17"/>
        <x:v>148</x:v>
      </x:c>
      <x:c r="I112" s="8" t="n">
        <x:f t="shared" si="18"/>
        <x:v>0.17370892018779344</x:v>
      </x:c>
      <x:c r="J112" s="3" t="str">
        <x:f t="shared" si="19"/>
        <x:v>Medium</x:v>
      </x:c>
      <x:c r="K112" s="7" t="n">
        <x:v>58.5</x:v>
      </x:c>
      <x:c r="L112" s="7" t="n">
        <x:v>58.3</x:v>
      </x:c>
      <x:c r="M112" s="7" t="n">
        <x:v>59.7</x:v>
      </x:c>
      <x:c r="N112" s="28" t="str">
        <x:v>Pessimistic</x:v>
      </x:c>
      <x:c r="O112" s="29" t="str">
        <x:v>Pessimistic</x:v>
      </x:c>
    </x:row>
    <x:row r="113" ht="13.649999618530273" customHeight="1">
      <x:c r="A113" s="3" t="str">
        <x:v>PJT_112</x:v>
      </x:c>
      <x:c r="B113" s="9" t="n">
        <x:v>19627920</x:v>
      </x:c>
      <x:c r="C113" s="9" t="n">
        <x:v>21463131</x:v>
      </x:c>
      <x:c r="D113" s="9" t="n">
        <x:f t="shared" si="15"/>
        <x:v>1835211</x:v>
      </x:c>
      <x:c r="E113" s="8" t="n">
        <x:f t="shared" si="16"/>
        <x:v>0.09350002445496007</x:v>
      </x:c>
      <x:c r="F113" s="9" t="n">
        <x:v>572</x:v>
      </x:c>
      <x:c r="G113" s="9" t="n">
        <x:v>627</x:v>
      </x:c>
      <x:c r="H113" s="9" t="n">
        <x:f t="shared" si="17"/>
        <x:v>55</x:v>
      </x:c>
      <x:c r="I113" s="8" t="n">
        <x:f t="shared" si="18"/>
        <x:v>0.09615384615384616</x:v>
      </x:c>
      <x:c r="J113" s="3" t="str">
        <x:f t="shared" si="19"/>
        <x:v>Medium</x:v>
      </x:c>
      <x:c r="K113" s="7" t="n">
        <x:v>46.5</x:v>
      </x:c>
      <x:c r="L113" s="7" t="n">
        <x:v>46.8</x:v>
      </x:c>
      <x:c r="M113" s="7" t="n">
        <x:v>45.4</x:v>
      </x:c>
      <x:c r="N113" s="28" t="str">
        <x:v>Most Likely</x:v>
      </x:c>
      <x:c r="O113" s="29" t="str">
        <x:v>Most Likely</x:v>
      </x:c>
    </x:row>
    <x:row r="114" ht="13.649999618530273" customHeight="1">
      <x:c r="A114" s="3" t="str">
        <x:v>PJT_113</x:v>
      </x:c>
      <x:c r="B114" s="9" t="n">
        <x:v>38175200</x:v>
      </x:c>
      <x:c r="C114" s="9" t="n">
        <x:v>42359202</x:v>
      </x:c>
      <x:c r="D114" s="9" t="n">
        <x:f t="shared" si="15"/>
        <x:v>4184002</x:v>
      </x:c>
      <x:c r="E114" s="8" t="n">
        <x:f t="shared" si="16"/>
        <x:v>0.10960000209560133</x:v>
      </x:c>
      <x:c r="F114" s="9" t="n">
        <x:v>781</x:v>
      </x:c>
      <x:c r="G114" s="9" t="n">
        <x:v>885</x:v>
      </x:c>
      <x:c r="H114" s="9" t="n">
        <x:f t="shared" si="17"/>
        <x:v>104</x:v>
      </x:c>
      <x:c r="I114" s="8" t="n">
        <x:f t="shared" si="18"/>
        <x:v>0.13316261203585147</x:v>
      </x:c>
      <x:c r="J114" s="3" t="str">
        <x:f t="shared" si="19"/>
        <x:v>Medium</x:v>
      </x:c>
      <x:c r="K114" s="7" t="n">
        <x:v>55.2</x:v>
      </x:c>
      <x:c r="L114" s="7" t="n">
        <x:v>54.4</x:v>
      </x:c>
      <x:c r="M114" s="7" t="n">
        <x:v>55.1</x:v>
      </x:c>
      <x:c r="N114" s="28" t="str">
        <x:v>Pessimistic</x:v>
      </x:c>
      <x:c r="O114" s="29" t="str">
        <x:v>Pessimistic</x:v>
      </x:c>
    </x:row>
    <x:row r="115" ht="13.649999618530273" customHeight="1">
      <x:c r="A115" s="3" t="str">
        <x:v>PJT_114</x:v>
      </x:c>
      <x:c r="B115" s="9" t="n">
        <x:v>30562500</x:v>
      </x:c>
      <x:c r="C115" s="9" t="n">
        <x:v>33007500</x:v>
      </x:c>
      <x:c r="D115" s="9" t="n">
        <x:f t="shared" si="15"/>
        <x:v>2445000</x:v>
      </x:c>
      <x:c r="E115" s="8" t="n">
        <x:f t="shared" si="16"/>
        <x:v>0.08</x:v>
      </x:c>
      <x:c r="F115" s="9" t="n">
        <x:v>727</x:v>
      </x:c>
      <x:c r="G115" s="9" t="n">
        <x:v>797</x:v>
      </x:c>
      <x:c r="H115" s="9" t="n">
        <x:f t="shared" si="17"/>
        <x:v>70</x:v>
      </x:c>
      <x:c r="I115" s="8" t="n">
        <x:f t="shared" si="18"/>
        <x:v>0.09628610729023383</x:v>
      </x:c>
      <x:c r="J115" s="3" t="str">
        <x:f t="shared" si="19"/>
        <x:v>Low</x:v>
      </x:c>
      <x:c r="K115" s="7" t="n">
        <x:v>42.3</x:v>
      </x:c>
      <x:c r="L115" s="7" t="n">
        <x:v>42.6</x:v>
      </x:c>
      <x:c r="M115" s="7" t="n">
        <x:v>44.7</x:v>
      </x:c>
      <x:c r="N115" s="28" t="str">
        <x:v>Most Likely</x:v>
      </x:c>
      <x:c r="O115" s="29" t="str">
        <x:v>Most Likely</x:v>
      </x:c>
    </x:row>
    <x:row r="116" ht="13.649999618530273" customHeight="1">
      <x:c r="A116" s="3" t="str">
        <x:v>PJT_115</x:v>
      </x:c>
      <x:c r="B116" s="9" t="n">
        <x:v>40249050</x:v>
      </x:c>
      <x:c r="C116" s="9" t="n">
        <x:v>45211758</x:v>
      </x:c>
      <x:c r="D116" s="9" t="n">
        <x:f t="shared" si="15"/>
        <x:v>4962708</x:v>
      </x:c>
      <x:c r="E116" s="8" t="n">
        <x:f t="shared" si="16"/>
        <x:v>0.12330000335411644</x:v>
      </x:c>
      <x:c r="F116" s="9" t="n">
        <x:v>808</x:v>
      </x:c>
      <x:c r="G116" s="9" t="n">
        <x:v>921</x:v>
      </x:c>
      <x:c r="H116" s="9" t="n">
        <x:f t="shared" si="17"/>
        <x:v>113</x:v>
      </x:c>
      <x:c r="I116" s="8" t="n">
        <x:f t="shared" si="18"/>
        <x:v>0.13985148514851486</x:v>
      </x:c>
      <x:c r="J116" s="3" t="str">
        <x:f t="shared" si="19"/>
        <x:v>Medium</x:v>
      </x:c>
      <x:c r="K116" s="7" t="n">
        <x:v>55.7</x:v>
      </x:c>
      <x:c r="L116" s="7" t="n">
        <x:v>56.7</x:v>
      </x:c>
      <x:c r="M116" s="7" t="n">
        <x:v>51.8</x:v>
      </x:c>
      <x:c r="N116" s="28" t="str">
        <x:v>Pessimistic</x:v>
      </x:c>
      <x:c r="O116" s="29" t="str">
        <x:v>Pessimistic</x:v>
      </x:c>
    </x:row>
    <x:row r="117" ht="13.649999618530273" customHeight="1">
      <x:c r="A117" s="3" t="str">
        <x:v>PJT_116</x:v>
      </x:c>
      <x:c r="B117" s="9" t="n">
        <x:v>11321630</x:v>
      </x:c>
      <x:c r="C117" s="9" t="n">
        <x:v>12227360</x:v>
      </x:c>
      <x:c r="D117" s="9" t="n">
        <x:f t="shared" si="15"/>
        <x:v>905730</x:v>
      </x:c>
      <x:c r="E117" s="8" t="n">
        <x:f t="shared" si="16"/>
        <x:v>0.07999996466939831</x:v>
      </x:c>
      <x:c r="F117" s="9" t="n">
        <x:v>473</x:v>
      </x:c>
      <x:c r="G117" s="9" t="n">
        <x:v>520</x:v>
      </x:c>
      <x:c r="H117" s="9" t="n">
        <x:f t="shared" si="17"/>
        <x:v>47</x:v>
      </x:c>
      <x:c r="I117" s="8" t="n">
        <x:f t="shared" si="18"/>
        <x:v>0.09936575052854123</x:v>
      </x:c>
      <x:c r="J117" s="3" t="str">
        <x:f t="shared" si="19"/>
        <x:v>Low</x:v>
      </x:c>
      <x:c r="K117" s="7" t="n">
        <x:v>43.1</x:v>
      </x:c>
      <x:c r="L117" s="7" t="n">
        <x:v>44.9</x:v>
      </x:c>
      <x:c r="M117" s="7" t="n">
        <x:v>45.3</x:v>
      </x:c>
      <x:c r="N117" s="28" t="str">
        <x:v>Most Likely</x:v>
      </x:c>
      <x:c r="O117" s="29" t="str">
        <x:v>Most Likely</x:v>
      </x:c>
    </x:row>
    <x:row r="118" ht="13.649999618530273" customHeight="1">
      <x:c r="A118" s="3" t="str">
        <x:v>PJT_117</x:v>
      </x:c>
      <x:c r="B118" s="9" t="n">
        <x:v>15386020</x:v>
      </x:c>
      <x:c r="C118" s="9" t="n">
        <x:v>17561603</x:v>
      </x:c>
      <x:c r="D118" s="9" t="n">
        <x:f t="shared" si="15"/>
        <x:v>2175583</x:v>
      </x:c>
      <x:c r="E118" s="8" t="n">
        <x:f t="shared" si="16"/>
        <x:v>0.14139998518135294</x:v>
      </x:c>
      <x:c r="F118" s="9" t="n">
        <x:v>537</x:v>
      </x:c>
      <x:c r="G118" s="9" t="n">
        <x:v>599</x:v>
      </x:c>
      <x:c r="H118" s="9" t="n">
        <x:f t="shared" si="17"/>
        <x:v>62</x:v>
      </x:c>
      <x:c r="I118" s="8" t="n">
        <x:f t="shared" si="18"/>
        <x:v>0.1154562383612663</x:v>
      </x:c>
      <x:c r="J118" s="3" t="str">
        <x:f t="shared" si="19"/>
        <x:v>Medium</x:v>
      </x:c>
      <x:c r="K118" s="7" t="n">
        <x:v>50.4</x:v>
      </x:c>
      <x:c r="L118" s="7" t="n">
        <x:v>53.1</x:v>
      </x:c>
      <x:c r="M118" s="7" t="n">
        <x:v>48.7</x:v>
      </x:c>
      <x:c r="N118" s="28" t="str">
        <x:v>Pessimistic</x:v>
      </x:c>
      <x:c r="O118" s="29" t="str">
        <x:v>Pessimistic</x:v>
      </x:c>
    </x:row>
    <x:row r="119" ht="13.649999618530273" customHeight="1">
      <x:c r="A119" s="3" t="str">
        <x:v>PJT_118</x:v>
      </x:c>
      <x:c r="B119" s="9" t="n">
        <x:v>30827370</x:v>
      </x:c>
      <x:c r="C119" s="9" t="n">
        <x:v>35876893</x:v>
      </x:c>
      <x:c r="D119" s="9" t="n">
        <x:f t="shared" si="15"/>
        <x:v>5049523</x:v>
      </x:c>
      <x:c r="E119" s="8" t="n">
        <x:f t="shared" si="16"/>
        <x:v>0.1637999933176265</x:v>
      </x:c>
      <x:c r="F119" s="9" t="n">
        <x:v>771</x:v>
      </x:c>
      <x:c r="G119" s="9" t="n">
        <x:v>917</x:v>
      </x:c>
      <x:c r="H119" s="9" t="n">
        <x:f t="shared" si="17"/>
        <x:v>146</x:v>
      </x:c>
      <x:c r="I119" s="8" t="n">
        <x:f t="shared" si="18"/>
        <x:v>0.1893644617380026</x:v>
      </x:c>
      <x:c r="J119" s="3" t="str">
        <x:f t="shared" si="19"/>
        <x:v>Medium</x:v>
      </x:c>
      <x:c r="K119" s="7" t="n">
        <x:v>60.3</x:v>
      </x:c>
      <x:c r="L119" s="7" t="n">
        <x:v>64.8</x:v>
      </x:c>
      <x:c r="M119" s="7" t="n">
        <x:v>60.6</x:v>
      </x:c>
      <x:c r="N119" s="28" t="str">
        <x:v>Pessimistic</x:v>
      </x:c>
      <x:c r="O119" s="29" t="str">
        <x:v>Pessimistic</x:v>
      </x:c>
    </x:row>
    <x:row r="120" ht="13.649999618530273" customHeight="1">
      <x:c r="A120" s="3" t="str">
        <x:v>PJT_119</x:v>
      </x:c>
      <x:c r="B120" s="9" t="n">
        <x:v>31957900</x:v>
      </x:c>
      <x:c r="C120" s="9" t="n">
        <x:v>35917484</x:v>
      </x:c>
      <x:c r="D120" s="9" t="n">
        <x:f t="shared" si="15"/>
        <x:v>3959584</x:v>
      </x:c>
      <x:c r="E120" s="8" t="n">
        <x:f t="shared" si="16"/>
        <x:v>0.12390000594532181</x:v>
      </x:c>
      <x:c r="F120" s="9" t="n">
        <x:v>731</x:v>
      </x:c>
      <x:c r="G120" s="9" t="n">
        <x:v>829</x:v>
      </x:c>
      <x:c r="H120" s="9" t="n">
        <x:f t="shared" si="17"/>
        <x:v>98</x:v>
      </x:c>
      <x:c r="I120" s="8" t="n">
        <x:f t="shared" si="18"/>
        <x:v>0.13406292749658003</x:v>
      </x:c>
      <x:c r="J120" s="3" t="str">
        <x:f t="shared" si="19"/>
        <x:v>Medium</x:v>
      </x:c>
      <x:c r="K120" s="7" t="n">
        <x:v>54.4</x:v>
      </x:c>
      <x:c r="L120" s="7" t="n">
        <x:v>56.9</x:v>
      </x:c>
      <x:c r="M120" s="7" t="n">
        <x:v>51.4</x:v>
      </x:c>
      <x:c r="N120" s="28" t="str">
        <x:v>Pessimistic</x:v>
      </x:c>
      <x:c r="O120" s="29" t="str">
        <x:v>Pessimistic</x:v>
      </x:c>
    </x:row>
    <x:row r="121" ht="13.649999618530273" customHeight="1">
      <x:c r="A121" s="3" t="str">
        <x:v>PJT_120</x:v>
      </x:c>
      <x:c r="B121" s="9" t="n">
        <x:v>47262270</x:v>
      </x:c>
      <x:c r="C121" s="9" t="n">
        <x:v>55769479</x:v>
      </x:c>
      <x:c r="D121" s="9" t="n">
        <x:f t="shared" si="15"/>
        <x:v>8507209</x:v>
      </x:c>
      <x:c r="E121" s="8" t="n">
        <x:f t="shared" si="16"/>
        <x:v>0.18000000846341066</x:v>
      </x:c>
      <x:c r="F121" s="9" t="n">
        <x:v>935</x:v>
      </x:c>
      <x:c r="G121" s="9" t="n">
        <x:v>1098</x:v>
      </x:c>
      <x:c r="H121" s="9" t="n">
        <x:f t="shared" si="17"/>
        <x:v>163</x:v>
      </x:c>
      <x:c r="I121" s="8" t="n">
        <x:f t="shared" si="18"/>
        <x:v>0.17433155080213902</x:v>
      </x:c>
      <x:c r="J121" s="3" t="str">
        <x:f t="shared" si="19"/>
        <x:v>Medium</x:v>
      </x:c>
      <x:c r="K121" s="7" t="n">
        <x:v>59.5</x:v>
      </x:c>
      <x:c r="L121" s="7" t="n">
        <x:v>60</x:v>
      </x:c>
      <x:c r="M121" s="7" t="n">
        <x:v>62.6</x:v>
      </x:c>
      <x:c r="N121" s="28" t="str">
        <x:v>Pessimistic</x:v>
      </x:c>
      <x:c r="O121" s="29" t="str">
        <x:v>Pessimistic</x:v>
      </x:c>
    </x:row>
    <x:row r="122" ht="13.649999618530273" customHeight="1">
      <x:c r="A122" s="3" t="str">
        <x:v>PJT_121</x:v>
      </x:c>
      <x:c r="B122" s="9" t="n">
        <x:v>5364730</x:v>
      </x:c>
      <x:c r="C122" s="9" t="n">
        <x:v>5715583</x:v>
      </x:c>
      <x:c r="D122" s="9" t="n">
        <x:f t="shared" si="15"/>
        <x:v>350853</x:v>
      </x:c>
      <x:c r="E122" s="8" t="n">
        <x:f t="shared" si="16"/>
        <x:v>0.06539993625028659</x:v>
      </x:c>
      <x:c r="F122" s="9" t="n">
        <x:v>347</x:v>
      </x:c>
      <x:c r="G122" s="9" t="n">
        <x:v>367</x:v>
      </x:c>
      <x:c r="H122" s="9" t="n">
        <x:f t="shared" si="17"/>
        <x:v>20</x:v>
      </x:c>
      <x:c r="I122" s="8" t="n">
        <x:f t="shared" si="18"/>
        <x:v>0.05763688760806916</x:v>
      </x:c>
      <x:c r="J122" s="3" t="str">
        <x:f t="shared" si="19"/>
        <x:v>Low</x:v>
      </x:c>
      <x:c r="K122" s="7" t="n">
        <x:v>37.5</x:v>
      </x:c>
      <x:c r="L122" s="7" t="n">
        <x:v>41.2</x:v>
      </x:c>
      <x:c r="M122" s="7" t="n">
        <x:v>30.8</x:v>
      </x:c>
      <x:c r="N122" s="28" t="str">
        <x:v>Most Likely</x:v>
      </x:c>
      <x:c r="O122" s="29" t="str">
        <x:v>Most Likely</x:v>
      </x:c>
    </x:row>
    <x:row r="123" ht="13.649999618530273" customHeight="1">
      <x:c r="A123" s="3" t="str">
        <x:v>PJT_122</x:v>
      </x:c>
      <x:c r="B123" s="9" t="n">
        <x:v>46994200</x:v>
      </x:c>
      <x:c r="C123" s="9" t="n">
        <x:v>53921145</x:v>
      </x:c>
      <x:c r="D123" s="9" t="n">
        <x:f t="shared" si="15"/>
        <x:v>6926945</x:v>
      </x:c>
      <x:c r="E123" s="8" t="n">
        <x:f t="shared" si="16"/>
        <x:v>0.14739999829766226</x:v>
      </x:c>
      <x:c r="F123" s="9" t="n">
        <x:v>886</x:v>
      </x:c>
      <x:c r="G123" s="9" t="n">
        <x:v>1040</x:v>
      </x:c>
      <x:c r="H123" s="9" t="n">
        <x:f t="shared" si="17"/>
        <x:v>154</x:v>
      </x:c>
      <x:c r="I123" s="8" t="n">
        <x:f t="shared" si="18"/>
        <x:v>0.17381489841986456</x:v>
      </x:c>
      <x:c r="J123" s="3" t="str">
        <x:f t="shared" si="19"/>
        <x:v>Medium</x:v>
      </x:c>
      <x:c r="K123" s="7" t="n">
        <x:v>55.3</x:v>
      </x:c>
      <x:c r="L123" s="7" t="n">
        <x:v>54.5</x:v>
      </x:c>
      <x:c r="M123" s="7" t="n">
        <x:v>54.3</x:v>
      </x:c>
      <x:c r="N123" s="28" t="str">
        <x:v>Pessimistic</x:v>
      </x:c>
      <x:c r="O123" s="29" t="str">
        <x:v>Pessimistic</x:v>
      </x:c>
    </x:row>
    <x:row r="124" ht="13.649999618530273" customHeight="1">
      <x:c r="A124" s="3" t="str">
        <x:v>PJT_123</x:v>
      </x:c>
      <x:c r="B124" s="9" t="n">
        <x:v>42429050</x:v>
      </x:c>
      <x:c r="C124" s="9" t="n">
        <x:v>49540159</x:v>
      </x:c>
      <x:c r="D124" s="9" t="n">
        <x:f t="shared" si="15"/>
        <x:v>7111109</x:v>
      </x:c>
      <x:c r="E124" s="8" t="n">
        <x:f t="shared" si="16"/>
        <x:v>0.1676000051851267</x:v>
      </x:c>
      <x:c r="F124" s="9" t="n">
        <x:v>879</x:v>
      </x:c>
      <x:c r="G124" s="9" t="n">
        <x:v>1028</x:v>
      </x:c>
      <x:c r="H124" s="9" t="n">
        <x:f t="shared" si="17"/>
        <x:v>149</x:v>
      </x:c>
      <x:c r="I124" s="8" t="n">
        <x:f t="shared" si="18"/>
        <x:v>0.1695108077360637</x:v>
      </x:c>
      <x:c r="J124" s="3" t="str">
        <x:f t="shared" si="19"/>
        <x:v>High</x:v>
      </x:c>
      <x:c r="K124" s="7" t="n">
        <x:v>67.1</x:v>
      </x:c>
      <x:c r="L124" s="7" t="n">
        <x:v>69</x:v>
      </x:c>
      <x:c r="M124" s="7" t="n">
        <x:v>67.6</x:v>
      </x:c>
      <x:c r="N124" s="28" t="str">
        <x:v>Pessimistic</x:v>
      </x:c>
      <x:c r="O124" s="29" t="str">
        <x:v>Pessimistic</x:v>
      </x:c>
    </x:row>
    <x:row r="125" ht="13.649999618530273" customHeight="1">
      <x:c r="A125" s="3" t="str">
        <x:v>PJT_124</x:v>
      </x:c>
      <x:c r="B125" s="9" t="n">
        <x:v>57409850</x:v>
      </x:c>
      <x:c r="C125" s="9" t="n">
        <x:v>67743623</x:v>
      </x:c>
      <x:c r="D125" s="9" t="n">
        <x:f t="shared" si="15"/>
        <x:v>10333773</x:v>
      </x:c>
      <x:c r="E125" s="8" t="n">
        <x:f t="shared" si="16"/>
        <x:v>0.18</x:v>
      </x:c>
      <x:c r="F125" s="9" t="n">
        <x:v>1020</x:v>
      </x:c>
      <x:c r="G125" s="9" t="n">
        <x:v>1194</x:v>
      </x:c>
      <x:c r="H125" s="9" t="n">
        <x:f t="shared" si="17"/>
        <x:v>174</x:v>
      </x:c>
      <x:c r="I125" s="8" t="n">
        <x:f t="shared" si="18"/>
        <x:v>0.17058823529411765</x:v>
      </x:c>
      <x:c r="J125" s="3" t="str">
        <x:f t="shared" si="19"/>
        <x:v>Medium</x:v>
      </x:c>
      <x:c r="K125" s="7" t="n">
        <x:v>66</x:v>
      </x:c>
      <x:c r="L125" s="7" t="n">
        <x:v>67.3</x:v>
      </x:c>
      <x:c r="M125" s="7" t="n">
        <x:v>66.8</x:v>
      </x:c>
      <x:c r="N125" s="28" t="str">
        <x:v>Pessimistic</x:v>
      </x:c>
      <x:c r="O125" s="29" t="str">
        <x:v>Pessimistic</x:v>
      </x:c>
    </x:row>
    <x:row r="126" ht="13.649999618530273" customHeight="1">
      <x:c r="A126" s="3" t="str">
        <x:v>PJT_125</x:v>
      </x:c>
      <x:c r="B126" s="9" t="n">
        <x:v>50653140</x:v>
      </x:c>
      <x:c r="C126" s="9" t="n">
        <x:v>58960255</x:v>
      </x:c>
      <x:c r="D126" s="9" t="n">
        <x:f t="shared" si="15"/>
        <x:v>8307115</x:v>
      </x:c>
      <x:c r="E126" s="8" t="n">
        <x:f t="shared" si="16"/>
        <x:v>0.16400000078968452</x:v>
      </x:c>
      <x:c r="F126" s="9" t="n">
        <x:v>950</x:v>
      </x:c>
      <x:c r="G126" s="9" t="n">
        <x:v>1157</x:v>
      </x:c>
      <x:c r="H126" s="9" t="n">
        <x:f t="shared" si="17"/>
        <x:v>207</x:v>
      </x:c>
      <x:c r="I126" s="8" t="n">
        <x:f t="shared" si="18"/>
        <x:v>0.21789473684210525</x:v>
      </x:c>
      <x:c r="J126" s="3" t="str">
        <x:f t="shared" si="19"/>
        <x:v>Medium</x:v>
      </x:c>
      <x:c r="K126" s="7" t="n">
        <x:v>65.2</x:v>
      </x:c>
      <x:c r="L126" s="7" t="n">
        <x:v>64.7</x:v>
      </x:c>
      <x:c r="M126" s="7" t="n">
        <x:v>71.4</x:v>
      </x:c>
      <x:c r="N126" s="28" t="str">
        <x:v>Pessimistic</x:v>
      </x:c>
      <x:c r="O126" s="29" t="str">
        <x:v>Pessimistic</x:v>
      </x:c>
    </x:row>
    <x:row r="127" ht="13.649999618530273" customHeight="1">
      <x:c r="A127" s="3" t="str">
        <x:v>PJT_126</x:v>
      </x:c>
      <x:c r="B127" s="9" t="n">
        <x:v>48780600</x:v>
      </x:c>
      <x:c r="C127" s="9" t="n">
        <x:v>56975741</x:v>
      </x:c>
      <x:c r="D127" s="9" t="n">
        <x:f t="shared" si="15"/>
        <x:v>8195141</x:v>
      </x:c>
      <x:c r="E127" s="8" t="n">
        <x:f t="shared" si="16"/>
        <x:v>0.16800000409999058</x:v>
      </x:c>
      <x:c r="F127" s="9" t="n">
        <x:v>918</x:v>
      </x:c>
      <x:c r="G127" s="9" t="n">
        <x:v>1073</x:v>
      </x:c>
      <x:c r="H127" s="9" t="n">
        <x:f t="shared" si="17"/>
        <x:v>155</x:v>
      </x:c>
      <x:c r="I127" s="8" t="n">
        <x:f t="shared" si="18"/>
        <x:v>0.16884531590413943</x:v>
      </x:c>
      <x:c r="J127" s="3" t="str">
        <x:f t="shared" si="19"/>
        <x:v>Medium</x:v>
      </x:c>
      <x:c r="K127" s="7" t="n">
        <x:v>65.4</x:v>
      </x:c>
      <x:c r="L127" s="7" t="n">
        <x:v>68.6</x:v>
      </x:c>
      <x:c r="M127" s="7" t="n">
        <x:v>63.3</x:v>
      </x:c>
      <x:c r="N127" s="28" t="str">
        <x:v>Pessimistic</x:v>
      </x:c>
      <x:c r="O127" s="29" t="str">
        <x:v>Pessimistic</x:v>
      </x:c>
    </x:row>
    <x:row r="128" ht="13.649999618530273" customHeight="1">
      <x:c r="A128" s="3" t="str">
        <x:v>PJT_127</x:v>
      </x:c>
      <x:c r="B128" s="9" t="n">
        <x:v>65601230</x:v>
      </x:c>
      <x:c r="C128" s="9" t="n">
        <x:v>79010121</x:v>
      </x:c>
      <x:c r="D128" s="9" t="n">
        <x:f t="shared" si="15"/>
        <x:v>13408891</x:v>
      </x:c>
      <x:c r="E128" s="8" t="n">
        <x:f t="shared" si="16"/>
        <x:v>0.20439999371962994</x:v>
      </x:c>
      <x:c r="F128" s="9" t="n">
        <x:v>1056</x:v>
      </x:c>
      <x:c r="G128" s="9" t="n">
        <x:v>1273</x:v>
      </x:c>
      <x:c r="H128" s="9" t="n">
        <x:f t="shared" si="17"/>
        <x:v>217</x:v>
      </x:c>
      <x:c r="I128" s="8" t="n">
        <x:f t="shared" si="18"/>
        <x:v>0.20549242424242425</x:v>
      </x:c>
      <x:c r="J128" s="3" t="str">
        <x:f t="shared" si="19"/>
        <x:v>High</x:v>
      </x:c>
      <x:c r="K128" s="7" t="n">
        <x:v>68.9</x:v>
      </x:c>
      <x:c r="L128" s="7" t="n">
        <x:v>70.4</x:v>
      </x:c>
      <x:c r="M128" s="7" t="n">
        <x:v>66.2</x:v>
      </x:c>
      <x:c r="N128" s="28" t="str">
        <x:v>Pessimistic</x:v>
      </x:c>
      <x:c r="O128" s="29" t="str">
        <x:v>Pessimistic</x:v>
      </x:c>
    </x:row>
    <x:row r="129" ht="13.649999618530273" customHeight="1">
      <x:c r="A129" s="3" t="str">
        <x:v>PJT_128</x:v>
      </x:c>
      <x:c r="B129" s="9" t="n">
        <x:v>7748320</x:v>
      </x:c>
      <x:c r="C129" s="9" t="n">
        <x:v>8368186</x:v>
      </x:c>
      <x:c r="D129" s="9" t="n">
        <x:f t="shared" si="15"/>
        <x:v>619866</x:v>
      </x:c>
      <x:c r="E129" s="8" t="n">
        <x:f t="shared" si="16"/>
        <x:v>0.080000051624094</x:v>
      </x:c>
      <x:c r="F129" s="9" t="n">
        <x:v>383</x:v>
      </x:c>
      <x:c r="G129" s="9" t="n">
        <x:v>403</x:v>
      </x:c>
      <x:c r="H129" s="9" t="n">
        <x:f t="shared" si="17"/>
        <x:v>20</x:v>
      </x:c>
      <x:c r="I129" s="8" t="n">
        <x:f t="shared" si="18"/>
        <x:v>0.05221932114882506</x:v>
      </x:c>
      <x:c r="J129" s="3" t="str">
        <x:f t="shared" si="19"/>
        <x:v>Low</x:v>
      </x:c>
      <x:c r="K129" s="7" t="n">
        <x:v>35.3</x:v>
      </x:c>
      <x:c r="L129" s="7" t="n">
        <x:v>39.1</x:v>
      </x:c>
      <x:c r="M129" s="7" t="n">
        <x:v>32.5</x:v>
      </x:c>
      <x:c r="N129" s="28" t="str">
        <x:v>Most Likely</x:v>
      </x:c>
      <x:c r="O129" s="29" t="str">
        <x:v>Most Likely</x:v>
      </x:c>
    </x:row>
    <x:row r="130" ht="13.649999618530273" customHeight="1">
      <x:c r="A130" s="3" t="str">
        <x:v>PJT_129</x:v>
      </x:c>
      <x:c r="B130" s="9" t="n">
        <x:v>7394280</x:v>
      </x:c>
      <x:c r="C130" s="9" t="n">
        <x:v>7985822</x:v>
      </x:c>
      <x:c r="D130" s="9" t="n">
        <x:f t="shared" ref="D130:D161" si="20">C130-B130</x:f>
        <x:v>591542</x:v>
      </x:c>
      <x:c r="E130" s="8" t="n">
        <x:f t="shared" ref="E130:E161" si="21">IFERROR(D130/B130,0)</x:f>
        <x:v>0.0799999459041313</x:v>
      </x:c>
      <x:c r="F130" s="9" t="n">
        <x:v>388</x:v>
      </x:c>
      <x:c r="G130" s="9" t="n">
        <x:v>419</x:v>
      </x:c>
      <x:c r="H130" s="9" t="n">
        <x:f t="shared" ref="H130:H161" si="22">G130-F130</x:f>
        <x:v>31</x:v>
      </x:c>
      <x:c r="I130" s="8" t="n">
        <x:f t="shared" ref="I130:I161" si="23">IFERROR(H130/F130,0)</x:f>
        <x:v>0.07989690721649484</x:v>
      </x:c>
      <x:c r="J130" s="3" t="str">
        <x:f t="shared" ref="J130:J161" si="24">IF(K130&lt;45,"Low",IF(K130&lt;67,"Medium","High"))</x:f>
        <x:v>Low</x:v>
      </x:c>
      <x:c r="K130" s="7" t="n">
        <x:v>40.9</x:v>
      </x:c>
      <x:c r="L130" s="7" t="n">
        <x:v>43.5</x:v>
      </x:c>
      <x:c r="M130" s="7" t="n">
        <x:v>41.5</x:v>
      </x:c>
      <x:c r="N130" s="28" t="str">
        <x:v>Most Likely</x:v>
      </x:c>
      <x:c r="O130" s="29" t="str">
        <x:v>Most Likely</x:v>
      </x:c>
    </x:row>
    <x:row r="131" ht="13.649999618530273" customHeight="1">
      <x:c r="A131" s="3" t="str">
        <x:v>PJT_130</x:v>
      </x:c>
      <x:c r="B131" s="9" t="n">
        <x:v>53661000</x:v>
      </x:c>
      <x:c r="C131" s="9" t="n">
        <x:v>63319980</x:v>
      </x:c>
      <x:c r="D131" s="9" t="n">
        <x:f t="shared" si="20"/>
        <x:v>9658980</x:v>
      </x:c>
      <x:c r="E131" s="8" t="n">
        <x:f t="shared" si="21"/>
        <x:v>0.18</x:v>
      </x:c>
      <x:c r="F131" s="9" t="n">
        <x:v>976</x:v>
      </x:c>
      <x:c r="G131" s="9" t="n">
        <x:v>1170</x:v>
      </x:c>
      <x:c r="H131" s="9" t="n">
        <x:f t="shared" si="22"/>
        <x:v>194</x:v>
      </x:c>
      <x:c r="I131" s="8" t="n">
        <x:f t="shared" si="23"/>
        <x:v>0.1987704918032787</x:v>
      </x:c>
      <x:c r="J131" s="3" t="str">
        <x:f t="shared" si="24"/>
        <x:v>Medium</x:v>
      </x:c>
      <x:c r="K131" s="7" t="n">
        <x:v>65.3</x:v>
      </x:c>
      <x:c r="L131" s="7" t="n">
        <x:v>63</x:v>
      </x:c>
      <x:c r="M131" s="7" t="n">
        <x:v>68.8</x:v>
      </x:c>
      <x:c r="N131" s="28" t="str">
        <x:v>Pessimistic</x:v>
      </x:c>
      <x:c r="O131" s="29" t="str">
        <x:v>Pessimistic</x:v>
      </x:c>
    </x:row>
    <x:row r="132" ht="13.649999618530273" customHeight="1">
      <x:c r="A132" s="3" t="str">
        <x:v>PJT_131</x:v>
      </x:c>
      <x:c r="B132" s="9" t="n">
        <x:v>54698240</x:v>
      </x:c>
      <x:c r="C132" s="9" t="n">
        <x:v>64543923</x:v>
      </x:c>
      <x:c r="D132" s="9" t="n">
        <x:f t="shared" si="20"/>
        <x:v>9845683</x:v>
      </x:c>
      <x:c r="E132" s="8" t="n">
        <x:f t="shared" si="21"/>
        <x:v>0.17999999634357522</x:v>
      </x:c>
      <x:c r="F132" s="9" t="n">
        <x:v>966</x:v>
      </x:c>
      <x:c r="G132" s="9" t="n">
        <x:v>1179</x:v>
      </x:c>
      <x:c r="H132" s="9" t="n">
        <x:f t="shared" si="22"/>
        <x:v>213</x:v>
      </x:c>
      <x:c r="I132" s="8" t="n">
        <x:f t="shared" si="23"/>
        <x:v>0.2204968944099379</x:v>
      </x:c>
      <x:c r="J132" s="3" t="str">
        <x:f t="shared" si="24"/>
        <x:v>Medium</x:v>
      </x:c>
      <x:c r="K132" s="7" t="n">
        <x:v>63.5</x:v>
      </x:c>
      <x:c r="L132" s="7" t="n">
        <x:v>63.3</x:v>
      </x:c>
      <x:c r="M132" s="7" t="n">
        <x:v>66.2</x:v>
      </x:c>
      <x:c r="N132" s="28" t="str">
        <x:v>Pessimistic</x:v>
      </x:c>
      <x:c r="O132" s="29" t="str">
        <x:v>Pessimistic</x:v>
      </x:c>
    </x:row>
    <x:row r="133" ht="13.649999618530273" customHeight="1">
      <x:c r="A133" s="3" t="str">
        <x:v>PJT_132</x:v>
      </x:c>
      <x:c r="B133" s="9" t="n">
        <x:v>35328800</x:v>
      </x:c>
      <x:c r="C133" s="9" t="n">
        <x:v>40652850</x:v>
      </x:c>
      <x:c r="D133" s="9" t="n">
        <x:f t="shared" si="20"/>
        <x:v>5324050</x:v>
      </x:c>
      <x:c r="E133" s="8" t="n">
        <x:f t="shared" si="21"/>
        <x:v>0.15069999547111704</x:v>
      </x:c>
      <x:c r="F133" s="9" t="n">
        <x:v>718</x:v>
      </x:c>
      <x:c r="G133" s="9" t="n">
        <x:v>833</x:v>
      </x:c>
      <x:c r="H133" s="9" t="n">
        <x:f t="shared" si="22"/>
        <x:v>115</x:v>
      </x:c>
      <x:c r="I133" s="8" t="n">
        <x:f t="shared" si="23"/>
        <x:v>0.16016713091922005</x:v>
      </x:c>
      <x:c r="J133" s="3" t="str">
        <x:f t="shared" si="24"/>
        <x:v>Medium</x:v>
      </x:c>
      <x:c r="K133" s="7" t="n">
        <x:v>49.1</x:v>
      </x:c>
      <x:c r="L133" s="7" t="n">
        <x:v>51.6</x:v>
      </x:c>
      <x:c r="M133" s="7" t="n">
        <x:v>51.4</x:v>
      </x:c>
      <x:c r="N133" s="28" t="str">
        <x:v>Pessimistic</x:v>
      </x:c>
      <x:c r="O133" s="29" t="str">
        <x:v>Pessimistic</x:v>
      </x:c>
    </x:row>
    <x:row r="134" ht="13.649999618530273" customHeight="1">
      <x:c r="A134" s="3" t="str">
        <x:v>PJT_133</x:v>
      </x:c>
      <x:c r="B134" s="9" t="n">
        <x:v>43173360</x:v>
      </x:c>
      <x:c r="C134" s="9" t="n">
        <x:v>49411911</x:v>
      </x:c>
      <x:c r="D134" s="9" t="n">
        <x:f t="shared" si="20"/>
        <x:v>6238551</x:v>
      </x:c>
      <x:c r="E134" s="8" t="n">
        <x:f t="shared" si="21"/>
        <x:v>0.1445000111179672</x:v>
      </x:c>
      <x:c r="F134" s="9" t="n">
        <x:v>875</x:v>
      </x:c>
      <x:c r="G134" s="9" t="n">
        <x:v>1040</x:v>
      </x:c>
      <x:c r="H134" s="9" t="n">
        <x:f t="shared" si="22"/>
        <x:v>165</x:v>
      </x:c>
      <x:c r="I134" s="8" t="n">
        <x:f t="shared" si="23"/>
        <x:v>0.18857142857142858</x:v>
      </x:c>
      <x:c r="J134" s="3" t="str">
        <x:f t="shared" si="24"/>
        <x:v>Medium</x:v>
      </x:c>
      <x:c r="K134" s="7" t="n">
        <x:v>63.9</x:v>
      </x:c>
      <x:c r="L134" s="7" t="n">
        <x:v>65.7</x:v>
      </x:c>
      <x:c r="M134" s="7" t="n">
        <x:v>65.3</x:v>
      </x:c>
      <x:c r="N134" s="28" t="str">
        <x:v>Pessimistic</x:v>
      </x:c>
      <x:c r="O134" s="29" t="str">
        <x:v>Pessimistic</x:v>
      </x:c>
    </x:row>
    <x:row r="135" ht="13.649999618530273" customHeight="1">
      <x:c r="A135" s="3" t="str">
        <x:v>PJT_134</x:v>
      </x:c>
      <x:c r="B135" s="9" t="n">
        <x:v>39808580</x:v>
      </x:c>
      <x:c r="C135" s="9" t="n">
        <x:v>46675560</x:v>
      </x:c>
      <x:c r="D135" s="9" t="n">
        <x:f t="shared" si="20"/>
        <x:v>6866980</x:v>
      </x:c>
      <x:c r="E135" s="8" t="n">
        <x:f t="shared" si="21"/>
        <x:v>0.17249999874398936</x:v>
      </x:c>
      <x:c r="F135" s="9" t="n">
        <x:v>830</x:v>
      </x:c>
      <x:c r="G135" s="9" t="n">
        <x:v>972</x:v>
      </x:c>
      <x:c r="H135" s="9" t="n">
        <x:f t="shared" si="22"/>
        <x:v>142</x:v>
      </x:c>
      <x:c r="I135" s="8" t="n">
        <x:f t="shared" si="23"/>
        <x:v>0.1710843373493976</x:v>
      </x:c>
      <x:c r="J135" s="3" t="str">
        <x:f t="shared" si="24"/>
        <x:v>Medium</x:v>
      </x:c>
      <x:c r="K135" s="7" t="n">
        <x:v>59.7</x:v>
      </x:c>
      <x:c r="L135" s="7" t="n">
        <x:v>62.1</x:v>
      </x:c>
      <x:c r="M135" s="7" t="n">
        <x:v>55.7</x:v>
      </x:c>
      <x:c r="N135" s="28" t="str">
        <x:v>Pessimistic</x:v>
      </x:c>
      <x:c r="O135" s="29" t="str">
        <x:v>Pessimistic</x:v>
      </x:c>
    </x:row>
    <x:row r="136" ht="13.649999618530273" customHeight="1">
      <x:c r="A136" s="3" t="str">
        <x:v>PJT_135</x:v>
      </x:c>
      <x:c r="B136" s="9" t="n">
        <x:v>57762920</x:v>
      </x:c>
      <x:c r="C136" s="9" t="n">
        <x:v>67380446</x:v>
      </x:c>
      <x:c r="D136" s="9" t="n">
        <x:f t="shared" si="20"/>
        <x:v>9617526</x:v>
      </x:c>
      <x:c r="E136" s="8" t="n">
        <x:f t="shared" si="21"/>
        <x:v>0.16649999688381403</x:v>
      </x:c>
      <x:c r="F136" s="9" t="n">
        <x:v>991</x:v>
      </x:c>
      <x:c r="G136" s="9" t="n">
        <x:v>1157</x:v>
      </x:c>
      <x:c r="H136" s="9" t="n">
        <x:f t="shared" si="22"/>
        <x:v>166</x:v>
      </x:c>
      <x:c r="I136" s="8" t="n">
        <x:f t="shared" si="23"/>
        <x:v>0.16750756811301715</x:v>
      </x:c>
      <x:c r="J136" s="3" t="str">
        <x:f t="shared" si="24"/>
        <x:v>Medium</x:v>
      </x:c>
      <x:c r="K136" s="7" t="n">
        <x:v>57.2</x:v>
      </x:c>
      <x:c r="L136" s="7" t="n">
        <x:v>55.7</x:v>
      </x:c>
      <x:c r="M136" s="7" t="n">
        <x:v>57.8</x:v>
      </x:c>
      <x:c r="N136" s="28" t="str">
        <x:v>Pessimistic</x:v>
      </x:c>
      <x:c r="O136" s="29" t="str">
        <x:v>Pessimistic</x:v>
      </x:c>
    </x:row>
    <x:row r="137" ht="13.649999618530273" customHeight="1">
      <x:c r="A137" s="3" t="str">
        <x:v>PJT_136</x:v>
      </x:c>
      <x:c r="B137" s="9" t="n">
        <x:v>3631200</x:v>
      </x:c>
      <x:c r="C137" s="9" t="n">
        <x:v>3921696</x:v>
      </x:c>
      <x:c r="D137" s="9" t="n">
        <x:f t="shared" si="20"/>
        <x:v>290496</x:v>
      </x:c>
      <x:c r="E137" s="8" t="n">
        <x:f t="shared" si="21"/>
        <x:v>0.08</x:v>
      </x:c>
      <x:c r="F137" s="9" t="n">
        <x:v>341</x:v>
      </x:c>
      <x:c r="G137" s="9" t="n">
        <x:v>372</x:v>
      </x:c>
      <x:c r="H137" s="9" t="n">
        <x:f t="shared" si="22"/>
        <x:v>31</x:v>
      </x:c>
      <x:c r="I137" s="8" t="n">
        <x:f t="shared" si="23"/>
        <x:v>0.09090909090909091</x:v>
      </x:c>
      <x:c r="J137" s="3" t="str">
        <x:f t="shared" si="24"/>
        <x:v>Low</x:v>
      </x:c>
      <x:c r="K137" s="7" t="n">
        <x:v>43.3</x:v>
      </x:c>
      <x:c r="L137" s="7" t="n">
        <x:v>47.6</x:v>
      </x:c>
      <x:c r="M137" s="7" t="n">
        <x:v>41</x:v>
      </x:c>
      <x:c r="N137" s="28" t="str">
        <x:v>Most Likely</x:v>
      </x:c>
      <x:c r="O137" s="29" t="str">
        <x:v>Most Likely</x:v>
      </x:c>
    </x:row>
    <x:row r="138" ht="13.649999618530273" customHeight="1">
      <x:c r="A138" s="3" t="str">
        <x:v>PJT_137</x:v>
      </x:c>
      <x:c r="B138" s="9" t="n">
        <x:v>25376400</x:v>
      </x:c>
      <x:c r="C138" s="9" t="n">
        <x:v>29055978</x:v>
      </x:c>
      <x:c r="D138" s="9" t="n">
        <x:f t="shared" si="20"/>
        <x:v>3679578</x:v>
      </x:c>
      <x:c r="E138" s="8" t="n">
        <x:f t="shared" si="21"/>
        <x:v>0.145</x:v>
      </x:c>
      <x:c r="F138" s="9" t="n">
        <x:v>639</x:v>
      </x:c>
      <x:c r="G138" s="9" t="n">
        <x:v>749</x:v>
      </x:c>
      <x:c r="H138" s="9" t="n">
        <x:f t="shared" si="22"/>
        <x:v>110</x:v>
      </x:c>
      <x:c r="I138" s="8" t="n">
        <x:f t="shared" si="23"/>
        <x:v>0.17214397496087636</x:v>
      </x:c>
      <x:c r="J138" s="3" t="str">
        <x:f t="shared" si="24"/>
        <x:v>Medium</x:v>
      </x:c>
      <x:c r="K138" s="7" t="n">
        <x:v>54.2</x:v>
      </x:c>
      <x:c r="L138" s="7" t="n">
        <x:v>57.9</x:v>
      </x:c>
      <x:c r="M138" s="7" t="n">
        <x:v>53</x:v>
      </x:c>
      <x:c r="N138" s="28" t="str">
        <x:v>Pessimistic</x:v>
      </x:c>
      <x:c r="O138" s="29" t="str">
        <x:v>Pessimistic</x:v>
      </x:c>
    </x:row>
    <x:row r="139" ht="13.649999618530273" customHeight="1">
      <x:c r="A139" s="3" t="str">
        <x:v>PJT_138</x:v>
      </x:c>
      <x:c r="B139" s="9" t="n">
        <x:v>18578000</x:v>
      </x:c>
      <x:c r="C139" s="9" t="n">
        <x:v>20064240</x:v>
      </x:c>
      <x:c r="D139" s="9" t="n">
        <x:f t="shared" si="20"/>
        <x:v>1486240</x:v>
      </x:c>
      <x:c r="E139" s="8" t="n">
        <x:f t="shared" si="21"/>
        <x:v>0.08</x:v>
      </x:c>
      <x:c r="F139" s="9" t="n">
        <x:v>593</x:v>
      </x:c>
      <x:c r="G139" s="9" t="n">
        <x:v>652</x:v>
      </x:c>
      <x:c r="H139" s="9" t="n">
        <x:f t="shared" si="22"/>
        <x:v>59</x:v>
      </x:c>
      <x:c r="I139" s="8" t="n">
        <x:f t="shared" si="23"/>
        <x:v>0.09949409780775717</x:v>
      </x:c>
      <x:c r="J139" s="3" t="str">
        <x:f t="shared" si="24"/>
        <x:v>Low</x:v>
      </x:c>
      <x:c r="K139" s="7" t="n">
        <x:v>42.6</x:v>
      </x:c>
      <x:c r="L139" s="7" t="n">
        <x:v>43.1</x:v>
      </x:c>
      <x:c r="M139" s="7" t="n">
        <x:v>43.6</x:v>
      </x:c>
      <x:c r="N139" s="28" t="str">
        <x:v>Most Likely</x:v>
      </x:c>
      <x:c r="O139" s="29" t="str">
        <x:v>Most Likely</x:v>
      </x:c>
    </x:row>
    <x:row r="140" ht="13.649999618530273" customHeight="1">
      <x:c r="A140" s="3" t="str">
        <x:v>PJT_139</x:v>
      </x:c>
      <x:c r="B140" s="9" t="n">
        <x:v>44269020</x:v>
      </x:c>
      <x:c r="C140" s="9" t="n">
        <x:v>50196642</x:v>
      </x:c>
      <x:c r="D140" s="9" t="n">
        <x:f t="shared" si="20"/>
        <x:v>5927622</x:v>
      </x:c>
      <x:c r="E140" s="8" t="n">
        <x:f t="shared" si="21"/>
        <x:v>0.13390000501479365</x:v>
      </x:c>
      <x:c r="F140" s="9" t="n">
        <x:v>869</x:v>
      </x:c>
      <x:c r="G140" s="9" t="n">
        <x:v>997</x:v>
      </x:c>
      <x:c r="H140" s="9" t="n">
        <x:f t="shared" si="22"/>
        <x:v>128</x:v>
      </x:c>
      <x:c r="I140" s="8" t="n">
        <x:f t="shared" si="23"/>
        <x:v>0.1472957422324511</x:v>
      </x:c>
      <x:c r="J140" s="3" t="str">
        <x:f t="shared" si="24"/>
        <x:v>Medium</x:v>
      </x:c>
      <x:c r="K140" s="7" t="n">
        <x:v>58.2</x:v>
      </x:c>
      <x:c r="L140" s="7" t="n">
        <x:v>59.1</x:v>
      </x:c>
      <x:c r="M140" s="7" t="n">
        <x:v>55.3</x:v>
      </x:c>
      <x:c r="N140" s="28" t="str">
        <x:v>Pessimistic</x:v>
      </x:c>
      <x:c r="O140" s="29" t="str">
        <x:v>Pessimistic</x:v>
      </x:c>
    </x:row>
    <x:row r="141" ht="13.649999618530273" customHeight="1">
      <x:c r="A141" s="3" t="str">
        <x:v>PJT_140</x:v>
      </x:c>
      <x:c r="B141" s="9" t="n">
        <x:v>56800160</x:v>
      </x:c>
      <x:c r="C141" s="9" t="n">
        <x:v>62315456</x:v>
      </x:c>
      <x:c r="D141" s="9" t="n">
        <x:f t="shared" si="20"/>
        <x:v>5515296</x:v>
      </x:c>
      <x:c r="E141" s="8" t="n">
        <x:f t="shared" si="21"/>
        <x:v>0.09710000816899107</x:v>
      </x:c>
      <x:c r="F141" s="9" t="n">
        <x:v>983</x:v>
      </x:c>
      <x:c r="G141" s="9" t="n">
        <x:v>1138</x:v>
      </x:c>
      <x:c r="H141" s="9" t="n">
        <x:f t="shared" si="22"/>
        <x:v>155</x:v>
      </x:c>
      <x:c r="I141" s="8" t="n">
        <x:f t="shared" si="23"/>
        <x:v>0.15768056968463887</x:v>
      </x:c>
      <x:c r="J141" s="3" t="str">
        <x:f t="shared" si="24"/>
        <x:v>Medium</x:v>
      </x:c>
      <x:c r="K141" s="7" t="n">
        <x:v>52.9</x:v>
      </x:c>
      <x:c r="L141" s="7" t="n">
        <x:v>51.2</x:v>
      </x:c>
      <x:c r="M141" s="7" t="n">
        <x:v>53.6</x:v>
      </x:c>
      <x:c r="N141" s="28" t="str">
        <x:v>Most Likely</x:v>
      </x:c>
      <x:c r="O141" s="29" t="str">
        <x:v>Pessimistic</x:v>
      </x:c>
    </x:row>
    <x:row r="142" ht="13.649999618530273" customHeight="1">
      <x:c r="A142" s="3" t="str">
        <x:v>PJT_141</x:v>
      </x:c>
      <x:c r="B142" s="9" t="n">
        <x:v>46377840</x:v>
      </x:c>
      <x:c r="C142" s="9" t="n">
        <x:v>54410482</x:v>
      </x:c>
      <x:c r="D142" s="9" t="n">
        <x:f t="shared" si="20"/>
        <x:v>8032642</x:v>
      </x:c>
      <x:c r="E142" s="8" t="n">
        <x:f t="shared" si="21"/>
        <x:v>0.17320000241494646</x:v>
      </x:c>
      <x:c r="F142" s="9" t="n">
        <x:v>915</x:v>
      </x:c>
      <x:c r="G142" s="9" t="n">
        <x:v>1101</x:v>
      </x:c>
      <x:c r="H142" s="9" t="n">
        <x:f t="shared" si="22"/>
        <x:v>186</x:v>
      </x:c>
      <x:c r="I142" s="8" t="n">
        <x:f t="shared" si="23"/>
        <x:v>0.20327868852459016</x:v>
      </x:c>
      <x:c r="J142" s="3" t="str">
        <x:f t="shared" si="24"/>
        <x:v>Medium</x:v>
      </x:c>
      <x:c r="K142" s="7" t="n">
        <x:v>59.2</x:v>
      </x:c>
      <x:c r="L142" s="7" t="n">
        <x:v>61.5</x:v>
      </x:c>
      <x:c r="M142" s="7" t="n">
        <x:v>60.3</x:v>
      </x:c>
      <x:c r="N142" s="28" t="str">
        <x:v>Pessimistic</x:v>
      </x:c>
      <x:c r="O142" s="29" t="str">
        <x:v>Pessimistic</x:v>
      </x:c>
    </x:row>
    <x:row r="143" ht="13.649999618530273" customHeight="1">
      <x:c r="A143" s="3" t="str">
        <x:v>PJT_142</x:v>
      </x:c>
      <x:c r="B143" s="9" t="n">
        <x:v>64085220</x:v>
      </x:c>
      <x:c r="C143" s="9" t="n">
        <x:v>76915081</x:v>
      </x:c>
      <x:c r="D143" s="9" t="n">
        <x:f t="shared" si="20"/>
        <x:v>12829861</x:v>
      </x:c>
      <x:c r="E143" s="8" t="n">
        <x:f t="shared" si="21"/>
        <x:v>0.20019999931341423</x:v>
      </x:c>
      <x:c r="F143" s="9" t="n">
        <x:v>1076</x:v>
      </x:c>
      <x:c r="G143" s="9" t="n">
        <x:v>1302</x:v>
      </x:c>
      <x:c r="H143" s="9" t="n">
        <x:f t="shared" si="22"/>
        <x:v>226</x:v>
      </x:c>
      <x:c r="I143" s="8" t="n">
        <x:f t="shared" si="23"/>
        <x:v>0.2100371747211896</x:v>
      </x:c>
      <x:c r="J143" s="3" t="str">
        <x:f t="shared" si="24"/>
        <x:v>High</x:v>
      </x:c>
      <x:c r="K143" s="7" t="n">
        <x:v>70.3</x:v>
      </x:c>
      <x:c r="L143" s="7" t="n">
        <x:v>72.1</x:v>
      </x:c>
      <x:c r="M143" s="7" t="n">
        <x:v>67.9</x:v>
      </x:c>
      <x:c r="N143" s="28" t="str">
        <x:v>Pessimistic</x:v>
      </x:c>
      <x:c r="O143" s="29" t="str">
        <x:v>Pessimistic</x:v>
      </x:c>
    </x:row>
    <x:row r="144" ht="13.649999618530273" customHeight="1">
      <x:c r="A144" s="3" t="str">
        <x:v>PJT_143</x:v>
      </x:c>
      <x:c r="B144" s="9" t="n">
        <x:v>40740080</x:v>
      </x:c>
      <x:c r="C144" s="9" t="n">
        <x:v>46753316</x:v>
      </x:c>
      <x:c r="D144" s="9" t="n">
        <x:f t="shared" si="20"/>
        <x:v>6013236</x:v>
      </x:c>
      <x:c r="E144" s="8" t="n">
        <x:f t="shared" si="21"/>
        <x:v>0.1476000047128037</x:v>
      </x:c>
      <x:c r="F144" s="9" t="n">
        <x:v>844</x:v>
      </x:c>
      <x:c r="G144" s="9" t="n">
        <x:v>969</x:v>
      </x:c>
      <x:c r="H144" s="9" t="n">
        <x:f t="shared" si="22"/>
        <x:v>125</x:v>
      </x:c>
      <x:c r="I144" s="8" t="n">
        <x:f t="shared" si="23"/>
        <x:v>0.1481042654028436</x:v>
      </x:c>
      <x:c r="J144" s="3" t="str">
        <x:f t="shared" si="24"/>
        <x:v>Medium</x:v>
      </x:c>
      <x:c r="K144" s="7" t="n">
        <x:v>59.6</x:v>
      </x:c>
      <x:c r="L144" s="7" t="n">
        <x:v>62</x:v>
      </x:c>
      <x:c r="M144" s="7" t="n">
        <x:v>60.2</x:v>
      </x:c>
      <x:c r="N144" s="28" t="str">
        <x:v>Pessimistic</x:v>
      </x:c>
      <x:c r="O144" s="29" t="str">
        <x:v>Pessimistic</x:v>
      </x:c>
    </x:row>
    <x:row r="145" ht="13.649999618530273" customHeight="1">
      <x:c r="A145" s="3" t="str">
        <x:v>PJT_144</x:v>
      </x:c>
      <x:c r="B145" s="9" t="n">
        <x:v>48985170</x:v>
      </x:c>
      <x:c r="C145" s="9" t="n">
        <x:v>57219577</x:v>
      </x:c>
      <x:c r="D145" s="9" t="n">
        <x:f t="shared" si="20"/>
        <x:v>8234407</x:v>
      </x:c>
      <x:c r="E145" s="8" t="n">
        <x:f t="shared" si="21"/>
        <x:v>0.1680999984280957</x:v>
      </x:c>
      <x:c r="F145" s="9" t="n">
        <x:v>808</x:v>
      </x:c>
      <x:c r="G145" s="9" t="n">
        <x:v>930</x:v>
      </x:c>
      <x:c r="H145" s="9" t="n">
        <x:f t="shared" si="22"/>
        <x:v>122</x:v>
      </x:c>
      <x:c r="I145" s="8" t="n">
        <x:f t="shared" si="23"/>
        <x:v>0.15099009900990099</x:v>
      </x:c>
      <x:c r="J145" s="3" t="str">
        <x:f t="shared" si="24"/>
        <x:v>Medium</x:v>
      </x:c>
      <x:c r="K145" s="7" t="n">
        <x:v>54.8</x:v>
      </x:c>
      <x:c r="L145" s="7" t="n">
        <x:v>58</x:v>
      </x:c>
      <x:c r="M145" s="7" t="n">
        <x:v>53.5</x:v>
      </x:c>
      <x:c r="N145" s="28" t="str">
        <x:v>Pessimistic</x:v>
      </x:c>
      <x:c r="O145" s="29" t="str">
        <x:v>Pessimistic</x:v>
      </x:c>
    </x:row>
    <x:row r="146" ht="13.649999618530273" customHeight="1">
      <x:c r="A146" s="3" t="str">
        <x:v>PJT_145</x:v>
      </x:c>
      <x:c r="B146" s="9" t="n">
        <x:v>47436800</x:v>
      </x:c>
      <x:c r="C146" s="9" t="n">
        <x:v>55975424</x:v>
      </x:c>
      <x:c r="D146" s="9" t="n">
        <x:f t="shared" si="20"/>
        <x:v>8538624</x:v>
      </x:c>
      <x:c r="E146" s="8" t="n">
        <x:f t="shared" si="21"/>
        <x:v>0.18</x:v>
      </x:c>
      <x:c r="F146" s="9" t="n">
        <x:v>913</x:v>
      </x:c>
      <x:c r="G146" s="9" t="n">
        <x:v>1101</x:v>
      </x:c>
      <x:c r="H146" s="9" t="n">
        <x:f t="shared" si="22"/>
        <x:v>188</x:v>
      </x:c>
      <x:c r="I146" s="8" t="n">
        <x:f t="shared" si="23"/>
        <x:v>0.2059145673603505</x:v>
      </x:c>
      <x:c r="J146" s="3" t="str">
        <x:f t="shared" si="24"/>
        <x:v>Medium</x:v>
      </x:c>
      <x:c r="K146" s="7" t="n">
        <x:v>62.1</x:v>
      </x:c>
      <x:c r="L146" s="7" t="n">
        <x:v>60.7</x:v>
      </x:c>
      <x:c r="M146" s="7" t="n">
        <x:v>67.9</x:v>
      </x:c>
      <x:c r="N146" s="28" t="str">
        <x:v>Pessimistic</x:v>
      </x:c>
      <x:c r="O146" s="29" t="str">
        <x:v>Pessimistic</x:v>
      </x:c>
    </x:row>
    <x:row r="147" ht="13.649999618530273" customHeight="1">
      <x:c r="A147" s="3" t="str">
        <x:v>PJT_146</x:v>
      </x:c>
      <x:c r="B147" s="9" t="n">
        <x:v>70945050</x:v>
      </x:c>
      <x:c r="C147" s="9" t="n">
        <x:v>83452662</x:v>
      </x:c>
      <x:c r="D147" s="9" t="n">
        <x:f t="shared" si="20"/>
        <x:v>12507612</x:v>
      </x:c>
      <x:c r="E147" s="8" t="n">
        <x:f t="shared" si="21"/>
        <x:v>0.17629999555994394</x:v>
      </x:c>
      <x:c r="F147" s="9" t="n">
        <x:v>1003</x:v>
      </x:c>
      <x:c r="G147" s="9" t="n">
        <x:v>1204</x:v>
      </x:c>
      <x:c r="H147" s="9" t="n">
        <x:f t="shared" si="22"/>
        <x:v>201</x:v>
      </x:c>
      <x:c r="I147" s="8" t="n">
        <x:f t="shared" si="23"/>
        <x:v>0.20039880358923232</x:v>
      </x:c>
      <x:c r="J147" s="3" t="str">
        <x:f t="shared" si="24"/>
        <x:v>High</x:v>
      </x:c>
      <x:c r="K147" s="7" t="n">
        <x:v>70.1</x:v>
      </x:c>
      <x:c r="L147" s="7" t="n">
        <x:v>72.5</x:v>
      </x:c>
      <x:c r="M147" s="7" t="n">
        <x:v>68.2</x:v>
      </x:c>
      <x:c r="N147" s="28" t="str">
        <x:v>Pessimistic</x:v>
      </x:c>
      <x:c r="O147" s="29" t="str">
        <x:v>Pessimistic</x:v>
      </x:c>
    </x:row>
    <x:row r="148" ht="13.649999618530273" customHeight="1">
      <x:c r="A148" s="3" t="str">
        <x:v>PJT_147</x:v>
      </x:c>
      <x:c r="B148" s="9" t="n">
        <x:v>7474220</x:v>
      </x:c>
      <x:c r="C148" s="9" t="n">
        <x:v>8072158</x:v>
      </x:c>
      <x:c r="D148" s="9" t="n">
        <x:f t="shared" si="20"/>
        <x:v>597938</x:v>
      </x:c>
      <x:c r="E148" s="8" t="n">
        <x:f t="shared" si="21"/>
        <x:v>0.0800000535172901</x:v>
      </x:c>
      <x:c r="F148" s="9" t="n">
        <x:v>449</x:v>
      </x:c>
      <x:c r="G148" s="9" t="n">
        <x:v>477</x:v>
      </x:c>
      <x:c r="H148" s="9" t="n">
        <x:f t="shared" si="22"/>
        <x:v>28</x:v>
      </x:c>
      <x:c r="I148" s="8" t="n">
        <x:f t="shared" si="23"/>
        <x:v>0.062360801781737196</x:v>
      </x:c>
      <x:c r="J148" s="3" t="str">
        <x:f t="shared" si="24"/>
        <x:v>Low</x:v>
      </x:c>
      <x:c r="K148" s="7" t="n">
        <x:v>42.4</x:v>
      </x:c>
      <x:c r="L148" s="7" t="n">
        <x:v>47.3</x:v>
      </x:c>
      <x:c r="M148" s="7" t="n">
        <x:v>40</x:v>
      </x:c>
      <x:c r="N148" s="28" t="str">
        <x:v>Most Likely</x:v>
      </x:c>
      <x:c r="O148" s="29" t="str">
        <x:v>Most Likely</x:v>
      </x:c>
    </x:row>
    <x:row r="149" ht="13.649999618530273" customHeight="1">
      <x:c r="A149" s="3" t="str">
        <x:v>PJT_148</x:v>
      </x:c>
      <x:c r="B149" s="9" t="n">
        <x:v>38615430</x:v>
      </x:c>
      <x:c r="C149" s="9" t="n">
        <x:v>44083375</x:v>
      </x:c>
      <x:c r="D149" s="9" t="n">
        <x:f t="shared" si="20"/>
        <x:v>5467945</x:v>
      </x:c>
      <x:c r="E149" s="8" t="n">
        <x:f t="shared" si="21"/>
        <x:v>0.141600002900395</x:v>
      </x:c>
      <x:c r="F149" s="9" t="n">
        <x:v>832</x:v>
      </x:c>
      <x:c r="G149" s="9" t="n">
        <x:v>942</x:v>
      </x:c>
      <x:c r="H149" s="9" t="n">
        <x:f t="shared" si="22"/>
        <x:v>110</x:v>
      </x:c>
      <x:c r="I149" s="8" t="n">
        <x:f t="shared" si="23"/>
        <x:v>0.13221153846153846</x:v>
      </x:c>
      <x:c r="J149" s="3" t="str">
        <x:f t="shared" si="24"/>
        <x:v>Medium</x:v>
      </x:c>
      <x:c r="K149" s="7" t="n">
        <x:v>57.8</x:v>
      </x:c>
      <x:c r="L149" s="7" t="n">
        <x:v>58.6</x:v>
      </x:c>
      <x:c r="M149" s="7" t="n">
        <x:v>58.9</x:v>
      </x:c>
      <x:c r="N149" s="28" t="str">
        <x:v>Pessimistic</x:v>
      </x:c>
      <x:c r="O149" s="29" t="str">
        <x:v>Pessimistic</x:v>
      </x:c>
    </x:row>
    <x:row r="150" ht="13.649999618530273" customHeight="1">
      <x:c r="A150" s="3" t="str">
        <x:v>PJT_149</x:v>
      </x:c>
      <x:c r="B150" s="9" t="n">
        <x:v>33685260</x:v>
      </x:c>
      <x:c r="C150" s="9" t="n">
        <x:v>39034479</x:v>
      </x:c>
      <x:c r="D150" s="9" t="n">
        <x:f t="shared" si="20"/>
        <x:v>5349219</x:v>
      </x:c>
      <x:c r="E150" s="8" t="n">
        <x:f t="shared" si="21"/>
        <x:v>0.15879999145026638</x:v>
      </x:c>
      <x:c r="F150" s="9" t="n">
        <x:v>709</x:v>
      </x:c>
      <x:c r="G150" s="9" t="n">
        <x:v>806</x:v>
      </x:c>
      <x:c r="H150" s="9" t="n">
        <x:f t="shared" si="22"/>
        <x:v>97</x:v>
      </x:c>
      <x:c r="I150" s="8" t="n">
        <x:f t="shared" si="23"/>
        <x:v>0.1368124118476728</x:v>
      </x:c>
      <x:c r="J150" s="3" t="str">
        <x:f t="shared" si="24"/>
        <x:v>Medium</x:v>
      </x:c>
      <x:c r="K150" s="7" t="n">
        <x:v>53</x:v>
      </x:c>
      <x:c r="L150" s="7" t="n">
        <x:v>54.6</x:v>
      </x:c>
      <x:c r="M150" s="7" t="n">
        <x:v>55.5</x:v>
      </x:c>
      <x:c r="N150" s="28" t="str">
        <x:v>Pessimistic</x:v>
      </x:c>
      <x:c r="O150" s="29" t="str">
        <x:v>Pessimistic</x:v>
      </x:c>
    </x:row>
    <x:row r="151" ht="13.649999618530273" customHeight="1">
      <x:c r="A151" s="3" t="str">
        <x:v>PJT_150</x:v>
      </x:c>
      <x:c r="B151" s="9" t="n">
        <x:v>15899520</x:v>
      </x:c>
      <x:c r="C151" s="9" t="n">
        <x:v>18295578</x:v>
      </x:c>
      <x:c r="D151" s="9" t="n">
        <x:f t="shared" si="20"/>
        <x:v>2396058</x:v>
      </x:c>
      <x:c r="E151" s="8" t="n">
        <x:f t="shared" si="21"/>
        <x:v>0.15070002113271344</x:v>
      </x:c>
      <x:c r="F151" s="9" t="n">
        <x:v>566</x:v>
      </x:c>
      <x:c r="G151" s="9" t="n">
        <x:v>617</x:v>
      </x:c>
      <x:c r="H151" s="9" t="n">
        <x:f t="shared" si="22"/>
        <x:v>51</x:v>
      </x:c>
      <x:c r="I151" s="8" t="n">
        <x:f t="shared" si="23"/>
        <x:v>0.09010600706713781</x:v>
      </x:c>
      <x:c r="J151" s="3" t="str">
        <x:f t="shared" si="24"/>
        <x:v>Medium</x:v>
      </x:c>
      <x:c r="K151" s="7" t="n">
        <x:v>49.2</x:v>
      </x:c>
      <x:c r="L151" s="7" t="n">
        <x:v>54.5</x:v>
      </x:c>
      <x:c r="M151" s="7" t="n">
        <x:v>49</x:v>
      </x:c>
      <x:c r="N151" s="28" t="str">
        <x:v>Pessimistic</x:v>
      </x:c>
      <x:c r="O151" s="29" t="str">
        <x:v>Most Likely</x:v>
      </x:c>
    </x:row>
    <x:row r="152" ht="13.649999618530273" customHeight="1">
      <x:c r="A152" s="3" t="str">
        <x:v>PJT_151</x:v>
      </x:c>
      <x:c r="B152" s="9" t="n">
        <x:v>5505930</x:v>
      </x:c>
      <x:c r="C152" s="9" t="n">
        <x:v>5946404</x:v>
      </x:c>
      <x:c r="D152" s="9" t="n">
        <x:f t="shared" si="20"/>
        <x:v>440474</x:v>
      </x:c>
      <x:c r="E152" s="8" t="n">
        <x:f t="shared" si="21"/>
        <x:v>0.07999992735105604</x:v>
      </x:c>
      <x:c r="F152" s="9" t="n">
        <x:v>382</x:v>
      </x:c>
      <x:c r="G152" s="9" t="n">
        <x:v>417</x:v>
      </x:c>
      <x:c r="H152" s="9" t="n">
        <x:f t="shared" si="22"/>
        <x:v>35</x:v>
      </x:c>
      <x:c r="I152" s="8" t="n">
        <x:f t="shared" si="23"/>
        <x:v>0.09162303664921466</x:v>
      </x:c>
      <x:c r="J152" s="3" t="str">
        <x:f t="shared" si="24"/>
        <x:v>Low</x:v>
      </x:c>
      <x:c r="K152" s="7" t="n">
        <x:v>42.4</x:v>
      </x:c>
      <x:c r="L152" s="7" t="n">
        <x:v>43.3</x:v>
      </x:c>
      <x:c r="M152" s="7" t="n">
        <x:v>42.5</x:v>
      </x:c>
      <x:c r="N152" s="28" t="str">
        <x:v>Most Likely</x:v>
      </x:c>
      <x:c r="O152" s="29" t="str">
        <x:v>Most Likely</x:v>
      </x:c>
    </x:row>
    <x:row r="153" ht="13.649999618530273" customHeight="1">
      <x:c r="A153" s="3" t="str">
        <x:v>PJT_152</x:v>
      </x:c>
      <x:c r="B153" s="9" t="n">
        <x:v>71027400</x:v>
      </x:c>
      <x:c r="C153" s="9" t="n">
        <x:v>86063901</x:v>
      </x:c>
      <x:c r="D153" s="9" t="n">
        <x:f t="shared" si="20"/>
        <x:v>15036501</x:v>
      </x:c>
      <x:c r="E153" s="8" t="n">
        <x:f t="shared" si="21"/>
        <x:v>0.21170000591321095</x:v>
      </x:c>
      <x:c r="F153" s="9" t="n">
        <x:v>1102</x:v>
      </x:c>
      <x:c r="G153" s="9" t="n">
        <x:v>1337</x:v>
      </x:c>
      <x:c r="H153" s="9" t="n">
        <x:f t="shared" si="22"/>
        <x:v>235</x:v>
      </x:c>
      <x:c r="I153" s="8" t="n">
        <x:f t="shared" si="23"/>
        <x:v>0.2132486388384755</x:v>
      </x:c>
      <x:c r="J153" s="3" t="str">
        <x:f t="shared" si="24"/>
        <x:v>High</x:v>
      </x:c>
      <x:c r="K153" s="7" t="n">
        <x:v>74.8</x:v>
      </x:c>
      <x:c r="L153" s="7" t="n">
        <x:v>72.9</x:v>
      </x:c>
      <x:c r="M153" s="7" t="n">
        <x:v>77.1</x:v>
      </x:c>
      <x:c r="N153" s="28" t="str">
        <x:v>Pessimistic</x:v>
      </x:c>
      <x:c r="O153" s="29" t="str">
        <x:v>Pessimistic</x:v>
      </x:c>
    </x:row>
    <x:row r="154" ht="13.649999618530273" customHeight="1">
      <x:c r="A154" s="3" t="str">
        <x:v>PJT_153</x:v>
      </x:c>
      <x:c r="B154" s="9" t="n">
        <x:v>49615720</x:v>
      </x:c>
      <x:c r="C154" s="9" t="n">
        <x:v>57588966</x:v>
      </x:c>
      <x:c r="D154" s="9" t="n">
        <x:f t="shared" si="20"/>
        <x:v>7973246</x:v>
      </x:c>
      <x:c r="E154" s="8" t="n">
        <x:f t="shared" si="21"/>
        <x:v>0.1606999958883999</x:v>
      </x:c>
      <x:c r="F154" s="9" t="n">
        <x:v>916</x:v>
      </x:c>
      <x:c r="G154" s="9" t="n">
        <x:v>1091</x:v>
      </x:c>
      <x:c r="H154" s="9" t="n">
        <x:f t="shared" si="22"/>
        <x:v>175</x:v>
      </x:c>
      <x:c r="I154" s="8" t="n">
        <x:f t="shared" si="23"/>
        <x:v>0.19104803493449782</x:v>
      </x:c>
      <x:c r="J154" s="3" t="str">
        <x:f t="shared" si="24"/>
        <x:v>Medium</x:v>
      </x:c>
      <x:c r="K154" s="7" t="n">
        <x:v>55.9</x:v>
      </x:c>
      <x:c r="L154" s="7" t="n">
        <x:v>54.4</x:v>
      </x:c>
      <x:c r="M154" s="7" t="n">
        <x:v>56</x:v>
      </x:c>
      <x:c r="N154" s="28" t="str">
        <x:v>Pessimistic</x:v>
      </x:c>
      <x:c r="O154" s="29" t="str">
        <x:v>Pessimistic</x:v>
      </x:c>
    </x:row>
    <x:row r="155" ht="13.649999618530273" customHeight="1">
      <x:c r="A155" s="3" t="str">
        <x:v>PJT_154</x:v>
      </x:c>
      <x:c r="B155" s="9" t="n">
        <x:v>7989120</x:v>
      </x:c>
      <x:c r="C155" s="9" t="n">
        <x:v>8628250</x:v>
      </x:c>
      <x:c r="D155" s="9" t="n">
        <x:f t="shared" si="20"/>
        <x:v>639130</x:v>
      </x:c>
      <x:c r="E155" s="8" t="n">
        <x:f t="shared" si="21"/>
        <x:v>0.0800000500680926</x:v>
      </x:c>
      <x:c r="F155" s="9" t="n">
        <x:v>390</x:v>
      </x:c>
      <x:c r="G155" s="9" t="n">
        <x:v>410</x:v>
      </x:c>
      <x:c r="H155" s="9" t="n">
        <x:f t="shared" si="22"/>
        <x:v>20</x:v>
      </x:c>
      <x:c r="I155" s="8" t="n">
        <x:f t="shared" si="23"/>
        <x:v>0.05128205128205128</x:v>
      </x:c>
      <x:c r="J155" s="3" t="str">
        <x:f t="shared" si="24"/>
        <x:v>Low</x:v>
      </x:c>
      <x:c r="K155" s="7" t="n">
        <x:v>37.6</x:v>
      </x:c>
      <x:c r="L155" s="7" t="n">
        <x:v>40.8</x:v>
      </x:c>
      <x:c r="M155" s="7" t="n">
        <x:v>35.9</x:v>
      </x:c>
      <x:c r="N155" s="28" t="str">
        <x:v>Most Likely</x:v>
      </x:c>
      <x:c r="O155" s="29" t="str">
        <x:v>Most Likely</x:v>
      </x:c>
    </x:row>
    <x:row r="156" ht="13.649999618530273" customHeight="1">
      <x:c r="A156" s="3" t="str">
        <x:v>PJT_155</x:v>
      </x:c>
      <x:c r="B156" s="9" t="n">
        <x:v>63943390</x:v>
      </x:c>
      <x:c r="C156" s="9" t="n">
        <x:v>76316436</x:v>
      </x:c>
      <x:c r="D156" s="9" t="n">
        <x:f t="shared" si="20"/>
        <x:v>12373046</x:v>
      </x:c>
      <x:c r="E156" s="8" t="n">
        <x:f t="shared" si="21"/>
        <x:v>0.19350000054735916</x:v>
      </x:c>
      <x:c r="F156" s="9" t="n">
        <x:v>1030</x:v>
      </x:c>
      <x:c r="G156" s="9" t="n">
        <x:v>1221</x:v>
      </x:c>
      <x:c r="H156" s="9" t="n">
        <x:f t="shared" si="22"/>
        <x:v>191</x:v>
      </x:c>
      <x:c r="I156" s="8" t="n">
        <x:f t="shared" si="23"/>
        <x:v>0.18543689320388348</x:v>
      </x:c>
      <x:c r="J156" s="3" t="str">
        <x:f t="shared" si="24"/>
        <x:v>High</x:v>
      </x:c>
      <x:c r="K156" s="7" t="n">
        <x:v>68.7</x:v>
      </x:c>
      <x:c r="L156" s="7" t="n">
        <x:v>70.5</x:v>
      </x:c>
      <x:c r="M156" s="7" t="n">
        <x:v>66</x:v>
      </x:c>
      <x:c r="N156" s="28" t="str">
        <x:v>Pessimistic</x:v>
      </x:c>
      <x:c r="O156" s="29" t="str">
        <x:v>Pessimistic</x:v>
      </x:c>
    </x:row>
    <x:row r="157" ht="13.649999618530273" customHeight="1">
      <x:c r="A157" s="3" t="str">
        <x:v>PJT_156</x:v>
      </x:c>
      <x:c r="B157" s="9" t="n">
        <x:v>61960110</x:v>
      </x:c>
      <x:c r="C157" s="9" t="n">
        <x:v>74977929</x:v>
      </x:c>
      <x:c r="D157" s="9" t="n">
        <x:f t="shared" si="20"/>
        <x:v>13017819</x:v>
      </x:c>
      <x:c r="E157" s="8" t="n">
        <x:f t="shared" si="21"/>
        <x:v>0.21009999820852482</x:v>
      </x:c>
      <x:c r="F157" s="9" t="n">
        <x:v>1055</x:v>
      </x:c>
      <x:c r="G157" s="9" t="n">
        <x:v>1261</x:v>
      </x:c>
      <x:c r="H157" s="9" t="n">
        <x:f t="shared" si="22"/>
        <x:v>206</x:v>
      </x:c>
      <x:c r="I157" s="8" t="n">
        <x:f t="shared" si="23"/>
        <x:v>0.195260663507109</x:v>
      </x:c>
      <x:c r="J157" s="3" t="str">
        <x:f t="shared" si="24"/>
        <x:v>High</x:v>
      </x:c>
      <x:c r="K157" s="7" t="n">
        <x:v>75</x:v>
      </x:c>
      <x:c r="L157" s="7" t="n">
        <x:v>74.2</x:v>
      </x:c>
      <x:c r="M157" s="7" t="n">
        <x:v>77.6</x:v>
      </x:c>
      <x:c r="N157" s="28" t="str">
        <x:v>Pessimistic</x:v>
      </x:c>
      <x:c r="O157" s="29" t="str">
        <x:v>Pessimistic</x:v>
      </x:c>
    </x:row>
    <x:row r="158" ht="13.649999618530273" customHeight="1">
      <x:c r="A158" s="3" t="str">
        <x:v>PJT_157</x:v>
      </x:c>
      <x:c r="B158" s="9" t="n">
        <x:v>61138700</x:v>
      </x:c>
      <x:c r="C158" s="9" t="n">
        <x:v>73898347</x:v>
      </x:c>
      <x:c r="D158" s="9" t="n">
        <x:f t="shared" si="20"/>
        <x:v>12759647</x:v>
      </x:c>
      <x:c r="E158" s="8" t="n">
        <x:f t="shared" si="21"/>
        <x:v>0.2087000050704382</x:v>
      </x:c>
      <x:c r="F158" s="9" t="n">
        <x:v>1034</x:v>
      </x:c>
      <x:c r="G158" s="9" t="n">
        <x:v>1309</x:v>
      </x:c>
      <x:c r="H158" s="9" t="n">
        <x:f t="shared" si="22"/>
        <x:v>275</x:v>
      </x:c>
      <x:c r="I158" s="8" t="n">
        <x:f t="shared" si="23"/>
        <x:v>0.26595744680851063</x:v>
      </x:c>
      <x:c r="J158" s="3" t="str">
        <x:f t="shared" si="24"/>
        <x:v>High</x:v>
      </x:c>
      <x:c r="K158" s="7" t="n">
        <x:v>74.4</x:v>
      </x:c>
      <x:c r="L158" s="7" t="n">
        <x:v>73.7</x:v>
      </x:c>
      <x:c r="M158" s="7" t="n">
        <x:v>76.9</x:v>
      </x:c>
      <x:c r="N158" s="28" t="str">
        <x:v>Pessimistic</x:v>
      </x:c>
      <x:c r="O158" s="29" t="str">
        <x:v>Pessimistic</x:v>
      </x:c>
    </x:row>
    <x:row r="159" ht="13.649999618530273" customHeight="1">
      <x:c r="A159" s="3" t="str">
        <x:v>PJT_158</x:v>
      </x:c>
      <x:c r="B159" s="9" t="n">
        <x:v>32378130</x:v>
      </x:c>
      <x:c r="C159" s="9" t="n">
        <x:v>37879174</x:v>
      </x:c>
      <x:c r="D159" s="9" t="n">
        <x:f t="shared" si="20"/>
        <x:v>5501044</x:v>
      </x:c>
      <x:c r="E159" s="8" t="n">
        <x:f t="shared" si="21"/>
        <x:v>0.1698999911359921</x:v>
      </x:c>
      <x:c r="F159" s="9" t="n">
        <x:v>726</x:v>
      </x:c>
      <x:c r="G159" s="9" t="n">
        <x:v>856</x:v>
      </x:c>
      <x:c r="H159" s="9" t="n">
        <x:f t="shared" si="22"/>
        <x:v>130</x:v>
      </x:c>
      <x:c r="I159" s="8" t="n">
        <x:f t="shared" si="23"/>
        <x:v>0.1790633608815427</x:v>
      </x:c>
      <x:c r="J159" s="3" t="str">
        <x:f t="shared" si="24"/>
        <x:v>Medium</x:v>
      </x:c>
      <x:c r="K159" s="7" t="n">
        <x:v>56.7</x:v>
      </x:c>
      <x:c r="L159" s="7" t="n">
        <x:v>55.9</x:v>
      </x:c>
      <x:c r="M159" s="7" t="n">
        <x:v>59.4</x:v>
      </x:c>
      <x:c r="N159" s="28" t="str">
        <x:v>Pessimistic</x:v>
      </x:c>
      <x:c r="O159" s="29" t="str">
        <x:v>Pessimistic</x:v>
      </x:c>
    </x:row>
    <x:row r="160" ht="13.649999618530273" customHeight="1">
      <x:c r="A160" s="3" t="str">
        <x:v>PJT_159</x:v>
      </x:c>
      <x:c r="B160" s="9" t="n">
        <x:v>21291480</x:v>
      </x:c>
      <x:c r="C160" s="9" t="n">
        <x:v>22886212</x:v>
      </x:c>
      <x:c r="D160" s="9" t="n">
        <x:f t="shared" si="20"/>
        <x:v>1594732</x:v>
      </x:c>
      <x:c r="E160" s="8" t="n">
        <x:f t="shared" si="21"/>
        <x:v>0.07490000695113726</x:v>
      </x:c>
      <x:c r="F160" s="9" t="n">
        <x:v>549</x:v>
      </x:c>
      <x:c r="G160" s="9" t="n">
        <x:v>579</x:v>
      </x:c>
      <x:c r="H160" s="9" t="n">
        <x:f t="shared" si="22"/>
        <x:v>30</x:v>
      </x:c>
      <x:c r="I160" s="8" t="n">
        <x:f t="shared" si="23"/>
        <x:v>0.0546448087431694</x:v>
      </x:c>
      <x:c r="J160" s="3" t="str">
        <x:f t="shared" si="24"/>
        <x:v>Low</x:v>
      </x:c>
      <x:c r="K160" s="7" t="n">
        <x:v>40.4</x:v>
      </x:c>
      <x:c r="L160" s="7" t="n">
        <x:v>42.2</x:v>
      </x:c>
      <x:c r="M160" s="7" t="n">
        <x:v>39.9</x:v>
      </x:c>
      <x:c r="N160" s="28" t="str">
        <x:v>Most Likely</x:v>
      </x:c>
      <x:c r="O160" s="29" t="str">
        <x:v>Most Likely</x:v>
      </x:c>
    </x:row>
    <x:row r="161" ht="13.649999618530273" customHeight="1">
      <x:c r="A161" s="3" t="str">
        <x:v>PJT_160</x:v>
      </x:c>
      <x:c r="B161" s="9" t="n">
        <x:v>46586540</x:v>
      </x:c>
      <x:c r="C161" s="9" t="n">
        <x:v>51161338</x:v>
      </x:c>
      <x:c r="D161" s="9" t="n">
        <x:f t="shared" si="20"/>
        <x:v>4574798</x:v>
      </x:c>
      <x:c r="E161" s="8" t="n">
        <x:f t="shared" si="21"/>
        <x:v>0.09819999510588251</x:v>
      </x:c>
      <x:c r="F161" s="9" t="n">
        <x:v>879</x:v>
      </x:c>
      <x:c r="G161" s="9" t="n">
        <x:v>1023</x:v>
      </x:c>
      <x:c r="H161" s="9" t="n">
        <x:f t="shared" si="22"/>
        <x:v>144</x:v>
      </x:c>
      <x:c r="I161" s="8" t="n">
        <x:f t="shared" si="23"/>
        <x:v>0.16382252559726962</x:v>
      </x:c>
      <x:c r="J161" s="3" t="str">
        <x:f t="shared" si="24"/>
        <x:v>Medium</x:v>
      </x:c>
      <x:c r="K161" s="7" t="n">
        <x:v>51.7</x:v>
      </x:c>
      <x:c r="L161" s="7" t="n">
        <x:v>50.5</x:v>
      </x:c>
      <x:c r="M161" s="7" t="n">
        <x:v>50.5</x:v>
      </x:c>
      <x:c r="N161" s="28" t="str">
        <x:v>Most Likely</x:v>
      </x:c>
      <x:c r="O161" s="29" t="str">
        <x:v>Pessimistic</x:v>
      </x:c>
    </x:row>
    <x:row r="162" ht="13.649999618530273" customHeight="1">
      <x:c r="A162" s="3" t="str">
        <x:v>PJT_161</x:v>
      </x:c>
      <x:c r="B162" s="9" t="n">
        <x:v>45688410</x:v>
      </x:c>
      <x:c r="C162" s="9" t="n">
        <x:v>54264125</x:v>
      </x:c>
      <x:c r="D162" s="9" t="n">
        <x:f t="shared" ref="D162:D191" si="25">C162-B162</x:f>
        <x:v>8575715</x:v>
      </x:c>
      <x:c r="E162" s="8" t="n">
        <x:f t="shared" ref="E162:E191" si="26">IFERROR(D162/B162,0)</x:f>
        <x:v>0.1877000096961133</x:v>
      </x:c>
      <x:c r="F162" s="9" t="n">
        <x:v>885</x:v>
      </x:c>
      <x:c r="G162" s="9" t="n">
        <x:v>1089</x:v>
      </x:c>
      <x:c r="H162" s="9" t="n">
        <x:f t="shared" ref="H162:H191" si="27">G162-F162</x:f>
        <x:v>204</x:v>
      </x:c>
      <x:c r="I162" s="8" t="n">
        <x:f t="shared" ref="I162:I191" si="28">IFERROR(H162/F162,0)</x:f>
        <x:v>0.2305084745762712</x:v>
      </x:c>
      <x:c r="J162" s="3" t="str">
        <x:f t="shared" ref="J162:J191" si="29">IF(K162&lt;45,"Low",IF(K162&lt;67,"Medium","High"))</x:f>
        <x:v>High</x:v>
      </x:c>
      <x:c r="K162" s="7" t="n">
        <x:v>69.7</x:v>
      </x:c>
      <x:c r="L162" s="7" t="n">
        <x:v>71.9</x:v>
      </x:c>
      <x:c r="M162" s="7" t="n">
        <x:v>70.4</x:v>
      </x:c>
      <x:c r="N162" s="28" t="str">
        <x:v>Pessimistic</x:v>
      </x:c>
      <x:c r="O162" s="29" t="str">
        <x:v>Pessimistic</x:v>
      </x:c>
    </x:row>
    <x:row r="163" ht="13.649999618530273" customHeight="1">
      <x:c r="A163" s="3" t="str">
        <x:v>PJT_162</x:v>
      </x:c>
      <x:c r="B163" s="9" t="n">
        <x:v>14184360</x:v>
      </x:c>
      <x:c r="C163" s="9" t="n">
        <x:v>16341801</x:v>
      </x:c>
      <x:c r="D163" s="9" t="n">
        <x:f t="shared" si="25"/>
        <x:v>2157441</x:v>
      </x:c>
      <x:c r="E163" s="8" t="n">
        <x:f t="shared" si="26"/>
        <x:v>0.1520999890019712</x:v>
      </x:c>
      <x:c r="F163" s="9" t="n">
        <x:v>485</x:v>
      </x:c>
      <x:c r="G163" s="9" t="n">
        <x:v>533</x:v>
      </x:c>
      <x:c r="H163" s="9" t="n">
        <x:f t="shared" si="27"/>
        <x:v>48</x:v>
      </x:c>
      <x:c r="I163" s="8" t="n">
        <x:f t="shared" si="28"/>
        <x:v>0.09896907216494845</x:v>
      </x:c>
      <x:c r="J163" s="3" t="str">
        <x:f t="shared" si="29"/>
        <x:v>Medium</x:v>
      </x:c>
      <x:c r="K163" s="7" t="n">
        <x:v>49.3</x:v>
      </x:c>
      <x:c r="L163" s="7" t="n">
        <x:v>51.3</x:v>
      </x:c>
      <x:c r="M163" s="7" t="n">
        <x:v>50.6</x:v>
      </x:c>
      <x:c r="N163" s="28" t="str">
        <x:v>Pessimistic</x:v>
      </x:c>
      <x:c r="O163" s="29" t="str">
        <x:v>Most Likely</x:v>
      </x:c>
    </x:row>
    <x:row r="164" ht="13.649999618530273" customHeight="1">
      <x:c r="A164" s="3" t="str">
        <x:v>PJT_163</x:v>
      </x:c>
      <x:c r="B164" s="9" t="n">
        <x:v>42067360</x:v>
      </x:c>
      <x:c r="C164" s="9" t="n">
        <x:v>49639485</x:v>
      </x:c>
      <x:c r="D164" s="9" t="n">
        <x:f t="shared" si="25"/>
        <x:v>7572125</x:v>
      </x:c>
      <x:c r="E164" s="8" t="n">
        <x:f t="shared" si="26"/>
        <x:v>0.1800000047542798</x:v>
      </x:c>
      <x:c r="F164" s="9" t="n">
        <x:v>860</x:v>
      </x:c>
      <x:c r="G164" s="9" t="n">
        <x:v>1009</x:v>
      </x:c>
      <x:c r="H164" s="9" t="n">
        <x:f t="shared" si="27"/>
        <x:v>149</x:v>
      </x:c>
      <x:c r="I164" s="8" t="n">
        <x:f t="shared" si="28"/>
        <x:v>0.17325581395348838</x:v>
      </x:c>
      <x:c r="J164" s="3" t="str">
        <x:f t="shared" si="29"/>
        <x:v>Medium</x:v>
      </x:c>
      <x:c r="K164" s="7" t="n">
        <x:v>61</x:v>
      </x:c>
      <x:c r="L164" s="7" t="n">
        <x:v>63.2</x:v>
      </x:c>
      <x:c r="M164" s="7" t="n">
        <x:v>60.7</x:v>
      </x:c>
      <x:c r="N164" s="28" t="str">
        <x:v>Pessimistic</x:v>
      </x:c>
      <x:c r="O164" s="29" t="str">
        <x:v>Pessimistic</x:v>
      </x:c>
    </x:row>
    <x:row r="165" ht="13.649999618530273" customHeight="1">
      <x:c r="A165" s="3" t="str">
        <x:v>PJT_164</x:v>
      </x:c>
      <x:c r="B165" s="9" t="n">
        <x:v>68186760</x:v>
      </x:c>
      <x:c r="C165" s="9" t="n">
        <x:v>81217250</x:v>
      </x:c>
      <x:c r="D165" s="9" t="n">
        <x:f t="shared" si="25"/>
        <x:v>13030490</x:v>
      </x:c>
      <x:c r="E165" s="8" t="n">
        <x:f t="shared" si="26"/>
        <x:v>0.191100002405159</x:v>
      </x:c>
      <x:c r="F165" s="9" t="n">
        <x:v>1123</x:v>
      </x:c>
      <x:c r="G165" s="9" t="n">
        <x:v>1317</x:v>
      </x:c>
      <x:c r="H165" s="9" t="n">
        <x:f t="shared" si="27"/>
        <x:v>194</x:v>
      </x:c>
      <x:c r="I165" s="8" t="n">
        <x:f t="shared" si="28"/>
        <x:v>0.17275155832591274</x:v>
      </x:c>
      <x:c r="J165" s="3" t="str">
        <x:f t="shared" si="29"/>
        <x:v>High</x:v>
      </x:c>
      <x:c r="K165" s="7" t="n">
        <x:v>68.9</x:v>
      </x:c>
      <x:c r="L165" s="7" t="n">
        <x:v>69.8</x:v>
      </x:c>
      <x:c r="M165" s="7" t="n">
        <x:v>66.2</x:v>
      </x:c>
      <x:c r="N165" s="28" t="str">
        <x:v>Pessimistic</x:v>
      </x:c>
      <x:c r="O165" s="29" t="str">
        <x:v>Pessimistic</x:v>
      </x:c>
    </x:row>
    <x:row r="166" ht="13.649999618530273" customHeight="1">
      <x:c r="A166" s="3" t="str">
        <x:v>PJT_165</x:v>
      </x:c>
      <x:c r="B166" s="9" t="n">
        <x:v>47338830</x:v>
      </x:c>
      <x:c r="C166" s="9" t="n">
        <x:v>52512964</x:v>
      </x:c>
      <x:c r="D166" s="9" t="n">
        <x:f t="shared" si="25"/>
        <x:v>5174134</x:v>
      </x:c>
      <x:c r="E166" s="8" t="n">
        <x:f t="shared" si="26"/>
        <x:v>0.10929999748620742</x:v>
      </x:c>
      <x:c r="F166" s="9" t="n">
        <x:v>856</x:v>
      </x:c>
      <x:c r="G166" s="9" t="n">
        <x:v>971</x:v>
      </x:c>
      <x:c r="H166" s="9" t="n">
        <x:f t="shared" si="27"/>
        <x:v>115</x:v>
      </x:c>
      <x:c r="I166" s="8" t="n">
        <x:f t="shared" si="28"/>
        <x:v>0.13434579439252337</x:v>
      </x:c>
      <x:c r="J166" s="3" t="str">
        <x:f t="shared" si="29"/>
        <x:v>Medium</x:v>
      </x:c>
      <x:c r="K166" s="7" t="n">
        <x:v>55.4</x:v>
      </x:c>
      <x:c r="L166" s="7" t="n">
        <x:v>52</x:v>
      </x:c>
      <x:c r="M166" s="7" t="n">
        <x:v>60.7</x:v>
      </x:c>
      <x:c r="N166" s="28" t="str">
        <x:v>Pessimistic</x:v>
      </x:c>
      <x:c r="O166" s="29" t="str">
        <x:v>Pessimistic</x:v>
      </x:c>
    </x:row>
    <x:row r="167" ht="13.649999618530273" customHeight="1">
      <x:c r="A167" s="3" t="str">
        <x:v>PJT_166</x:v>
      </x:c>
      <x:c r="B167" s="9" t="n">
        <x:v>41353690</x:v>
      </x:c>
      <x:c r="C167" s="9" t="n">
        <x:v>48797354</x:v>
      </x:c>
      <x:c r="D167" s="9" t="n">
        <x:f t="shared" si="25"/>
        <x:v>7443664</x:v>
      </x:c>
      <x:c r="E167" s="8" t="n">
        <x:f t="shared" si="26"/>
        <x:v>0.1799999951636722</x:v>
      </x:c>
      <x:c r="F167" s="9" t="n">
        <x:v>846</x:v>
      </x:c>
      <x:c r="G167" s="9" t="n">
        <x:v>1010</x:v>
      </x:c>
      <x:c r="H167" s="9" t="n">
        <x:f t="shared" si="27"/>
        <x:v>164</x:v>
      </x:c>
      <x:c r="I167" s="8" t="n">
        <x:f t="shared" si="28"/>
        <x:v>0.1938534278959811</x:v>
      </x:c>
      <x:c r="J167" s="3" t="str">
        <x:f t="shared" si="29"/>
        <x:v>Medium</x:v>
      </x:c>
      <x:c r="K167" s="7" t="n">
        <x:v>63.2</x:v>
      </x:c>
      <x:c r="L167" s="7" t="n">
        <x:v>65.1</x:v>
      </x:c>
      <x:c r="M167" s="7" t="n">
        <x:v>65</x:v>
      </x:c>
      <x:c r="N167" s="28" t="str">
        <x:v>Pessimistic</x:v>
      </x:c>
      <x:c r="O167" s="29" t="str">
        <x:v>Pessimistic</x:v>
      </x:c>
    </x:row>
    <x:row r="168" ht="13.649999618530273" customHeight="1">
      <x:c r="A168" s="3" t="str">
        <x:v>PJT_167</x:v>
      </x:c>
      <x:c r="B168" s="9" t="n">
        <x:v>31820100</x:v>
      </x:c>
      <x:c r="C168" s="9" t="n">
        <x:v>36707667</x:v>
      </x:c>
      <x:c r="D168" s="9" t="n">
        <x:f t="shared" si="25"/>
        <x:v>4887567</x:v>
      </x:c>
      <x:c r="E168" s="8" t="n">
        <x:f t="shared" si="26"/>
        <x:v>0.15359998868639632</x:v>
      </x:c>
      <x:c r="F168" s="9" t="n">
        <x:v>739</x:v>
      </x:c>
      <x:c r="G168" s="9" t="n">
        <x:v>839</x:v>
      </x:c>
      <x:c r="H168" s="9" t="n">
        <x:f t="shared" si="27"/>
        <x:v>100</x:v>
      </x:c>
      <x:c r="I168" s="8" t="n">
        <x:f t="shared" si="28"/>
        <x:v>0.13531799729364005</x:v>
      </x:c>
      <x:c r="J168" s="3" t="str">
        <x:f t="shared" si="29"/>
        <x:v>Medium</x:v>
      </x:c>
      <x:c r="K168" s="7" t="n">
        <x:v>52.5</x:v>
      </x:c>
      <x:c r="L168" s="7" t="n">
        <x:v>53.6</x:v>
      </x:c>
      <x:c r="M168" s="7" t="n">
        <x:v>49.7</x:v>
      </x:c>
      <x:c r="N168" s="28" t="str">
        <x:v>Pessimistic</x:v>
      </x:c>
      <x:c r="O168" s="29" t="str">
        <x:v>Pessimistic</x:v>
      </x:c>
    </x:row>
    <x:row r="169" ht="13.649999618530273" customHeight="1">
      <x:c r="A169" s="3" t="str">
        <x:v>PJT_168</x:v>
      </x:c>
      <x:c r="B169" s="9" t="n">
        <x:v>72870000</x:v>
      </x:c>
      <x:c r="C169" s="9" t="n">
        <x:v>86176062</x:v>
      </x:c>
      <x:c r="D169" s="9" t="n">
        <x:f t="shared" si="25"/>
        <x:v>13306062</x:v>
      </x:c>
      <x:c r="E169" s="8" t="n">
        <x:f t="shared" si="26"/>
        <x:v>0.1826</x:v>
      </x:c>
      <x:c r="F169" s="9" t="n">
        <x:v>998</x:v>
      </x:c>
      <x:c r="G169" s="9" t="n">
        <x:v>1159</x:v>
      </x:c>
      <x:c r="H169" s="9" t="n">
        <x:f t="shared" si="27"/>
        <x:v>161</x:v>
      </x:c>
      <x:c r="I169" s="8" t="n">
        <x:f t="shared" si="28"/>
        <x:v>0.16132264529058116</x:v>
      </x:c>
      <x:c r="J169" s="3" t="str">
        <x:f t="shared" si="29"/>
        <x:v>High</x:v>
      </x:c>
      <x:c r="K169" s="7" t="n">
        <x:v>69.7</x:v>
      </x:c>
      <x:c r="L169" s="7" t="n">
        <x:v>70.9</x:v>
      </x:c>
      <x:c r="M169" s="7" t="n">
        <x:v>68.1</x:v>
      </x:c>
      <x:c r="N169" s="28" t="str">
        <x:v>Pessimistic</x:v>
      </x:c>
      <x:c r="O169" s="29" t="str">
        <x:v>Pessimistic</x:v>
      </x:c>
    </x:row>
    <x:row r="170" ht="13.649999618530273" customHeight="1">
      <x:c r="A170" s="3" t="str">
        <x:v>PJT_169</x:v>
      </x:c>
      <x:c r="B170" s="9" t="n">
        <x:v>56978370</x:v>
      </x:c>
      <x:c r="C170" s="9" t="n">
        <x:v>66425384</x:v>
      </x:c>
      <x:c r="D170" s="9" t="n">
        <x:f t="shared" si="25"/>
        <x:v>9447014</x:v>
      </x:c>
      <x:c r="E170" s="8" t="n">
        <x:f t="shared" si="26"/>
        <x:v>0.16580000445783197</x:v>
      </x:c>
      <x:c r="F170" s="9" t="n">
        <x:v>1000</x:v>
      </x:c>
      <x:c r="G170" s="9" t="n">
        <x:v>1178</x:v>
      </x:c>
      <x:c r="H170" s="9" t="n">
        <x:f t="shared" si="27"/>
        <x:v>178</x:v>
      </x:c>
      <x:c r="I170" s="8" t="n">
        <x:f t="shared" si="28"/>
        <x:v>0.178</x:v>
      </x:c>
      <x:c r="J170" s="3" t="str">
        <x:f t="shared" si="29"/>
        <x:v>High</x:v>
      </x:c>
      <x:c r="K170" s="7" t="n">
        <x:v>68</x:v>
      </x:c>
      <x:c r="L170" s="7" t="n">
        <x:v>69.1</x:v>
      </x:c>
      <x:c r="M170" s="7" t="n">
        <x:v>66.3</x:v>
      </x:c>
      <x:c r="N170" s="28" t="str">
        <x:v>Pessimistic</x:v>
      </x:c>
      <x:c r="O170" s="29" t="str">
        <x:v>Pessimistic</x:v>
      </x:c>
    </x:row>
    <x:row r="171" ht="13.649999618530273" customHeight="1">
      <x:c r="A171" s="3" t="str">
        <x:v>PJT_170</x:v>
      </x:c>
      <x:c r="B171" s="9" t="n">
        <x:v>5354550</x:v>
      </x:c>
      <x:c r="C171" s="9" t="n">
        <x:v>6083304</x:v>
      </x:c>
      <x:c r="D171" s="9" t="n">
        <x:f t="shared" si="25"/>
        <x:v>728754</x:v>
      </x:c>
      <x:c r="E171" s="8" t="n">
        <x:f t="shared" si="26"/>
        <x:v>0.13609995237695044</x:v>
      </x:c>
      <x:c r="F171" s="9" t="n">
        <x:v>410</x:v>
      </x:c>
      <x:c r="G171" s="9" t="n">
        <x:v>444</x:v>
      </x:c>
      <x:c r="H171" s="9" t="n">
        <x:f t="shared" si="27"/>
        <x:v>34</x:v>
      </x:c>
      <x:c r="I171" s="8" t="n">
        <x:f t="shared" si="28"/>
        <x:v>0.08292682926829269</x:v>
      </x:c>
      <x:c r="J171" s="3" t="str">
        <x:f t="shared" si="29"/>
        <x:v>Medium</x:v>
      </x:c>
      <x:c r="K171" s="7" t="n">
        <x:v>46.1</x:v>
      </x:c>
      <x:c r="L171" s="7" t="n">
        <x:v>50.8</x:v>
      </x:c>
      <x:c r="M171" s="7" t="n">
        <x:v>47.3</x:v>
      </x:c>
      <x:c r="N171" s="28" t="str">
        <x:v>Pessimistic</x:v>
      </x:c>
      <x:c r="O171" s="29" t="str">
        <x:v>Most Likely</x:v>
      </x:c>
    </x:row>
    <x:row r="172" ht="13.649999618530273" customHeight="1">
      <x:c r="A172" s="3" t="str">
        <x:v>PJT_171</x:v>
      </x:c>
      <x:c r="B172" s="9" t="n">
        <x:v>6557280</x:v>
      </x:c>
      <x:c r="C172" s="9" t="n">
        <x:v>7509397</x:v>
      </x:c>
      <x:c r="D172" s="9" t="n">
        <x:f t="shared" si="25"/>
        <x:v>952117</x:v>
      </x:c>
      <x:c r="E172" s="8" t="n">
        <x:f t="shared" si="26"/>
        <x:v>0.1451999914598736</x:v>
      </x:c>
      <x:c r="F172" s="9" t="n">
        <x:v>405</x:v>
      </x:c>
      <x:c r="G172" s="9" t="n">
        <x:v>440</x:v>
      </x:c>
      <x:c r="H172" s="9" t="n">
        <x:f t="shared" si="27"/>
        <x:v>35</x:v>
      </x:c>
      <x:c r="I172" s="8" t="n">
        <x:f t="shared" si="28"/>
        <x:v>0.08641975308641975</x:v>
      </x:c>
      <x:c r="J172" s="3" t="str">
        <x:f t="shared" si="29"/>
        <x:v>Medium</x:v>
      </x:c>
      <x:c r="K172" s="7" t="n">
        <x:v>45.5</x:v>
      </x:c>
      <x:c r="L172" s="7" t="n">
        <x:v>50.4</x:v>
      </x:c>
      <x:c r="M172" s="7" t="n">
        <x:v>40.3</x:v>
      </x:c>
      <x:c r="N172" s="28" t="str">
        <x:v>Pessimistic</x:v>
      </x:c>
      <x:c r="O172" s="29" t="str">
        <x:v>Most Likely</x:v>
      </x:c>
    </x:row>
    <x:row r="173" ht="13.649999618530273" customHeight="1">
      <x:c r="A173" s="3" t="str">
        <x:v>PJT_172</x:v>
      </x:c>
      <x:c r="B173" s="9" t="n">
        <x:v>46767960</x:v>
      </x:c>
      <x:c r="C173" s="9" t="n">
        <x:v>54807372</x:v>
      </x:c>
      <x:c r="D173" s="9" t="n">
        <x:f t="shared" si="25"/>
        <x:v>8039412</x:v>
      </x:c>
      <x:c r="E173" s="8" t="n">
        <x:f t="shared" si="26"/>
        <x:v>0.17189999307218018</x:v>
      </x:c>
      <x:c r="F173" s="9" t="n">
        <x:v>892</x:v>
      </x:c>
      <x:c r="G173" s="9" t="n">
        <x:v>1063</x:v>
      </x:c>
      <x:c r="H173" s="9" t="n">
        <x:f t="shared" si="27"/>
        <x:v>171</x:v>
      </x:c>
      <x:c r="I173" s="8" t="n">
        <x:f t="shared" si="28"/>
        <x:v>0.19170403587443946</x:v>
      </x:c>
      <x:c r="J173" s="3" t="str">
        <x:f t="shared" si="29"/>
        <x:v>Medium</x:v>
      </x:c>
      <x:c r="K173" s="7" t="n">
        <x:v>60.3</x:v>
      </x:c>
      <x:c r="L173" s="7" t="n">
        <x:v>59.5</x:v>
      </x:c>
      <x:c r="M173" s="7" t="n">
        <x:v>67.1</x:v>
      </x:c>
      <x:c r="N173" s="28" t="str">
        <x:v>Pessimistic</x:v>
      </x:c>
      <x:c r="O173" s="29" t="str">
        <x:v>Pessimistic</x:v>
      </x:c>
    </x:row>
    <x:row r="174" ht="13.649999618530273" customHeight="1">
      <x:c r="A174" s="3" t="str">
        <x:v>PJT_173</x:v>
      </x:c>
      <x:c r="B174" s="9" t="n">
        <x:v>3626040</x:v>
      </x:c>
      <x:c r="C174" s="9" t="n">
        <x:v>3916123</x:v>
      </x:c>
      <x:c r="D174" s="9" t="n">
        <x:f t="shared" si="25"/>
        <x:v>290083</x:v>
      </x:c>
      <x:c r="E174" s="8" t="n">
        <x:f t="shared" si="26"/>
        <x:v>0.07999994484341044</x:v>
      </x:c>
      <x:c r="F174" s="9" t="n">
        <x:v>339</x:v>
      </x:c>
      <x:c r="G174" s="9" t="n">
        <x:v>362</x:v>
      </x:c>
      <x:c r="H174" s="9" t="n">
        <x:f t="shared" si="27"/>
        <x:v>23</x:v>
      </x:c>
      <x:c r="I174" s="8" t="n">
        <x:f t="shared" si="28"/>
        <x:v>0.06784660766961652</x:v>
      </x:c>
      <x:c r="J174" s="3" t="str">
        <x:f t="shared" si="29"/>
        <x:v>Low</x:v>
      </x:c>
      <x:c r="K174" s="7" t="n">
        <x:v>44.4</x:v>
      </x:c>
      <x:c r="L174" s="7" t="n">
        <x:v>48.7</x:v>
      </x:c>
      <x:c r="M174" s="7" t="n">
        <x:v>42.3</x:v>
      </x:c>
      <x:c r="N174" s="28" t="str">
        <x:v>Most Likely</x:v>
      </x:c>
      <x:c r="O174" s="29" t="str">
        <x:v>Most Likely</x:v>
      </x:c>
    </x:row>
    <x:row r="175" ht="13.649999618530273" customHeight="1">
      <x:c r="A175" s="3" t="str">
        <x:v>PJT_174</x:v>
      </x:c>
      <x:c r="B175" s="9" t="n">
        <x:v>50384010</x:v>
      </x:c>
      <x:c r="C175" s="9" t="n">
        <x:v>59029906</x:v>
      </x:c>
      <x:c r="D175" s="9" t="n">
        <x:f t="shared" si="25"/>
        <x:v>8645896</x:v>
      </x:c>
      <x:c r="E175" s="8" t="n">
        <x:f t="shared" si="26"/>
        <x:v>0.17159999769768225</x:v>
      </x:c>
      <x:c r="F175" s="9" t="n">
        <x:v>970</x:v>
      </x:c>
      <x:c r="G175" s="9" t="n">
        <x:v>1191</x:v>
      </x:c>
      <x:c r="H175" s="9" t="n">
        <x:f t="shared" si="27"/>
        <x:v>221</x:v>
      </x:c>
      <x:c r="I175" s="8" t="n">
        <x:f t="shared" si="28"/>
        <x:v>0.22783505154639175</x:v>
      </x:c>
      <x:c r="J175" s="3" t="str">
        <x:f t="shared" si="29"/>
        <x:v>High</x:v>
      </x:c>
      <x:c r="K175" s="7" t="n">
        <x:v>68.4</x:v>
      </x:c>
      <x:c r="L175" s="7" t="n">
        <x:v>70.9</x:v>
      </x:c>
      <x:c r="M175" s="7" t="n">
        <x:v>66</x:v>
      </x:c>
      <x:c r="N175" s="28" t="str">
        <x:v>Pessimistic</x:v>
      </x:c>
      <x:c r="O175" s="29" t="str">
        <x:v>Pessimistic</x:v>
      </x:c>
    </x:row>
    <x:row r="176" ht="13.649999618530273" customHeight="1">
      <x:c r="A176" s="3" t="str">
        <x:v>PJT_175</x:v>
      </x:c>
      <x:c r="B176" s="9" t="n">
        <x:v>15222700</x:v>
      </x:c>
      <x:c r="C176" s="9" t="n">
        <x:v>16440516</x:v>
      </x:c>
      <x:c r="D176" s="9" t="n">
        <x:f t="shared" si="25"/>
        <x:v>1217816</x:v>
      </x:c>
      <x:c r="E176" s="8" t="n">
        <x:f t="shared" si="26"/>
        <x:v>0.08</x:v>
      </x:c>
      <x:c r="F176" s="9" t="n">
        <x:v>506</x:v>
      </x:c>
      <x:c r="G176" s="9" t="n">
        <x:v>557</x:v>
      </x:c>
      <x:c r="H176" s="9" t="n">
        <x:f t="shared" si="27"/>
        <x:v>51</x:v>
      </x:c>
      <x:c r="I176" s="8" t="n">
        <x:f t="shared" si="28"/>
        <x:v>0.1007905138339921</x:v>
      </x:c>
      <x:c r="J176" s="3" t="str">
        <x:f t="shared" si="29"/>
        <x:v>Low</x:v>
      </x:c>
      <x:c r="K176" s="7" t="n">
        <x:v>40.5</x:v>
      </x:c>
      <x:c r="L176" s="7" t="n">
        <x:v>44.1</x:v>
      </x:c>
      <x:c r="M176" s="7" t="n">
        <x:v>40.4</x:v>
      </x:c>
      <x:c r="N176" s="28" t="str">
        <x:v>Most Likely</x:v>
      </x:c>
      <x:c r="O176" s="29" t="str">
        <x:v>Pessimistic</x:v>
      </x:c>
    </x:row>
    <x:row r="177" ht="13.649999618530273" customHeight="1">
      <x:c r="A177" s="3" t="str">
        <x:v>PJT_176</x:v>
      </x:c>
      <x:c r="B177" s="9" t="n">
        <x:v>59113940</x:v>
      </x:c>
      <x:c r="C177" s="9" t="n">
        <x:v>68844095</x:v>
      </x:c>
      <x:c r="D177" s="9" t="n">
        <x:f t="shared" si="25"/>
        <x:v>9730155</x:v>
      </x:c>
      <x:c r="E177" s="8" t="n">
        <x:f t="shared" si="26"/>
        <x:v>0.16460000805224623</x:v>
      </x:c>
      <x:c r="F177" s="9" t="n">
        <x:v>872</x:v>
      </x:c>
      <x:c r="G177" s="9" t="n">
        <x:v>984</x:v>
      </x:c>
      <x:c r="H177" s="9" t="n">
        <x:f t="shared" si="27"/>
        <x:v>112</x:v>
      </x:c>
      <x:c r="I177" s="8" t="n">
        <x:f t="shared" si="28"/>
        <x:v>0.12844036697247707</x:v>
      </x:c>
      <x:c r="J177" s="3" t="str">
        <x:f t="shared" si="29"/>
        <x:v>Medium</x:v>
      </x:c>
      <x:c r="K177" s="7" t="n">
        <x:v>56.9</x:v>
      </x:c>
      <x:c r="L177" s="7" t="n">
        <x:v>55.4</x:v>
      </x:c>
      <x:c r="M177" s="7" t="n">
        <x:v>58.7</x:v>
      </x:c>
      <x:c r="N177" s="28" t="str">
        <x:v>Pessimistic</x:v>
      </x:c>
      <x:c r="O177" s="29" t="str">
        <x:v>Pessimistic</x:v>
      </x:c>
    </x:row>
    <x:row r="178" ht="13.649999618530273" customHeight="1">
      <x:c r="A178" s="3" t="str">
        <x:v>PJT_177</x:v>
      </x:c>
      <x:c r="B178" s="9" t="n">
        <x:v>40358790</x:v>
      </x:c>
      <x:c r="C178" s="9" t="n">
        <x:v>46525613</x:v>
      </x:c>
      <x:c r="D178" s="9" t="n">
        <x:f t="shared" si="25"/>
        <x:v>6166823</x:v>
      </x:c>
      <x:c r="E178" s="8" t="n">
        <x:f t="shared" si="26"/>
        <x:v>0.15279999722489201</x:v>
      </x:c>
      <x:c r="F178" s="9" t="n">
        <x:v>841</x:v>
      </x:c>
      <x:c r="G178" s="9" t="n">
        <x:v>1008</x:v>
      </x:c>
      <x:c r="H178" s="9" t="n">
        <x:f t="shared" si="27"/>
        <x:v>167</x:v>
      </x:c>
      <x:c r="I178" s="8" t="n">
        <x:f t="shared" si="28"/>
        <x:v>0.1985731272294887</x:v>
      </x:c>
      <x:c r="J178" s="3" t="str">
        <x:f t="shared" si="29"/>
        <x:v>Medium</x:v>
      </x:c>
      <x:c r="K178" s="7" t="n">
        <x:v>62.5</x:v>
      </x:c>
      <x:c r="L178" s="7" t="n">
        <x:v>66.3</x:v>
      </x:c>
      <x:c r="M178" s="7" t="n">
        <x:v>59.9</x:v>
      </x:c>
      <x:c r="N178" s="28" t="str">
        <x:v>Pessimistic</x:v>
      </x:c>
      <x:c r="O178" s="29" t="str">
        <x:v>Pessimistic</x:v>
      </x:c>
    </x:row>
    <x:row r="179" ht="13.649999618530273" customHeight="1">
      <x:c r="A179" s="3" t="str">
        <x:v>PJT_178</x:v>
      </x:c>
      <x:c r="B179" s="9" t="n">
        <x:v>50278380</x:v>
      </x:c>
      <x:c r="C179" s="9" t="n">
        <x:v>58634647</x:v>
      </x:c>
      <x:c r="D179" s="9" t="n">
        <x:f t="shared" si="25"/>
        <x:v>8356267</x:v>
      </x:c>
      <x:c r="E179" s="8" t="n">
        <x:f t="shared" si="26"/>
        <x:v>0.16620000485298053</x:v>
      </x:c>
      <x:c r="F179" s="9" t="n">
        <x:v>921</x:v>
      </x:c>
      <x:c r="G179" s="9" t="n">
        <x:v>1068</x:v>
      </x:c>
      <x:c r="H179" s="9" t="n">
        <x:f t="shared" si="27"/>
        <x:v>147</x:v>
      </x:c>
      <x:c r="I179" s="8" t="n">
        <x:f t="shared" si="28"/>
        <x:v>0.15960912052117263</x:v>
      </x:c>
      <x:c r="J179" s="3" t="str">
        <x:f t="shared" si="29"/>
        <x:v>Medium</x:v>
      </x:c>
      <x:c r="K179" s="7" t="n">
        <x:v>62.9</x:v>
      </x:c>
      <x:c r="L179" s="7" t="n">
        <x:v>64.8</x:v>
      </x:c>
      <x:c r="M179" s="7" t="n">
        <x:v>61.6</x:v>
      </x:c>
      <x:c r="N179" s="28" t="str">
        <x:v>Pessimistic</x:v>
      </x:c>
      <x:c r="O179" s="29" t="str">
        <x:v>Pessimistic</x:v>
      </x:c>
    </x:row>
    <x:row r="180" ht="13.649999618530273" customHeight="1">
      <x:c r="A180" s="3" t="str">
        <x:v>PJT_179</x:v>
      </x:c>
      <x:c r="B180" s="9" t="n">
        <x:v>6667920</x:v>
      </x:c>
      <x:c r="C180" s="9" t="n">
        <x:v>7190018</x:v>
      </x:c>
      <x:c r="D180" s="9" t="n">
        <x:f t="shared" si="25"/>
        <x:v>522098</x:v>
      </x:c>
      <x:c r="E180" s="8" t="n">
        <x:f t="shared" si="26"/>
        <x:v>0.07829997960383447</x:v>
      </x:c>
      <x:c r="F180" s="9" t="n">
        <x:v>361</x:v>
      </x:c>
      <x:c r="G180" s="9" t="n">
        <x:v>394</x:v>
      </x:c>
      <x:c r="H180" s="9" t="n">
        <x:f t="shared" si="27"/>
        <x:v>33</x:v>
      </x:c>
      <x:c r="I180" s="8" t="n">
        <x:f t="shared" si="28"/>
        <x:v>0.09141274238227147</x:v>
      </x:c>
      <x:c r="J180" s="3" t="str">
        <x:f t="shared" si="29"/>
        <x:v>Low</x:v>
      </x:c>
      <x:c r="K180" s="7" t="n">
        <x:v>34.7</x:v>
      </x:c>
      <x:c r="L180" s="7" t="n">
        <x:v>35.3</x:v>
      </x:c>
      <x:c r="M180" s="7" t="n">
        <x:v>38.9</x:v>
      </x:c>
      <x:c r="N180" s="28" t="str">
        <x:v>Most Likely</x:v>
      </x:c>
      <x:c r="O180" s="29" t="str">
        <x:v>Most Likely</x:v>
      </x:c>
    </x:row>
    <x:row r="181" ht="13.649999618530273" customHeight="1">
      <x:c r="A181" s="3" t="str">
        <x:v>PJT_180</x:v>
      </x:c>
      <x:c r="B181" s="9" t="n">
        <x:v>39481860</x:v>
      </x:c>
      <x:c r="C181" s="9" t="n">
        <x:v>45814750</x:v>
      </x:c>
      <x:c r="D181" s="9" t="n">
        <x:f t="shared" si="25"/>
        <x:v>6332890</x:v>
      </x:c>
      <x:c r="E181" s="8" t="n">
        <x:f t="shared" si="26"/>
        <x:v>0.16039999128713794</x:v>
      </x:c>
      <x:c r="F181" s="9" t="n">
        <x:v>844</x:v>
      </x:c>
      <x:c r="G181" s="9" t="n">
        <x:v>950</x:v>
      </x:c>
      <x:c r="H181" s="9" t="n">
        <x:f t="shared" si="27"/>
        <x:v>106</x:v>
      </x:c>
      <x:c r="I181" s="8" t="n">
        <x:f t="shared" si="28"/>
        <x:v>0.12559241706161137</x:v>
      </x:c>
      <x:c r="J181" s="3" t="str">
        <x:f t="shared" si="29"/>
        <x:v>Medium</x:v>
      </x:c>
      <x:c r="K181" s="7" t="n">
        <x:v>61.9</x:v>
      </x:c>
      <x:c r="L181" s="7" t="n">
        <x:v>65.6</x:v>
      </x:c>
      <x:c r="M181" s="7" t="n">
        <x:v>59.2</x:v>
      </x:c>
      <x:c r="N181" s="28" t="str">
        <x:v>Pessimistic</x:v>
      </x:c>
      <x:c r="O181" s="29" t="str">
        <x:v>Pessimistic</x:v>
      </x:c>
    </x:row>
    <x:row r="182" ht="13.649999618530273" customHeight="1">
      <x:c r="A182" s="3" t="str">
        <x:v>PJT_181</x:v>
      </x:c>
      <x:c r="B182" s="9" t="n">
        <x:v>14594760</x:v>
      </x:c>
      <x:c r="C182" s="9" t="n">
        <x:v>15762341</x:v>
      </x:c>
      <x:c r="D182" s="9" t="n">
        <x:f t="shared" si="25"/>
        <x:v>1167581</x:v>
      </x:c>
      <x:c r="E182" s="8" t="n">
        <x:f t="shared" si="26"/>
        <x:v>0.0800000137035484</x:v>
      </x:c>
      <x:c r="F182" s="9" t="n">
        <x:v>490</x:v>
      </x:c>
      <x:c r="G182" s="9" t="n">
        <x:v>535</x:v>
      </x:c>
      <x:c r="H182" s="9" t="n">
        <x:f t="shared" si="27"/>
        <x:v>45</x:v>
      </x:c>
      <x:c r="I182" s="8" t="n">
        <x:f t="shared" si="28"/>
        <x:v>0.09183673469387756</x:v>
      </x:c>
      <x:c r="J182" s="3" t="str">
        <x:f t="shared" si="29"/>
        <x:v>Low</x:v>
      </x:c>
      <x:c r="K182" s="7" t="n">
        <x:v>40.8</x:v>
      </x:c>
      <x:c r="L182" s="7" t="n">
        <x:v>44.2</x:v>
      </x:c>
      <x:c r="M182" s="7" t="n">
        <x:v>39.5</x:v>
      </x:c>
      <x:c r="N182" s="28" t="str">
        <x:v>Most Likely</x:v>
      </x:c>
      <x:c r="O182" s="29" t="str">
        <x:v>Most Likely</x:v>
      </x:c>
    </x:row>
    <x:row r="183" ht="13.649999618530273" customHeight="1">
      <x:c r="A183" s="3" t="str">
        <x:v>PJT_182</x:v>
      </x:c>
      <x:c r="B183" s="9" t="n">
        <x:v>57301050</x:v>
      </x:c>
      <x:c r="C183" s="9" t="n">
        <x:v>66658311</x:v>
      </x:c>
      <x:c r="D183" s="9" t="n">
        <x:f t="shared" si="25"/>
        <x:v>9357261</x:v>
      </x:c>
      <x:c r="E183" s="8" t="n">
        <x:f t="shared" si="26"/>
        <x:v>0.16329999188496547</x:v>
      </x:c>
      <x:c r="F183" s="9" t="n">
        <x:v>901</x:v>
      </x:c>
      <x:c r="G183" s="9" t="n">
        <x:v>1092</x:v>
      </x:c>
      <x:c r="H183" s="9" t="n">
        <x:f t="shared" si="27"/>
        <x:v>191</x:v>
      </x:c>
      <x:c r="I183" s="8" t="n">
        <x:f t="shared" si="28"/>
        <x:v>0.21198668146503885</x:v>
      </x:c>
      <x:c r="J183" s="3" t="str">
        <x:f t="shared" si="29"/>
        <x:v>High</x:v>
      </x:c>
      <x:c r="K183" s="7" t="n">
        <x:v>67.8</x:v>
      </x:c>
      <x:c r="L183" s="7" t="n">
        <x:v>70.4</x:v>
      </x:c>
      <x:c r="M183" s="7" t="n">
        <x:v>69.3</x:v>
      </x:c>
      <x:c r="N183" s="28" t="str">
        <x:v>Pessimistic</x:v>
      </x:c>
      <x:c r="O183" s="29" t="str">
        <x:v>Pessimistic</x:v>
      </x:c>
    </x:row>
    <x:row r="184" ht="13.649999618530273" customHeight="1">
      <x:c r="A184" s="3" t="str">
        <x:v>PJT_183</x:v>
      </x:c>
      <x:c r="B184" s="9" t="n">
        <x:v>17307620</x:v>
      </x:c>
      <x:c r="C184" s="9" t="n">
        <x:v>18692230</x:v>
      </x:c>
      <x:c r="D184" s="9" t="n">
        <x:f t="shared" si="25"/>
        <x:v>1384610</x:v>
      </x:c>
      <x:c r="E184" s="8" t="n">
        <x:f t="shared" si="26"/>
        <x:v>0.08000002311120767</x:v>
      </x:c>
      <x:c r="F184" s="9" t="n">
        <x:v>514</x:v>
      </x:c>
      <x:c r="G184" s="9" t="n">
        <x:v>558</x:v>
      </x:c>
      <x:c r="H184" s="9" t="n">
        <x:f t="shared" si="27"/>
        <x:v>44</x:v>
      </x:c>
      <x:c r="I184" s="8" t="n">
        <x:f t="shared" si="28"/>
        <x:v>0.08560311284046693</x:v>
      </x:c>
      <x:c r="J184" s="3" t="str">
        <x:f t="shared" si="29"/>
        <x:v>Low</x:v>
      </x:c>
      <x:c r="K184" s="7" t="n">
        <x:v>41.1</x:v>
      </x:c>
      <x:c r="L184" s="7" t="n">
        <x:v>43.5</x:v>
      </x:c>
      <x:c r="M184" s="7" t="n">
        <x:v>39.2</x:v>
      </x:c>
      <x:c r="N184" s="28" t="str">
        <x:v>Most Likely</x:v>
      </x:c>
      <x:c r="O184" s="29" t="str">
        <x:v>Most Likely</x:v>
      </x:c>
    </x:row>
    <x:row r="185" ht="13.649999618530273" customHeight="1">
      <x:c r="A185" s="3" t="str">
        <x:v>PJT_184</x:v>
      </x:c>
      <x:c r="B185" s="9" t="n">
        <x:v>35554480</x:v>
      </x:c>
      <x:c r="C185" s="9" t="n">
        <x:v>39493916</x:v>
      </x:c>
      <x:c r="D185" s="9" t="n">
        <x:f t="shared" si="25"/>
        <x:v>3939436</x:v>
      </x:c>
      <x:c r="E185" s="8" t="n">
        <x:f t="shared" si="26"/>
        <x:v>0.1107999891996733</x:v>
      </x:c>
      <x:c r="F185" s="9" t="n">
        <x:v>798</x:v>
      </x:c>
      <x:c r="G185" s="9" t="n">
        <x:v>897</x:v>
      </x:c>
      <x:c r="H185" s="9" t="n">
        <x:f t="shared" si="27"/>
        <x:v>99</x:v>
      </x:c>
      <x:c r="I185" s="8" t="n">
        <x:f t="shared" si="28"/>
        <x:v>0.12406015037593984</x:v>
      </x:c>
      <x:c r="J185" s="3" t="str">
        <x:f t="shared" si="29"/>
        <x:v>Medium</x:v>
      </x:c>
      <x:c r="K185" s="7" t="n">
        <x:v>53.9</x:v>
      </x:c>
      <x:c r="L185" s="7" t="n">
        <x:v>53.1</x:v>
      </x:c>
      <x:c r="M185" s="7" t="n">
        <x:v>57.9</x:v>
      </x:c>
      <x:c r="N185" s="28" t="str">
        <x:v>Pessimistic</x:v>
      </x:c>
      <x:c r="O185" s="29" t="str">
        <x:v>Pessimistic</x:v>
      </x:c>
    </x:row>
    <x:row r="186" ht="13.649999618530273" customHeight="1">
      <x:c r="A186" s="3" t="str">
        <x:v>PJT_185</x:v>
      </x:c>
      <x:c r="B186" s="9" t="n">
        <x:v>19315800</x:v>
      </x:c>
      <x:c r="C186" s="9" t="n">
        <x:v>20861064</x:v>
      </x:c>
      <x:c r="D186" s="9" t="n">
        <x:f t="shared" si="25"/>
        <x:v>1545264</x:v>
      </x:c>
      <x:c r="E186" s="8" t="n">
        <x:f t="shared" si="26"/>
        <x:v>0.08</x:v>
      </x:c>
      <x:c r="F186" s="9" t="n">
        <x:v>587</x:v>
      </x:c>
      <x:c r="G186" s="9" t="n">
        <x:v>624</x:v>
      </x:c>
      <x:c r="H186" s="9" t="n">
        <x:f t="shared" si="27"/>
        <x:v>37</x:v>
      </x:c>
      <x:c r="I186" s="8" t="n">
        <x:f t="shared" si="28"/>
        <x:v>0.06303236797274275</x:v>
      </x:c>
      <x:c r="J186" s="3" t="str">
        <x:f t="shared" si="29"/>
        <x:v>Low</x:v>
      </x:c>
      <x:c r="K186" s="7" t="n">
        <x:v>40.2</x:v>
      </x:c>
      <x:c r="L186" s="7" t="n">
        <x:v>41.5</x:v>
      </x:c>
      <x:c r="M186" s="7" t="n">
        <x:v>38.4</x:v>
      </x:c>
      <x:c r="N186" s="28" t="str">
        <x:v>Most Likely</x:v>
      </x:c>
      <x:c r="O186" s="29" t="str">
        <x:v>Most Likely</x:v>
      </x:c>
    </x:row>
    <x:row r="187" ht="13.649999618530273" customHeight="1">
      <x:c r="A187" s="3" t="str">
        <x:v>PJT_186</x:v>
      </x:c>
      <x:c r="B187" s="9" t="n">
        <x:v>34786250</x:v>
      </x:c>
      <x:c r="C187" s="9" t="n">
        <x:v>39134531</x:v>
      </x:c>
      <x:c r="D187" s="9" t="n">
        <x:f t="shared" si="25"/>
        <x:v>4348281</x:v>
      </x:c>
      <x:c r="E187" s="8" t="n">
        <x:f t="shared" si="26"/>
        <x:v>0.12499999281325236</x:v>
      </x:c>
      <x:c r="F187" s="9" t="n">
        <x:v>797</x:v>
      </x:c>
      <x:c r="G187" s="9" t="n">
        <x:v>922</x:v>
      </x:c>
      <x:c r="H187" s="9" t="n">
        <x:f t="shared" si="27"/>
        <x:v>125</x:v>
      </x:c>
      <x:c r="I187" s="8" t="n">
        <x:f t="shared" si="28"/>
        <x:v>0.15683814303638646</x:v>
      </x:c>
      <x:c r="J187" s="3" t="str">
        <x:f t="shared" si="29"/>
        <x:v>Medium</x:v>
      </x:c>
      <x:c r="K187" s="7" t="n">
        <x:v>57.8</x:v>
      </x:c>
      <x:c r="L187" s="7" t="n">
        <x:v>59</x:v>
      </x:c>
      <x:c r="M187" s="7" t="n">
        <x:v>52.3</x:v>
      </x:c>
      <x:c r="N187" s="28" t="str">
        <x:v>Pessimistic</x:v>
      </x:c>
      <x:c r="O187" s="29" t="str">
        <x:v>Pessimistic</x:v>
      </x:c>
    </x:row>
    <x:row r="188" ht="13.649999618530273" customHeight="1">
      <x:c r="A188" s="3" t="str">
        <x:v>PJT_187</x:v>
      </x:c>
      <x:c r="B188" s="9" t="n">
        <x:v>7519820</x:v>
      </x:c>
      <x:c r="C188" s="9" t="n">
        <x:v>8121406</x:v>
      </x:c>
      <x:c r="D188" s="9" t="n">
        <x:f t="shared" si="25"/>
        <x:v>601586</x:v>
      </x:c>
      <x:c r="E188" s="8" t="n">
        <x:f t="shared" si="26"/>
        <x:v>0.0800000531927626</x:v>
      </x:c>
      <x:c r="F188" s="9" t="n">
        <x:v>364</x:v>
      </x:c>
      <x:c r="G188" s="9" t="n">
        <x:v>381</x:v>
      </x:c>
      <x:c r="H188" s="9" t="n">
        <x:f t="shared" si="27"/>
        <x:v>17</x:v>
      </x:c>
      <x:c r="I188" s="8" t="n">
        <x:f t="shared" si="28"/>
        <x:v>0.046703296703296704</x:v>
      </x:c>
      <x:c r="J188" s="3" t="str">
        <x:f t="shared" si="29"/>
        <x:v>Low</x:v>
      </x:c>
      <x:c r="K188" s="7" t="n">
        <x:v>34.8</x:v>
      </x:c>
      <x:c r="L188" s="7" t="n">
        <x:v>39.4</x:v>
      </x:c>
      <x:c r="M188" s="7" t="n">
        <x:v>32</x:v>
      </x:c>
      <x:c r="N188" s="28" t="str">
        <x:v>Most Likely</x:v>
      </x:c>
      <x:c r="O188" s="29" t="str">
        <x:v>Most Likely</x:v>
      </x:c>
    </x:row>
    <x:row r="189" ht="13.649999618530273" customHeight="1">
      <x:c r="A189" s="3" t="str">
        <x:v>PJT_188</x:v>
      </x:c>
      <x:c r="B189" s="9" t="n">
        <x:v>54856080</x:v>
      </x:c>
      <x:c r="C189" s="9" t="n">
        <x:v>64686290</x:v>
      </x:c>
      <x:c r="D189" s="9" t="n">
        <x:f t="shared" si="25"/>
        <x:v>9830210</x:v>
      </x:c>
      <x:c r="E189" s="8" t="n">
        <x:f t="shared" si="26"/>
        <x:v>0.1792000084584972</x:v>
      </x:c>
      <x:c r="F189" s="9" t="n">
        <x:v>951</x:v>
      </x:c>
      <x:c r="G189" s="9" t="n">
        <x:v>1130</x:v>
      </x:c>
      <x:c r="H189" s="9" t="n">
        <x:f t="shared" si="27"/>
        <x:v>179</x:v>
      </x:c>
      <x:c r="I189" s="8" t="n">
        <x:f t="shared" si="28"/>
        <x:v>0.1882229232386961</x:v>
      </x:c>
      <x:c r="J189" s="3" t="str">
        <x:f t="shared" si="29"/>
        <x:v>Medium</x:v>
      </x:c>
      <x:c r="K189" s="7" t="n">
        <x:v>61.1</x:v>
      </x:c>
      <x:c r="L189" s="7" t="n">
        <x:v>61</x:v>
      </x:c>
      <x:c r="M189" s="7" t="n">
        <x:v>64.5</x:v>
      </x:c>
      <x:c r="N189" s="28" t="str">
        <x:v>Pessimistic</x:v>
      </x:c>
      <x:c r="O189" s="29" t="str">
        <x:v>Pessimistic</x:v>
      </x:c>
    </x:row>
    <x:row r="190" ht="13.649999618530273" customHeight="1">
      <x:c r="A190" s="3" t="str">
        <x:v>PJT_189</x:v>
      </x:c>
      <x:c r="B190" s="9" t="n">
        <x:v>19032800</x:v>
      </x:c>
      <x:c r="C190" s="9" t="n">
        <x:v>20477390</x:v>
      </x:c>
      <x:c r="D190" s="9" t="n">
        <x:f t="shared" si="25"/>
        <x:v>1444590</x:v>
      </x:c>
      <x:c r="E190" s="8" t="n">
        <x:f t="shared" si="26"/>
        <x:v>0.07590002521962086</x:v>
      </x:c>
      <x:c r="F190" s="9" t="n">
        <x:v>574</x:v>
      </x:c>
      <x:c r="G190" s="9" t="n">
        <x:v>627</x:v>
      </x:c>
      <x:c r="H190" s="9" t="n">
        <x:f t="shared" si="27"/>
        <x:v>53</x:v>
      </x:c>
      <x:c r="I190" s="8" t="n">
        <x:f t="shared" si="28"/>
        <x:v>0.09233449477351917</x:v>
      </x:c>
      <x:c r="J190" s="3" t="str">
        <x:f t="shared" si="29"/>
        <x:v>Low</x:v>
      </x:c>
      <x:c r="K190" s="7" t="n">
        <x:v>42.3</x:v>
      </x:c>
      <x:c r="L190" s="7" t="n">
        <x:v>44.1</x:v>
      </x:c>
      <x:c r="M190" s="7" t="n">
        <x:v>44.5</x:v>
      </x:c>
      <x:c r="N190" s="28" t="str">
        <x:v>Most Likely</x:v>
      </x:c>
      <x:c r="O190" s="29" t="str">
        <x:v>Most Likely</x:v>
      </x:c>
    </x:row>
    <x:row r="191" ht="13.649999618530273" customHeight="1">
      <x:c r="A191" s="3" t="str">
        <x:v>PJT_190</x:v>
      </x:c>
      <x:c r="B191" s="9" t="n">
        <x:v>12925000</x:v>
      </x:c>
      <x:c r="C191" s="9" t="n">
        <x:v>13959000</x:v>
      </x:c>
      <x:c r="D191" s="9" t="n">
        <x:f t="shared" si="25"/>
        <x:v>1034000</x:v>
      </x:c>
      <x:c r="E191" s="8" t="n">
        <x:f t="shared" si="26"/>
        <x:v>0.08</x:v>
      </x:c>
      <x:c r="F191" s="9" t="n">
        <x:v>467</x:v>
      </x:c>
      <x:c r="G191" s="9" t="n">
        <x:v>514</x:v>
      </x:c>
      <x:c r="H191" s="9" t="n">
        <x:f t="shared" si="27"/>
        <x:v>47</x:v>
      </x:c>
      <x:c r="I191" s="8" t="n">
        <x:f t="shared" si="28"/>
        <x:v>0.1006423982869379</x:v>
      </x:c>
      <x:c r="J191" s="3" t="str">
        <x:f t="shared" si="29"/>
        <x:v>Low</x:v>
      </x:c>
      <x:c r="K191" s="7" t="n">
        <x:v>41.1</x:v>
      </x:c>
      <x:c r="L191" s="7" t="n">
        <x:v>43.5</x:v>
      </x:c>
      <x:c r="M191" s="7" t="n">
        <x:v>39</x:v>
      </x:c>
      <x:c r="N191" s="30" t="str">
        <x:v>Most Likely</x:v>
      </x:c>
      <x:c r="O191" s="31" t="str">
        <x:v>Pessimistic</x:v>
      </x:c>
    </x:row>
    <x:row r="192">
      <x:c r="A192" s="3" t="str">
        <x:v>PJT_191</x:v>
      </x:c>
      <x:c r="B192" s="3" t="n">
        <x:v>3767150</x:v>
      </x:c>
      <x:c r="C192" s="3" t="n">
        <x:v>3632343</x:v>
      </x:c>
      <x:c r="D192" s="3" t="n">
        <x:v>-134807</x:v>
      </x:c>
      <x:c r="E192" s="3" t="n">
        <x:v>-0.0358</x:v>
      </x:c>
      <x:c r="F192" s="3" t="n">
        <x:v>180</x:v>
      </x:c>
      <x:c r="G192" s="3" t="n">
        <x:v>180</x:v>
      </x:c>
      <x:c r="H192" s="3" t="n">
        <x:v>0</x:v>
      </x:c>
      <x:c r="I192" s="3" t="n">
        <x:v>0</x:v>
      </x:c>
      <x:c r="J192" s="3" t="str">
        <x:v>Low</x:v>
      </x:c>
      <x:c r="K192" s="3" t="n">
        <x:v>36.3</x:v>
      </x:c>
      <x:c r="L192" s="3" t="n">
        <x:v>25.5</x:v>
      </x:c>
      <x:c r="M192" s="3" t="n">
        <x:v>32.5</x:v>
      </x:c>
      <x:c r="N192" t="str">
        <x:v>Optimistic</x:v>
      </x:c>
      <x:c r="O192" t="str">
        <x:v>Optimistic</x:v>
      </x:c>
    </x:row>
    <x:row r="193">
      <x:c r="A193" s="3" t="str">
        <x:v>PJT_192</x:v>
      </x:c>
      <x:c r="B193" s="3" t="n">
        <x:v>37297260</x:v>
      </x:c>
      <x:c r="C193" s="3" t="n">
        <x:v>41458234</x:v>
      </x:c>
      <x:c r="D193" s="3" t="n">
        <x:v>4160974</x:v>
      </x:c>
      <x:c r="E193" s="3" t="n">
        <x:v>0.1116</x:v>
      </x:c>
      <x:c r="F193" s="3" t="n">
        <x:v>789</x:v>
      </x:c>
      <x:c r="G193" s="3" t="n">
        <x:v>848</x:v>
      </x:c>
      <x:c r="H193" s="3" t="n">
        <x:v>59</x:v>
      </x:c>
      <x:c r="I193" s="3" t="n">
        <x:v>0.0748</x:v>
      </x:c>
      <x:c r="J193" s="3" t="str">
        <x:v>Medium</x:v>
      </x:c>
      <x:c r="K193" s="3" t="n">
        <x:v>52.1</x:v>
      </x:c>
      <x:c r="L193" s="3" t="n">
        <x:v>61.1</x:v>
      </x:c>
      <x:c r="M193" s="3" t="n">
        <x:v>57.2</x:v>
      </x:c>
      <x:c r="N193" t="str">
        <x:v>Pessimistic</x:v>
      </x:c>
      <x:c r="O193" t="str">
        <x:v>Most Likely</x:v>
      </x:c>
    </x:row>
    <x:row r="194">
      <x:c r="A194" s="3" t="str">
        <x:v>PJT_193</x:v>
      </x:c>
      <x:c r="B194" s="3" t="n">
        <x:v>13426640</x:v>
      </x:c>
      <x:c r="C194" s="3" t="n">
        <x:v>12988763</x:v>
      </x:c>
      <x:c r="D194" s="3" t="n">
        <x:v>-437877</x:v>
      </x:c>
      <x:c r="E194" s="3" t="n">
        <x:v>-0.0326</x:v>
      </x:c>
      <x:c r="F194" s="3" t="n">
        <x:v>369</x:v>
      </x:c>
      <x:c r="G194" s="3" t="n">
        <x:v>389</x:v>
      </x:c>
      <x:c r="H194" s="3" t="n">
        <x:v>20</x:v>
      </x:c>
      <x:c r="I194" s="3" t="n">
        <x:v>0.0542</x:v>
      </x:c>
      <x:c r="J194" s="3" t="str">
        <x:v>Low</x:v>
      </x:c>
      <x:c r="K194" s="3" t="n">
        <x:v>34.3</x:v>
      </x:c>
      <x:c r="L194" s="3" t="n">
        <x:v>33.6</x:v>
      </x:c>
      <x:c r="M194" s="3" t="n">
        <x:v>36.9</x:v>
      </x:c>
      <x:c r="N194" t="str">
        <x:v>Optimistic</x:v>
      </x:c>
      <x:c r="O194" t="str">
        <x:v>Most Likely</x:v>
      </x:c>
    </x:row>
    <x:row r="195">
      <x:c r="A195" s="3" t="str">
        <x:v>PJT_194</x:v>
      </x:c>
      <x:c r="B195" s="3" t="n">
        <x:v>46218640</x:v>
      </x:c>
      <x:c r="C195" s="3" t="n">
        <x:v>49133349</x:v>
      </x:c>
      <x:c r="D195" s="3" t="n">
        <x:v>2914709</x:v>
      </x:c>
      <x:c r="E195" s="3" t="n">
        <x:v>0.0631</x:v>
      </x:c>
      <x:c r="F195" s="3" t="n">
        <x:v>907</x:v>
      </x:c>
      <x:c r="G195" s="3" t="n">
        <x:v>952</x:v>
      </x:c>
      <x:c r="H195" s="3" t="n">
        <x:v>45</x:v>
      </x:c>
      <x:c r="I195" s="3" t="n">
        <x:v>0.0496</x:v>
      </x:c>
      <x:c r="J195" s="3" t="str">
        <x:v>Medium</x:v>
      </x:c>
      <x:c r="K195" s="3" t="n">
        <x:v>53.7</x:v>
      </x:c>
      <x:c r="L195" s="3" t="n">
        <x:v>54.8</x:v>
      </x:c>
      <x:c r="M195" s="3" t="n">
        <x:v>53.3</x:v>
      </x:c>
      <x:c r="N195" t="str">
        <x:v>Most Likely</x:v>
      </x:c>
      <x:c r="O195" t="str">
        <x:v>Most Likely</x:v>
      </x:c>
    </x:row>
    <x:row r="196">
      <x:c r="A196" s="3" t="str">
        <x:v>PJT_195</x:v>
      </x:c>
      <x:c r="B196" s="3" t="n">
        <x:v>31108880</x:v>
      </x:c>
      <x:c r="C196" s="3" t="n">
        <x:v>32802812</x:v>
      </x:c>
      <x:c r="D196" s="3" t="n">
        <x:v>1693932</x:v>
      </x:c>
      <x:c r="E196" s="3" t="n">
        <x:v>0.0545</x:v>
      </x:c>
      <x:c r="F196" s="3" t="n">
        <x:v>510</x:v>
      </x:c>
      <x:c r="G196" s="3" t="n">
        <x:v>514</x:v>
      </x:c>
      <x:c r="H196" s="3" t="n">
        <x:v>4</x:v>
      </x:c>
      <x:c r="I196" s="3" t="n">
        <x:v>0.0078</x:v>
      </x:c>
      <x:c r="J196" s="3" t="str">
        <x:v>Medium</x:v>
      </x:c>
      <x:c r="K196" s="3" t="n">
        <x:v>49</x:v>
      </x:c>
      <x:c r="L196" s="3" t="n">
        <x:v>50.7</x:v>
      </x:c>
      <x:c r="M196" s="3" t="n">
        <x:v>45</x:v>
      </x:c>
      <x:c r="N196" t="str">
        <x:v>Most Likely</x:v>
      </x:c>
      <x:c r="O196" t="str">
        <x:v>Most Likely</x:v>
      </x:c>
    </x:row>
    <x:row r="197">
      <x:c r="A197" s="3" t="str">
        <x:v>PJT_196</x:v>
      </x:c>
      <x:c r="B197" s="3" t="n">
        <x:v>61553600</x:v>
      </x:c>
      <x:c r="C197" s="3" t="n">
        <x:v>65574401</x:v>
      </x:c>
      <x:c r="D197" s="3" t="n">
        <x:v>4020801</x:v>
      </x:c>
      <x:c r="E197" s="3" t="n">
        <x:v>0.0653</x:v>
      </x:c>
      <x:c r="F197" s="3" t="n">
        <x:v>1152</x:v>
      </x:c>
      <x:c r="G197" s="3" t="n">
        <x:v>1217</x:v>
      </x:c>
      <x:c r="H197" s="3" t="n">
        <x:v>65</x:v>
      </x:c>
      <x:c r="I197" s="3" t="n">
        <x:v>0.0564</x:v>
      </x:c>
      <x:c r="J197" s="3" t="str">
        <x:v>Low</x:v>
      </x:c>
      <x:c r="K197" s="3" t="n">
        <x:v>44.7</x:v>
      </x:c>
      <x:c r="L197" s="3" t="n">
        <x:v>51.4</x:v>
      </x:c>
      <x:c r="M197" s="3" t="n">
        <x:v>49.1</x:v>
      </x:c>
      <x:c r="N197" t="str">
        <x:v>Most Likely</x:v>
      </x:c>
      <x:c r="O197" t="str">
        <x:v>Most Likely</x:v>
      </x:c>
    </x:row>
    <x:row r="198">
      <x:c r="A198" s="3" t="str">
        <x:v>PJT_197</x:v>
      </x:c>
      <x:c r="B198" s="3" t="n">
        <x:v>20351630</x:v>
      </x:c>
      <x:c r="C198" s="3" t="n">
        <x:v>19632644</x:v>
      </x:c>
      <x:c r="D198" s="3" t="n">
        <x:v>-718986</x:v>
      </x:c>
      <x:c r="E198" s="3" t="n">
        <x:v>-0.0353</x:v>
      </x:c>
      <x:c r="F198" s="3" t="n">
        <x:v>322</x:v>
      </x:c>
      <x:c r="G198" s="3" t="n">
        <x:v>315</x:v>
      </x:c>
      <x:c r="H198" s="3" t="n">
        <x:v>-7</x:v>
      </x:c>
      <x:c r="I198" s="3" t="n">
        <x:v>-0.0217</x:v>
      </x:c>
      <x:c r="J198" s="3" t="str">
        <x:v>Low</x:v>
      </x:c>
      <x:c r="K198" s="3" t="n">
        <x:v>30</x:v>
      </x:c>
      <x:c r="L198" s="3" t="n">
        <x:v>29</x:v>
      </x:c>
      <x:c r="M198" s="3" t="n">
        <x:v>31.6</x:v>
      </x:c>
      <x:c r="N198" t="str">
        <x:v>Optimistic</x:v>
      </x:c>
      <x:c r="O198" t="str">
        <x:v>Optimistic</x:v>
      </x:c>
    </x:row>
    <x:row r="199">
      <x:c r="A199" s="3" t="str">
        <x:v>PJT_198</x:v>
      </x:c>
      <x:c r="B199" s="3" t="n">
        <x:v>50654380</x:v>
      </x:c>
      <x:c r="C199" s="3" t="n">
        <x:v>52827409</x:v>
      </x:c>
      <x:c r="D199" s="3" t="n">
        <x:v>2173029</x:v>
      </x:c>
      <x:c r="E199" s="3" t="n">
        <x:v>0.0429</x:v>
      </x:c>
      <x:c r="F199" s="3" t="n">
        <x:v>1059</x:v>
      </x:c>
      <x:c r="G199" s="3" t="n">
        <x:v>1168</x:v>
      </x:c>
      <x:c r="H199" s="3" t="n">
        <x:v>109</x:v>
      </x:c>
      <x:c r="I199" s="3" t="n">
        <x:v>0.1029</x:v>
      </x:c>
      <x:c r="J199" s="3" t="str">
        <x:v>Medium</x:v>
      </x:c>
      <x:c r="K199" s="3" t="n">
        <x:v>63</x:v>
      </x:c>
      <x:c r="L199" s="3" t="n">
        <x:v>65.6</x:v>
      </x:c>
      <x:c r="M199" s="3" t="n">
        <x:v>62.7</x:v>
      </x:c>
      <x:c r="N199" t="str">
        <x:v>Most Likely</x:v>
      </x:c>
      <x:c r="O199" t="str">
        <x:v>Pessimistic</x:v>
      </x:c>
    </x:row>
    <x:row r="200">
      <x:c r="A200" s="3" t="str">
        <x:v>PJT_199</x:v>
      </x:c>
      <x:c r="B200" s="3" t="n">
        <x:v>55797720</x:v>
      </x:c>
      <x:c r="C200" s="3" t="n">
        <x:v>61489772</x:v>
      </x:c>
      <x:c r="D200" s="3" t="n">
        <x:v>5692052</x:v>
      </x:c>
      <x:c r="E200" s="3" t="n">
        <x:v>0.102</x:v>
      </x:c>
      <x:c r="F200" s="3" t="n">
        <x:v>1017</x:v>
      </x:c>
      <x:c r="G200" s="3" t="n">
        <x:v>1085</x:v>
      </x:c>
      <x:c r="H200" s="3" t="n">
        <x:v>68</x:v>
      </x:c>
      <x:c r="I200" s="3" t="n">
        <x:v>0.0669</x:v>
      </x:c>
      <x:c r="J200" s="3" t="str">
        <x:v>Medium</x:v>
      </x:c>
      <x:c r="K200" s="3" t="n">
        <x:v>60</x:v>
      </x:c>
      <x:c r="L200" s="3" t="n">
        <x:v>63.5</x:v>
      </x:c>
      <x:c r="M200" s="3" t="n">
        <x:v>55.7</x:v>
      </x:c>
      <x:c r="N200" t="str">
        <x:v>Pessimistic</x:v>
      </x:c>
      <x:c r="O200" t="str">
        <x:v>Most Likely</x:v>
      </x:c>
    </x:row>
    <x:row r="201">
      <x:c r="A201" s="3" t="str">
        <x:v>PJT_200</x:v>
      </x:c>
      <x:c r="B201" s="3" t="n">
        <x:v>92346850</x:v>
      </x:c>
      <x:c r="C201" s="3" t="n">
        <x:v>102988123</x:v>
      </x:c>
      <x:c r="D201" s="3" t="n">
        <x:v>10641273</x:v>
      </x:c>
      <x:c r="E201" s="3" t="n">
        <x:v>0.1152</x:v>
      </x:c>
      <x:c r="F201" s="3" t="n">
        <x:v>1786</x:v>
      </x:c>
      <x:c r="G201" s="3" t="n">
        <x:v>1823</x:v>
      </x:c>
      <x:c r="H201" s="3" t="n">
        <x:v>37</x:v>
      </x:c>
      <x:c r="I201" s="3" t="n">
        <x:v>0.0207</x:v>
      </x:c>
      <x:c r="J201" s="3" t="str">
        <x:v>Medium</x:v>
      </x:c>
      <x:c r="K201" s="3" t="n">
        <x:v>66.3</x:v>
      </x:c>
      <x:c r="L201" s="3" t="n">
        <x:v>64</x:v>
      </x:c>
      <x:c r="M201" s="3" t="n">
        <x:v>65.1</x:v>
      </x:c>
      <x:c r="N201" t="str">
        <x:v>Pessimistic</x:v>
      </x:c>
      <x:c r="O201" t="str">
        <x:v>Most Likely</x:v>
      </x:c>
    </x:row>
    <x:row r="202">
      <x:c r="A202" s="3" t="str">
        <x:v>PJT_201</x:v>
      </x:c>
      <x:c r="B202" s="3" t="n">
        <x:v>68359210</x:v>
      </x:c>
      <x:c r="C202" s="3" t="n">
        <x:v>69364083</x:v>
      </x:c>
      <x:c r="D202" s="3" t="n">
        <x:v>1004873</x:v>
      </x:c>
      <x:c r="E202" s="3" t="n">
        <x:v>0.0147</x:v>
      </x:c>
      <x:c r="F202" s="3" t="n">
        <x:v>1284</x:v>
      </x:c>
      <x:c r="G202" s="3" t="n">
        <x:v>1299</x:v>
      </x:c>
      <x:c r="H202" s="3" t="n">
        <x:v>15</x:v>
      </x:c>
      <x:c r="I202" s="3" t="n">
        <x:v>0.0117</x:v>
      </x:c>
      <x:c r="J202" s="3" t="str">
        <x:v>Medium</x:v>
      </x:c>
      <x:c r="K202" s="3" t="n">
        <x:v>50.6</x:v>
      </x:c>
      <x:c r="L202" s="3" t="n">
        <x:v>49.8</x:v>
      </x:c>
      <x:c r="M202" s="3" t="n">
        <x:v>45.7</x:v>
      </x:c>
      <x:c r="N202" t="str">
        <x:v>Most Likely</x:v>
      </x:c>
      <x:c r="O202" t="str">
        <x:v>Most Likely</x:v>
      </x:c>
    </x:row>
    <x:row r="203">
      <x:c r="A203" s="3" t="str">
        <x:v>PJT_202</x:v>
      </x:c>
      <x:c r="B203" s="3" t="n">
        <x:v>46180760</x:v>
      </x:c>
      <x:c r="C203" s="3" t="n">
        <x:v>48554814</x:v>
      </x:c>
      <x:c r="D203" s="3" t="n">
        <x:v>2374054</x:v>
      </x:c>
      <x:c r="E203" s="3" t="n">
        <x:v>0.0514</x:v>
      </x:c>
      <x:c r="F203" s="3" t="n">
        <x:v>901</x:v>
      </x:c>
      <x:c r="G203" s="3" t="n">
        <x:v>1003</x:v>
      </x:c>
      <x:c r="H203" s="3" t="n">
        <x:v>102</x:v>
      </x:c>
      <x:c r="I203" s="3" t="n">
        <x:v>0.1132</x:v>
      </x:c>
      <x:c r="J203" s="3" t="str">
        <x:v>Medium</x:v>
      </x:c>
      <x:c r="K203" s="3" t="n">
        <x:v>52.6</x:v>
      </x:c>
      <x:c r="L203" s="3" t="n">
        <x:v>59.5</x:v>
      </x:c>
      <x:c r="M203" s="3" t="n">
        <x:v>51.1</x:v>
      </x:c>
      <x:c r="N203" t="str">
        <x:v>Most Likely</x:v>
      </x:c>
      <x:c r="O203" t="str">
        <x:v>Pessimistic</x:v>
      </x:c>
    </x:row>
    <x:row r="204">
      <x:c r="A204" s="3" t="str">
        <x:v>PJT_203</x:v>
      </x:c>
      <x:c r="B204" s="3" t="n">
        <x:v>56742900</x:v>
      </x:c>
      <x:c r="C204" s="3" t="n">
        <x:v>61414791</x:v>
      </x:c>
      <x:c r="D204" s="3" t="n">
        <x:v>4671891</x:v>
      </x:c>
      <x:c r="E204" s="3" t="n">
        <x:v>0.0823</x:v>
      </x:c>
      <x:c r="F204" s="3" t="n">
        <x:v>1095</x:v>
      </x:c>
      <x:c r="G204" s="3" t="n">
        <x:v>1104</x:v>
      </x:c>
      <x:c r="H204" s="3" t="n">
        <x:v>9</x:v>
      </x:c>
      <x:c r="I204" s="3" t="n">
        <x:v>0.0082</x:v>
      </x:c>
      <x:c r="J204" s="3" t="str">
        <x:v>Medium</x:v>
      </x:c>
      <x:c r="K204" s="3" t="n">
        <x:v>63.7</x:v>
      </x:c>
      <x:c r="L204" s="3" t="n">
        <x:v>56.2</x:v>
      </x:c>
      <x:c r="M204" s="3" t="n">
        <x:v>58.9</x:v>
      </x:c>
      <x:c r="N204" t="str">
        <x:v>Most Likely</x:v>
      </x:c>
      <x:c r="O204" t="str">
        <x:v>Most Likely</x:v>
      </x:c>
    </x:row>
    <x:row r="205">
      <x:c r="A205" s="3" t="str">
        <x:v>PJT_204</x:v>
      </x:c>
      <x:c r="B205" s="3" t="n">
        <x:v>64341700</x:v>
      </x:c>
      <x:c r="C205" s="3" t="n">
        <x:v>74660204</x:v>
      </x:c>
      <x:c r="D205" s="3" t="n">
        <x:v>10318504</x:v>
      </x:c>
      <x:c r="E205" s="3" t="n">
        <x:v>0.1604</x:v>
      </x:c>
      <x:c r="F205" s="3" t="n">
        <x:v>1300</x:v>
      </x:c>
      <x:c r="G205" s="3" t="n">
        <x:v>1400</x:v>
      </x:c>
      <x:c r="H205" s="3" t="n">
        <x:v>100</x:v>
      </x:c>
      <x:c r="I205" s="3" t="n">
        <x:v>0.0769</x:v>
      </x:c>
      <x:c r="J205" s="3" t="str">
        <x:v>Medium</x:v>
      </x:c>
      <x:c r="K205" s="3" t="n">
        <x:v>63.2</x:v>
      </x:c>
      <x:c r="L205" s="3" t="n">
        <x:v>70.1</x:v>
      </x:c>
      <x:c r="M205" s="3" t="n">
        <x:v>66.5</x:v>
      </x:c>
      <x:c r="N205" t="str">
        <x:v>Pessimistic</x:v>
      </x:c>
      <x:c r="O205" t="str">
        <x:v>Most Likely</x:v>
      </x:c>
    </x:row>
    <x:row r="206">
      <x:c r="A206" s="3" t="str">
        <x:v>PJT_205</x:v>
      </x:c>
      <x:c r="B206" s="3" t="n">
        <x:v>16160200</x:v>
      </x:c>
      <x:c r="C206" s="3" t="n">
        <x:v>15177230</x:v>
      </x:c>
      <x:c r="D206" s="3" t="n">
        <x:v>-982970</x:v>
      </x:c>
      <x:c r="E206" s="3" t="n">
        <x:v>-0.0608</x:v>
      </x:c>
      <x:c r="F206" s="3" t="n">
        <x:v>266</x:v>
      </x:c>
      <x:c r="G206" s="3" t="n">
        <x:v>265</x:v>
      </x:c>
      <x:c r="H206" s="3" t="n">
        <x:v>-1</x:v>
      </x:c>
      <x:c r="I206" s="3" t="n">
        <x:v>-0.0038</x:v>
      </x:c>
      <x:c r="J206" s="3" t="str">
        <x:v>Low</x:v>
      </x:c>
      <x:c r="K206" s="3" t="n">
        <x:v>31.1</x:v>
      </x:c>
      <x:c r="L206" s="3" t="n">
        <x:v>30</x:v>
      </x:c>
      <x:c r="M206" s="3" t="n">
        <x:v>28.5</x:v>
      </x:c>
      <x:c r="N206" t="str">
        <x:v>Optimistic</x:v>
      </x:c>
      <x:c r="O206" t="str">
        <x:v>Optimistic</x:v>
      </x:c>
    </x:row>
    <x:row r="207">
      <x:c r="A207" s="3" t="str">
        <x:v>PJT_206</x:v>
      </x:c>
      <x:c r="B207" s="3" t="n">
        <x:v>51911470</x:v>
      </x:c>
      <x:c r="C207" s="3" t="n">
        <x:v>57323185</x:v>
      </x:c>
      <x:c r="D207" s="3" t="n">
        <x:v>5411715</x:v>
      </x:c>
      <x:c r="E207" s="3" t="n">
        <x:v>0.1042</x:v>
      </x:c>
      <x:c r="F207" s="3" t="n">
        <x:v>973</x:v>
      </x:c>
      <x:c r="G207" s="3" t="n">
        <x:v>986</x:v>
      </x:c>
      <x:c r="H207" s="3" t="n">
        <x:v>13</x:v>
      </x:c>
      <x:c r="I207" s="3" t="n">
        <x:v>0.0134</x:v>
      </x:c>
      <x:c r="J207" s="3" t="str">
        <x:v>Medium</x:v>
      </x:c>
      <x:c r="K207" s="3" t="n">
        <x:v>49.7</x:v>
      </x:c>
      <x:c r="L207" s="3" t="n">
        <x:v>51.5</x:v>
      </x:c>
      <x:c r="M207" s="3" t="n">
        <x:v>46.5</x:v>
      </x:c>
      <x:c r="N207" t="str">
        <x:v>Pessimistic</x:v>
      </x:c>
      <x:c r="O207" t="str">
        <x:v>Most Likely</x:v>
      </x:c>
    </x:row>
    <x:row r="208">
      <x:c r="A208" s="3" t="str">
        <x:v>PJT_207</x:v>
      </x:c>
      <x:c r="B208" s="3" t="n">
        <x:v>75222000</x:v>
      </x:c>
      <x:c r="C208" s="3" t="n">
        <x:v>79390910</x:v>
      </x:c>
      <x:c r="D208" s="3" t="n">
        <x:v>4168910</x:v>
      </x:c>
      <x:c r="E208" s="3" t="n">
        <x:v>0.0554</x:v>
      </x:c>
      <x:c r="F208" s="3" t="n">
        <x:v>1192</x:v>
      </x:c>
      <x:c r="G208" s="3" t="n">
        <x:v>1242</x:v>
      </x:c>
      <x:c r="H208" s="3" t="n">
        <x:v>50</x:v>
      </x:c>
      <x:c r="I208" s="3" t="n">
        <x:v>0.0419</x:v>
      </x:c>
      <x:c r="J208" s="3" t="str">
        <x:v>Medium</x:v>
      </x:c>
      <x:c r="K208" s="3" t="n">
        <x:v>52.3</x:v>
      </x:c>
      <x:c r="L208" s="3" t="n">
        <x:v>58.1</x:v>
      </x:c>
      <x:c r="M208" s="3" t="n">
        <x:v>50.1</x:v>
      </x:c>
      <x:c r="N208" t="str">
        <x:v>Most Likely</x:v>
      </x:c>
      <x:c r="O208" t="str">
        <x:v>Most Likely</x:v>
      </x:c>
    </x:row>
    <x:row r="209">
      <x:c r="A209" s="3" t="str">
        <x:v>PJT_208</x:v>
      </x:c>
      <x:c r="B209" s="3" t="n">
        <x:v>21048860</x:v>
      </x:c>
      <x:c r="C209" s="3" t="n">
        <x:v>21462778</x:v>
      </x:c>
      <x:c r="D209" s="3" t="n">
        <x:v>413918</x:v>
      </x:c>
      <x:c r="E209" s="3" t="n">
        <x:v>0.0197</x:v>
      </x:c>
      <x:c r="F209" s="3" t="n">
        <x:v>437</x:v>
      </x:c>
      <x:c r="G209" s="3" t="n">
        <x:v>457</x:v>
      </x:c>
      <x:c r="H209" s="3" t="n">
        <x:v>20</x:v>
      </x:c>
      <x:c r="I209" s="3" t="n">
        <x:v>0.0458</x:v>
      </x:c>
      <x:c r="J209" s="3" t="str">
        <x:v>Low</x:v>
      </x:c>
      <x:c r="K209" s="3" t="n">
        <x:v>42.4</x:v>
      </x:c>
      <x:c r="L209" s="3" t="n">
        <x:v>47.4</x:v>
      </x:c>
      <x:c r="M209" s="3" t="n">
        <x:v>41.8</x:v>
      </x:c>
      <x:c r="N209" t="str">
        <x:v>Most Likely</x:v>
      </x:c>
      <x:c r="O209" t="str">
        <x:v>Most Likely</x:v>
      </x:c>
    </x:row>
    <x:row r="210">
      <x:c r="A210" s="3" t="str">
        <x:v>PJT_209</x:v>
      </x:c>
      <x:c r="B210" s="3" t="n">
        <x:v>15869850</x:v>
      </x:c>
      <x:c r="C210" s="3" t="n">
        <x:v>15835474</x:v>
      </x:c>
      <x:c r="D210" s="3" t="n">
        <x:v>-34376</x:v>
      </x:c>
      <x:c r="E210" s="3" t="n">
        <x:v>-0.0022</x:v>
      </x:c>
      <x:c r="F210" s="3" t="n">
        <x:v>392</x:v>
      </x:c>
      <x:c r="G210" s="3" t="n">
        <x:v>405</x:v>
      </x:c>
      <x:c r="H210" s="3" t="n">
        <x:v>13</x:v>
      </x:c>
      <x:c r="I210" s="3" t="n">
        <x:v>0.0332</x:v>
      </x:c>
      <x:c r="J210" s="3" t="str">
        <x:v>Low</x:v>
      </x:c>
      <x:c r="K210" s="3" t="n">
        <x:v>34.4</x:v>
      </x:c>
      <x:c r="L210" s="3" t="n">
        <x:v>32.2</x:v>
      </x:c>
      <x:c r="M210" s="3" t="n">
        <x:v>33.1</x:v>
      </x:c>
      <x:c r="N210" t="str">
        <x:v>Optimistic</x:v>
      </x:c>
      <x:c r="O210" t="str">
        <x:v>Most Likely</x:v>
      </x:c>
    </x:row>
    <x:row r="211">
      <x:c r="A211" s="3" t="str">
        <x:v>PJT_210</x:v>
      </x:c>
      <x:c r="B211" s="3" t="n">
        <x:v>19234670</x:v>
      </x:c>
      <x:c r="C211" s="3" t="n">
        <x:v>18038697</x:v>
      </x:c>
      <x:c r="D211" s="3" t="n">
        <x:v>-1195973</x:v>
      </x:c>
      <x:c r="E211" s="3" t="n">
        <x:v>-0.0622</x:v>
      </x:c>
      <x:c r="F211" s="3" t="n">
        <x:v>327</x:v>
      </x:c>
      <x:c r="G211" s="3" t="n">
        <x:v>329</x:v>
      </x:c>
      <x:c r="H211" s="3" t="n">
        <x:v>2</x:v>
      </x:c>
      <x:c r="I211" s="3" t="n">
        <x:v>0.0061</x:v>
      </x:c>
      <x:c r="J211" s="3" t="str">
        <x:v>Low</x:v>
      </x:c>
      <x:c r="K211" s="3" t="n">
        <x:v>28.2</x:v>
      </x:c>
      <x:c r="L211" s="3" t="n">
        <x:v>34.9</x:v>
      </x:c>
      <x:c r="M211" s="3" t="n">
        <x:v>29.4</x:v>
      </x:c>
      <x:c r="N211" t="str">
        <x:v>Optimistic</x:v>
      </x:c>
      <x:c r="O211" t="str">
        <x:v>Most Likely</x:v>
      </x:c>
    </x:row>
    <x:row r="212">
      <x:c r="A212" s="3" t="str">
        <x:v>PJT_211</x:v>
      </x:c>
      <x:c r="B212" s="3" t="n">
        <x:v>18763230</x:v>
      </x:c>
      <x:c r="C212" s="3" t="n">
        <x:v>20259338</x:v>
      </x:c>
      <x:c r="D212" s="3" t="n">
        <x:v>1496108</x:v>
      </x:c>
      <x:c r="E212" s="3" t="n">
        <x:v>0.0797</x:v>
      </x:c>
      <x:c r="F212" s="3" t="n">
        <x:v>299</x:v>
      </x:c>
      <x:c r="G212" s="3" t="n">
        <x:v>301</x:v>
      </x:c>
      <x:c r="H212" s="3" t="n">
        <x:v>2</x:v>
      </x:c>
      <x:c r="I212" s="3" t="n">
        <x:v>0.0067</x:v>
      </x:c>
      <x:c r="J212" s="3" t="str">
        <x:v>Low</x:v>
      </x:c>
      <x:c r="K212" s="3" t="n">
        <x:v>33.7</x:v>
      </x:c>
      <x:c r="L212" s="3" t="n">
        <x:v>40.4</x:v>
      </x:c>
      <x:c r="M212" s="3" t="n">
        <x:v>32.1</x:v>
      </x:c>
      <x:c r="N212" t="str">
        <x:v>Most Likely</x:v>
      </x:c>
      <x:c r="O212" t="str">
        <x:v>Most Likely</x:v>
      </x:c>
    </x:row>
    <x:row r="213">
      <x:c r="A213" s="3" t="str">
        <x:v>PJT_212</x:v>
      </x:c>
      <x:c r="B213" s="3" t="n">
        <x:v>53944610</x:v>
      </x:c>
      <x:c r="C213" s="3" t="n">
        <x:v>64838205</x:v>
      </x:c>
      <x:c r="D213" s="3" t="n">
        <x:v>10893595</x:v>
      </x:c>
      <x:c r="E213" s="3" t="n">
        <x:v>0.2019</x:v>
      </x:c>
      <x:c r="F213" s="3" t="n">
        <x:v>1069</x:v>
      </x:c>
      <x:c r="G213" s="3" t="n">
        <x:v>1185</x:v>
      </x:c>
      <x:c r="H213" s="3" t="n">
        <x:v>116</x:v>
      </x:c>
      <x:c r="I213" s="3" t="n">
        <x:v>0.1085</x:v>
      </x:c>
      <x:c r="J213" s="3" t="str">
        <x:v>Medium</x:v>
      </x:c>
      <x:c r="K213" s="3" t="n">
        <x:v>64.1</x:v>
      </x:c>
      <x:c r="L213" s="3" t="n">
        <x:v>69.5</x:v>
      </x:c>
      <x:c r="M213" s="3" t="n">
        <x:v>69.6</x:v>
      </x:c>
      <x:c r="N213" t="str">
        <x:v>Pessimistic</x:v>
      </x:c>
      <x:c r="O213" t="str">
        <x:v>Pessimistic</x:v>
      </x:c>
    </x:row>
    <x:row r="214">
      <x:c r="A214" s="3" t="str">
        <x:v>PJT_213</x:v>
      </x:c>
      <x:c r="B214" s="3" t="n">
        <x:v>60052480</x:v>
      </x:c>
      <x:c r="C214" s="3" t="n">
        <x:v>68011653</x:v>
      </x:c>
      <x:c r="D214" s="3" t="n">
        <x:v>7959173</x:v>
      </x:c>
      <x:c r="E214" s="3" t="n">
        <x:v>0.1325</x:v>
      </x:c>
      <x:c r="F214" s="3" t="n">
        <x:v>1298</x:v>
      </x:c>
      <x:c r="G214" s="3" t="n">
        <x:v>1339</x:v>
      </x:c>
      <x:c r="H214" s="3" t="n">
        <x:v>41</x:v>
      </x:c>
      <x:c r="I214" s="3" t="n">
        <x:v>0.0316</x:v>
      </x:c>
      <x:c r="J214" s="3" t="str">
        <x:v>Medium</x:v>
      </x:c>
      <x:c r="K214" s="3" t="n">
        <x:v>55.9</x:v>
      </x:c>
      <x:c r="L214" s="3" t="n">
        <x:v>55.1</x:v>
      </x:c>
      <x:c r="M214" s="3" t="n">
        <x:v>54</x:v>
      </x:c>
      <x:c r="N214" t="str">
        <x:v>Pessimistic</x:v>
      </x:c>
      <x:c r="O214" t="str">
        <x:v>Most Likely</x:v>
      </x:c>
    </x:row>
    <x:row r="215">
      <x:c r="A215" s="3" t="str">
        <x:v>PJT_214</x:v>
      </x:c>
      <x:c r="B215" s="3" t="n">
        <x:v>56381500</x:v>
      </x:c>
      <x:c r="C215" s="3" t="n">
        <x:v>57404560</x:v>
      </x:c>
      <x:c r="D215" s="3" t="n">
        <x:v>1023060</x:v>
      </x:c>
      <x:c r="E215" s="3" t="n">
        <x:v>0.0181</x:v>
      </x:c>
      <x:c r="F215" s="3" t="n">
        <x:v>992</x:v>
      </x:c>
      <x:c r="G215" s="3" t="n">
        <x:v>1001</x:v>
      </x:c>
      <x:c r="H215" s="3" t="n">
        <x:v>9</x:v>
      </x:c>
      <x:c r="I215" s="3" t="n">
        <x:v>0.0091</x:v>
      </x:c>
      <x:c r="J215" s="3" t="str">
        <x:v>Medium</x:v>
      </x:c>
      <x:c r="K215" s="3" t="n">
        <x:v>50.1</x:v>
      </x:c>
      <x:c r="L215" s="3" t="n">
        <x:v>48.8</x:v>
      </x:c>
      <x:c r="M215" s="3" t="n">
        <x:v>49.1</x:v>
      </x:c>
      <x:c r="N215" t="str">
        <x:v>Most Likely</x:v>
      </x:c>
      <x:c r="O215" t="str">
        <x:v>Most Likely</x:v>
      </x:c>
    </x:row>
    <x:row r="216">
      <x:c r="A216" s="3" t="str">
        <x:v>PJT_215</x:v>
      </x:c>
      <x:c r="B216" s="3" t="n">
        <x:v>67345910</x:v>
      </x:c>
      <x:c r="C216" s="3" t="n">
        <x:v>69487924</x:v>
      </x:c>
      <x:c r="D216" s="3" t="n">
        <x:v>2142014</x:v>
      </x:c>
      <x:c r="E216" s="3" t="n">
        <x:v>0.0318</x:v>
      </x:c>
      <x:c r="F216" s="3" t="n">
        <x:v>1381</x:v>
      </x:c>
      <x:c r="G216" s="3" t="n">
        <x:v>1453</x:v>
      </x:c>
      <x:c r="H216" s="3" t="n">
        <x:v>72</x:v>
      </x:c>
      <x:c r="I216" s="3" t="n">
        <x:v>0.0521</x:v>
      </x:c>
      <x:c r="J216" s="3" t="str">
        <x:v>Medium</x:v>
      </x:c>
      <x:c r="K216" s="3" t="n">
        <x:v>61.1</x:v>
      </x:c>
      <x:c r="L216" s="3" t="n">
        <x:v>64.6</x:v>
      </x:c>
      <x:c r="M216" s="3" t="n">
        <x:v>61</x:v>
      </x:c>
      <x:c r="N216" t="str">
        <x:v>Most Likely</x:v>
      </x:c>
      <x:c r="O216" t="str">
        <x:v>Most Likely</x:v>
      </x:c>
    </x:row>
    <x:row r="217">
      <x:c r="A217" s="3" t="str">
        <x:v>PJT_216</x:v>
      </x:c>
      <x:c r="B217" s="3" t="n">
        <x:v>41872960</x:v>
      </x:c>
      <x:c r="C217" s="3" t="n">
        <x:v>44112798</x:v>
      </x:c>
      <x:c r="D217" s="3" t="n">
        <x:v>2239838</x:v>
      </x:c>
      <x:c r="E217" s="3" t="n">
        <x:v>0.0535</x:v>
      </x:c>
      <x:c r="F217" s="3" t="n">
        <x:v>785</x:v>
      </x:c>
      <x:c r="G217" s="3" t="n">
        <x:v>856</x:v>
      </x:c>
      <x:c r="H217" s="3" t="n">
        <x:v>71</x:v>
      </x:c>
      <x:c r="I217" s="3" t="n">
        <x:v>0.0904</x:v>
      </x:c>
      <x:c r="J217" s="3" t="str">
        <x:v>Medium</x:v>
      </x:c>
      <x:c r="K217" s="3" t="n">
        <x:v>56.5</x:v>
      </x:c>
      <x:c r="L217" s="3" t="n">
        <x:v>55.9</x:v>
      </x:c>
      <x:c r="M217" s="3" t="n">
        <x:v>54.5</x:v>
      </x:c>
      <x:c r="N217" t="str">
        <x:v>Most Likely</x:v>
      </x:c>
      <x:c r="O217" t="str">
        <x:v>Most Likely</x:v>
      </x:c>
    </x:row>
    <x:row r="218">
      <x:c r="A218" s="3" t="str">
        <x:v>PJT_217</x:v>
      </x:c>
      <x:c r="B218" s="3" t="n">
        <x:v>88458260</x:v>
      </x:c>
      <x:c r="C218" s="3" t="n">
        <x:v>102999795</x:v>
      </x:c>
      <x:c r="D218" s="3" t="n">
        <x:v>14541535</x:v>
      </x:c>
      <x:c r="E218" s="3" t="n">
        <x:v>0.1644</x:v>
      </x:c>
      <x:c r="F218" s="3" t="n">
        <x:v>1411</x:v>
      </x:c>
      <x:c r="G218" s="3" t="n">
        <x:v>1559</x:v>
      </x:c>
      <x:c r="H218" s="3" t="n">
        <x:v>148</x:v>
      </x:c>
      <x:c r="I218" s="3" t="n">
        <x:v>0.1049</x:v>
      </x:c>
      <x:c r="J218" s="3" t="str">
        <x:v>High</x:v>
      </x:c>
      <x:c r="K218" s="3" t="n">
        <x:v>68.1</x:v>
      </x:c>
      <x:c r="L218" s="3" t="n">
        <x:v>74.6</x:v>
      </x:c>
      <x:c r="M218" s="3" t="n">
        <x:v>67.5</x:v>
      </x:c>
      <x:c r="N218" t="str">
        <x:v>Pessimistic</x:v>
      </x:c>
      <x:c r="O218" t="str">
        <x:v>Pessimistic</x:v>
      </x:c>
    </x:row>
    <x:row r="219">
      <x:c r="A219" s="3" t="str">
        <x:v>PJT_218</x:v>
      </x:c>
      <x:c r="B219" s="3" t="n">
        <x:v>37520120</x:v>
      </x:c>
      <x:c r="C219" s="3" t="n">
        <x:v>39545148</x:v>
      </x:c>
      <x:c r="D219" s="3" t="n">
        <x:v>2025028</x:v>
      </x:c>
      <x:c r="E219" s="3" t="n">
        <x:v>0.054</x:v>
      </x:c>
      <x:c r="F219" s="3" t="n">
        <x:v>602</x:v>
      </x:c>
      <x:c r="G219" s="3" t="n">
        <x:v>671</x:v>
      </x:c>
      <x:c r="H219" s="3" t="n">
        <x:v>69</x:v>
      </x:c>
      <x:c r="I219" s="3" t="n">
        <x:v>0.1146</x:v>
      </x:c>
      <x:c r="J219" s="3" t="str">
        <x:v>Medium</x:v>
      </x:c>
      <x:c r="K219" s="3" t="n">
        <x:v>51.9</x:v>
      </x:c>
      <x:c r="L219" s="3" t="n">
        <x:v>53.7</x:v>
      </x:c>
      <x:c r="M219" s="3" t="n">
        <x:v>51.8</x:v>
      </x:c>
      <x:c r="N219" t="str">
        <x:v>Most Likely</x:v>
      </x:c>
      <x:c r="O219" t="str">
        <x:v>Pessimistic</x:v>
      </x:c>
    </x:row>
    <x:row r="220">
      <x:c r="A220" s="3" t="str">
        <x:v>PJT_219</x:v>
      </x:c>
      <x:c r="B220" s="3" t="n">
        <x:v>28001130</x:v>
      </x:c>
      <x:c r="C220" s="3" t="n">
        <x:v>27908399</x:v>
      </x:c>
      <x:c r="D220" s="3" t="n">
        <x:v>-92731</x:v>
      </x:c>
      <x:c r="E220" s="3" t="n">
        <x:v>-0.0033</x:v>
      </x:c>
      <x:c r="F220" s="3" t="n">
        <x:v>534</x:v>
      </x:c>
      <x:c r="G220" s="3" t="n">
        <x:v>552</x:v>
      </x:c>
      <x:c r="H220" s="3" t="n">
        <x:v>18</x:v>
      </x:c>
      <x:c r="I220" s="3" t="n">
        <x:v>0.0337</x:v>
      </x:c>
      <x:c r="J220" s="3" t="str">
        <x:v>Medium</x:v>
      </x:c>
      <x:c r="K220" s="3" t="n">
        <x:v>52.4</x:v>
      </x:c>
      <x:c r="L220" s="3" t="n">
        <x:v>46.8</x:v>
      </x:c>
      <x:c r="M220" s="3" t="n">
        <x:v>53.4</x:v>
      </x:c>
      <x:c r="N220" t="str">
        <x:v>Optimistic</x:v>
      </x:c>
      <x:c r="O220" t="str">
        <x:v>Most Likely</x:v>
      </x:c>
    </x:row>
    <x:row r="221">
      <x:c r="A221" s="3" t="str">
        <x:v>PJT_220</x:v>
      </x:c>
      <x:c r="B221" s="3" t="n">
        <x:v>39224640</x:v>
      </x:c>
      <x:c r="C221" s="3" t="n">
        <x:v>42429473</x:v>
      </x:c>
      <x:c r="D221" s="3" t="n">
        <x:v>3204833</x:v>
      </x:c>
      <x:c r="E221" s="3" t="n">
        <x:v>0.0817</x:v>
      </x:c>
      <x:c r="F221" s="3" t="n">
        <x:v>631</x:v>
      </x:c>
      <x:c r="G221" s="3" t="n">
        <x:v>624</x:v>
      </x:c>
      <x:c r="H221" s="3" t="n">
        <x:v>-7</x:v>
      </x:c>
      <x:c r="I221" s="3" t="n">
        <x:v>-0.0111</x:v>
      </x:c>
      <x:c r="J221" s="3" t="str">
        <x:v>Low</x:v>
      </x:c>
      <x:c r="K221" s="3" t="n">
        <x:v>41.5</x:v>
      </x:c>
      <x:c r="L221" s="3" t="n">
        <x:v>43.4</x:v>
      </x:c>
      <x:c r="M221" s="3" t="n">
        <x:v>47.7</x:v>
      </x:c>
      <x:c r="N221" t="str">
        <x:v>Most Likely</x:v>
      </x:c>
      <x:c r="O221" t="str">
        <x:v>Optimistic</x:v>
      </x:c>
    </x:row>
    <x:row r="222">
      <x:c r="A222" s="3" t="str">
        <x:v>PJT_221</x:v>
      </x:c>
      <x:c r="B222" s="3" t="n">
        <x:v>32875800</x:v>
      </x:c>
      <x:c r="C222" s="3" t="n">
        <x:v>33514314</x:v>
      </x:c>
      <x:c r="D222" s="3" t="n">
        <x:v>638514</x:v>
      </x:c>
      <x:c r="E222" s="3" t="n">
        <x:v>0.0194</x:v>
      </x:c>
      <x:c r="F222" s="3" t="n">
        <x:v>831</x:v>
      </x:c>
      <x:c r="G222" s="3" t="n">
        <x:v>909</x:v>
      </x:c>
      <x:c r="H222" s="3" t="n">
        <x:v>78</x:v>
      </x:c>
      <x:c r="I222" s="3" t="n">
        <x:v>0.0939</x:v>
      </x:c>
      <x:c r="J222" s="3" t="str">
        <x:v>Medium</x:v>
      </x:c>
      <x:c r="K222" s="3" t="n">
        <x:v>45.7</x:v>
      </x:c>
      <x:c r="L222" s="3" t="n">
        <x:v>47.1</x:v>
      </x:c>
      <x:c r="M222" s="3" t="n">
        <x:v>48.8</x:v>
      </x:c>
      <x:c r="N222" t="str">
        <x:v>Most Likely</x:v>
      </x:c>
      <x:c r="O222" t="str">
        <x:v>Most Likely</x:v>
      </x:c>
    </x:row>
    <x:row r="223">
      <x:c r="A223" s="3" t="str">
        <x:v>PJT_222</x:v>
      </x:c>
      <x:c r="B223" s="3" t="n">
        <x:v>33421480</x:v>
      </x:c>
      <x:c r="C223" s="3" t="n">
        <x:v>36741424</x:v>
      </x:c>
      <x:c r="D223" s="3" t="n">
        <x:v>3319944</x:v>
      </x:c>
      <x:c r="E223" s="3" t="n">
        <x:v>0.0993</x:v>
      </x:c>
      <x:c r="F223" s="3" t="n">
        <x:v>744</x:v>
      </x:c>
      <x:c r="G223" s="3" t="n">
        <x:v>744</x:v>
      </x:c>
      <x:c r="H223" s="3" t="n">
        <x:v>0</x:v>
      </x:c>
      <x:c r="I223" s="3" t="n">
        <x:v>0</x:v>
      </x:c>
      <x:c r="J223" s="3" t="str">
        <x:v>Medium</x:v>
      </x:c>
      <x:c r="K223" s="3" t="n">
        <x:v>48.6</x:v>
      </x:c>
      <x:c r="L223" s="3" t="n">
        <x:v>54.7</x:v>
      </x:c>
      <x:c r="M223" s="3" t="n">
        <x:v>50.7</x:v>
      </x:c>
      <x:c r="N223" t="str">
        <x:v>Most Likely</x:v>
      </x:c>
      <x:c r="O223" t="str">
        <x:v>Optimistic</x:v>
      </x:c>
    </x:row>
    <x:row r="224">
      <x:c r="A224" s="3" t="str">
        <x:v>PJT_223</x:v>
      </x:c>
      <x:c r="B224" s="3" t="n">
        <x:v>28601430</x:v>
      </x:c>
      <x:c r="C224" s="3" t="n">
        <x:v>30854412</x:v>
      </x:c>
      <x:c r="D224" s="3" t="n">
        <x:v>2252982</x:v>
      </x:c>
      <x:c r="E224" s="3" t="n">
        <x:v>0.0788</x:v>
      </x:c>
      <x:c r="F224" s="3" t="n">
        <x:v>485</x:v>
      </x:c>
      <x:c r="G224" s="3" t="n">
        <x:v>518</x:v>
      </x:c>
      <x:c r="H224" s="3" t="n">
        <x:v>33</x:v>
      </x:c>
      <x:c r="I224" s="3" t="n">
        <x:v>0.068</x:v>
      </x:c>
      <x:c r="J224" s="3" t="str">
        <x:v>Medium</x:v>
      </x:c>
      <x:c r="K224" s="3" t="n">
        <x:v>48.7</x:v>
      </x:c>
      <x:c r="L224" s="3" t="n">
        <x:v>49.1</x:v>
      </x:c>
      <x:c r="M224" s="3" t="n">
        <x:v>45.2</x:v>
      </x:c>
      <x:c r="N224" t="str">
        <x:v>Most Likely</x:v>
      </x:c>
      <x:c r="O224" t="str">
        <x:v>Most Likely</x:v>
      </x:c>
    </x:row>
    <x:row r="225">
      <x:c r="A225" s="3" t="str">
        <x:v>PJT_224</x:v>
      </x:c>
      <x:c r="B225" s="3" t="n">
        <x:v>36072320</x:v>
      </x:c>
      <x:c r="C225" s="3" t="n">
        <x:v>38736649</x:v>
      </x:c>
      <x:c r="D225" s="3" t="n">
        <x:v>2664329</x:v>
      </x:c>
      <x:c r="E225" s="3" t="n">
        <x:v>0.0739</x:v>
      </x:c>
      <x:c r="F225" s="3" t="n">
        <x:v>751</x:v>
      </x:c>
      <x:c r="G225" s="3" t="n">
        <x:v>839</x:v>
      </x:c>
      <x:c r="H225" s="3" t="n">
        <x:v>88</x:v>
      </x:c>
      <x:c r="I225" s="3" t="n">
        <x:v>0.1172</x:v>
      </x:c>
      <x:c r="J225" s="3" t="str">
        <x:v>Medium</x:v>
      </x:c>
      <x:c r="K225" s="3" t="n">
        <x:v>56.5</x:v>
      </x:c>
      <x:c r="L225" s="3" t="n">
        <x:v>52.6</x:v>
      </x:c>
      <x:c r="M225" s="3" t="n">
        <x:v>57.5</x:v>
      </x:c>
      <x:c r="N225" t="str">
        <x:v>Most Likely</x:v>
      </x:c>
      <x:c r="O225" t="str">
        <x:v>Pessimistic</x:v>
      </x:c>
    </x:row>
    <x:row r="226">
      <x:c r="A226" s="3" t="str">
        <x:v>PJT_225</x:v>
      </x:c>
      <x:c r="B226" s="3" t="n">
        <x:v>47531610</x:v>
      </x:c>
      <x:c r="C226" s="3" t="n">
        <x:v>48333433</x:v>
      </x:c>
      <x:c r="D226" s="3" t="n">
        <x:v>801823</x:v>
      </x:c>
      <x:c r="E226" s="3" t="n">
        <x:v>0.0169</x:v>
      </x:c>
      <x:c r="F226" s="3" t="n">
        <x:v>910</x:v>
      </x:c>
      <x:c r="G226" s="3" t="n">
        <x:v>910</x:v>
      </x:c>
      <x:c r="H226" s="3" t="n">
        <x:v>0</x:v>
      </x:c>
      <x:c r="I226" s="3" t="n">
        <x:v>0</x:v>
      </x:c>
      <x:c r="J226" s="3" t="str">
        <x:v>Medium</x:v>
      </x:c>
      <x:c r="K226" s="3" t="n">
        <x:v>45.8</x:v>
      </x:c>
      <x:c r="L226" s="3" t="n">
        <x:v>43.5</x:v>
      </x:c>
      <x:c r="M226" s="3" t="n">
        <x:v>45.2</x:v>
      </x:c>
      <x:c r="N226" t="str">
        <x:v>Most Likely</x:v>
      </x:c>
      <x:c r="O226" t="str">
        <x:v>Optimistic</x:v>
      </x:c>
    </x:row>
    <x:row r="227">
      <x:c r="A227" s="3" t="str">
        <x:v>PJT_226</x:v>
      </x:c>
      <x:c r="B227" s="3" t="n">
        <x:v>63544800</x:v>
      </x:c>
      <x:c r="C227" s="3" t="n">
        <x:v>67464548</x:v>
      </x:c>
      <x:c r="D227" s="3" t="n">
        <x:v>3919748</x:v>
      </x:c>
      <x:c r="E227" s="3" t="n">
        <x:v>0.0617</x:v>
      </x:c>
      <x:c r="F227" s="3" t="n">
        <x:v>1225</x:v>
      </x:c>
      <x:c r="G227" s="3" t="n">
        <x:v>1376</x:v>
      </x:c>
      <x:c r="H227" s="3" t="n">
        <x:v>151</x:v>
      </x:c>
      <x:c r="I227" s="3" t="n">
        <x:v>0.1233</x:v>
      </x:c>
      <x:c r="J227" s="3" t="str">
        <x:v>Medium</x:v>
      </x:c>
      <x:c r="K227" s="3" t="n">
        <x:v>53.8</x:v>
      </x:c>
      <x:c r="L227" s="3" t="n">
        <x:v>58.5</x:v>
      </x:c>
      <x:c r="M227" s="3" t="n">
        <x:v>55.8</x:v>
      </x:c>
      <x:c r="N227" t="str">
        <x:v>Most Likely</x:v>
      </x:c>
      <x:c r="O227" t="str">
        <x:v>Pessimistic</x:v>
      </x:c>
    </x:row>
    <x:row r="228">
      <x:c r="A228" s="3" t="str">
        <x:v>PJT_227</x:v>
      </x:c>
      <x:c r="B228" s="3" t="n">
        <x:v>68578830</x:v>
      </x:c>
      <x:c r="C228" s="3" t="n">
        <x:v>68634587</x:v>
      </x:c>
      <x:c r="D228" s="3" t="n">
        <x:v>55757</x:v>
      </x:c>
      <x:c r="E228" s="3" t="n">
        <x:v>0.0008</x:v>
      </x:c>
      <x:c r="F228" s="3" t="n">
        <x:v>1100</x:v>
      </x:c>
      <x:c r="G228" s="3" t="n">
        <x:v>1152</x:v>
      </x:c>
      <x:c r="H228" s="3" t="n">
        <x:v>52</x:v>
      </x:c>
      <x:c r="I228" s="3" t="n">
        <x:v>0.0473</x:v>
      </x:c>
      <x:c r="J228" s="3" t="str">
        <x:v>Medium</x:v>
      </x:c>
      <x:c r="K228" s="3" t="n">
        <x:v>58.6</x:v>
      </x:c>
      <x:c r="L228" s="3" t="n">
        <x:v>63.5</x:v>
      </x:c>
      <x:c r="M228" s="3" t="n">
        <x:v>55.8</x:v>
      </x:c>
      <x:c r="N228" t="str">
        <x:v>Most Likely</x:v>
      </x:c>
      <x:c r="O228" t="str">
        <x:v>Most Likely</x:v>
      </x:c>
    </x:row>
    <x:row r="229">
      <x:c r="A229" s="3" t="str">
        <x:v>PJT_228</x:v>
      </x:c>
      <x:c r="B229" s="3" t="n">
        <x:v>64010100</x:v>
      </x:c>
      <x:c r="C229" s="3" t="n">
        <x:v>69826205</x:v>
      </x:c>
      <x:c r="D229" s="3" t="n">
        <x:v>5816105</x:v>
      </x:c>
      <x:c r="E229" s="3" t="n">
        <x:v>0.0909</x:v>
      </x:c>
      <x:c r="F229" s="3" t="n">
        <x:v>1206</x:v>
      </x:c>
      <x:c r="G229" s="3" t="n">
        <x:v>1288</x:v>
      </x:c>
      <x:c r="H229" s="3" t="n">
        <x:v>82</x:v>
      </x:c>
      <x:c r="I229" s="3" t="n">
        <x:v>0.068</x:v>
      </x:c>
      <x:c r="J229" s="3" t="str">
        <x:v>Medium</x:v>
      </x:c>
      <x:c r="K229" s="3" t="n">
        <x:v>54.4</x:v>
      </x:c>
      <x:c r="L229" s="3" t="n">
        <x:v>58.4</x:v>
      </x:c>
      <x:c r="M229" s="3" t="n">
        <x:v>51</x:v>
      </x:c>
      <x:c r="N229" t="str">
        <x:v>Most Likely</x:v>
      </x:c>
      <x:c r="O229" t="str">
        <x:v>Most Likely</x:v>
      </x:c>
    </x:row>
    <x:row r="230">
      <x:c r="A230" s="3" t="str">
        <x:v>PJT_229</x:v>
      </x:c>
      <x:c r="B230" s="3" t="n">
        <x:v>20725760</x:v>
      </x:c>
      <x:c r="C230" s="3" t="n">
        <x:v>19339849</x:v>
      </x:c>
      <x:c r="D230" s="3" t="n">
        <x:v>-1385911</x:v>
      </x:c>
      <x:c r="E230" s="3" t="n">
        <x:v>-0.0669</x:v>
      </x:c>
      <x:c r="F230" s="3" t="n">
        <x:v>482</x:v>
      </x:c>
      <x:c r="G230" s="3" t="n">
        <x:v>467</x:v>
      </x:c>
      <x:c r="H230" s="3" t="n">
        <x:v>-15</x:v>
      </x:c>
      <x:c r="I230" s="3" t="n">
        <x:v>-0.0311</x:v>
      </x:c>
      <x:c r="J230" s="3" t="str">
        <x:v>Low</x:v>
      </x:c>
      <x:c r="K230" s="3" t="n">
        <x:v>34.6</x:v>
      </x:c>
      <x:c r="L230" s="3" t="n">
        <x:v>35.6</x:v>
      </x:c>
      <x:c r="M230" s="3" t="n">
        <x:v>33.7</x:v>
      </x:c>
      <x:c r="N230" t="str">
        <x:v>Optimistic</x:v>
      </x:c>
      <x:c r="O230" t="str">
        <x:v>Optimistic</x:v>
      </x:c>
    </x:row>
    <x:row r="231">
      <x:c r="A231" s="3" t="str">
        <x:v>PJT_230</x:v>
      </x:c>
      <x:c r="B231" s="3" t="n">
        <x:v>54887200</x:v>
      </x:c>
      <x:c r="C231" s="3" t="n">
        <x:v>57657584</x:v>
      </x:c>
      <x:c r="D231" s="3" t="n">
        <x:v>2770384</x:v>
      </x:c>
      <x:c r="E231" s="3" t="n">
        <x:v>0.0505</x:v>
      </x:c>
      <x:c r="F231" s="3" t="n">
        <x:v>1018</x:v>
      </x:c>
      <x:c r="G231" s="3" t="n">
        <x:v>1056</x:v>
      </x:c>
      <x:c r="H231" s="3" t="n">
        <x:v>38</x:v>
      </x:c>
      <x:c r="I231" s="3" t="n">
        <x:v>0.0373</x:v>
      </x:c>
      <x:c r="J231" s="3" t="str">
        <x:v>Low</x:v>
      </x:c>
      <x:c r="K231" s="3" t="n">
        <x:v>42.9</x:v>
      </x:c>
      <x:c r="L231" s="3" t="n">
        <x:v>44.7</x:v>
      </x:c>
      <x:c r="M231" s="3" t="n">
        <x:v>41.6</x:v>
      </x:c>
      <x:c r="N231" t="str">
        <x:v>Most Likely</x:v>
      </x:c>
      <x:c r="O231" t="str">
        <x:v>Most Likely</x:v>
      </x:c>
    </x:row>
    <x:row r="232">
      <x:c r="A232" s="3" t="str">
        <x:v>PJT_231</x:v>
      </x:c>
      <x:c r="B232" s="3" t="n">
        <x:v>41950950</x:v>
      </x:c>
      <x:c r="C232" s="3" t="n">
        <x:v>45102804</x:v>
      </x:c>
      <x:c r="D232" s="3" t="n">
        <x:v>3151854</x:v>
      </x:c>
      <x:c r="E232" s="3" t="n">
        <x:v>0.0751</x:v>
      </x:c>
      <x:c r="F232" s="3" t="n">
        <x:v>822</x:v>
      </x:c>
      <x:c r="G232" s="3" t="n">
        <x:v>880</x:v>
      </x:c>
      <x:c r="H232" s="3" t="n">
        <x:v>58</x:v>
      </x:c>
      <x:c r="I232" s="3" t="n">
        <x:v>0.0706</x:v>
      </x:c>
      <x:c r="J232" s="3" t="str">
        <x:v>Medium</x:v>
      </x:c>
      <x:c r="K232" s="3" t="n">
        <x:v>51.6</x:v>
      </x:c>
      <x:c r="L232" s="3" t="n">
        <x:v>49.3</x:v>
      </x:c>
      <x:c r="M232" s="3" t="n">
        <x:v>50.6</x:v>
      </x:c>
      <x:c r="N232" t="str">
        <x:v>Most Likely</x:v>
      </x:c>
      <x:c r="O232" t="str">
        <x:v>Most Likely</x:v>
      </x:c>
    </x:row>
    <x:row r="233">
      <x:c r="A233" s="3" t="str">
        <x:v>PJT_232</x:v>
      </x:c>
      <x:c r="B233" s="3" t="n">
        <x:v>55960320</x:v>
      </x:c>
      <x:c r="C233" s="3" t="n">
        <x:v>57041111</x:v>
      </x:c>
      <x:c r="D233" s="3" t="n">
        <x:v>1080791</x:v>
      </x:c>
      <x:c r="E233" s="3" t="n">
        <x:v>0.0193</x:v>
      </x:c>
      <x:c r="F233" s="3" t="n">
        <x:v>874</x:v>
      </x:c>
      <x:c r="G233" s="3" t="n">
        <x:v>894</x:v>
      </x:c>
      <x:c r="H233" s="3" t="n">
        <x:v>20</x:v>
      </x:c>
      <x:c r="I233" s="3" t="n">
        <x:v>0.0229</x:v>
      </x:c>
      <x:c r="J233" s="3" t="str">
        <x:v>Medium</x:v>
      </x:c>
      <x:c r="K233" s="3" t="n">
        <x:v>46.3</x:v>
      </x:c>
      <x:c r="L233" s="3" t="n">
        <x:v>45</x:v>
      </x:c>
      <x:c r="M233" s="3" t="n">
        <x:v>49.1</x:v>
      </x:c>
      <x:c r="N233" t="str">
        <x:v>Most Likely</x:v>
      </x:c>
      <x:c r="O233" t="str">
        <x:v>Most Likely</x:v>
      </x:c>
    </x:row>
    <x:row r="234">
      <x:c r="A234" s="3" t="str">
        <x:v>PJT_233</x:v>
      </x:c>
      <x:c r="B234" s="3" t="n">
        <x:v>33004620</x:v>
      </x:c>
      <x:c r="C234" s="3" t="n">
        <x:v>34625224</x:v>
      </x:c>
      <x:c r="D234" s="3" t="n">
        <x:v>1620604</x:v>
      </x:c>
      <x:c r="E234" s="3" t="n">
        <x:v>0.0491</x:v>
      </x:c>
      <x:c r="F234" s="3" t="n">
        <x:v>582</x:v>
      </x:c>
      <x:c r="G234" s="3" t="n">
        <x:v>599</x:v>
      </x:c>
      <x:c r="H234" s="3" t="n">
        <x:v>17</x:v>
      </x:c>
      <x:c r="I234" s="3" t="n">
        <x:v>0.0292</x:v>
      </x:c>
      <x:c r="J234" s="3" t="str">
        <x:v>Medium</x:v>
      </x:c>
      <x:c r="K234" s="3" t="n">
        <x:v>51.2</x:v>
      </x:c>
      <x:c r="L234" s="3" t="n">
        <x:v>52.7</x:v>
      </x:c>
      <x:c r="M234" s="3" t="n">
        <x:v>48.3</x:v>
      </x:c>
      <x:c r="N234" t="str">
        <x:v>Most Likely</x:v>
      </x:c>
      <x:c r="O234" t="str">
        <x:v>Most Likely</x:v>
      </x:c>
    </x:row>
    <x:row r="235">
      <x:c r="A235" s="3" t="str">
        <x:v>PJT_234</x:v>
      </x:c>
      <x:c r="B235" s="3" t="n">
        <x:v>23743200</x:v>
      </x:c>
      <x:c r="C235" s="3" t="n">
        <x:v>24894533</x:v>
      </x:c>
      <x:c r="D235" s="3" t="n">
        <x:v>1151333</x:v>
      </x:c>
      <x:c r="E235" s="3" t="n">
        <x:v>0.0485</x:v>
      </x:c>
      <x:c r="F235" s="3" t="n">
        <x:v>401</x:v>
      </x:c>
      <x:c r="G235" s="3" t="n">
        <x:v>433</x:v>
      </x:c>
      <x:c r="H235" s="3" t="n">
        <x:v>32</x:v>
      </x:c>
      <x:c r="I235" s="3" t="n">
        <x:v>0.0798</x:v>
      </x:c>
      <x:c r="J235" s="3" t="str">
        <x:v>Medium</x:v>
      </x:c>
      <x:c r="K235" s="3" t="n">
        <x:v>52.4</x:v>
      </x:c>
      <x:c r="L235" s="3" t="n">
        <x:v>49.3</x:v>
      </x:c>
      <x:c r="M235" s="3" t="n">
        <x:v>48.1</x:v>
      </x:c>
      <x:c r="N235" t="str">
        <x:v>Most Likely</x:v>
      </x:c>
      <x:c r="O235" t="str">
        <x:v>Most Likely</x:v>
      </x:c>
    </x:row>
    <x:row r="236">
      <x:c r="A236" s="3" t="str">
        <x:v>PJT_235</x:v>
      </x:c>
      <x:c r="B236" s="3" t="n">
        <x:v>42951270</x:v>
      </x:c>
      <x:c r="C236" s="3" t="n">
        <x:v>47494406</x:v>
      </x:c>
      <x:c r="D236" s="3" t="n">
        <x:v>4543136</x:v>
      </x:c>
      <x:c r="E236" s="3" t="n">
        <x:v>0.1058</x:v>
      </x:c>
      <x:c r="F236" s="3" t="n">
        <x:v>797</x:v>
      </x:c>
      <x:c r="G236" s="3" t="n">
        <x:v>842</x:v>
      </x:c>
      <x:c r="H236" s="3" t="n">
        <x:v>45</x:v>
      </x:c>
      <x:c r="I236" s="3" t="n">
        <x:v>0.0565</x:v>
      </x:c>
      <x:c r="J236" s="3" t="str">
        <x:v>Medium</x:v>
      </x:c>
      <x:c r="K236" s="3" t="n">
        <x:v>50.2</x:v>
      </x:c>
      <x:c r="L236" s="3" t="n">
        <x:v>55</x:v>
      </x:c>
      <x:c r="M236" s="3" t="n">
        <x:v>47.5</x:v>
      </x:c>
      <x:c r="N236" t="str">
        <x:v>Pessimistic</x:v>
      </x:c>
      <x:c r="O236" t="str">
        <x:v>Most Likely</x:v>
      </x:c>
    </x:row>
    <x:row r="237">
      <x:c r="A237" s="3" t="str">
        <x:v>PJT_236</x:v>
      </x:c>
      <x:c r="B237" s="3" t="n">
        <x:v>11656260</x:v>
      </x:c>
      <x:c r="C237" s="3" t="n">
        <x:v>11768156</x:v>
      </x:c>
      <x:c r="D237" s="3" t="n">
        <x:v>111896</x:v>
      </x:c>
      <x:c r="E237" s="3" t="n">
        <x:v>0.0096</x:v>
      </x:c>
      <x:c r="F237" s="3" t="n">
        <x:v>205</x:v>
      </x:c>
      <x:c r="G237" s="3" t="n">
        <x:v>211</x:v>
      </x:c>
      <x:c r="H237" s="3" t="n">
        <x:v>6</x:v>
      </x:c>
      <x:c r="I237" s="3" t="n">
        <x:v>0.0293</x:v>
      </x:c>
      <x:c r="J237" s="3" t="str">
        <x:v>Low</x:v>
      </x:c>
      <x:c r="K237" s="3" t="n">
        <x:v>41</x:v>
      </x:c>
      <x:c r="L237" s="3" t="n">
        <x:v>46.5</x:v>
      </x:c>
      <x:c r="M237" s="3" t="n">
        <x:v>41.9</x:v>
      </x:c>
      <x:c r="N237" t="str">
        <x:v>Most Likely</x:v>
      </x:c>
      <x:c r="O237" t="str">
        <x:v>Most Likely</x:v>
      </x:c>
    </x:row>
    <x:row r="238">
      <x:c r="A238" s="3" t="str">
        <x:v>PJT_237</x:v>
      </x:c>
      <x:c r="B238" s="3" t="n">
        <x:v>30539520</x:v>
      </x:c>
      <x:c r="C238" s="3" t="n">
        <x:v>30117735</x:v>
      </x:c>
      <x:c r="D238" s="3" t="n">
        <x:v>-421785</x:v>
      </x:c>
      <x:c r="E238" s="3" t="n">
        <x:v>-0.0138</x:v>
      </x:c>
      <x:c r="F238" s="3" t="n">
        <x:v>613</x:v>
      </x:c>
      <x:c r="G238" s="3" t="n">
        <x:v>653</x:v>
      </x:c>
      <x:c r="H238" s="3" t="n">
        <x:v>40</x:v>
      </x:c>
      <x:c r="I238" s="3" t="n">
        <x:v>0.0653</x:v>
      </x:c>
      <x:c r="J238" s="3" t="str">
        <x:v>Low</x:v>
      </x:c>
      <x:c r="K238" s="3" t="n">
        <x:v>38.3</x:v>
      </x:c>
      <x:c r="L238" s="3" t="n">
        <x:v>37.6</x:v>
      </x:c>
      <x:c r="M238" s="3" t="n">
        <x:v>41.5</x:v>
      </x:c>
      <x:c r="N238" t="str">
        <x:v>Optimistic</x:v>
      </x:c>
      <x:c r="O238" t="str">
        <x:v>Most Likely</x:v>
      </x:c>
    </x:row>
    <x:row r="239">
      <x:c r="A239" s="3" t="str">
        <x:v>PJT_238</x:v>
      </x:c>
      <x:c r="B239" s="3" t="n">
        <x:v>61350660</x:v>
      </x:c>
      <x:c r="C239" s="3" t="n">
        <x:v>65111556</x:v>
      </x:c>
      <x:c r="D239" s="3" t="n">
        <x:v>3760896</x:v>
      </x:c>
      <x:c r="E239" s="3" t="n">
        <x:v>0.0613</x:v>
      </x:c>
      <x:c r="F239" s="3" t="n">
        <x:v>994</x:v>
      </x:c>
      <x:c r="G239" s="3" t="n">
        <x:v>1060</x:v>
      </x:c>
      <x:c r="H239" s="3" t="n">
        <x:v>66</x:v>
      </x:c>
      <x:c r="I239" s="3" t="n">
        <x:v>0.0664</x:v>
      </x:c>
      <x:c r="J239" s="3" t="str">
        <x:v>Medium</x:v>
      </x:c>
      <x:c r="K239" s="3" t="n">
        <x:v>54.3</x:v>
      </x:c>
      <x:c r="L239" s="3" t="n">
        <x:v>54.5</x:v>
      </x:c>
      <x:c r="M239" s="3" t="n">
        <x:v>57.8</x:v>
      </x:c>
      <x:c r="N239" t="str">
        <x:v>Most Likely</x:v>
      </x:c>
      <x:c r="O239" t="str">
        <x:v>Most Likely</x:v>
      </x:c>
    </x:row>
    <x:row r="240">
      <x:c r="A240" s="3" t="str">
        <x:v>PJT_239</x:v>
      </x:c>
      <x:c r="B240" s="3" t="n">
        <x:v>59393490</x:v>
      </x:c>
      <x:c r="C240" s="3" t="n">
        <x:v>62249720</x:v>
      </x:c>
      <x:c r="D240" s="3" t="n">
        <x:v>2856230</x:v>
      </x:c>
      <x:c r="E240" s="3" t="n">
        <x:v>0.0481</x:v>
      </x:c>
      <x:c r="F240" s="3" t="n">
        <x:v>1237</x:v>
      </x:c>
      <x:c r="G240" s="3" t="n">
        <x:v>1419</x:v>
      </x:c>
      <x:c r="H240" s="3" t="n">
        <x:v>182</x:v>
      </x:c>
      <x:c r="I240" s="3" t="n">
        <x:v>0.1471</x:v>
      </x:c>
      <x:c r="J240" s="3" t="str">
        <x:v>Medium</x:v>
      </x:c>
      <x:c r="K240" s="3" t="n">
        <x:v>63.2</x:v>
      </x:c>
      <x:c r="L240" s="3" t="n">
        <x:v>62.5</x:v>
      </x:c>
      <x:c r="M240" s="3" t="n">
        <x:v>60.2</x:v>
      </x:c>
      <x:c r="N240" t="str">
        <x:v>Most Likely</x:v>
      </x:c>
      <x:c r="O240" t="str">
        <x:v>Pessimistic</x:v>
      </x:c>
    </x:row>
    <x:row r="241">
      <x:c r="A241" s="3" t="str">
        <x:v>PJT_240</x:v>
      </x:c>
      <x:c r="B241" s="3" t="n">
        <x:v>21706060</x:v>
      </x:c>
      <x:c r="C241" s="3" t="n">
        <x:v>21402296</x:v>
      </x:c>
      <x:c r="D241" s="3" t="n">
        <x:v>-303764</x:v>
      </x:c>
      <x:c r="E241" s="3" t="n">
        <x:v>-0.014</x:v>
      </x:c>
      <x:c r="F241" s="3" t="n">
        <x:v>365</x:v>
      </x:c>
      <x:c r="G241" s="3" t="n">
        <x:v>362</x:v>
      </x:c>
      <x:c r="H241" s="3" t="n">
        <x:v>-3</x:v>
      </x:c>
      <x:c r="I241" s="3" t="n">
        <x:v>-0.0082</x:v>
      </x:c>
      <x:c r="J241" s="3" t="str">
        <x:v>Low</x:v>
      </x:c>
      <x:c r="K241" s="3" t="n">
        <x:v>37.8</x:v>
      </x:c>
      <x:c r="L241" s="3" t="n">
        <x:v>36.1</x:v>
      </x:c>
      <x:c r="M241" s="3" t="n">
        <x:v>39.8</x:v>
      </x:c>
      <x:c r="N241" t="str">
        <x:v>Optimistic</x:v>
      </x:c>
      <x:c r="O241" t="str">
        <x:v>Optimistic</x:v>
      </x:c>
    </x:row>
    <x:row r="242">
      <x:c r="A242" s="3" t="str">
        <x:v>PJT_241</x:v>
      </x:c>
      <x:c r="B242" s="3" t="n">
        <x:v>8316300</x:v>
      </x:c>
      <x:c r="C242" s="3" t="n">
        <x:v>7977196</x:v>
      </x:c>
      <x:c r="D242" s="3" t="n">
        <x:v>-339104</x:v>
      </x:c>
      <x:c r="E242" s="3" t="n">
        <x:v>-0.0408</x:v>
      </x:c>
      <x:c r="F242" s="3" t="n">
        <x:v>185</x:v>
      </x:c>
      <x:c r="G242" s="3" t="n">
        <x:v>196</x:v>
      </x:c>
      <x:c r="H242" s="3" t="n">
        <x:v>11</x:v>
      </x:c>
      <x:c r="I242" s="3" t="n">
        <x:v>0.0595</x:v>
      </x:c>
      <x:c r="J242" s="3" t="str">
        <x:v>Low</x:v>
      </x:c>
      <x:c r="K242" s="3" t="n">
        <x:v>40.2</x:v>
      </x:c>
      <x:c r="L242" s="3" t="n">
        <x:v>33.8</x:v>
      </x:c>
      <x:c r="M242" s="3" t="n">
        <x:v>39.3</x:v>
      </x:c>
      <x:c r="N242" t="str">
        <x:v>Optimistic</x:v>
      </x:c>
      <x:c r="O242" t="str">
        <x:v>Most Likely</x:v>
      </x:c>
    </x:row>
    <x:row r="243">
      <x:c r="A243" s="3" t="str">
        <x:v>PJT_242</x:v>
      </x:c>
      <x:c r="B243" s="3" t="n">
        <x:v>6043040</x:v>
      </x:c>
      <x:c r="C243" s="3" t="n">
        <x:v>6327827</x:v>
      </x:c>
      <x:c r="D243" s="3" t="n">
        <x:v>284787</x:v>
      </x:c>
      <x:c r="E243" s="3" t="n">
        <x:v>0.0471</x:v>
      </x:c>
      <x:c r="F243" s="3" t="n">
        <x:v>180</x:v>
      </x:c>
      <x:c r="G243" s="3" t="n">
        <x:v>172</x:v>
      </x:c>
      <x:c r="H243" s="3" t="n">
        <x:v>-8</x:v>
      </x:c>
      <x:c r="I243" s="3" t="n">
        <x:v>-0.0444</x:v>
      </x:c>
      <x:c r="J243" s="3" t="str">
        <x:v>Low</x:v>
      </x:c>
      <x:c r="K243" s="3" t="n">
        <x:v>40.4</x:v>
      </x:c>
      <x:c r="L243" s="3" t="n">
        <x:v>38.6</x:v>
      </x:c>
      <x:c r="M243" s="3" t="n">
        <x:v>36.6</x:v>
      </x:c>
      <x:c r="N243" t="str">
        <x:v>Most Likely</x:v>
      </x:c>
      <x:c r="O243" t="str">
        <x:v>Optimistic</x:v>
      </x:c>
    </x:row>
    <x:row r="244">
      <x:c r="A244" s="3" t="str">
        <x:v>PJT_243</x:v>
      </x:c>
      <x:c r="B244" s="3" t="n">
        <x:v>19208850</x:v>
      </x:c>
      <x:c r="C244" s="3" t="n">
        <x:v>19526727</x:v>
      </x:c>
      <x:c r="D244" s="3" t="n">
        <x:v>317877</x:v>
      </x:c>
      <x:c r="E244" s="3" t="n">
        <x:v>0.0165</x:v>
      </x:c>
      <x:c r="F244" s="3" t="n">
        <x:v>485</x:v>
      </x:c>
      <x:c r="G244" s="3" t="n">
        <x:v>491</x:v>
      </x:c>
      <x:c r="H244" s="3" t="n">
        <x:v>6</x:v>
      </x:c>
      <x:c r="I244" s="3" t="n">
        <x:v>0.0124</x:v>
      </x:c>
      <x:c r="J244" s="3" t="str">
        <x:v>Medium</x:v>
      </x:c>
      <x:c r="K244" s="3" t="n">
        <x:v>51.5</x:v>
      </x:c>
      <x:c r="L244" s="3" t="n">
        <x:v>48.8</x:v>
      </x:c>
      <x:c r="M244" s="3" t="n">
        <x:v>52</x:v>
      </x:c>
      <x:c r="N244" t="str">
        <x:v>Most Likely</x:v>
      </x:c>
      <x:c r="O244" t="str">
        <x:v>Most Likely</x:v>
      </x:c>
    </x:row>
    <x:row r="245">
      <x:c r="A245" s="3" t="str">
        <x:v>PJT_244</x:v>
      </x:c>
      <x:c r="B245" s="3" t="n">
        <x:v>7235430</x:v>
      </x:c>
      <x:c r="C245" s="3" t="n">
        <x:v>7351766</x:v>
      </x:c>
      <x:c r="D245" s="3" t="n">
        <x:v>116336</x:v>
      </x:c>
      <x:c r="E245" s="3" t="n">
        <x:v>0.0161</x:v>
      </x:c>
      <x:c r="F245" s="3" t="n">
        <x:v>184</x:v>
      </x:c>
      <x:c r="G245" s="3" t="n">
        <x:v>174</x:v>
      </x:c>
      <x:c r="H245" s="3" t="n">
        <x:v>-10</x:v>
      </x:c>
      <x:c r="I245" s="3" t="n">
        <x:v>-0.0543</x:v>
      </x:c>
      <x:c r="J245" s="3" t="str">
        <x:v>Low</x:v>
      </x:c>
      <x:c r="K245" s="3" t="n">
        <x:v>31.4</x:v>
      </x:c>
      <x:c r="L245" s="3" t="n">
        <x:v>32</x:v>
      </x:c>
      <x:c r="M245" s="3" t="n">
        <x:v>35.6</x:v>
      </x:c>
      <x:c r="N245" t="str">
        <x:v>Most Likely</x:v>
      </x:c>
      <x:c r="O245" t="str">
        <x:v>Optimistic</x:v>
      </x:c>
    </x:row>
    <x:row r="246">
      <x:c r="A246" s="3" t="str">
        <x:v>PJT_245</x:v>
      </x:c>
      <x:c r="B246" s="3" t="n">
        <x:v>38492160</x:v>
      </x:c>
      <x:c r="C246" s="3" t="n">
        <x:v>40075047</x:v>
      </x:c>
      <x:c r="D246" s="3" t="n">
        <x:v>1582887</x:v>
      </x:c>
      <x:c r="E246" s="3" t="n">
        <x:v>0.0411</x:v>
      </x:c>
      <x:c r="F246" s="3" t="n">
        <x:v>697</x:v>
      </x:c>
      <x:c r="G246" s="3" t="n">
        <x:v>717</x:v>
      </x:c>
      <x:c r="H246" s="3" t="n">
        <x:v>20</x:v>
      </x:c>
      <x:c r="I246" s="3" t="n">
        <x:v>0.0287</x:v>
      </x:c>
      <x:c r="J246" s="3" t="str">
        <x:v>Medium</x:v>
      </x:c>
      <x:c r="K246" s="3" t="n">
        <x:v>58.6</x:v>
      </x:c>
      <x:c r="L246" s="3" t="n">
        <x:v>60.1</x:v>
      </x:c>
      <x:c r="M246" s="3" t="n">
        <x:v>48.9</x:v>
      </x:c>
      <x:c r="N246" t="str">
        <x:v>Most Likely</x:v>
      </x:c>
      <x:c r="O246" t="str">
        <x:v>Most Likely</x:v>
      </x:c>
    </x:row>
    <x:row r="247">
      <x:c r="A247" s="3" t="str">
        <x:v>PJT_246</x:v>
      </x:c>
      <x:c r="B247" s="3" t="n">
        <x:v>108739200</x:v>
      </x:c>
      <x:c r="C247" s="3" t="n">
        <x:v>115364270</x:v>
      </x:c>
      <x:c r="D247" s="3" t="n">
        <x:v>6625070</x:v>
      </x:c>
      <x:c r="E247" s="3" t="n">
        <x:v>0.0609</x:v>
      </x:c>
      <x:c r="F247" s="3" t="n">
        <x:v>2209</x:v>
      </x:c>
      <x:c r="G247" s="3" t="n">
        <x:v>2344</x:v>
      </x:c>
      <x:c r="H247" s="3" t="n">
        <x:v>135</x:v>
      </x:c>
      <x:c r="I247" s="3" t="n">
        <x:v>0.0611</x:v>
      </x:c>
      <x:c r="J247" s="3" t="str">
        <x:v>Medium</x:v>
      </x:c>
      <x:c r="K247" s="3" t="n">
        <x:v>65.7</x:v>
      </x:c>
      <x:c r="L247" s="3" t="n">
        <x:v>67.4</x:v>
      </x:c>
      <x:c r="M247" s="3" t="n">
        <x:v>63.8</x:v>
      </x:c>
      <x:c r="N247" t="str">
        <x:v>Most Likely</x:v>
      </x:c>
      <x:c r="O247" t="str">
        <x:v>Most Likely</x:v>
      </x:c>
    </x:row>
    <x:row r="248">
      <x:c r="A248" s="3" t="str">
        <x:v>PJT_247</x:v>
      </x:c>
      <x:c r="B248" s="3" t="n">
        <x:v>14491800</x:v>
      </x:c>
      <x:c r="C248" s="3" t="n">
        <x:v>14169145</x:v>
      </x:c>
      <x:c r="D248" s="3" t="n">
        <x:v>-322655</x:v>
      </x:c>
      <x:c r="E248" s="3" t="n">
        <x:v>-0.0223</x:v>
      </x:c>
      <x:c r="F248" s="3" t="n">
        <x:v>277</x:v>
      </x:c>
      <x:c r="G248" s="3" t="n">
        <x:v>261</x:v>
      </x:c>
      <x:c r="H248" s="3" t="n">
        <x:v>-16</x:v>
      </x:c>
      <x:c r="I248" s="3" t="n">
        <x:v>-0.0578</x:v>
      </x:c>
      <x:c r="J248" s="3" t="str">
        <x:v>Low</x:v>
      </x:c>
      <x:c r="K248" s="3" t="n">
        <x:v>24</x:v>
      </x:c>
      <x:c r="L248" s="3" t="n">
        <x:v>22.7</x:v>
      </x:c>
      <x:c r="M248" s="3" t="n">
        <x:v>30.2</x:v>
      </x:c>
      <x:c r="N248" t="str">
        <x:v>Optimistic</x:v>
      </x:c>
      <x:c r="O248" t="str">
        <x:v>Optimistic</x:v>
      </x:c>
    </x:row>
    <x:row r="249">
      <x:c r="A249" s="3" t="str">
        <x:v>PJT_248</x:v>
      </x:c>
      <x:c r="B249" s="3" t="n">
        <x:v>58305100</x:v>
      </x:c>
      <x:c r="C249" s="3" t="n">
        <x:v>62802695</x:v>
      </x:c>
      <x:c r="D249" s="3" t="n">
        <x:v>4497595</x:v>
      </x:c>
      <x:c r="E249" s="3" t="n">
        <x:v>0.0771</x:v>
      </x:c>
      <x:c r="F249" s="3" t="n">
        <x:v>1130</x:v>
      </x:c>
      <x:c r="G249" s="3" t="n">
        <x:v>1205</x:v>
      </x:c>
      <x:c r="H249" s="3" t="n">
        <x:v>75</x:v>
      </x:c>
      <x:c r="I249" s="3" t="n">
        <x:v>0.0664</x:v>
      </x:c>
      <x:c r="J249" s="3" t="str">
        <x:v>Medium</x:v>
      </x:c>
      <x:c r="K249" s="3" t="n">
        <x:v>48.3</x:v>
      </x:c>
      <x:c r="L249" s="3" t="n">
        <x:v>50.2</x:v>
      </x:c>
      <x:c r="M249" s="3" t="n">
        <x:v>47</x:v>
      </x:c>
      <x:c r="N249" t="str">
        <x:v>Most Likely</x:v>
      </x:c>
      <x:c r="O249" t="str">
        <x:v>Most Likely</x:v>
      </x:c>
    </x:row>
    <x:row r="250">
      <x:c r="A250" s="3" t="str">
        <x:v>PJT_249</x:v>
      </x:c>
      <x:c r="B250" s="3" t="n">
        <x:v>16482950</x:v>
      </x:c>
      <x:c r="C250" s="3" t="n">
        <x:v>15952649</x:v>
      </x:c>
      <x:c r="D250" s="3" t="n">
        <x:v>-530301</x:v>
      </x:c>
      <x:c r="E250" s="3" t="n">
        <x:v>-0.0322</x:v>
      </x:c>
      <x:c r="F250" s="3" t="n">
        <x:v>442</x:v>
      </x:c>
      <x:c r="G250" s="3" t="n">
        <x:v>456</x:v>
      </x:c>
      <x:c r="H250" s="3" t="n">
        <x:v>14</x:v>
      </x:c>
      <x:c r="I250" s="3" t="n">
        <x:v>0.0317</x:v>
      </x:c>
      <x:c r="J250" s="3" t="str">
        <x:v>Low</x:v>
      </x:c>
      <x:c r="K250" s="3" t="n">
        <x:v>27.9</x:v>
      </x:c>
      <x:c r="L250" s="3" t="n">
        <x:v>24.1</x:v>
      </x:c>
      <x:c r="M250" s="3" t="n">
        <x:v>22.1</x:v>
      </x:c>
      <x:c r="N250" t="str">
        <x:v>Optimistic</x:v>
      </x:c>
      <x:c r="O250" t="str">
        <x:v>Most Likely</x:v>
      </x:c>
    </x:row>
    <x:row r="251">
      <x:c r="A251" t="str">
        <x:v>PJT_250</x:v>
      </x:c>
      <x:c r="B251" t="n">
        <x:v>77464800</x:v>
      </x:c>
      <x:c r="C251" t="n">
        <x:v>82092052</x:v>
      </x:c>
      <x:c r="D251" t="n">
        <x:v>4627252</x:v>
      </x:c>
      <x:c r="E251" t="n">
        <x:v>0.0597</x:v>
      </x:c>
      <x:c r="F251" t="n">
        <x:v>1269</x:v>
      </x:c>
      <x:c r="G251" t="n">
        <x:v>1289</x:v>
      </x:c>
      <x:c r="H251" t="n">
        <x:v>20</x:v>
      </x:c>
      <x:c r="I251" t="n">
        <x:v>0.0158</x:v>
      </x:c>
      <x:c r="J251" t="str">
        <x:v>Medium</x:v>
      </x:c>
      <x:c r="K251" t="n">
        <x:v>47.2</x:v>
      </x:c>
      <x:c r="L251" t="n">
        <x:v>55.3</x:v>
      </x:c>
      <x:c r="M251" t="n">
        <x:v>51.4</x:v>
      </x:c>
      <x:c r="N251" t="str">
        <x:v>Most Likely</x:v>
      </x:c>
      <x:c r="O251" t="str">
        <x:v>Most Likely</x:v>
      </x:c>
    </x:row>
    <x:row r="252">
      <x:c r="A252" t="str">
        <x:v>PJT_251</x:v>
      </x:c>
      <x:c r="B252" t="n">
        <x:v>56848750</x:v>
      </x:c>
      <x:c r="C252" t="n">
        <x:v>64101900</x:v>
      </x:c>
      <x:c r="D252" t="n">
        <x:v>7253150</x:v>
      </x:c>
      <x:c r="E252" t="n">
        <x:v>0.1276</x:v>
      </x:c>
      <x:c r="F252" t="n">
        <x:v>960</x:v>
      </x:c>
      <x:c r="G252" t="n">
        <x:v>1043</x:v>
      </x:c>
      <x:c r="H252" t="n">
        <x:v>83</x:v>
      </x:c>
      <x:c r="I252" t="n">
        <x:v>0.0865</x:v>
      </x:c>
      <x:c r="J252" t="str">
        <x:v>Medium</x:v>
      </x:c>
      <x:c r="K252" t="n">
        <x:v>53.4</x:v>
      </x:c>
      <x:c r="L252" t="n">
        <x:v>58</x:v>
      </x:c>
      <x:c r="M252" t="n">
        <x:v>60.5</x:v>
      </x:c>
      <x:c r="N252" t="str">
        <x:v>Pessimistic</x:v>
      </x:c>
      <x:c r="O252" t="str">
        <x:v>Most Likely</x:v>
      </x:c>
    </x:row>
    <x:row r="253">
      <x:c r="A253" t="str">
        <x:v>PJT_252</x:v>
      </x:c>
      <x:c r="B253" t="n">
        <x:v>36646060</x:v>
      </x:c>
      <x:c r="C253" t="n">
        <x:v>38616970</x:v>
      </x:c>
      <x:c r="D253" t="n">
        <x:v>1970910</x:v>
      </x:c>
      <x:c r="E253" t="n">
        <x:v>0.0538</x:v>
      </x:c>
      <x:c r="F253" t="n">
        <x:v>719</x:v>
      </x:c>
      <x:c r="G253" t="n">
        <x:v>796</x:v>
      </x:c>
      <x:c r="H253" t="n">
        <x:v>77</x:v>
      </x:c>
      <x:c r="I253" t="n">
        <x:v>0.1071</x:v>
      </x:c>
      <x:c r="J253" t="str">
        <x:v>Medium</x:v>
      </x:c>
      <x:c r="K253" t="n">
        <x:v>59.4</x:v>
      </x:c>
      <x:c r="L253" t="n">
        <x:v>52.9</x:v>
      </x:c>
      <x:c r="M253" t="n">
        <x:v>56.3</x:v>
      </x:c>
      <x:c r="N253" t="str">
        <x:v>Most Likely</x:v>
      </x:c>
      <x:c r="O253" t="str">
        <x:v>Pessimistic</x:v>
      </x:c>
    </x:row>
    <x:row r="254">
      <x:c r="A254" t="str">
        <x:v>PJT_253</x:v>
      </x:c>
      <x:c r="B254" t="n">
        <x:v>29755440</x:v>
      </x:c>
      <x:c r="C254" t="n">
        <x:v>28073526</x:v>
      </x:c>
      <x:c r="D254" t="n">
        <x:v>-1681914</x:v>
      </x:c>
      <x:c r="E254" t="n">
        <x:v>-0.0565</x:v>
      </x:c>
      <x:c r="F254" t="n">
        <x:v>524</x:v>
      </x:c>
      <x:c r="G254" t="n">
        <x:v>538</x:v>
      </x:c>
      <x:c r="H254" t="n">
        <x:v>14</x:v>
      </x:c>
      <x:c r="I254" t="n">
        <x:v>0.0267</x:v>
      </x:c>
      <x:c r="J254" t="str">
        <x:v>Low</x:v>
      </x:c>
      <x:c r="K254" t="n">
        <x:v>35.7</x:v>
      </x:c>
      <x:c r="L254" t="n">
        <x:v>35.3</x:v>
      </x:c>
      <x:c r="M254" t="n">
        <x:v>38.4</x:v>
      </x:c>
      <x:c r="N254" t="str">
        <x:v>Optimistic</x:v>
      </x:c>
      <x:c r="O254" t="str">
        <x:v>Most Likely</x:v>
      </x:c>
    </x:row>
    <x:row r="255">
      <x:c r="A255" t="str">
        <x:v>PJT_254</x:v>
      </x:c>
      <x:c r="B255" t="n">
        <x:v>27032720</x:v>
      </x:c>
      <x:c r="C255" t="n">
        <x:v>28288291</x:v>
      </x:c>
      <x:c r="D255" t="n">
        <x:v>1255571</x:v>
      </x:c>
      <x:c r="E255" t="n">
        <x:v>0.0464</x:v>
      </x:c>
      <x:c r="F255" t="n">
        <x:v>811</x:v>
      </x:c>
      <x:c r="G255" t="n">
        <x:v>872</x:v>
      </x:c>
      <x:c r="H255" t="n">
        <x:v>61</x:v>
      </x:c>
      <x:c r="I255" t="n">
        <x:v>0.0752</x:v>
      </x:c>
      <x:c r="J255" t="str">
        <x:v>Medium</x:v>
      </x:c>
      <x:c r="K255" t="n">
        <x:v>49.5</x:v>
      </x:c>
      <x:c r="L255" t="n">
        <x:v>50.7</x:v>
      </x:c>
      <x:c r="M255" t="n">
        <x:v>50.3</x:v>
      </x:c>
      <x:c r="N255" t="str">
        <x:v>Most Likely</x:v>
      </x:c>
      <x:c r="O255" t="str">
        <x:v>Most Likely</x:v>
      </x:c>
    </x:row>
    <x:row r="256">
      <x:c r="A256" t="str">
        <x:v>PJT_255</x:v>
      </x:c>
      <x:c r="B256" t="n">
        <x:v>25927200</x:v>
      </x:c>
      <x:c r="C256" t="n">
        <x:v>24714683</x:v>
      </x:c>
      <x:c r="D256" t="n">
        <x:v>-1212517</x:v>
      </x:c>
      <x:c r="E256" t="n">
        <x:v>-0.0468</x:v>
      </x:c>
      <x:c r="F256" t="n">
        <x:v>477</x:v>
      </x:c>
      <x:c r="G256" t="n">
        <x:v>515</x:v>
      </x:c>
      <x:c r="H256" t="n">
        <x:v>38</x:v>
      </x:c>
      <x:c r="I256" t="n">
        <x:v>0.0797</x:v>
      </x:c>
      <x:c r="J256" t="str">
        <x:v>Medium</x:v>
      </x:c>
      <x:c r="K256" t="n">
        <x:v>52.6</x:v>
      </x:c>
      <x:c r="L256" t="n">
        <x:v>49.9</x:v>
      </x:c>
      <x:c r="M256" t="n">
        <x:v>45.7</x:v>
      </x:c>
      <x:c r="N256" t="str">
        <x:v>Optimistic</x:v>
      </x:c>
      <x:c r="O256" t="str">
        <x:v>Most Likely</x:v>
      </x:c>
    </x:row>
    <x:row r="257">
      <x:c r="A257" t="str">
        <x:v>PJT_256</x:v>
      </x:c>
      <x:c r="B257" t="n">
        <x:v>29520000</x:v>
      </x:c>
      <x:c r="C257" t="n">
        <x:v>30574134</x:v>
      </x:c>
      <x:c r="D257" t="n">
        <x:v>1054134</x:v>
      </x:c>
      <x:c r="E257" t="n">
        <x:v>0.0357</x:v>
      </x:c>
      <x:c r="F257" t="n">
        <x:v>542</x:v>
      </x:c>
      <x:c r="G257" t="n">
        <x:v>572</x:v>
      </x:c>
      <x:c r="H257" t="n">
        <x:v>30</x:v>
      </x:c>
      <x:c r="I257" t="n">
        <x:v>0.0554</x:v>
      </x:c>
      <x:c r="J257" t="str">
        <x:v>Low</x:v>
      </x:c>
      <x:c r="K257" t="n">
        <x:v>43.7</x:v>
      </x:c>
      <x:c r="L257" t="n">
        <x:v>53.8</x:v>
      </x:c>
      <x:c r="M257" t="n">
        <x:v>42.6</x:v>
      </x:c>
      <x:c r="N257" t="str">
        <x:v>Most Likely</x:v>
      </x:c>
      <x:c r="O257" t="str">
        <x:v>Most Likely</x:v>
      </x:c>
    </x:row>
    <x:row r="258">
      <x:c r="A258" t="str">
        <x:v>PJT_257</x:v>
      </x:c>
      <x:c r="B258" t="n">
        <x:v>23232000</x:v>
      </x:c>
      <x:c r="C258" t="n">
        <x:v>22085651</x:v>
      </x:c>
      <x:c r="D258" t="n">
        <x:v>-1146349</x:v>
      </x:c>
      <x:c r="E258" t="n">
        <x:v>-0.0493</x:v>
      </x:c>
      <x:c r="F258" t="n">
        <x:v>574</x:v>
      </x:c>
      <x:c r="G258" t="n">
        <x:v>523</x:v>
      </x:c>
      <x:c r="H258" t="n">
        <x:v>-51</x:v>
      </x:c>
      <x:c r="I258" t="n">
        <x:v>-0.0889</x:v>
      </x:c>
      <x:c r="J258" t="str">
        <x:v>Low</x:v>
      </x:c>
      <x:c r="K258" t="n">
        <x:v>33.8</x:v>
      </x:c>
      <x:c r="L258" t="n">
        <x:v>32.4</x:v>
      </x:c>
      <x:c r="M258" t="n">
        <x:v>37.3</x:v>
      </x:c>
      <x:c r="N258" t="str">
        <x:v>Optimistic</x:v>
      </x:c>
      <x:c r="O258" t="str">
        <x:v>Optimistic</x:v>
      </x:c>
    </x:row>
    <x:row r="259">
      <x:c r="A259" t="str">
        <x:v>PJT_258</x:v>
      </x:c>
      <x:c r="B259" t="n">
        <x:v>12255760</x:v>
      </x:c>
      <x:c r="C259" t="n">
        <x:v>10996699</x:v>
      </x:c>
      <x:c r="D259" t="n">
        <x:v>-1259061</x:v>
      </x:c>
      <x:c r="E259" t="n">
        <x:v>-0.1027</x:v>
      </x:c>
      <x:c r="F259" t="n">
        <x:v>278</x:v>
      </x:c>
      <x:c r="G259" t="n">
        <x:v>290</x:v>
      </x:c>
      <x:c r="H259" t="n">
        <x:v>12</x:v>
      </x:c>
      <x:c r="I259" t="n">
        <x:v>0.0432</x:v>
      </x:c>
      <x:c r="J259" t="str">
        <x:v>Low</x:v>
      </x:c>
      <x:c r="K259" t="n">
        <x:v>29.2</x:v>
      </x:c>
      <x:c r="L259" t="n">
        <x:v>32.3</x:v>
      </x:c>
      <x:c r="M259" t="n">
        <x:v>31.3</x:v>
      </x:c>
      <x:c r="N259" t="str">
        <x:v>Optimistic</x:v>
      </x:c>
      <x:c r="O259" t="str">
        <x:v>Most Likely</x:v>
      </x:c>
    </x:row>
    <x:row r="260">
      <x:c r="A260" t="str">
        <x:v>PJT_259</x:v>
      </x:c>
      <x:c r="B260" t="n">
        <x:v>55362150</x:v>
      </x:c>
      <x:c r="C260" t="n">
        <x:v>54177915</x:v>
      </x:c>
      <x:c r="D260" t="n">
        <x:v>-1184235</x:v>
      </x:c>
      <x:c r="E260" t="n">
        <x:v>-0.0214</x:v>
      </x:c>
      <x:c r="F260" t="n">
        <x:v>793</x:v>
      </x:c>
      <x:c r="G260" t="n">
        <x:v>797</x:v>
      </x:c>
      <x:c r="H260" t="n">
        <x:v>4</x:v>
      </x:c>
      <x:c r="I260" t="n">
        <x:v>0.005</x:v>
      </x:c>
      <x:c r="J260" t="str">
        <x:v>Low</x:v>
      </x:c>
      <x:c r="K260" t="n">
        <x:v>41.2</x:v>
      </x:c>
      <x:c r="L260" t="n">
        <x:v>45.7</x:v>
      </x:c>
      <x:c r="M260" t="n">
        <x:v>40.7</x:v>
      </x:c>
      <x:c r="N260" t="str">
        <x:v>Optimistic</x:v>
      </x:c>
      <x:c r="O260" t="str">
        <x:v>Most Likely</x:v>
      </x:c>
    </x:row>
    <x:row r="261">
      <x:c r="A261" t="str">
        <x:v>PJT_260</x:v>
      </x:c>
      <x:c r="B261" t="n">
        <x:v>42698180</x:v>
      </x:c>
      <x:c r="C261" t="n">
        <x:v>46214854</x:v>
      </x:c>
      <x:c r="D261" t="n">
        <x:v>3516674</x:v>
      </x:c>
      <x:c r="E261" t="n">
        <x:v>0.0824</x:v>
      </x:c>
      <x:c r="F261" t="n">
        <x:v>840</x:v>
      </x:c>
      <x:c r="G261" t="n">
        <x:v>901</x:v>
      </x:c>
      <x:c r="H261" t="n">
        <x:v>61</x:v>
      </x:c>
      <x:c r="I261" t="n">
        <x:v>0.0726</x:v>
      </x:c>
      <x:c r="J261" t="str">
        <x:v>Medium</x:v>
      </x:c>
      <x:c r="K261" t="n">
        <x:v>59.7</x:v>
      </x:c>
      <x:c r="L261" t="n">
        <x:v>53.2</x:v>
      </x:c>
      <x:c r="M261" t="n">
        <x:v>52.6</x:v>
      </x:c>
      <x:c r="N261" t="str">
        <x:v>Most Likely</x:v>
      </x:c>
      <x:c r="O261" t="str">
        <x:v>Most Likely</x:v>
      </x:c>
    </x:row>
    <x:row r="262">
      <x:c r="A262" t="str">
        <x:v>PJT_261</x:v>
      </x:c>
      <x:c r="B262" t="n">
        <x:v>44069630</x:v>
      </x:c>
      <x:c r="C262" t="n">
        <x:v>43348987</x:v>
      </x:c>
      <x:c r="D262" t="n">
        <x:v>-720643</x:v>
      </x:c>
      <x:c r="E262" t="n">
        <x:v>-0.0164</x:v>
      </x:c>
      <x:c r="F262" t="n">
        <x:v>828</x:v>
      </x:c>
      <x:c r="G262" t="n">
        <x:v>895</x:v>
      </x:c>
      <x:c r="H262" t="n">
        <x:v>67</x:v>
      </x:c>
      <x:c r="I262" t="n">
        <x:v>0.0809</x:v>
      </x:c>
      <x:c r="J262" t="str">
        <x:v>Medium</x:v>
      </x:c>
      <x:c r="K262" t="n">
        <x:v>47.9</x:v>
      </x:c>
      <x:c r="L262" t="n">
        <x:v>46.3</x:v>
      </x:c>
      <x:c r="M262" t="n">
        <x:v>50.6</x:v>
      </x:c>
      <x:c r="N262" t="str">
        <x:v>Optimistic</x:v>
      </x:c>
      <x:c r="O262" t="str">
        <x:v>Most Likely</x:v>
      </x:c>
    </x:row>
    <x:row r="263">
      <x:c r="A263" t="str">
        <x:v>PJT_262</x:v>
      </x:c>
      <x:c r="B263" t="n">
        <x:v>23551650</x:v>
      </x:c>
      <x:c r="C263" t="n">
        <x:v>24178076</x:v>
      </x:c>
      <x:c r="D263" t="n">
        <x:v>626426</x:v>
      </x:c>
      <x:c r="E263" t="n">
        <x:v>0.0266</x:v>
      </x:c>
      <x:c r="F263" t="n">
        <x:v>461</x:v>
      </x:c>
      <x:c r="G263" t="n">
        <x:v>446</x:v>
      </x:c>
      <x:c r="H263" t="n">
        <x:v>-15</x:v>
      </x:c>
      <x:c r="I263" t="n">
        <x:v>-0.0325</x:v>
      </x:c>
      <x:c r="J263" t="str">
        <x:v>Medium</x:v>
      </x:c>
      <x:c r="K263" t="n">
        <x:v>48.7</x:v>
      </x:c>
      <x:c r="L263" t="n">
        <x:v>47.7</x:v>
      </x:c>
      <x:c r="M263" t="n">
        <x:v>45.1</x:v>
      </x:c>
      <x:c r="N263" t="str">
        <x:v>Most Likely</x:v>
      </x:c>
      <x:c r="O263" t="str">
        <x:v>Optimistic</x:v>
      </x:c>
    </x:row>
    <x:row r="264">
      <x:c r="A264" t="str">
        <x:v>PJT_263</x:v>
      </x:c>
      <x:c r="B264" t="n">
        <x:v>56738560</x:v>
      </x:c>
      <x:c r="C264" t="n">
        <x:v>60532001</x:v>
      </x:c>
      <x:c r="D264" t="n">
        <x:v>3793441</x:v>
      </x:c>
      <x:c r="E264" t="n">
        <x:v>0.0669</x:v>
      </x:c>
      <x:c r="F264" t="n">
        <x:v>1134</x:v>
      </x:c>
      <x:c r="G264" t="n">
        <x:v>1219</x:v>
      </x:c>
      <x:c r="H264" t="n">
        <x:v>85</x:v>
      </x:c>
      <x:c r="I264" t="n">
        <x:v>0.075</x:v>
      </x:c>
      <x:c r="J264" t="str">
        <x:v>Medium</x:v>
      </x:c>
      <x:c r="K264" t="n">
        <x:v>54.4</x:v>
      </x:c>
      <x:c r="L264" t="n">
        <x:v>61.3</x:v>
      </x:c>
      <x:c r="M264" t="n">
        <x:v>61.1</x:v>
      </x:c>
      <x:c r="N264" t="str">
        <x:v>Most Likely</x:v>
      </x:c>
      <x:c r="O264" t="str">
        <x:v>Most Likely</x:v>
      </x:c>
    </x:row>
    <x:row r="265">
      <x:c r="A265" t="str">
        <x:v>PJT_264</x:v>
      </x:c>
      <x:c r="B265" t="n">
        <x:v>25380880</x:v>
      </x:c>
      <x:c r="C265" t="n">
        <x:v>25931393</x:v>
      </x:c>
      <x:c r="D265" t="n">
        <x:v>550513</x:v>
      </x:c>
      <x:c r="E265" t="n">
        <x:v>0.0217</x:v>
      </x:c>
      <x:c r="F265" t="n">
        <x:v>566</x:v>
      </x:c>
      <x:c r="G265" t="n">
        <x:v>554</x:v>
      </x:c>
      <x:c r="H265" t="n">
        <x:v>-12</x:v>
      </x:c>
      <x:c r="I265" t="n">
        <x:v>-0.0212</x:v>
      </x:c>
      <x:c r="J265" t="str">
        <x:v>Low</x:v>
      </x:c>
      <x:c r="K265" t="n">
        <x:v>34</x:v>
      </x:c>
      <x:c r="L265" t="n">
        <x:v>41.1</x:v>
      </x:c>
      <x:c r="M265" t="n">
        <x:v>38.4</x:v>
      </x:c>
      <x:c r="N265" t="str">
        <x:v>Most Likely</x:v>
      </x:c>
      <x:c r="O265" t="str">
        <x:v>Optimistic</x:v>
      </x:c>
    </x:row>
    <x:row r="266">
      <x:c r="A266" t="str">
        <x:v>PJT_265</x:v>
      </x:c>
      <x:c r="B266" t="n">
        <x:v>53725520</x:v>
      </x:c>
      <x:c r="C266" t="n">
        <x:v>57832058</x:v>
      </x:c>
      <x:c r="D266" t="n">
        <x:v>4106538</x:v>
      </x:c>
      <x:c r="E266" t="n">
        <x:v>0.0764</x:v>
      </x:c>
      <x:c r="F266" t="n">
        <x:v>986</x:v>
      </x:c>
      <x:c r="G266" t="n">
        <x:v>1017</x:v>
      </x:c>
      <x:c r="H266" t="n">
        <x:v>31</x:v>
      </x:c>
      <x:c r="I266" t="n">
        <x:v>0.0314</x:v>
      </x:c>
      <x:c r="J266" t="str">
        <x:v>Medium</x:v>
      </x:c>
      <x:c r="K266" t="n">
        <x:v>47.6</x:v>
      </x:c>
      <x:c r="L266" t="n">
        <x:v>53</x:v>
      </x:c>
      <x:c r="M266" t="n">
        <x:v>45.6</x:v>
      </x:c>
      <x:c r="N266" t="str">
        <x:v>Most Likely</x:v>
      </x:c>
      <x:c r="O266" t="str">
        <x:v>Most Likely</x:v>
      </x:c>
    </x:row>
    <x:row r="267">
      <x:c r="A267" t="str">
        <x:v>PJT_266</x:v>
      </x:c>
      <x:c r="B267" t="n">
        <x:v>97732290</x:v>
      </x:c>
      <x:c r="C267" t="n">
        <x:v>102597367</x:v>
      </x:c>
      <x:c r="D267" t="n">
        <x:v>4865077</x:v>
      </x:c>
      <x:c r="E267" t="n">
        <x:v>0.0498</x:v>
      </x:c>
      <x:c r="F267" t="n">
        <x:v>1797</x:v>
      </x:c>
      <x:c r="G267" t="n">
        <x:v>1856</x:v>
      </x:c>
      <x:c r="H267" t="n">
        <x:v>59</x:v>
      </x:c>
      <x:c r="I267" t="n">
        <x:v>0.0328</x:v>
      </x:c>
      <x:c r="J267" t="str">
        <x:v>Medium</x:v>
      </x:c>
      <x:c r="K267" t="n">
        <x:v>59.5</x:v>
      </x:c>
      <x:c r="L267" t="n">
        <x:v>61.4</x:v>
      </x:c>
      <x:c r="M267" t="n">
        <x:v>56.9</x:v>
      </x:c>
      <x:c r="N267" t="str">
        <x:v>Most Likely</x:v>
      </x:c>
      <x:c r="O267" t="str">
        <x:v>Most Likely</x:v>
      </x:c>
    </x:row>
    <x:row r="268">
      <x:c r="A268" t="str">
        <x:v>PJT_267</x:v>
      </x:c>
      <x:c r="B268" t="n">
        <x:v>101960880</x:v>
      </x:c>
      <x:c r="C268" t="n">
        <x:v>103524139</x:v>
      </x:c>
      <x:c r="D268" t="n">
        <x:v>1563259</x:v>
      </x:c>
      <x:c r="E268" t="n">
        <x:v>0.0153</x:v>
      </x:c>
      <x:c r="F268" t="n">
        <x:v>2056</x:v>
      </x:c>
      <x:c r="G268" t="n">
        <x:v>2271</x:v>
      </x:c>
      <x:c r="H268" t="n">
        <x:v>215</x:v>
      </x:c>
      <x:c r="I268" t="n">
        <x:v>0.1046</x:v>
      </x:c>
      <x:c r="J268" t="str">
        <x:v>High</x:v>
      </x:c>
      <x:c r="K268" t="n">
        <x:v>67.5</x:v>
      </x:c>
      <x:c r="L268" t="n">
        <x:v>64.3</x:v>
      </x:c>
      <x:c r="M268" t="n">
        <x:v>68</x:v>
      </x:c>
      <x:c r="N268" t="str">
        <x:v>Most Likely</x:v>
      </x:c>
      <x:c r="O268" t="str">
        <x:v>Pessimistic</x:v>
      </x:c>
    </x:row>
    <x:row r="269">
      <x:c r="A269" t="str">
        <x:v>PJT_268</x:v>
      </x:c>
      <x:c r="B269" t="n">
        <x:v>44406100</x:v>
      </x:c>
      <x:c r="C269" t="n">
        <x:v>48069228</x:v>
      </x:c>
      <x:c r="D269" t="n">
        <x:v>3663128</x:v>
      </x:c>
      <x:c r="E269" t="n">
        <x:v>0.0825</x:v>
      </x:c>
      <x:c r="F269" t="n">
        <x:v>847</x:v>
      </x:c>
      <x:c r="G269" t="n">
        <x:v>808</x:v>
      </x:c>
      <x:c r="H269" t="n">
        <x:v>-39</x:v>
      </x:c>
      <x:c r="I269" t="n">
        <x:v>-0.046</x:v>
      </x:c>
      <x:c r="J269" t="str">
        <x:v>Low</x:v>
      </x:c>
      <x:c r="K269" t="n">
        <x:v>43.6</x:v>
      </x:c>
      <x:c r="L269" t="n">
        <x:v>47.1</x:v>
      </x:c>
      <x:c r="M269" t="n">
        <x:v>41.5</x:v>
      </x:c>
      <x:c r="N269" t="str">
        <x:v>Most Likely</x:v>
      </x:c>
      <x:c r="O269" t="str">
        <x:v>Optimistic</x:v>
      </x:c>
    </x:row>
    <x:row r="270">
      <x:c r="A270" t="str">
        <x:v>PJT_269</x:v>
      </x:c>
      <x:c r="B270" t="n">
        <x:v>22444840</x:v>
      </x:c>
      <x:c r="C270" t="n">
        <x:v>24609605</x:v>
      </x:c>
      <x:c r="D270" t="n">
        <x:v>2164765</x:v>
      </x:c>
      <x:c r="E270" t="n">
        <x:v>0.0964</x:v>
      </x:c>
      <x:c r="F270" t="n">
        <x:v>559</x:v>
      </x:c>
      <x:c r="G270" t="n">
        <x:v>626</x:v>
      </x:c>
      <x:c r="H270" t="n">
        <x:v>67</x:v>
      </x:c>
      <x:c r="I270" t="n">
        <x:v>0.1199</x:v>
      </x:c>
      <x:c r="J270" t="str">
        <x:v>Medium</x:v>
      </x:c>
      <x:c r="K270" t="n">
        <x:v>49.6</x:v>
      </x:c>
      <x:c r="L270" t="n">
        <x:v>52.2</x:v>
      </x:c>
      <x:c r="M270" t="n">
        <x:v>53.4</x:v>
      </x:c>
      <x:c r="N270" t="str">
        <x:v>Most Likely</x:v>
      </x:c>
      <x:c r="O270" t="str">
        <x:v>Pessimistic</x:v>
      </x:c>
    </x:row>
    <x:row r="271">
      <x:c r="A271" t="str">
        <x:v>PJT_270</x:v>
      </x:c>
      <x:c r="B271" t="n">
        <x:v>28425920</x:v>
      </x:c>
      <x:c r="C271" t="n">
        <x:v>29423756</x:v>
      </x:c>
      <x:c r="D271" t="n">
        <x:v>997836</x:v>
      </x:c>
      <x:c r="E271" t="n">
        <x:v>0.0351</x:v>
      </x:c>
      <x:c r="F271" t="n">
        <x:v>677</x:v>
      </x:c>
      <x:c r="G271" t="n">
        <x:v>694</x:v>
      </x:c>
      <x:c r="H271" t="n">
        <x:v>17</x:v>
      </x:c>
      <x:c r="I271" t="n">
        <x:v>0.0251</x:v>
      </x:c>
      <x:c r="J271" t="str">
        <x:v>Low</x:v>
      </x:c>
      <x:c r="K271" t="n">
        <x:v>44.2</x:v>
      </x:c>
      <x:c r="L271" t="n">
        <x:v>45.7</x:v>
      </x:c>
      <x:c r="M271" t="n">
        <x:v>42.8</x:v>
      </x:c>
      <x:c r="N271" t="str">
        <x:v>Most Likely</x:v>
      </x:c>
      <x:c r="O271" t="str">
        <x:v>Most Likely</x:v>
      </x:c>
    </x:row>
    <x:row r="272">
      <x:c r="A272" t="str">
        <x:v>PJT_271</x:v>
      </x:c>
      <x:c r="B272" t="n">
        <x:v>37682100</x:v>
      </x:c>
      <x:c r="C272" t="n">
        <x:v>40458501</x:v>
      </x:c>
      <x:c r="D272" t="n">
        <x:v>2776401</x:v>
      </x:c>
      <x:c r="E272" t="n">
        <x:v>0.0737</x:v>
      </x:c>
      <x:c r="F272" t="n">
        <x:v>974</x:v>
      </x:c>
      <x:c r="G272" t="n">
        <x:v>956</x:v>
      </x:c>
      <x:c r="H272" t="n">
        <x:v>-18</x:v>
      </x:c>
      <x:c r="I272" t="n">
        <x:v>-0.0185</x:v>
      </x:c>
      <x:c r="J272" t="str">
        <x:v>Medium</x:v>
      </x:c>
      <x:c r="K272" t="n">
        <x:v>49.8</x:v>
      </x:c>
      <x:c r="L272" t="n">
        <x:v>54.7</x:v>
      </x:c>
      <x:c r="M272" t="n">
        <x:v>49.6</x:v>
      </x:c>
      <x:c r="N272" t="str">
        <x:v>Most Likely</x:v>
      </x:c>
      <x:c r="O272" t="str">
        <x:v>Optimistic</x:v>
      </x:c>
    </x:row>
    <x:row r="273">
      <x:c r="A273" t="str">
        <x:v>PJT_272</x:v>
      </x:c>
      <x:c r="B273" t="n">
        <x:v>30706060</x:v>
      </x:c>
      <x:c r="C273" t="n">
        <x:v>31647067</x:v>
      </x:c>
      <x:c r="D273" t="n">
        <x:v>941007</x:v>
      </x:c>
      <x:c r="E273" t="n">
        <x:v>0.0306</x:v>
      </x:c>
      <x:c r="F273" t="n">
        <x:v>539</x:v>
      </x:c>
      <x:c r="G273" t="n">
        <x:v>597</x:v>
      </x:c>
      <x:c r="H273" t="n">
        <x:v>58</x:v>
      </x:c>
      <x:c r="I273" t="n">
        <x:v>0.1076</x:v>
      </x:c>
      <x:c r="J273" t="str">
        <x:v>Low</x:v>
      </x:c>
      <x:c r="K273" t="n">
        <x:v>42.9</x:v>
      </x:c>
      <x:c r="L273" t="n">
        <x:v>41.9</x:v>
      </x:c>
      <x:c r="M273" t="n">
        <x:v>42.6</x:v>
      </x:c>
      <x:c r="N273" t="str">
        <x:v>Most Likely</x:v>
      </x:c>
      <x:c r="O273" t="str">
        <x:v>Pessimistic</x:v>
      </x:c>
    </x:row>
    <x:row r="274">
      <x:c r="A274" t="str">
        <x:v>PJT_273</x:v>
      </x:c>
      <x:c r="B274" t="n">
        <x:v>32508000</x:v>
      </x:c>
      <x:c r="C274" t="n">
        <x:v>34099849</x:v>
      </x:c>
      <x:c r="D274" t="n">
        <x:v>1591849</x:v>
      </x:c>
      <x:c r="E274" t="n">
        <x:v>0.049</x:v>
      </x:c>
      <x:c r="F274" t="n">
        <x:v>597</x:v>
      </x:c>
      <x:c r="G274" t="n">
        <x:v>643</x:v>
      </x:c>
      <x:c r="H274" t="n">
        <x:v>46</x:v>
      </x:c>
      <x:c r="I274" t="n">
        <x:v>0.0771</x:v>
      </x:c>
      <x:c r="J274" t="str">
        <x:v>Low</x:v>
      </x:c>
      <x:c r="K274" t="n">
        <x:v>42.4</x:v>
      </x:c>
      <x:c r="L274" t="n">
        <x:v>47.1</x:v>
      </x:c>
      <x:c r="M274" t="n">
        <x:v>37.4</x:v>
      </x:c>
      <x:c r="N274" t="str">
        <x:v>Most Likely</x:v>
      </x:c>
      <x:c r="O274" t="str">
        <x:v>Most Likely</x:v>
      </x:c>
    </x:row>
    <x:row r="275">
      <x:c r="A275" t="str">
        <x:v>PJT_274</x:v>
      </x:c>
      <x:c r="B275" t="n">
        <x:v>47075010</x:v>
      </x:c>
      <x:c r="C275" t="n">
        <x:v>49855049</x:v>
      </x:c>
      <x:c r="D275" t="n">
        <x:v>2780039</x:v>
      </x:c>
      <x:c r="E275" t="n">
        <x:v>0.0591</x:v>
      </x:c>
      <x:c r="F275" t="n">
        <x:v>1100</x:v>
      </x:c>
      <x:c r="G275" t="n">
        <x:v>1229</x:v>
      </x:c>
      <x:c r="H275" t="n">
        <x:v>129</x:v>
      </x:c>
      <x:c r="I275" t="n">
        <x:v>0.1173</x:v>
      </x:c>
      <x:c r="J275" t="str">
        <x:v>Medium</x:v>
      </x:c>
      <x:c r="K275" t="n">
        <x:v>57.8</x:v>
      </x:c>
      <x:c r="L275" t="n">
        <x:v>57</x:v>
      </x:c>
      <x:c r="M275" t="n">
        <x:v>60.7</x:v>
      </x:c>
      <x:c r="N275" t="str">
        <x:v>Most Likely</x:v>
      </x:c>
      <x:c r="O275" t="str">
        <x:v>Pessimistic</x:v>
      </x:c>
    </x:row>
    <x:row r="276">
      <x:c r="A276" t="str">
        <x:v>PJT_275</x:v>
      </x:c>
      <x:c r="B276" t="n">
        <x:v>59826360</x:v>
      </x:c>
      <x:c r="C276" t="n">
        <x:v>66096908</x:v>
      </x:c>
      <x:c r="D276" t="n">
        <x:v>6270548</x:v>
      </x:c>
      <x:c r="E276" t="n">
        <x:v>0.1048</x:v>
      </x:c>
      <x:c r="F276" t="n">
        <x:v>1208</x:v>
      </x:c>
      <x:c r="G276" t="n">
        <x:v>1316</x:v>
      </x:c>
      <x:c r="H276" t="n">
        <x:v>108</x:v>
      </x:c>
      <x:c r="I276" t="n">
        <x:v>0.0894</x:v>
      </x:c>
      <x:c r="J276" t="str">
        <x:v>Medium</x:v>
      </x:c>
      <x:c r="K276" t="n">
        <x:v>56.6</x:v>
      </x:c>
      <x:c r="L276" t="n">
        <x:v>58</x:v>
      </x:c>
      <x:c r="M276" t="n">
        <x:v>59.9</x:v>
      </x:c>
      <x:c r="N276" t="str">
        <x:v>Pessimistic</x:v>
      </x:c>
      <x:c r="O276" t="str">
        <x:v>Most Likely</x:v>
      </x:c>
    </x:row>
    <x:row r="277">
      <x:c r="A277" t="str">
        <x:v>PJT_276</x:v>
      </x:c>
      <x:c r="B277" t="n">
        <x:v>18175860</x:v>
      </x:c>
      <x:c r="C277" t="n">
        <x:v>17524768</x:v>
      </x:c>
      <x:c r="D277" t="n">
        <x:v>-651092</x:v>
      </x:c>
      <x:c r="E277" t="n">
        <x:v>-0.0358</x:v>
      </x:c>
      <x:c r="F277" t="n">
        <x:v>324</x:v>
      </x:c>
      <x:c r="G277" t="n">
        <x:v>338</x:v>
      </x:c>
      <x:c r="H277" t="n">
        <x:v>14</x:v>
      </x:c>
      <x:c r="I277" t="n">
        <x:v>0.0432</x:v>
      </x:c>
      <x:c r="J277" t="str">
        <x:v>Low</x:v>
      </x:c>
      <x:c r="K277" t="n">
        <x:v>29.3</x:v>
      </x:c>
      <x:c r="L277" t="n">
        <x:v>35.2</x:v>
      </x:c>
      <x:c r="M277" t="n">
        <x:v>32.7</x:v>
      </x:c>
      <x:c r="N277" t="str">
        <x:v>Optimistic</x:v>
      </x:c>
      <x:c r="O277" t="str">
        <x:v>Most Likely</x:v>
      </x:c>
    </x:row>
    <x:row r="278">
      <x:c r="A278" t="str">
        <x:v>PJT_277</x:v>
      </x:c>
      <x:c r="B278" t="n">
        <x:v>30070450</x:v>
      </x:c>
      <x:c r="C278" t="n">
        <x:v>28741260</x:v>
      </x:c>
      <x:c r="D278" t="n">
        <x:v>-1329190</x:v>
      </x:c>
      <x:c r="E278" t="n">
        <x:v>-0.0442</x:v>
      </x:c>
      <x:c r="F278" t="n">
        <x:v>574</x:v>
      </x:c>
      <x:c r="G278" t="n">
        <x:v>549</x:v>
      </x:c>
      <x:c r="H278" t="n">
        <x:v>-25</x:v>
      </x:c>
      <x:c r="I278" t="n">
        <x:v>-0.0436</x:v>
      </x:c>
      <x:c r="J278" t="str">
        <x:v>Low</x:v>
      </x:c>
      <x:c r="K278" t="n">
        <x:v>34.3</x:v>
      </x:c>
      <x:c r="L278" t="n">
        <x:v>37.3</x:v>
      </x:c>
      <x:c r="M278" t="n">
        <x:v>35.6</x:v>
      </x:c>
      <x:c r="N278" t="str">
        <x:v>Optimistic</x:v>
      </x:c>
      <x:c r="O278" t="str">
        <x:v>Optimistic</x:v>
      </x:c>
    </x:row>
    <x:row r="279">
      <x:c r="A279" t="str">
        <x:v>PJT_278</x:v>
      </x:c>
      <x:c r="B279" t="n">
        <x:v>56667780</x:v>
      </x:c>
      <x:c r="C279" t="n">
        <x:v>57601629</x:v>
      </x:c>
      <x:c r="D279" t="n">
        <x:v>933849</x:v>
      </x:c>
      <x:c r="E279" t="n">
        <x:v>0.0165</x:v>
      </x:c>
      <x:c r="F279" t="n">
        <x:v>1050</x:v>
      </x:c>
      <x:c r="G279" t="n">
        <x:v>1128</x:v>
      </x:c>
      <x:c r="H279" t="n">
        <x:v>78</x:v>
      </x:c>
      <x:c r="I279" t="n">
        <x:v>0.0743</x:v>
      </x:c>
      <x:c r="J279" t="str">
        <x:v>Medium</x:v>
      </x:c>
      <x:c r="K279" t="n">
        <x:v>49</x:v>
      </x:c>
      <x:c r="L279" t="n">
        <x:v>48.4</x:v>
      </x:c>
      <x:c r="M279" t="n">
        <x:v>46.2</x:v>
      </x:c>
      <x:c r="N279" t="str">
        <x:v>Most Likely</x:v>
      </x:c>
      <x:c r="O279" t="str">
        <x:v>Most Likely</x:v>
      </x:c>
    </x:row>
    <x:row r="280">
      <x:c r="A280" t="str">
        <x:v>PJT_279</x:v>
      </x:c>
      <x:c r="B280" t="n">
        <x:v>89657760</x:v>
      </x:c>
      <x:c r="C280" t="n">
        <x:v>95288318</x:v>
      </x:c>
      <x:c r="D280" t="n">
        <x:v>5630558</x:v>
      </x:c>
      <x:c r="E280" t="n">
        <x:v>0.0628</x:v>
      </x:c>
      <x:c r="F280" t="n">
        <x:v>1714</x:v>
      </x:c>
      <x:c r="G280" t="n">
        <x:v>1805</x:v>
      </x:c>
      <x:c r="H280" t="n">
        <x:v>91</x:v>
      </x:c>
      <x:c r="I280" t="n">
        <x:v>0.0531</x:v>
      </x:c>
      <x:c r="J280" t="str">
        <x:v>Medium</x:v>
      </x:c>
      <x:c r="K280" t="n">
        <x:v>52.3</x:v>
      </x:c>
      <x:c r="L280" t="n">
        <x:v>51.5</x:v>
      </x:c>
      <x:c r="M280" t="n">
        <x:v>53.5</x:v>
      </x:c>
      <x:c r="N280" t="str">
        <x:v>Most Likely</x:v>
      </x:c>
      <x:c r="O280" t="str">
        <x:v>Most Likely</x:v>
      </x:c>
    </x:row>
    <x:row r="281">
      <x:c r="A281" t="str">
        <x:v>PJT_280</x:v>
      </x:c>
      <x:c r="B281" t="n">
        <x:v>19669000</x:v>
      </x:c>
      <x:c r="C281" t="n">
        <x:v>20431640</x:v>
      </x:c>
      <x:c r="D281" t="n">
        <x:v>762640</x:v>
      </x:c>
      <x:c r="E281" t="n">
        <x:v>0.0388</x:v>
      </x:c>
      <x:c r="F281" t="n">
        <x:v>340</x:v>
      </x:c>
      <x:c r="G281" t="n">
        <x:v>357</x:v>
      </x:c>
      <x:c r="H281" t="n">
        <x:v>17</x:v>
      </x:c>
      <x:c r="I281" t="n">
        <x:v>0.05</x:v>
      </x:c>
      <x:c r="J281" t="str">
        <x:v>Medium</x:v>
      </x:c>
      <x:c r="K281" t="n">
        <x:v>50.9</x:v>
      </x:c>
      <x:c r="L281" t="n">
        <x:v>44.9</x:v>
      </x:c>
      <x:c r="M281" t="n">
        <x:v>44.2</x:v>
      </x:c>
      <x:c r="N281" t="str">
        <x:v>Most Likely</x:v>
      </x:c>
      <x:c r="O281" t="str">
        <x:v>Most Likely</x:v>
      </x:c>
    </x:row>
    <x:row r="282">
      <x:c r="A282" t="str">
        <x:v>PJT_281</x:v>
      </x:c>
      <x:c r="B282" t="n">
        <x:v>75274560</x:v>
      </x:c>
      <x:c r="C282" t="n">
        <x:v>77997977</x:v>
      </x:c>
      <x:c r="D282" t="n">
        <x:v>2723417</x:v>
      </x:c>
      <x:c r="E282" t="n">
        <x:v>0.0362</x:v>
      </x:c>
      <x:c r="F282" t="n">
        <x:v>1542</x:v>
      </x:c>
      <x:c r="G282" t="n">
        <x:v>1596</x:v>
      </x:c>
      <x:c r="H282" t="n">
        <x:v>54</x:v>
      </x:c>
      <x:c r="I282" t="n">
        <x:v>0.035</x:v>
      </x:c>
      <x:c r="J282" t="str">
        <x:v>Medium</x:v>
      </x:c>
      <x:c r="K282" t="n">
        <x:v>65.6</x:v>
      </x:c>
      <x:c r="L282" t="n">
        <x:v>61</x:v>
      </x:c>
      <x:c r="M282" t="n">
        <x:v>65</x:v>
      </x:c>
      <x:c r="N282" t="str">
        <x:v>Most Likely</x:v>
      </x:c>
      <x:c r="O282" t="str">
        <x:v>Most Likely</x:v>
      </x:c>
    </x:row>
    <x:row r="283">
      <x:c r="A283" t="str">
        <x:v>PJT_282</x:v>
      </x:c>
      <x:c r="B283" t="n">
        <x:v>36706750</x:v>
      </x:c>
      <x:c r="C283" t="n">
        <x:v>39601393</x:v>
      </x:c>
      <x:c r="D283" t="n">
        <x:v>2894643</x:v>
      </x:c>
      <x:c r="E283" t="n">
        <x:v>0.0789</x:v>
      </x:c>
      <x:c r="F283" t="n">
        <x:v>680</x:v>
      </x:c>
      <x:c r="G283" t="n">
        <x:v>701</x:v>
      </x:c>
      <x:c r="H283" t="n">
        <x:v>21</x:v>
      </x:c>
      <x:c r="I283" t="n">
        <x:v>0.0309</x:v>
      </x:c>
      <x:c r="J283" t="str">
        <x:v>Medium</x:v>
      </x:c>
      <x:c r="K283" t="n">
        <x:v>50.9</x:v>
      </x:c>
      <x:c r="L283" t="n">
        <x:v>50.7</x:v>
      </x:c>
      <x:c r="M283" t="n">
        <x:v>43.7</x:v>
      </x:c>
      <x:c r="N283" t="str">
        <x:v>Most Likely</x:v>
      </x:c>
      <x:c r="O283" t="str">
        <x:v>Most Likely</x:v>
      </x:c>
    </x:row>
    <x:row r="284">
      <x:c r="A284" t="str">
        <x:v>PJT_283</x:v>
      </x:c>
      <x:c r="B284" t="n">
        <x:v>69952140</x:v>
      </x:c>
      <x:c r="C284" t="n">
        <x:v>75934225</x:v>
      </x:c>
      <x:c r="D284" t="n">
        <x:v>5982085</x:v>
      </x:c>
      <x:c r="E284" t="n">
        <x:v>0.0855</x:v>
      </x:c>
      <x:c r="F284" t="n">
        <x:v>1282</x:v>
      </x:c>
      <x:c r="G284" t="n">
        <x:v>1390</x:v>
      </x:c>
      <x:c r="H284" t="n">
        <x:v>108</x:v>
      </x:c>
      <x:c r="I284" t="n">
        <x:v>0.0842</x:v>
      </x:c>
      <x:c r="J284" t="str">
        <x:v>Medium</x:v>
      </x:c>
      <x:c r="K284" t="n">
        <x:v>58.1</x:v>
      </x:c>
      <x:c r="L284" t="n">
        <x:v>62.5</x:v>
      </x:c>
      <x:c r="M284" t="n">
        <x:v>58.8</x:v>
      </x:c>
      <x:c r="N284" t="str">
        <x:v>Most Likely</x:v>
      </x:c>
      <x:c r="O284" t="str">
        <x:v>Most Likely</x:v>
      </x:c>
    </x:row>
    <x:row r="285">
      <x:c r="A285" t="str">
        <x:v>PJT_284</x:v>
      </x:c>
      <x:c r="B285" t="n">
        <x:v>13592120</x:v>
      </x:c>
      <x:c r="C285" t="n">
        <x:v>13708135</x:v>
      </x:c>
      <x:c r="D285" t="n">
        <x:v>116015</x:v>
      </x:c>
      <x:c r="E285" t="n">
        <x:v>0.0085</x:v>
      </x:c>
      <x:c r="F285" t="n">
        <x:v>290</x:v>
      </x:c>
      <x:c r="G285" t="n">
        <x:v>309</x:v>
      </x:c>
      <x:c r="H285" t="n">
        <x:v>19</x:v>
      </x:c>
      <x:c r="I285" t="n">
        <x:v>0.0655</x:v>
      </x:c>
      <x:c r="J285" t="str">
        <x:v>Low</x:v>
      </x:c>
      <x:c r="K285" t="n">
        <x:v>34.3</x:v>
      </x:c>
      <x:c r="L285" t="n">
        <x:v>31.5</x:v>
      </x:c>
      <x:c r="M285" t="n">
        <x:v>30.5</x:v>
      </x:c>
      <x:c r="N285" t="str">
        <x:v>Most Likely</x:v>
      </x:c>
      <x:c r="O285" t="str">
        <x:v>Most Likely</x:v>
      </x:c>
    </x:row>
    <x:row r="286">
      <x:c r="A286" t="str">
        <x:v>PJT_285</x:v>
      </x:c>
      <x:c r="B286" t="n">
        <x:v>61036800</x:v>
      </x:c>
      <x:c r="C286" t="n">
        <x:v>70802688</x:v>
      </x:c>
      <x:c r="D286" t="n">
        <x:v>9765888</x:v>
      </x:c>
      <x:c r="E286" t="n">
        <x:v>0.16</x:v>
      </x:c>
      <x:c r="F286" t="n">
        <x:v>1018</x:v>
      </x:c>
      <x:c r="G286" t="n">
        <x:v>1048</x:v>
      </x:c>
      <x:c r="H286" t="n">
        <x:v>30</x:v>
      </x:c>
      <x:c r="I286" t="n">
        <x:v>0.0295</x:v>
      </x:c>
      <x:c r="J286" t="str">
        <x:v>Medium</x:v>
      </x:c>
      <x:c r="K286" t="n">
        <x:v>58.5</x:v>
      </x:c>
      <x:c r="L286" t="n">
        <x:v>61.1</x:v>
      </x:c>
      <x:c r="M286" t="n">
        <x:v>51.4</x:v>
      </x:c>
      <x:c r="N286" t="str">
        <x:v>Pessimistic</x:v>
      </x:c>
      <x:c r="O286" t="str">
        <x:v>Most Likely</x:v>
      </x:c>
    </x:row>
    <x:row r="287">
      <x:c r="A287" t="str">
        <x:v>PJT_286</x:v>
      </x:c>
      <x:c r="B287" t="n">
        <x:v>12184920</x:v>
      </x:c>
      <x:c r="C287" t="n">
        <x:v>12002202</x:v>
      </x:c>
      <x:c r="D287" t="n">
        <x:v>-182718</x:v>
      </x:c>
      <x:c r="E287" t="n">
        <x:v>-0.015</x:v>
      </x:c>
      <x:c r="F287" t="n">
        <x:v>221</x:v>
      </x:c>
      <x:c r="G287" t="n">
        <x:v>222</x:v>
      </x:c>
      <x:c r="H287" t="n">
        <x:v>1</x:v>
      </x:c>
      <x:c r="I287" t="n">
        <x:v>0.0045</x:v>
      </x:c>
      <x:c r="J287" t="str">
        <x:v>Low</x:v>
      </x:c>
      <x:c r="K287" t="n">
        <x:v>30.2</x:v>
      </x:c>
      <x:c r="L287" t="n">
        <x:v>31.4</x:v>
      </x:c>
      <x:c r="M287" t="n">
        <x:v>33.4</x:v>
      </x:c>
      <x:c r="N287" t="str">
        <x:v>Optimistic</x:v>
      </x:c>
      <x:c r="O287" t="str">
        <x:v>Most Likely</x:v>
      </x:c>
    </x:row>
    <x:row r="288">
      <x:c r="A288" t="str">
        <x:v>PJT_287</x:v>
      </x:c>
      <x:c r="B288" t="n">
        <x:v>34513570</x:v>
      </x:c>
      <x:c r="C288" t="n">
        <x:v>36689678</x:v>
      </x:c>
      <x:c r="D288" t="n">
        <x:v>2176108</x:v>
      </x:c>
      <x:c r="E288" t="n">
        <x:v>0.0631</x:v>
      </x:c>
      <x:c r="F288" t="n">
        <x:v>591</x:v>
      </x:c>
      <x:c r="G288" t="n">
        <x:v>586</x:v>
      </x:c>
      <x:c r="H288" t="n">
        <x:v>-5</x:v>
      </x:c>
      <x:c r="I288" t="n">
        <x:v>-0.0085</x:v>
      </x:c>
      <x:c r="J288" t="str">
        <x:v>Low</x:v>
      </x:c>
      <x:c r="K288" t="n">
        <x:v>43.6</x:v>
      </x:c>
      <x:c r="L288" t="n">
        <x:v>47.2</x:v>
      </x:c>
      <x:c r="M288" t="n">
        <x:v>44.8</x:v>
      </x:c>
      <x:c r="N288" t="str">
        <x:v>Most Likely</x:v>
      </x:c>
      <x:c r="O288" t="str">
        <x:v>Optimistic</x:v>
      </x:c>
    </x:row>
    <x:row r="289">
      <x:c r="A289" t="str">
        <x:v>PJT_288</x:v>
      </x:c>
      <x:c r="B289" t="n">
        <x:v>88773780</x:v>
      </x:c>
      <x:c r="C289" t="n">
        <x:v>98144601</x:v>
      </x:c>
      <x:c r="D289" t="n">
        <x:v>9370821</x:v>
      </x:c>
      <x:c r="E289" t="n">
        <x:v>0.1056</x:v>
      </x:c>
      <x:c r="F289" t="n">
        <x:v>1711</x:v>
      </x:c>
      <x:c r="G289" t="n">
        <x:v>1981</x:v>
      </x:c>
      <x:c r="H289" t="n">
        <x:v>270</x:v>
      </x:c>
      <x:c r="I289" t="n">
        <x:v>0.1578</x:v>
      </x:c>
      <x:c r="J289" t="str">
        <x:v>High</x:v>
      </x:c>
      <x:c r="K289" t="n">
        <x:v>71.3</x:v>
      </x:c>
      <x:c r="L289" t="n">
        <x:v>71.7</x:v>
      </x:c>
      <x:c r="M289" t="n">
        <x:v>68.7</x:v>
      </x:c>
      <x:c r="N289" t="str">
        <x:v>Pessimistic</x:v>
      </x:c>
      <x:c r="O289" t="str">
        <x:v>Pessimistic</x:v>
      </x:c>
    </x:row>
    <x:row r="290">
      <x:c r="A290" t="str">
        <x:v>PJT_289</x:v>
      </x:c>
      <x:c r="B290" t="n">
        <x:v>31421840</x:v>
      </x:c>
      <x:c r="C290" t="n">
        <x:v>32526547</x:v>
      </x:c>
      <x:c r="D290" t="n">
        <x:v>1104707</x:v>
      </x:c>
      <x:c r="E290" t="n">
        <x:v>0.0352</x:v>
      </x:c>
      <x:c r="F290" t="n">
        <x:v>487</x:v>
      </x:c>
      <x:c r="G290" t="n">
        <x:v>464</x:v>
      </x:c>
      <x:c r="H290" t="n">
        <x:v>-23</x:v>
      </x:c>
      <x:c r="I290" t="n">
        <x:v>-0.0472</x:v>
      </x:c>
      <x:c r="J290" t="str">
        <x:v>Low</x:v>
      </x:c>
      <x:c r="K290" t="n">
        <x:v>40.3</x:v>
      </x:c>
      <x:c r="L290" t="n">
        <x:v>41.5</x:v>
      </x:c>
      <x:c r="M290" t="n">
        <x:v>37.7</x:v>
      </x:c>
      <x:c r="N290" t="str">
        <x:v>Most Likely</x:v>
      </x:c>
      <x:c r="O290" t="str">
        <x:v>Optimistic</x:v>
      </x:c>
    </x:row>
    <x:row r="291">
      <x:c r="A291" t="str">
        <x:v>PJT_290</x:v>
      </x:c>
      <x:c r="B291" t="n">
        <x:v>53699020</x:v>
      </x:c>
      <x:c r="C291" t="n">
        <x:v>57285390</x:v>
      </x:c>
      <x:c r="D291" t="n">
        <x:v>3586370</x:v>
      </x:c>
      <x:c r="E291" t="n">
        <x:v>0.0668</x:v>
      </x:c>
      <x:c r="F291" t="n">
        <x:v>1054</x:v>
      </x:c>
      <x:c r="G291" t="n">
        <x:v>1109</x:v>
      </x:c>
      <x:c r="H291" t="n">
        <x:v>55</x:v>
      </x:c>
      <x:c r="I291" t="n">
        <x:v>0.0522</x:v>
      </x:c>
      <x:c r="J291" t="str">
        <x:v>Medium</x:v>
      </x:c>
      <x:c r="K291" t="n">
        <x:v>56.1</x:v>
      </x:c>
      <x:c r="L291" t="n">
        <x:v>60</x:v>
      </x:c>
      <x:c r="M291" t="n">
        <x:v>57.2</x:v>
      </x:c>
      <x:c r="N291" t="str">
        <x:v>Most Likely</x:v>
      </x:c>
      <x:c r="O291" t="str">
        <x:v>Most Likely</x:v>
      </x:c>
    </x:row>
    <x:row r="292">
      <x:c r="A292" t="str">
        <x:v>PJT_291</x:v>
      </x:c>
      <x:c r="B292" t="n">
        <x:v>13079630</x:v>
      </x:c>
      <x:c r="C292" t="n">
        <x:v>13587530</x:v>
      </x:c>
      <x:c r="D292" t="n">
        <x:v>507900</x:v>
      </x:c>
      <x:c r="E292" t="n">
        <x:v>0.0388</x:v>
      </x:c>
      <x:c r="F292" t="n">
        <x:v>317</x:v>
      </x:c>
      <x:c r="G292" t="n">
        <x:v>324</x:v>
      </x:c>
      <x:c r="H292" t="n">
        <x:v>7</x:v>
      </x:c>
      <x:c r="I292" t="n">
        <x:v>0.0221</x:v>
      </x:c>
      <x:c r="J292" t="str">
        <x:v>Medium</x:v>
      </x:c>
      <x:c r="K292" t="n">
        <x:v>50.2</x:v>
      </x:c>
      <x:c r="L292" t="n">
        <x:v>46.3</x:v>
      </x:c>
      <x:c r="M292" t="n">
        <x:v>50.9</x:v>
      </x:c>
      <x:c r="N292" t="str">
        <x:v>Most Likely</x:v>
      </x:c>
      <x:c r="O292" t="str">
        <x:v>Most Likely</x:v>
      </x:c>
    </x:row>
    <x:row r="293">
      <x:c r="A293" t="str">
        <x:v>PJT_292</x:v>
      </x:c>
      <x:c r="B293" t="n">
        <x:v>6389760</x:v>
      </x:c>
      <x:c r="C293" t="n">
        <x:v>6481714</x:v>
      </x:c>
      <x:c r="D293" t="n">
        <x:v>91954</x:v>
      </x:c>
      <x:c r="E293" t="n">
        <x:v>0.0144</x:v>
      </x:c>
      <x:c r="F293" t="n">
        <x:v>180</x:v>
      </x:c>
      <x:c r="G293" t="n">
        <x:v>182</x:v>
      </x:c>
      <x:c r="H293" t="n">
        <x:v>2</x:v>
      </x:c>
      <x:c r="I293" t="n">
        <x:v>0.0111</x:v>
      </x:c>
      <x:c r="J293" t="str">
        <x:v>Low</x:v>
      </x:c>
      <x:c r="K293" t="n">
        <x:v>24</x:v>
      </x:c>
      <x:c r="L293" t="n">
        <x:v>29.1</x:v>
      </x:c>
      <x:c r="M293" t="n">
        <x:v>24.8</x:v>
      </x:c>
      <x:c r="N293" t="str">
        <x:v>Most Likely</x:v>
      </x:c>
      <x:c r="O293" t="str">
        <x:v>Most Likely</x:v>
      </x:c>
    </x:row>
    <x:row r="294">
      <x:c r="A294" t="str">
        <x:v>PJT_293</x:v>
      </x:c>
      <x:c r="B294" t="n">
        <x:v>61491150</x:v>
      </x:c>
      <x:c r="C294" t="n">
        <x:v>66567854</x:v>
      </x:c>
      <x:c r="D294" t="n">
        <x:v>5076704</x:v>
      </x:c>
      <x:c r="E294" t="n">
        <x:v>0.0826</x:v>
      </x:c>
      <x:c r="F294" t="n">
        <x:v>1041</x:v>
      </x:c>
      <x:c r="G294" t="n">
        <x:v>1105</x:v>
      </x:c>
      <x:c r="H294" t="n">
        <x:v>64</x:v>
      </x:c>
      <x:c r="I294" t="n">
        <x:v>0.0615</x:v>
      </x:c>
      <x:c r="J294" t="str">
        <x:v>Medium</x:v>
      </x:c>
      <x:c r="K294" t="n">
        <x:v>52.5</x:v>
      </x:c>
      <x:c r="L294" t="n">
        <x:v>58.8</x:v>
      </x:c>
      <x:c r="M294" t="n">
        <x:v>49.9</x:v>
      </x:c>
      <x:c r="N294" t="str">
        <x:v>Most Likely</x:v>
      </x:c>
      <x:c r="O294" t="str">
        <x:v>Most Likely</x:v>
      </x:c>
    </x:row>
    <x:row r="295">
      <x:c r="A295" t="str">
        <x:v>PJT_294</x:v>
      </x:c>
      <x:c r="B295" t="n">
        <x:v>51898110</x:v>
      </x:c>
      <x:c r="C295" t="n">
        <x:v>54171277</x:v>
      </x:c>
      <x:c r="D295" t="n">
        <x:v>2273167</x:v>
      </x:c>
      <x:c r="E295" t="n">
        <x:v>0.0438</x:v>
      </x:c>
      <x:c r="F295" t="n">
        <x:v>989</x:v>
      </x:c>
      <x:c r="G295" t="n">
        <x:v>1023</x:v>
      </x:c>
      <x:c r="H295" t="n">
        <x:v>34</x:v>
      </x:c>
      <x:c r="I295" t="n">
        <x:v>0.0344</x:v>
      </x:c>
      <x:c r="J295" t="str">
        <x:v>Medium</x:v>
      </x:c>
      <x:c r="K295" t="n">
        <x:v>55</x:v>
      </x:c>
      <x:c r="L295" t="n">
        <x:v>52.2</x:v>
      </x:c>
      <x:c r="M295" t="n">
        <x:v>54.4</x:v>
      </x:c>
      <x:c r="N295" t="str">
        <x:v>Most Likely</x:v>
      </x:c>
      <x:c r="O295" t="str">
        <x:v>Most Likely</x:v>
      </x:c>
    </x:row>
    <x:row r="296">
      <x:c r="A296" t="str">
        <x:v>PJT_295</x:v>
      </x:c>
      <x:c r="B296" t="n">
        <x:v>30863780</x:v>
      </x:c>
      <x:c r="C296" t="n">
        <x:v>32570856</x:v>
      </x:c>
      <x:c r="D296" t="n">
        <x:v>1707076</x:v>
      </x:c>
      <x:c r="E296" t="n">
        <x:v>0.0553</x:v>
      </x:c>
      <x:c r="F296" t="n">
        <x:v>619</x:v>
      </x:c>
      <x:c r="G296" t="n">
        <x:v>667</x:v>
      </x:c>
      <x:c r="H296" t="n">
        <x:v>48</x:v>
      </x:c>
      <x:c r="I296" t="n">
        <x:v>0.0775</x:v>
      </x:c>
      <x:c r="J296" t="str">
        <x:v>Medium</x:v>
      </x:c>
      <x:c r="K296" t="n">
        <x:v>46.8</x:v>
      </x:c>
      <x:c r="L296" t="n">
        <x:v>52.5</x:v>
      </x:c>
      <x:c r="M296" t="n">
        <x:v>53.4</x:v>
      </x:c>
      <x:c r="N296" t="str">
        <x:v>Most Likely</x:v>
      </x:c>
      <x:c r="O296" t="str">
        <x:v>Most Likely</x:v>
      </x:c>
    </x:row>
    <x:row r="297">
      <x:c r="A297" t="str">
        <x:v>PJT_296</x:v>
      </x:c>
      <x:c r="B297" t="n">
        <x:v>73104600</x:v>
      </x:c>
      <x:c r="C297" t="n">
        <x:v>75458089</x:v>
      </x:c>
      <x:c r="D297" t="n">
        <x:v>2353489</x:v>
      </x:c>
      <x:c r="E297" t="n">
        <x:v>0.0322</x:v>
      </x:c>
      <x:c r="F297" t="n">
        <x:v>1402</x:v>
      </x:c>
      <x:c r="G297" t="n">
        <x:v>1559</x:v>
      </x:c>
      <x:c r="H297" t="n">
        <x:v>157</x:v>
      </x:c>
      <x:c r="I297" t="n">
        <x:v>0.112</x:v>
      </x:c>
      <x:c r="J297" t="str">
        <x:v>Medium</x:v>
      </x:c>
      <x:c r="K297" t="n">
        <x:v>61.8</x:v>
      </x:c>
      <x:c r="L297" t="n">
        <x:v>63</x:v>
      </x:c>
      <x:c r="M297" t="n">
        <x:v>61.7</x:v>
      </x:c>
      <x:c r="N297" t="str">
        <x:v>Most Likely</x:v>
      </x:c>
      <x:c r="O297" t="str">
        <x:v>Pessimistic</x:v>
      </x:c>
    </x:row>
    <x:row r="298">
      <x:c r="A298" t="str">
        <x:v>PJT_297</x:v>
      </x:c>
      <x:c r="B298" t="n">
        <x:v>32436140</x:v>
      </x:c>
      <x:c r="C298" t="n">
        <x:v>35207283</x:v>
      </x:c>
      <x:c r="D298" t="n">
        <x:v>2771143</x:v>
      </x:c>
      <x:c r="E298" t="n">
        <x:v>0.0854</x:v>
      </x:c>
      <x:c r="F298" t="n">
        <x:v>623</x:v>
      </x:c>
      <x:c r="G298" t="n">
        <x:v>670</x:v>
      </x:c>
      <x:c r="H298" t="n">
        <x:v>47</x:v>
      </x:c>
      <x:c r="I298" t="n">
        <x:v>0.0754</x:v>
      </x:c>
      <x:c r="J298" t="str">
        <x:v>Medium</x:v>
      </x:c>
      <x:c r="K298" t="n">
        <x:v>54</x:v>
      </x:c>
      <x:c r="L298" t="n">
        <x:v>50.9</x:v>
      </x:c>
      <x:c r="M298" t="n">
        <x:v>55</x:v>
      </x:c>
      <x:c r="N298" t="str">
        <x:v>Most Likely</x:v>
      </x:c>
      <x:c r="O298" t="str">
        <x:v>Most Likely</x:v>
      </x:c>
    </x:row>
    <x:row r="299">
      <x:c r="A299" t="str">
        <x:v>PJT_298</x:v>
      </x:c>
      <x:c r="B299" t="n">
        <x:v>5034400</x:v>
      </x:c>
      <x:c r="C299" t="n">
        <x:v>4966237</x:v>
      </x:c>
      <x:c r="D299" t="n">
        <x:v>-68163</x:v>
      </x:c>
      <x:c r="E299" t="n">
        <x:v>-0.0135</x:v>
      </x:c>
      <x:c r="F299" t="n">
        <x:v>180</x:v>
      </x:c>
      <x:c r="G299" t="n">
        <x:v>176</x:v>
      </x:c>
      <x:c r="H299" t="n">
        <x:v>-4</x:v>
      </x:c>
      <x:c r="I299" t="n">
        <x:v>-0.0222</x:v>
      </x:c>
      <x:c r="J299" t="str">
        <x:v>Low</x:v>
      </x:c>
      <x:c r="K299" t="n">
        <x:v>27.9</x:v>
      </x:c>
      <x:c r="L299" t="n">
        <x:v>29.3</x:v>
      </x:c>
      <x:c r="M299" t="n">
        <x:v>23.7</x:v>
      </x:c>
      <x:c r="N299" t="str">
        <x:v>Optimistic</x:v>
      </x:c>
      <x:c r="O299" t="str">
        <x:v>Optimistic</x:v>
      </x:c>
    </x:row>
    <x:row r="300">
      <x:c r="A300" t="str">
        <x:v>PJT_299</x:v>
      </x:c>
      <x:c r="B300" t="n">
        <x:v>10896480</x:v>
      </x:c>
      <x:c r="C300" t="n">
        <x:v>10614496</x:v>
      </x:c>
      <x:c r="D300" t="n">
        <x:v>-281984</x:v>
      </x:c>
      <x:c r="E300" t="n">
        <x:v>-0.0259</x:v>
      </x:c>
      <x:c r="F300" t="n">
        <x:v>180</x:v>
      </x:c>
      <x:c r="G300" t="n">
        <x:v>176</x:v>
      </x:c>
      <x:c r="H300" t="n">
        <x:v>-4</x:v>
      </x:c>
      <x:c r="I300" t="n">
        <x:v>-0.0222</x:v>
      </x:c>
      <x:c r="J300" t="str">
        <x:v>Low</x:v>
      </x:c>
      <x:c r="K300" t="n">
        <x:v>34.7</x:v>
      </x:c>
      <x:c r="L300" t="n">
        <x:v>32.5</x:v>
      </x:c>
      <x:c r="M300" t="n">
        <x:v>34.4</x:v>
      </x:c>
      <x:c r="N300" t="str">
        <x:v>Optimistic</x:v>
      </x:c>
      <x:c r="O300" t="str">
        <x:v>Optimistic</x:v>
      </x:c>
    </x:row>
    <x:row r="301">
      <x:c r="A301" t="str">
        <x:v>PJT_300</x:v>
      </x:c>
      <x:c r="B301" t="n">
        <x:v>18038280</x:v>
      </x:c>
      <x:c r="C301" t="n">
        <x:v>18047606</x:v>
      </x:c>
      <x:c r="D301" t="n">
        <x:v>9326</x:v>
      </x:c>
      <x:c r="E301" t="n">
        <x:v>0.0005</x:v>
      </x:c>
      <x:c r="F301" t="n">
        <x:v>371</x:v>
      </x:c>
      <x:c r="G301" t="n">
        <x:v>386</x:v>
      </x:c>
      <x:c r="H301" t="n">
        <x:v>15</x:v>
      </x:c>
      <x:c r="I301" t="n">
        <x:v>0.0404</x:v>
      </x:c>
      <x:c r="J301" t="str">
        <x:v>Low</x:v>
      </x:c>
      <x:c r="K301" t="n">
        <x:v>33.8</x:v>
      </x:c>
      <x:c r="L301" t="n">
        <x:v>29.9</x:v>
      </x:c>
      <x:c r="M301" t="n">
        <x:v>33.5</x:v>
      </x:c>
      <x:c r="N301" t="str">
        <x:v>Most Likely</x:v>
      </x:c>
      <x:c r="O301" t="str">
        <x:v>Most Likely</x:v>
      </x:c>
    </x:row>
    <x:row r="302">
      <x:c r="A302" t="str">
        <x:v>PJT_301</x:v>
      </x:c>
      <x:c r="B302" t="n">
        <x:v>19057590</x:v>
      </x:c>
      <x:c r="C302" t="n">
        <x:v>20089431</x:v>
      </x:c>
      <x:c r="D302" t="n">
        <x:v>1031841</x:v>
      </x:c>
      <x:c r="E302" t="n">
        <x:v>0.0541</x:v>
      </x:c>
      <x:c r="F302" t="n">
        <x:v>354</x:v>
      </x:c>
      <x:c r="G302" t="n">
        <x:v>390</x:v>
      </x:c>
      <x:c r="H302" t="n">
        <x:v>36</x:v>
      </x:c>
      <x:c r="I302" t="n">
        <x:v>0.1017</x:v>
      </x:c>
      <x:c r="J302" t="str">
        <x:v>Medium</x:v>
      </x:c>
      <x:c r="K302" t="n">
        <x:v>45</x:v>
      </x:c>
      <x:c r="L302" t="n">
        <x:v>51.4</x:v>
      </x:c>
      <x:c r="M302" t="n">
        <x:v>46.1</x:v>
      </x:c>
      <x:c r="N302" t="str">
        <x:v>Most Likely</x:v>
      </x:c>
      <x:c r="O302" t="str">
        <x:v>Pessimistic</x:v>
      </x:c>
    </x:row>
    <x:row r="303">
      <x:c r="A303" t="str">
        <x:v>PJT_302</x:v>
      </x:c>
      <x:c r="B303" t="n">
        <x:v>46700540</x:v>
      </x:c>
      <x:c r="C303" t="n">
        <x:v>47929452</x:v>
      </x:c>
      <x:c r="D303" t="n">
        <x:v>1228912</x:v>
      </x:c>
      <x:c r="E303" t="n">
        <x:v>0.0263</x:v>
      </x:c>
      <x:c r="F303" t="n">
        <x:v>827</x:v>
      </x:c>
      <x:c r="G303" t="n">
        <x:v>833</x:v>
      </x:c>
      <x:c r="H303" t="n">
        <x:v>6</x:v>
      </x:c>
      <x:c r="I303" t="n">
        <x:v>0.0073</x:v>
      </x:c>
      <x:c r="J303" t="str">
        <x:v>Medium</x:v>
      </x:c>
      <x:c r="K303" t="n">
        <x:v>48</x:v>
      </x:c>
      <x:c r="L303" t="n">
        <x:v>50.1</x:v>
      </x:c>
      <x:c r="M303" t="n">
        <x:v>46</x:v>
      </x:c>
      <x:c r="N303" t="str">
        <x:v>Most Likely</x:v>
      </x:c>
      <x:c r="O303" t="str">
        <x:v>Most Likely</x:v>
      </x:c>
    </x:row>
    <x:row r="304">
      <x:c r="A304" t="str">
        <x:v>PJT_303</x:v>
      </x:c>
      <x:c r="B304" t="n">
        <x:v>95204160</x:v>
      </x:c>
      <x:c r="C304" t="n">
        <x:v>103523416</x:v>
      </x:c>
      <x:c r="D304" t="n">
        <x:v>8319256</x:v>
      </x:c>
      <x:c r="E304" t="n">
        <x:v>0.0874</x:v>
      </x:c>
      <x:c r="F304" t="n">
        <x:v>2024</x:v>
      </x:c>
      <x:c r="G304" t="n">
        <x:v>2123</x:v>
      </x:c>
      <x:c r="H304" t="n">
        <x:v>99</x:v>
      </x:c>
      <x:c r="I304" t="n">
        <x:v>0.0489</x:v>
      </x:c>
      <x:c r="J304" t="str">
        <x:v>Medium</x:v>
      </x:c>
      <x:c r="K304" t="n">
        <x:v>63.8</x:v>
      </x:c>
      <x:c r="L304" t="n">
        <x:v>56.8</x:v>
      </x:c>
      <x:c r="M304" t="n">
        <x:v>66.5</x:v>
      </x:c>
      <x:c r="N304" t="str">
        <x:v>Most Likely</x:v>
      </x:c>
      <x:c r="O304" t="str">
        <x:v>Most Likely</x:v>
      </x:c>
    </x:row>
    <x:row r="305">
      <x:c r="A305" t="str">
        <x:v>PJT_304</x:v>
      </x:c>
      <x:c r="B305" t="n">
        <x:v>63589680</x:v>
      </x:c>
      <x:c r="C305" t="n">
        <x:v>69283863</x:v>
      </x:c>
      <x:c r="D305" t="n">
        <x:v>5694183</x:v>
      </x:c>
      <x:c r="E305" t="n">
        <x:v>0.0895</x:v>
      </x:c>
      <x:c r="F305" t="n">
        <x:v>1301</x:v>
      </x:c>
      <x:c r="G305" t="n">
        <x:v>1373</x:v>
      </x:c>
      <x:c r="H305" t="n">
        <x:v>72</x:v>
      </x:c>
      <x:c r="I305" t="n">
        <x:v>0.0553</x:v>
      </x:c>
      <x:c r="J305" t="str">
        <x:v>Medium</x:v>
      </x:c>
      <x:c r="K305" t="n">
        <x:v>64.1</x:v>
      </x:c>
      <x:c r="L305" t="n">
        <x:v>63.2</x:v>
      </x:c>
      <x:c r="M305" t="n">
        <x:v>58.2</x:v>
      </x:c>
      <x:c r="N305" t="str">
        <x:v>Most Likely</x:v>
      </x:c>
      <x:c r="O305" t="str">
        <x:v>Most Likely</x:v>
      </x:c>
    </x:row>
    <x:row r="306">
      <x:c r="A306" t="str">
        <x:v>PJT_305</x:v>
      </x:c>
      <x:c r="B306" t="n">
        <x:v>47553000</x:v>
      </x:c>
      <x:c r="C306" t="n">
        <x:v>50326035</x:v>
      </x:c>
      <x:c r="D306" t="n">
        <x:v>2773035</x:v>
      </x:c>
      <x:c r="E306" t="n">
        <x:v>0.0583</x:v>
      </x:c>
      <x:c r="F306" t="n">
        <x:v>848</x:v>
      </x:c>
      <x:c r="G306" t="n">
        <x:v>915</x:v>
      </x:c>
      <x:c r="H306" t="n">
        <x:v>67</x:v>
      </x:c>
      <x:c r="I306" t="n">
        <x:v>0.079</x:v>
      </x:c>
      <x:c r="J306" t="str">
        <x:v>Medium</x:v>
      </x:c>
      <x:c r="K306" t="n">
        <x:v>49.6</x:v>
      </x:c>
      <x:c r="L306" t="n">
        <x:v>55.8</x:v>
      </x:c>
      <x:c r="M306" t="n">
        <x:v>53</x:v>
      </x:c>
      <x:c r="N306" t="str">
        <x:v>Most Likely</x:v>
      </x:c>
      <x:c r="O306" t="str">
        <x:v>Most Likely</x:v>
      </x:c>
    </x:row>
    <x:row r="307">
      <x:c r="A307" t="str">
        <x:v>PJT_306</x:v>
      </x:c>
      <x:c r="B307" t="n">
        <x:v>56531760</x:v>
      </x:c>
      <x:c r="C307" t="n">
        <x:v>63195774</x:v>
      </x:c>
      <x:c r="D307" t="n">
        <x:v>6664014</x:v>
      </x:c>
      <x:c r="E307" t="n">
        <x:v>0.1179</x:v>
      </x:c>
      <x:c r="F307" t="n">
        <x:v>1052</x:v>
      </x:c>
      <x:c r="G307" t="n">
        <x:v>1158</x:v>
      </x:c>
      <x:c r="H307" t="n">
        <x:v>106</x:v>
      </x:c>
      <x:c r="I307" t="n">
        <x:v>0.1008</x:v>
      </x:c>
      <x:c r="J307" t="str">
        <x:v>Medium</x:v>
      </x:c>
      <x:c r="K307" t="n">
        <x:v>57.2</x:v>
      </x:c>
      <x:c r="L307" t="n">
        <x:v>60.2</x:v>
      </x:c>
      <x:c r="M307" t="n">
        <x:v>55.7</x:v>
      </x:c>
      <x:c r="N307" t="str">
        <x:v>Pessimistic</x:v>
      </x:c>
      <x:c r="O307" t="str">
        <x:v>Pessimistic</x:v>
      </x:c>
    </x:row>
    <x:row r="308">
      <x:c r="A308" t="str">
        <x:v>PJT_307</x:v>
      </x:c>
      <x:c r="B308" t="n">
        <x:v>49111790</x:v>
      </x:c>
      <x:c r="C308" t="n">
        <x:v>51411080</x:v>
      </x:c>
      <x:c r="D308" t="n">
        <x:v>2299290</x:v>
      </x:c>
      <x:c r="E308" t="n">
        <x:v>0.0468</x:v>
      </x:c>
      <x:c r="F308" t="n">
        <x:v>830</x:v>
      </x:c>
      <x:c r="G308" t="n">
        <x:v>868</x:v>
      </x:c>
      <x:c r="H308" t="n">
        <x:v>38</x:v>
      </x:c>
      <x:c r="I308" t="n">
        <x:v>0.0458</x:v>
      </x:c>
      <x:c r="J308" t="str">
        <x:v>Medium</x:v>
      </x:c>
      <x:c r="K308" t="n">
        <x:v>45.4</x:v>
      </x:c>
      <x:c r="L308" t="n">
        <x:v>51.4</x:v>
      </x:c>
      <x:c r="M308" t="n">
        <x:v>49</x:v>
      </x:c>
      <x:c r="N308" t="str">
        <x:v>Most Likely</x:v>
      </x:c>
      <x:c r="O308" t="str">
        <x:v>Most Likely</x:v>
      </x:c>
    </x:row>
    <x:row r="309">
      <x:c r="A309" t="str">
        <x:v>PJT_308</x:v>
      </x:c>
      <x:c r="B309" t="n">
        <x:v>96079200</x:v>
      </x:c>
      <x:c r="C309" t="n">
        <x:v>101953280</x:v>
      </x:c>
      <x:c r="D309" t="n">
        <x:v>5874080</x:v>
      </x:c>
      <x:c r="E309" t="n">
        <x:v>0.0611</x:v>
      </x:c>
      <x:c r="F309" t="n">
        <x:v>1485</x:v>
      </x:c>
      <x:c r="G309" t="n">
        <x:v>1559</x:v>
      </x:c>
      <x:c r="H309" t="n">
        <x:v>74</x:v>
      </x:c>
      <x:c r="I309" t="n">
        <x:v>0.0498</x:v>
      </x:c>
      <x:c r="J309" t="str">
        <x:v>Medium</x:v>
      </x:c>
      <x:c r="K309" t="n">
        <x:v>60.4</x:v>
      </x:c>
      <x:c r="L309" t="n">
        <x:v>65.2</x:v>
      </x:c>
      <x:c r="M309" t="n">
        <x:v>54</x:v>
      </x:c>
      <x:c r="N309" t="str">
        <x:v>Most Likely</x:v>
      </x:c>
      <x:c r="O309" t="str">
        <x:v>Most Likely</x:v>
      </x:c>
    </x:row>
    <x:row r="310">
      <x:c r="A310" t="str">
        <x:v>PJT_309</x:v>
      </x:c>
      <x:c r="B310" t="n">
        <x:v>99347200</x:v>
      </x:c>
      <x:c r="C310" t="n">
        <x:v>103247830</x:v>
      </x:c>
      <x:c r="D310" t="n">
        <x:v>3900630</x:v>
      </x:c>
      <x:c r="E310" t="n">
        <x:v>0.0393</x:v>
      </x:c>
      <x:c r="F310" t="n">
        <x:v>1854</x:v>
      </x:c>
      <x:c r="G310" t="n">
        <x:v>1972</x:v>
      </x:c>
      <x:c r="H310" t="n">
        <x:v>118</x:v>
      </x:c>
      <x:c r="I310" t="n">
        <x:v>0.0636</x:v>
      </x:c>
      <x:c r="J310" t="str">
        <x:v>Medium</x:v>
      </x:c>
      <x:c r="K310" t="n">
        <x:v>60.6</x:v>
      </x:c>
      <x:c r="L310" t="n">
        <x:v>64.7</x:v>
      </x:c>
      <x:c r="M310" t="n">
        <x:v>60.9</x:v>
      </x:c>
      <x:c r="N310" t="str">
        <x:v>Most Likely</x:v>
      </x:c>
      <x:c r="O310" t="str">
        <x:v>Most Likely</x:v>
      </x:c>
    </x:row>
    <x:row r="311">
      <x:c r="A311" t="str">
        <x:v>PJT_310</x:v>
      </x:c>
      <x:c r="B311" t="n">
        <x:v>29850520</x:v>
      </x:c>
      <x:c r="C311" t="n">
        <x:v>32647075</x:v>
      </x:c>
      <x:c r="D311" t="n">
        <x:v>2796555</x:v>
      </x:c>
      <x:c r="E311" t="n">
        <x:v>0.0937</x:v>
      </x:c>
      <x:c r="F311" t="n">
        <x:v>545</x:v>
      </x:c>
      <x:c r="G311" t="n">
        <x:v>524</x:v>
      </x:c>
      <x:c r="H311" t="n">
        <x:v>-21</x:v>
      </x:c>
      <x:c r="I311" t="n">
        <x:v>-0.0385</x:v>
      </x:c>
      <x:c r="J311" t="str">
        <x:v>Medium</x:v>
      </x:c>
      <x:c r="K311" t="n">
        <x:v>47.2</x:v>
      </x:c>
      <x:c r="L311" t="n">
        <x:v>54</x:v>
      </x:c>
      <x:c r="M311" t="n">
        <x:v>47.3</x:v>
      </x:c>
      <x:c r="N311" t="str">
        <x:v>Most Likely</x:v>
      </x:c>
      <x:c r="O311" t="str">
        <x:v>Optimistic</x:v>
      </x:c>
    </x:row>
    <x:row r="312">
      <x:c r="A312" t="str">
        <x:v>PJT_311</x:v>
      </x:c>
      <x:c r="B312" t="n">
        <x:v>9602130</x:v>
      </x:c>
      <x:c r="C312" t="n">
        <x:v>9298859</x:v>
      </x:c>
      <x:c r="D312" t="n">
        <x:v>-303271</x:v>
      </x:c>
      <x:c r="E312" t="n">
        <x:v>-0.0316</x:v>
      </x:c>
      <x:c r="F312" t="n">
        <x:v>271</x:v>
      </x:c>
      <x:c r="G312" t="n">
        <x:v>279</x:v>
      </x:c>
      <x:c r="H312" t="n">
        <x:v>8</x:v>
      </x:c>
      <x:c r="I312" t="n">
        <x:v>0.0295</x:v>
      </x:c>
      <x:c r="J312" t="str">
        <x:v>Low</x:v>
      </x:c>
      <x:c r="K312" t="n">
        <x:v>33</x:v>
      </x:c>
      <x:c r="L312" t="n">
        <x:v>31.6</x:v>
      </x:c>
      <x:c r="M312" t="n">
        <x:v>37.5</x:v>
      </x:c>
      <x:c r="N312" t="str">
        <x:v>Optimistic</x:v>
      </x:c>
      <x:c r="O312" t="str">
        <x:v>Most Likely</x:v>
      </x:c>
    </x:row>
    <x:row r="313">
      <x:c r="A313" t="str">
        <x:v>PJT_312</x:v>
      </x:c>
      <x:c r="B313" t="n">
        <x:v>79181120</x:v>
      </x:c>
      <x:c r="C313" t="n">
        <x:v>87540792</x:v>
      </x:c>
      <x:c r="D313" t="n">
        <x:v>8359672</x:v>
      </x:c>
      <x:c r="E313" t="n">
        <x:v>0.1056</x:v>
      </x:c>
      <x:c r="F313" t="n">
        <x:v>1551</x:v>
      </x:c>
      <x:c r="G313" t="n">
        <x:v>1632</x:v>
      </x:c>
      <x:c r="H313" t="n">
        <x:v>81</x:v>
      </x:c>
      <x:c r="I313" t="n">
        <x:v>0.0522</x:v>
      </x:c>
      <x:c r="J313" t="str">
        <x:v>Medium</x:v>
      </x:c>
      <x:c r="K313" t="n">
        <x:v>62</x:v>
      </x:c>
      <x:c r="L313" t="n">
        <x:v>66.7</x:v>
      </x:c>
      <x:c r="M313" t="n">
        <x:v>58.1</x:v>
      </x:c>
      <x:c r="N313" t="str">
        <x:v>Pessimistic</x:v>
      </x:c>
      <x:c r="O313" t="str">
        <x:v>Most Likely</x:v>
      </x:c>
    </x:row>
    <x:row r="314">
      <x:c r="A314" t="str">
        <x:v>PJT_313</x:v>
      </x:c>
      <x:c r="B314" t="n">
        <x:v>67041920</x:v>
      </x:c>
      <x:c r="C314" t="n">
        <x:v>73078955</x:v>
      </x:c>
      <x:c r="D314" t="n">
        <x:v>6037035</x:v>
      </x:c>
      <x:c r="E314" t="n">
        <x:v>0.09</x:v>
      </x:c>
      <x:c r="F314" t="n">
        <x:v>1189</x:v>
      </x:c>
      <x:c r="G314" t="n">
        <x:v>1292</x:v>
      </x:c>
      <x:c r="H314" t="n">
        <x:v>103</x:v>
      </x:c>
      <x:c r="I314" t="n">
        <x:v>0.0866</x:v>
      </x:c>
      <x:c r="J314" t="str">
        <x:v>Medium</x:v>
      </x:c>
      <x:c r="K314" t="n">
        <x:v>48.5</x:v>
      </x:c>
      <x:c r="L314" t="n">
        <x:v>48.8</x:v>
      </x:c>
      <x:c r="M314" t="n">
        <x:v>50.1</x:v>
      </x:c>
      <x:c r="N314" t="str">
        <x:v>Most Likely</x:v>
      </x:c>
      <x:c r="O314" t="str">
        <x:v>Most Likely</x:v>
      </x:c>
    </x:row>
    <x:row r="315">
      <x:c r="A315" t="str">
        <x:v>PJT_314</x:v>
      </x:c>
      <x:c r="B315" t="n">
        <x:v>26632320</x:v>
      </x:c>
      <x:c r="C315" t="n">
        <x:v>27496544</x:v>
      </x:c>
      <x:c r="D315" t="n">
        <x:v>864224</x:v>
      </x:c>
      <x:c r="E315" t="n">
        <x:v>0.0325</x:v>
      </x:c>
      <x:c r="F315" t="n">
        <x:v>537</x:v>
      </x:c>
      <x:c r="G315" t="n">
        <x:v>571</x:v>
      </x:c>
      <x:c r="H315" t="n">
        <x:v>34</x:v>
      </x:c>
      <x:c r="I315" t="n">
        <x:v>0.0633</x:v>
      </x:c>
      <x:c r="J315" t="str">
        <x:v>Medium</x:v>
      </x:c>
      <x:c r="K315" t="n">
        <x:v>50.5</x:v>
      </x:c>
      <x:c r="L315" t="n">
        <x:v>55.6</x:v>
      </x:c>
      <x:c r="M315" t="n">
        <x:v>53.1</x:v>
      </x:c>
      <x:c r="N315" t="str">
        <x:v>Most Likely</x:v>
      </x:c>
      <x:c r="O315" t="str">
        <x:v>Most Likely</x:v>
      </x:c>
    </x:row>
    <x:row r="316">
      <x:c r="A316" t="str">
        <x:v>PJT_315</x:v>
      </x:c>
      <x:c r="B316" t="n">
        <x:v>16731150</x:v>
      </x:c>
      <x:c r="C316" t="n">
        <x:v>17799047</x:v>
      </x:c>
      <x:c r="D316" t="n">
        <x:v>1067897</x:v>
      </x:c>
      <x:c r="E316" t="n">
        <x:v>0.0638</x:v>
      </x:c>
      <x:c r="F316" t="n">
        <x:v>391</x:v>
      </x:c>
      <x:c r="G316" t="n">
        <x:v>410</x:v>
      </x:c>
      <x:c r="H316" t="n">
        <x:v>19</x:v>
      </x:c>
      <x:c r="I316" t="n">
        <x:v>0.0486</x:v>
      </x:c>
      <x:c r="J316" t="str">
        <x:v>Low</x:v>
      </x:c>
      <x:c r="K316" t="n">
        <x:v>38.2</x:v>
      </x:c>
      <x:c r="L316" t="n">
        <x:v>41.2</x:v>
      </x:c>
      <x:c r="M316" t="n">
        <x:v>39</x:v>
      </x:c>
      <x:c r="N316" t="str">
        <x:v>Most Likely</x:v>
      </x:c>
      <x:c r="O316" t="str">
        <x:v>Most Likely</x:v>
      </x:c>
    </x:row>
    <x:row r="317">
      <x:c r="A317" t="str">
        <x:v>PJT_316</x:v>
      </x:c>
      <x:c r="B317" t="n">
        <x:v>16597620</x:v>
      </x:c>
      <x:c r="C317" t="n">
        <x:v>16240982</x:v>
      </x:c>
      <x:c r="D317" t="n">
        <x:v>-356638</x:v>
      </x:c>
      <x:c r="E317" t="n">
        <x:v>-0.0215</x:v>
      </x:c>
      <x:c r="F317" t="n">
        <x:v>333</x:v>
      </x:c>
      <x:c r="G317" t="n">
        <x:v>336</x:v>
      </x:c>
      <x:c r="H317" t="n">
        <x:v>3</x:v>
      </x:c>
      <x:c r="I317" t="n">
        <x:v>0.009</x:v>
      </x:c>
      <x:c r="J317" t="str">
        <x:v>Low</x:v>
      </x:c>
      <x:c r="K317" t="n">
        <x:v>33.6</x:v>
      </x:c>
      <x:c r="L317" t="n">
        <x:v>29.7</x:v>
      </x:c>
      <x:c r="M317" t="n">
        <x:v>35.7</x:v>
      </x:c>
      <x:c r="N317" t="str">
        <x:v>Optimistic</x:v>
      </x:c>
      <x:c r="O317" t="str">
        <x:v>Most Likely</x:v>
      </x:c>
    </x:row>
    <x:row r="318">
      <x:c r="A318" t="str">
        <x:v>PJT_317</x:v>
      </x:c>
      <x:c r="B318" t="n">
        <x:v>108049200</x:v>
      </x:c>
      <x:c r="C318" t="n">
        <x:v>114704097</x:v>
      </x:c>
      <x:c r="D318" t="n">
        <x:v>6654897</x:v>
      </x:c>
      <x:c r="E318" t="n">
        <x:v>0.0616</x:v>
      </x:c>
      <x:c r="F318" t="n">
        <x:v>1760</x:v>
      </x:c>
      <x:c r="G318" t="n">
        <x:v>1899</x:v>
      </x:c>
      <x:c r="H318" t="n">
        <x:v>139</x:v>
      </x:c>
      <x:c r="I318" t="n">
        <x:v>0.079</x:v>
      </x:c>
      <x:c r="J318" t="str">
        <x:v>Medium</x:v>
      </x:c>
      <x:c r="K318" t="n">
        <x:v>53.1</x:v>
      </x:c>
      <x:c r="L318" t="n">
        <x:v>61.4</x:v>
      </x:c>
      <x:c r="M318" t="n">
        <x:v>56</x:v>
      </x:c>
      <x:c r="N318" t="str">
        <x:v>Most Likely</x:v>
      </x:c>
      <x:c r="O318" t="str">
        <x:v>Most Likely</x:v>
      </x:c>
    </x:row>
    <x:row r="319">
      <x:c r="A319" t="str">
        <x:v>PJT_318</x:v>
      </x:c>
      <x:c r="B319" t="n">
        <x:v>19482980</x:v>
      </x:c>
      <x:c r="C319" t="n">
        <x:v>20373347</x:v>
      </x:c>
      <x:c r="D319" t="n">
        <x:v>890367</x:v>
      </x:c>
      <x:c r="E319" t="n">
        <x:v>0.0457</x:v>
      </x:c>
      <x:c r="F319" t="n">
        <x:v>467</x:v>
      </x:c>
      <x:c r="G319" t="n">
        <x:v>489</x:v>
      </x:c>
      <x:c r="H319" t="n">
        <x:v>22</x:v>
      </x:c>
      <x:c r="I319" t="n">
        <x:v>0.0471</x:v>
      </x:c>
      <x:c r="J319" t="str">
        <x:v>Low</x:v>
      </x:c>
      <x:c r="K319" t="n">
        <x:v>38.2</x:v>
      </x:c>
      <x:c r="L319" t="n">
        <x:v>43.2</x:v>
      </x:c>
      <x:c r="M319" t="n">
        <x:v>37.5</x:v>
      </x:c>
      <x:c r="N319" t="str">
        <x:v>Most Likely</x:v>
      </x:c>
      <x:c r="O319" t="str">
        <x:v>Most Likely</x:v>
      </x:c>
    </x:row>
    <x:row r="320">
      <x:c r="A320" t="str">
        <x:v>PJT_319</x:v>
      </x:c>
      <x:c r="B320" t="n">
        <x:v>21110900</x:v>
      </x:c>
      <x:c r="C320" t="n">
        <x:v>21321991</x:v>
      </x:c>
      <x:c r="D320" t="n">
        <x:v>211091</x:v>
      </x:c>
      <x:c r="E320" t="n">
        <x:v>0.01</x:v>
      </x:c>
      <x:c r="F320" t="n">
        <x:v>557</x:v>
      </x:c>
      <x:c r="G320" t="n">
        <x:v>549</x:v>
      </x:c>
      <x:c r="H320" t="n">
        <x:v>-8</x:v>
      </x:c>
      <x:c r="I320" t="n">
        <x:v>-0.0144</x:v>
      </x:c>
      <x:c r="J320" t="str">
        <x:v>Low</x:v>
      </x:c>
      <x:c r="K320" t="n">
        <x:v>41.1</x:v>
      </x:c>
      <x:c r="L320" t="n">
        <x:v>45.8</x:v>
      </x:c>
      <x:c r="M320" t="n">
        <x:v>45.5</x:v>
      </x:c>
      <x:c r="N320" t="str">
        <x:v>Most Likely</x:v>
      </x:c>
      <x:c r="O320" t="str">
        <x:v>Optimistic</x:v>
      </x:c>
    </x:row>
    <x:row r="321">
      <x:c r="A321" t="str">
        <x:v>PJT_320</x:v>
      </x:c>
      <x:c r="B321" t="n">
        <x:v>46913000</x:v>
      </x:c>
      <x:c r="C321" t="n">
        <x:v>50214631</x:v>
      </x:c>
      <x:c r="D321" t="n">
        <x:v>3301631</x:v>
      </x:c>
      <x:c r="E321" t="n">
        <x:v>0.0704</x:v>
      </x:c>
      <x:c r="F321" t="n">
        <x:v>948</x:v>
      </x:c>
      <x:c r="G321" t="n">
        <x:v>988</x:v>
      </x:c>
      <x:c r="H321" t="n">
        <x:v>40</x:v>
      </x:c>
      <x:c r="I321" t="n">
        <x:v>0.0422</x:v>
      </x:c>
      <x:c r="J321" t="str">
        <x:v>Low</x:v>
      </x:c>
      <x:c r="K321" t="n">
        <x:v>37.7</x:v>
      </x:c>
      <x:c r="L321" t="n">
        <x:v>38.5</x:v>
      </x:c>
      <x:c r="M321" t="n">
        <x:v>38.1</x:v>
      </x:c>
      <x:c r="N321" t="str">
        <x:v>Most Likely</x:v>
      </x:c>
      <x:c r="O321" t="str">
        <x:v>Most Likely</x:v>
      </x:c>
    </x:row>
    <x:row r="322">
      <x:c r="A322" t="str">
        <x:v>PJT_321</x:v>
      </x:c>
      <x:c r="B322" t="n">
        <x:v>17119890</x:v>
      </x:c>
      <x:c r="C322" t="n">
        <x:v>16715406</x:v>
      </x:c>
      <x:c r="D322" t="n">
        <x:v>-404484</x:v>
      </x:c>
      <x:c r="E322" t="n">
        <x:v>-0.0236</x:v>
      </x:c>
      <x:c r="F322" t="n">
        <x:v>345</x:v>
      </x:c>
      <x:c r="G322" t="n">
        <x:v>332</x:v>
      </x:c>
      <x:c r="H322" t="n">
        <x:v>-13</x:v>
      </x:c>
      <x:c r="I322" t="n">
        <x:v>-0.0377</x:v>
      </x:c>
      <x:c r="J322" t="str">
        <x:v>Low</x:v>
      </x:c>
      <x:c r="K322" t="n">
        <x:v>26.8</x:v>
      </x:c>
      <x:c r="L322" t="n">
        <x:v>26.7</x:v>
      </x:c>
      <x:c r="M322" t="n">
        <x:v>24.8</x:v>
      </x:c>
      <x:c r="N322" t="str">
        <x:v>Optimistic</x:v>
      </x:c>
      <x:c r="O322" t="str">
        <x:v>Optimistic</x:v>
      </x:c>
    </x:row>
    <x:row r="323">
      <x:c r="A323" t="str">
        <x:v>PJT_322</x:v>
      </x:c>
      <x:c r="B323" t="n">
        <x:v>66804750</x:v>
      </x:c>
      <x:c r="C323" t="n">
        <x:v>71401832</x:v>
      </x:c>
      <x:c r="D323" t="n">
        <x:v>4597082</x:v>
      </x:c>
      <x:c r="E323" t="n">
        <x:v>0.0688</x:v>
      </x:c>
      <x:c r="F323" t="n">
        <x:v>1029</x:v>
      </x:c>
      <x:c r="G323" t="n">
        <x:v>1084</x:v>
      </x:c>
      <x:c r="H323" t="n">
        <x:v>55</x:v>
      </x:c>
      <x:c r="I323" t="n">
        <x:v>0.0534</x:v>
      </x:c>
      <x:c r="J323" t="str">
        <x:v>Medium</x:v>
      </x:c>
      <x:c r="K323" t="n">
        <x:v>55.9</x:v>
      </x:c>
      <x:c r="L323" t="n">
        <x:v>58.4</x:v>
      </x:c>
      <x:c r="M323" t="n">
        <x:v>52.2</x:v>
      </x:c>
      <x:c r="N323" t="str">
        <x:v>Most Likely</x:v>
      </x:c>
      <x:c r="O323" t="str">
        <x:v>Most Likely</x:v>
      </x:c>
    </x:row>
    <x:row r="324">
      <x:c r="A324" t="str">
        <x:v>PJT_323</x:v>
      </x:c>
      <x:c r="B324" t="n">
        <x:v>17445480</x:v>
      </x:c>
      <x:c r="C324" t="n">
        <x:v>16848246</x:v>
      </x:c>
      <x:c r="D324" t="n">
        <x:v>-597234</x:v>
      </x:c>
      <x:c r="E324" t="n">
        <x:v>-0.0342</x:v>
      </x:c>
      <x:c r="F324" t="n">
        <x:v>415</x:v>
      </x:c>
      <x:c r="G324" t="n">
        <x:v>398</x:v>
      </x:c>
      <x:c r="H324" t="n">
        <x:v>-17</x:v>
      </x:c>
      <x:c r="I324" t="n">
        <x:v>-0.041</x:v>
      </x:c>
      <x:c r="J324" t="str">
        <x:v>Low</x:v>
      </x:c>
      <x:c r="K324" t="n">
        <x:v>33.3</x:v>
      </x:c>
      <x:c r="L324" t="n">
        <x:v>35.8</x:v>
      </x:c>
      <x:c r="M324" t="n">
        <x:v>28.9</x:v>
      </x:c>
      <x:c r="N324" t="str">
        <x:v>Optimistic</x:v>
      </x:c>
      <x:c r="O324" t="str">
        <x:v>Optimistic</x:v>
      </x:c>
    </x:row>
    <x:row r="325">
      <x:c r="A325" t="str">
        <x:v>PJT_324</x:v>
      </x:c>
      <x:c r="B325" t="n">
        <x:v>84760230</x:v>
      </x:c>
      <x:c r="C325" t="n">
        <x:v>91828779</x:v>
      </x:c>
      <x:c r="D325" t="n">
        <x:v>7068549</x:v>
      </x:c>
      <x:c r="E325" t="n">
        <x:v>0.0834</x:v>
      </x:c>
      <x:c r="F325" t="n">
        <x:v>1724</x:v>
      </x:c>
      <x:c r="G325" t="n">
        <x:v>1924</x:v>
      </x:c>
      <x:c r="H325" t="n">
        <x:v>200</x:v>
      </x:c>
      <x:c r="I325" t="n">
        <x:v>0.116</x:v>
      </x:c>
      <x:c r="J325" t="str">
        <x:v>Medium</x:v>
      </x:c>
      <x:c r="K325" t="n">
        <x:v>58.3</x:v>
      </x:c>
      <x:c r="L325" t="n">
        <x:v>59.3</x:v>
      </x:c>
      <x:c r="M325" t="n">
        <x:v>61</x:v>
      </x:c>
      <x:c r="N325" t="str">
        <x:v>Most Likely</x:v>
      </x:c>
      <x:c r="O325" t="str">
        <x:v>Pessimistic</x:v>
      </x:c>
    </x:row>
    <x:row r="326">
      <x:c r="A326" t="str">
        <x:v>PJT_325</x:v>
      </x:c>
      <x:c r="B326" t="n">
        <x:v>37699200</x:v>
      </x:c>
      <x:c r="C326" t="n">
        <x:v>38279212</x:v>
      </x:c>
      <x:c r="D326" t="n">
        <x:v>580012</x:v>
      </x:c>
      <x:c r="E326" t="n">
        <x:v>0.0154</x:v>
      </x:c>
      <x:c r="F326" t="n">
        <x:v>729</x:v>
      </x:c>
      <x:c r="G326" t="n">
        <x:v>711</x:v>
      </x:c>
      <x:c r="H326" t="n">
        <x:v>-18</x:v>
      </x:c>
      <x:c r="I326" t="n">
        <x:v>-0.0247</x:v>
      </x:c>
      <x:c r="J326" t="str">
        <x:v>Medium</x:v>
      </x:c>
      <x:c r="K326" t="n">
        <x:v>51.7</x:v>
      </x:c>
      <x:c r="L326" t="n">
        <x:v>51.8</x:v>
      </x:c>
      <x:c r="M326" t="n">
        <x:v>52.7</x:v>
      </x:c>
      <x:c r="N326" t="str">
        <x:v>Most Likely</x:v>
      </x:c>
      <x:c r="O326" t="str">
        <x:v>Optimistic</x:v>
      </x:c>
    </x:row>
    <x:row r="327">
      <x:c r="A327" t="str">
        <x:v>PJT_326</x:v>
      </x:c>
      <x:c r="B327" t="n">
        <x:v>65869440</x:v>
      </x:c>
      <x:c r="C327" t="n">
        <x:v>67561402</x:v>
      </x:c>
      <x:c r="D327" t="n">
        <x:v>1691962</x:v>
      </x:c>
      <x:c r="E327" t="n">
        <x:v>0.0257</x:v>
      </x:c>
      <x:c r="F327" t="n">
        <x:v>1169</x:v>
      </x:c>
      <x:c r="G327" t="n">
        <x:v>1264</x:v>
      </x:c>
      <x:c r="H327" t="n">
        <x:v>95</x:v>
      </x:c>
      <x:c r="I327" t="n">
        <x:v>0.0813</x:v>
      </x:c>
      <x:c r="J327" t="str">
        <x:v>Medium</x:v>
      </x:c>
      <x:c r="K327" t="n">
        <x:v>51.3</x:v>
      </x:c>
      <x:c r="L327" t="n">
        <x:v>45.9</x:v>
      </x:c>
      <x:c r="M327" t="n">
        <x:v>52.4</x:v>
      </x:c>
      <x:c r="N327" t="str">
        <x:v>Most Likely</x:v>
      </x:c>
      <x:c r="O327" t="str">
        <x:v>Most Likely</x:v>
      </x:c>
    </x:row>
    <x:row r="328">
      <x:c r="A328" t="str">
        <x:v>PJT_327</x:v>
      </x:c>
      <x:c r="B328" t="n">
        <x:v>18064860</x:v>
      </x:c>
      <x:c r="C328" t="n">
        <x:v>18402646</x:v>
      </x:c>
      <x:c r="D328" t="n">
        <x:v>337786</x:v>
      </x:c>
      <x:c r="E328" t="n">
        <x:v>0.0187</x:v>
      </x:c>
      <x:c r="F328" t="n">
        <x:v>440</x:v>
      </x:c>
      <x:c r="G328" t="n">
        <x:v>460</x:v>
      </x:c>
      <x:c r="H328" t="n">
        <x:v>20</x:v>
      </x:c>
      <x:c r="I328" t="n">
        <x:v>0.0455</x:v>
      </x:c>
      <x:c r="J328" t="str">
        <x:v>Low</x:v>
      </x:c>
      <x:c r="K328" t="n">
        <x:v>42.5</x:v>
      </x:c>
      <x:c r="L328" t="n">
        <x:v>39.1</x:v>
      </x:c>
      <x:c r="M328" t="n">
        <x:v>47.2</x:v>
      </x:c>
      <x:c r="N328" t="str">
        <x:v>Most Likely</x:v>
      </x:c>
      <x:c r="O328" t="str">
        <x:v>Most Likely</x:v>
      </x:c>
    </x:row>
    <x:row r="329">
      <x:c r="A329" t="str">
        <x:v>PJT_328</x:v>
      </x:c>
      <x:c r="B329" t="n">
        <x:v>23655800</x:v>
      </x:c>
      <x:c r="C329" t="n">
        <x:v>22153510</x:v>
      </x:c>
      <x:c r="D329" t="n">
        <x:v>-1502290</x:v>
      </x:c>
      <x:c r="E329" t="n">
        <x:v>-0.0635</x:v>
      </x:c>
      <x:c r="F329" t="n">
        <x:v>545</x:v>
      </x:c>
      <x:c r="G329" t="n">
        <x:v>534</x:v>
      </x:c>
      <x:c r="H329" t="n">
        <x:v>-11</x:v>
      </x:c>
      <x:c r="I329" t="n">
        <x:v>-0.0202</x:v>
      </x:c>
      <x:c r="J329" t="str">
        <x:v>Low</x:v>
      </x:c>
      <x:c r="K329" t="n">
        <x:v>33.5</x:v>
      </x:c>
      <x:c r="L329" t="n">
        <x:v>34.3</x:v>
      </x:c>
      <x:c r="M329" t="n">
        <x:v>31.9</x:v>
      </x:c>
      <x:c r="N329" t="str">
        <x:v>Optimistic</x:v>
      </x:c>
      <x:c r="O329" t="str">
        <x:v>Optimistic</x:v>
      </x:c>
    </x:row>
    <x:row r="330">
      <x:c r="A330" t="str">
        <x:v>PJT_329</x:v>
      </x:c>
      <x:c r="B330" t="n">
        <x:v>15722270</x:v>
      </x:c>
      <x:c r="C330" t="n">
        <x:v>15781167</x:v>
      </x:c>
      <x:c r="D330" t="n">
        <x:v>58897</x:v>
      </x:c>
      <x:c r="E330" t="n">
        <x:v>0.0037</x:v>
      </x:c>
      <x:c r="F330" t="n">
        <x:v>491</x:v>
      </x:c>
      <x:c r="G330" t="n">
        <x:v>518</x:v>
      </x:c>
      <x:c r="H330" t="n">
        <x:v>27</x:v>
      </x:c>
      <x:c r="I330" t="n">
        <x:v>0.055</x:v>
      </x:c>
      <x:c r="J330" t="str">
        <x:v>Low</x:v>
      </x:c>
      <x:c r="K330" t="n">
        <x:v>39.4</x:v>
      </x:c>
      <x:c r="L330" t="n">
        <x:v>38.8</x:v>
      </x:c>
      <x:c r="M330" t="n">
        <x:v>46.5</x:v>
      </x:c>
      <x:c r="N330" t="str">
        <x:v>Most Likely</x:v>
      </x:c>
      <x:c r="O330" t="str">
        <x:v>Most Likely</x:v>
      </x:c>
    </x:row>
    <x:row r="331">
      <x:c r="A331" t="str">
        <x:v>PJT_330</x:v>
      </x:c>
      <x:c r="B331" t="n">
        <x:v>22217100</x:v>
      </x:c>
      <x:c r="C331" t="n">
        <x:v>22822512</x:v>
      </x:c>
      <x:c r="D331" t="n">
        <x:v>605412</x:v>
      </x:c>
      <x:c r="E331" t="n">
        <x:v>0.0272</x:v>
      </x:c>
      <x:c r="F331" t="n">
        <x:v>647</x:v>
      </x:c>
      <x:c r="G331" t="n">
        <x:v>686</x:v>
      </x:c>
      <x:c r="H331" t="n">
        <x:v>39</x:v>
      </x:c>
      <x:c r="I331" t="n">
        <x:v>0.0603</x:v>
      </x:c>
      <x:c r="J331" t="str">
        <x:v>Medium</x:v>
      </x:c>
      <x:c r="K331" t="n">
        <x:v>48</x:v>
      </x:c>
      <x:c r="L331" t="n">
        <x:v>47.4</x:v>
      </x:c>
      <x:c r="M331" t="n">
        <x:v>46.7</x:v>
      </x:c>
      <x:c r="N331" t="str">
        <x:v>Most Likely</x:v>
      </x:c>
      <x:c r="O331" t="str">
        <x:v>Most Likely</x:v>
      </x:c>
    </x:row>
    <x:row r="332">
      <x:c r="A332" t="str">
        <x:v>PJT_331</x:v>
      </x:c>
      <x:c r="B332" t="n">
        <x:v>13785640</x:v>
      </x:c>
      <x:c r="C332" t="n">
        <x:v>13621489</x:v>
      </x:c>
      <x:c r="D332" t="n">
        <x:v>-164151</x:v>
      </x:c>
      <x:c r="E332" t="n">
        <x:v>-0.0119</x:v>
      </x:c>
      <x:c r="F332" t="n">
        <x:v>218</x:v>
      </x:c>
      <x:c r="G332" t="n">
        <x:v>218</x:v>
      </x:c>
      <x:c r="H332" t="n">
        <x:v>0</x:v>
      </x:c>
      <x:c r="I332" t="n">
        <x:v>0</x:v>
      </x:c>
      <x:c r="J332" t="str">
        <x:v>Low</x:v>
      </x:c>
      <x:c r="K332" t="n">
        <x:v>25.1</x:v>
      </x:c>
      <x:c r="L332" t="n">
        <x:v>26.1</x:v>
      </x:c>
      <x:c r="M332" t="n">
        <x:v>22</x:v>
      </x:c>
      <x:c r="N332" t="str">
        <x:v>Optimistic</x:v>
      </x:c>
      <x:c r="O332" t="str">
        <x:v>Optimistic</x:v>
      </x:c>
    </x:row>
    <x:row r="333">
      <x:c r="A333" t="str">
        <x:v>PJT_332</x:v>
      </x:c>
      <x:c r="B333" t="n">
        <x:v>47994890</x:v>
      </x:c>
      <x:c r="C333" t="n">
        <x:v>53521386</x:v>
      </x:c>
      <x:c r="D333" t="n">
        <x:v>5526496</x:v>
      </x:c>
      <x:c r="E333" t="n">
        <x:v>0.1151</x:v>
      </x:c>
      <x:c r="F333" t="n">
        <x:v>875</x:v>
      </x:c>
      <x:c r="G333" t="n">
        <x:v>928</x:v>
      </x:c>
      <x:c r="H333" t="n">
        <x:v>53</x:v>
      </x:c>
      <x:c r="I333" t="n">
        <x:v>0.0606</x:v>
      </x:c>
      <x:c r="J333" t="str">
        <x:v>Medium</x:v>
      </x:c>
      <x:c r="K333" t="n">
        <x:v>48.6</x:v>
      </x:c>
      <x:c r="L333" t="n">
        <x:v>50</x:v>
      </x:c>
      <x:c r="M333" t="n">
        <x:v>48.2</x:v>
      </x:c>
      <x:c r="N333" t="str">
        <x:v>Pessimistic</x:v>
      </x:c>
      <x:c r="O333" t="str">
        <x:v>Most Likely</x:v>
      </x:c>
    </x:row>
    <x:row r="334">
      <x:c r="A334" t="str">
        <x:v>PJT_333</x:v>
      </x:c>
      <x:c r="B334" t="n">
        <x:v>4422880</x:v>
      </x:c>
      <x:c r="C334" t="n">
        <x:v>4100464</x:v>
      </x:c>
      <x:c r="D334" t="n">
        <x:v>-322416</x:v>
      </x:c>
      <x:c r="E334" t="n">
        <x:v>-0.0729</x:v>
      </x:c>
      <x:c r="F334" t="n">
        <x:v>180</x:v>
      </x:c>
      <x:c r="G334" t="n">
        <x:v>169</x:v>
      </x:c>
      <x:c r="H334" t="n">
        <x:v>-11</x:v>
      </x:c>
      <x:c r="I334" t="n">
        <x:v>-0.0611</x:v>
      </x:c>
      <x:c r="J334" t="str">
        <x:v>Low</x:v>
      </x:c>
      <x:c r="K334" t="n">
        <x:v>24</x:v>
      </x:c>
      <x:c r="L334" t="n">
        <x:v>22</x:v>
      </x:c>
      <x:c r="M334" t="n">
        <x:v>22</x:v>
      </x:c>
      <x:c r="N334" t="str">
        <x:v>Optimistic</x:v>
      </x:c>
      <x:c r="O334" t="str">
        <x:v>Optimistic</x:v>
      </x:c>
    </x:row>
    <x:row r="335">
      <x:c r="A335" t="str">
        <x:v>PJT_334</x:v>
      </x:c>
      <x:c r="B335" t="n">
        <x:v>4160080</x:v>
      </x:c>
      <x:c r="C335" t="n">
        <x:v>4180199</x:v>
      </x:c>
      <x:c r="D335" t="n">
        <x:v>20119</x:v>
      </x:c>
      <x:c r="E335" t="n">
        <x:v>0.0048</x:v>
      </x:c>
      <x:c r="F335" t="n">
        <x:v>180</x:v>
      </x:c>
      <x:c r="G335" t="n">
        <x:v>187</x:v>
      </x:c>
      <x:c r="H335" t="n">
        <x:v>7</x:v>
      </x:c>
      <x:c r="I335" t="n">
        <x:v>0.0389</x:v>
      </x:c>
      <x:c r="J335" t="str">
        <x:v>Low</x:v>
      </x:c>
      <x:c r="K335" t="n">
        <x:v>29.5</x:v>
      </x:c>
      <x:c r="L335" t="n">
        <x:v>31.6</x:v>
      </x:c>
      <x:c r="M335" t="n">
        <x:v>24.6</x:v>
      </x:c>
      <x:c r="N335" t="str">
        <x:v>Most Likely</x:v>
      </x:c>
      <x:c r="O335" t="str">
        <x:v>Most Likely</x:v>
      </x:c>
    </x:row>
    <x:row r="336">
      <x:c r="A336" t="str">
        <x:v>PJT_335</x:v>
      </x:c>
      <x:c r="B336" t="n">
        <x:v>16190300</x:v>
      </x:c>
      <x:c r="C336" t="n">
        <x:v>15692816</x:v>
      </x:c>
      <x:c r="D336" t="n">
        <x:v>-497484</x:v>
      </x:c>
      <x:c r="E336" t="n">
        <x:v>-0.0307</x:v>
      </x:c>
      <x:c r="F336" t="n">
        <x:v>316</x:v>
      </x:c>
      <x:c r="G336" t="n">
        <x:v>329</x:v>
      </x:c>
      <x:c r="H336" t="n">
        <x:v>13</x:v>
      </x:c>
      <x:c r="I336" t="n">
        <x:v>0.0411</x:v>
      </x:c>
      <x:c r="J336" t="str">
        <x:v>Low</x:v>
      </x:c>
      <x:c r="K336" t="n">
        <x:v>38.4</x:v>
      </x:c>
      <x:c r="L336" t="n">
        <x:v>32.5</x:v>
      </x:c>
      <x:c r="M336" t="n">
        <x:v>36.1</x:v>
      </x:c>
      <x:c r="N336" t="str">
        <x:v>Optimistic</x:v>
      </x:c>
      <x:c r="O336" t="str">
        <x:v>Most Likely</x:v>
      </x:c>
    </x:row>
    <x:row r="337">
      <x:c r="A337" t="str">
        <x:v>PJT_336</x:v>
      </x:c>
      <x:c r="B337" t="n">
        <x:v>12853720</x:v>
      </x:c>
      <x:c r="C337" t="n">
        <x:v>12113877</x:v>
      </x:c>
      <x:c r="D337" t="n">
        <x:v>-739843</x:v>
      </x:c>
      <x:c r="E337" t="n">
        <x:v>-0.0576</x:v>
      </x:c>
      <x:c r="F337" t="n">
        <x:v>281</x:v>
      </x:c>
      <x:c r="G337" t="n">
        <x:v>276</x:v>
      </x:c>
      <x:c r="H337" t="n">
        <x:v>-5</x:v>
      </x:c>
      <x:c r="I337" t="n">
        <x:v>-0.0178</x:v>
      </x:c>
      <x:c r="J337" t="str">
        <x:v>Low</x:v>
      </x:c>
      <x:c r="K337" t="n">
        <x:v>36.2</x:v>
      </x:c>
      <x:c r="L337" t="n">
        <x:v>37.5</x:v>
      </x:c>
      <x:c r="M337" t="n">
        <x:v>32.6</x:v>
      </x:c>
      <x:c r="N337" t="str">
        <x:v>Optimistic</x:v>
      </x:c>
      <x:c r="O337" t="str">
        <x:v>Optimistic</x:v>
      </x:c>
    </x:row>
    <x:row r="338">
      <x:c r="A338" t="str">
        <x:v>PJT_337</x:v>
      </x:c>
      <x:c r="B338" t="n">
        <x:v>8981100</x:v>
      </x:c>
      <x:c r="C338" t="n">
        <x:v>8118104</x:v>
      </x:c>
      <x:c r="D338" t="n">
        <x:v>-862996</x:v>
      </x:c>
      <x:c r="E338" t="n">
        <x:v>-0.0961</x:v>
      </x:c>
      <x:c r="F338" t="n">
        <x:v>198</x:v>
      </x:c>
      <x:c r="G338" t="n">
        <x:v>207</x:v>
      </x:c>
      <x:c r="H338" t="n">
        <x:v>9</x:v>
      </x:c>
      <x:c r="I338" t="n">
        <x:v>0.0455</x:v>
      </x:c>
      <x:c r="J338" t="str">
        <x:v>Low</x:v>
      </x:c>
      <x:c r="K338" t="n">
        <x:v>44.4</x:v>
      </x:c>
      <x:c r="L338" t="n">
        <x:v>35.6</x:v>
      </x:c>
      <x:c r="M338" t="n">
        <x:v>46.1</x:v>
      </x:c>
      <x:c r="N338" t="str">
        <x:v>Optimistic</x:v>
      </x:c>
      <x:c r="O338" t="str">
        <x:v>Most Likely</x:v>
      </x:c>
    </x:row>
    <x:row r="339">
      <x:c r="A339" t="str">
        <x:v>PJT_338</x:v>
      </x:c>
      <x:c r="B339" t="n">
        <x:v>11352960</x:v>
      </x:c>
      <x:c r="C339" t="n">
        <x:v>10561305</x:v>
      </x:c>
      <x:c r="D339" t="n">
        <x:v>-791655</x:v>
      </x:c>
      <x:c r="E339" t="n">
        <x:v>-0.0697</x:v>
      </x:c>
      <x:c r="F339" t="n">
        <x:v>203</x:v>
      </x:c>
      <x:c r="G339" t="n">
        <x:v>215</x:v>
      </x:c>
      <x:c r="H339" t="n">
        <x:v>12</x:v>
      </x:c>
      <x:c r="I339" t="n">
        <x:v>0.0591</x:v>
      </x:c>
      <x:c r="J339" t="str">
        <x:v>Low</x:v>
      </x:c>
      <x:c r="K339" t="n">
        <x:v>39.5</x:v>
      </x:c>
      <x:c r="L339" t="n">
        <x:v>32.3</x:v>
      </x:c>
      <x:c r="M339" t="n">
        <x:v>40.8</x:v>
      </x:c>
      <x:c r="N339" t="str">
        <x:v>Optimistic</x:v>
      </x:c>
      <x:c r="O339" t="str">
        <x:v>Most Likely</x:v>
      </x:c>
    </x:row>
    <x:row r="340">
      <x:c r="A340" t="str">
        <x:v>PJT_339</x:v>
      </x:c>
      <x:c r="B340" t="n">
        <x:v>6445700</x:v>
      </x:c>
      <x:c r="C340" t="n">
        <x:v>6188615</x:v>
      </x:c>
      <x:c r="D340" t="n">
        <x:v>-257085</x:v>
      </x:c>
      <x:c r="E340" t="n">
        <x:v>-0.0399</x:v>
      </x:c>
      <x:c r="F340" t="n">
        <x:v>180</x:v>
      </x:c>
      <x:c r="G340" t="n">
        <x:v>168</x:v>
      </x:c>
      <x:c r="H340" t="n">
        <x:v>-12</x:v>
      </x:c>
      <x:c r="I340" t="n">
        <x:v>-0.0667</x:v>
      </x:c>
      <x:c r="J340" t="str">
        <x:v>Low</x:v>
      </x:c>
      <x:c r="K340" t="n">
        <x:v>27.5</x:v>
      </x:c>
      <x:c r="L340" t="n">
        <x:v>22.6</x:v>
      </x:c>
      <x:c r="M340" t="n">
        <x:v>22</x:v>
      </x:c>
      <x:c r="N340" t="str">
        <x:v>Optimistic</x:v>
      </x:c>
      <x:c r="O340" t="str">
        <x:v>Optimistic</x:v>
      </x:c>
    </x:row>
    <x:row r="341">
      <x:c r="A341" t="str">
        <x:v>PJT_340</x:v>
      </x:c>
      <x:c r="B341" t="n">
        <x:v>42108880</x:v>
      </x:c>
      <x:c r="C341" t="n">
        <x:v>45894473</x:v>
      </x:c>
      <x:c r="D341" t="n">
        <x:v>3785593</x:v>
      </x:c>
      <x:c r="E341" t="n">
        <x:v>0.0899</x:v>
      </x:c>
      <x:c r="F341" t="n">
        <x:v>780</x:v>
      </x:c>
      <x:c r="G341" t="n">
        <x:v>821</x:v>
      </x:c>
      <x:c r="H341" t="n">
        <x:v>41</x:v>
      </x:c>
      <x:c r="I341" t="n">
        <x:v>0.0526</x:v>
      </x:c>
      <x:c r="J341" t="str">
        <x:v>Medium</x:v>
      </x:c>
      <x:c r="K341" t="n">
        <x:v>52.3</x:v>
      </x:c>
      <x:c r="L341" t="n">
        <x:v>55.1</x:v>
      </x:c>
      <x:c r="M341" t="n">
        <x:v>50.3</x:v>
      </x:c>
      <x:c r="N341" t="str">
        <x:v>Most Likely</x:v>
      </x:c>
      <x:c r="O341" t="str">
        <x:v>Most Likely</x:v>
      </x:c>
    </x:row>
    <x:row r="342">
      <x:c r="A342" t="str">
        <x:v>PJT_341</x:v>
      </x:c>
      <x:c r="B342" t="n">
        <x:v>37811760</x:v>
      </x:c>
      <x:c r="C342" t="n">
        <x:v>38985969</x:v>
      </x:c>
      <x:c r="D342" t="n">
        <x:v>1174209</x:v>
      </x:c>
      <x:c r="E342" t="n">
        <x:v>0.0311</x:v>
      </x:c>
      <x:c r="F342" t="n">
        <x:v>921</x:v>
      </x:c>
      <x:c r="G342" t="n">
        <x:v>970</x:v>
      </x:c>
      <x:c r="H342" t="n">
        <x:v>49</x:v>
      </x:c>
      <x:c r="I342" t="n">
        <x:v>0.0532</x:v>
      </x:c>
      <x:c r="J342" t="str">
        <x:v>Medium</x:v>
      </x:c>
      <x:c r="K342" t="n">
        <x:v>47.1</x:v>
      </x:c>
      <x:c r="L342" t="n">
        <x:v>46.8</x:v>
      </x:c>
      <x:c r="M342" t="n">
        <x:v>45.4</x:v>
      </x:c>
      <x:c r="N342" t="str">
        <x:v>Most Likely</x:v>
      </x:c>
      <x:c r="O342" t="str">
        <x:v>Most Likely</x:v>
      </x:c>
    </x:row>
    <x:row r="343">
      <x:c r="A343" t="str">
        <x:v>PJT_342</x:v>
      </x:c>
      <x:c r="B343" t="n">
        <x:v>34225660</x:v>
      </x:c>
      <x:c r="C343" t="n">
        <x:v>37943448</x:v>
      </x:c>
      <x:c r="D343" t="n">
        <x:v>3717788</x:v>
      </x:c>
      <x:c r="E343" t="n">
        <x:v>0.1086</x:v>
      </x:c>
      <x:c r="F343" t="n">
        <x:v>869</x:v>
      </x:c>
      <x:c r="G343" t="n">
        <x:v>964</x:v>
      </x:c>
      <x:c r="H343" t="n">
        <x:v>95</x:v>
      </x:c>
      <x:c r="I343" t="n">
        <x:v>0.1093</x:v>
      </x:c>
      <x:c r="J343" t="str">
        <x:v>Medium</x:v>
      </x:c>
      <x:c r="K343" t="n">
        <x:v>58.5</x:v>
      </x:c>
      <x:c r="L343" t="n">
        <x:v>52.5</x:v>
      </x:c>
      <x:c r="M343" t="n">
        <x:v>54.1</x:v>
      </x:c>
      <x:c r="N343" t="str">
        <x:v>Pessimistic</x:v>
      </x:c>
      <x:c r="O343" t="str">
        <x:v>Pessimistic</x:v>
      </x:c>
    </x:row>
    <x:row r="344">
      <x:c r="A344" t="str">
        <x:v>PJT_343</x:v>
      </x:c>
      <x:c r="B344" t="n">
        <x:v>42460950</x:v>
      </x:c>
      <x:c r="C344" t="n">
        <x:v>43746900</x:v>
      </x:c>
      <x:c r="D344" t="n">
        <x:v>1285950</x:v>
      </x:c>
      <x:c r="E344" t="n">
        <x:v>0.0303</x:v>
      </x:c>
      <x:c r="F344" t="n">
        <x:v>897</x:v>
      </x:c>
      <x:c r="G344" t="n">
        <x:v>963</x:v>
      </x:c>
      <x:c r="H344" t="n">
        <x:v>66</x:v>
      </x:c>
      <x:c r="I344" t="n">
        <x:v>0.0736</x:v>
      </x:c>
      <x:c r="J344" t="str">
        <x:v>Medium</x:v>
      </x:c>
      <x:c r="K344" t="n">
        <x:v>52.4</x:v>
      </x:c>
      <x:c r="L344" t="n">
        <x:v>48.1</x:v>
      </x:c>
      <x:c r="M344" t="n">
        <x:v>51.7</x:v>
      </x:c>
      <x:c r="N344" t="str">
        <x:v>Most Likely</x:v>
      </x:c>
      <x:c r="O344" t="str">
        <x:v>Most Likely</x:v>
      </x:c>
    </x:row>
    <x:row r="345">
      <x:c r="A345" t="str">
        <x:v>PJT_344</x:v>
      </x:c>
      <x:c r="B345" t="n">
        <x:v>55788690</x:v>
      </x:c>
      <x:c r="C345" t="n">
        <x:v>60061984</x:v>
      </x:c>
      <x:c r="D345" t="n">
        <x:v>4273294</x:v>
      </x:c>
      <x:c r="E345" t="n">
        <x:v>0.0766</x:v>
      </x:c>
      <x:c r="F345" t="n">
        <x:v>913</x:v>
      </x:c>
      <x:c r="G345" t="n">
        <x:v>976</x:v>
      </x:c>
      <x:c r="H345" t="n">
        <x:v>63</x:v>
      </x:c>
      <x:c r="I345" t="n">
        <x:v>0.069</x:v>
      </x:c>
      <x:c r="J345" t="str">
        <x:v>Medium</x:v>
      </x:c>
      <x:c r="K345" t="n">
        <x:v>56.3</x:v>
      </x:c>
      <x:c r="L345" t="n">
        <x:v>58.4</x:v>
      </x:c>
      <x:c r="M345" t="n">
        <x:v>53.6</x:v>
      </x:c>
      <x:c r="N345" t="str">
        <x:v>Most Likely</x:v>
      </x:c>
      <x:c r="O345" t="str">
        <x:v>Most Likely</x:v>
      </x:c>
    </x:row>
    <x:row r="346">
      <x:c r="A346" t="str">
        <x:v>PJT_345</x:v>
      </x:c>
      <x:c r="B346" t="n">
        <x:v>75983680</x:v>
      </x:c>
      <x:c r="C346" t="n">
        <x:v>81108414</x:v>
      </x:c>
      <x:c r="D346" t="n">
        <x:v>5124734</x:v>
      </x:c>
      <x:c r="E346" t="n">
        <x:v>0.0674</x:v>
      </x:c>
      <x:c r="F346" t="n">
        <x:v>1436</x:v>
      </x:c>
      <x:c r="G346" t="n">
        <x:v>1543</x:v>
      </x:c>
      <x:c r="H346" t="n">
        <x:v>107</x:v>
      </x:c>
      <x:c r="I346" t="n">
        <x:v>0.0745</x:v>
      </x:c>
      <x:c r="J346" t="str">
        <x:v>Medium</x:v>
      </x:c>
      <x:c r="K346" t="n">
        <x:v>63.9</x:v>
      </x:c>
      <x:c r="L346" t="n">
        <x:v>69.4</x:v>
      </x:c>
      <x:c r="M346" t="n">
        <x:v>56.6</x:v>
      </x:c>
      <x:c r="N346" t="str">
        <x:v>Most Likely</x:v>
      </x:c>
      <x:c r="O346" t="str">
        <x:v>Most Likely</x:v>
      </x:c>
    </x:row>
    <x:row r="347">
      <x:c r="A347" t="str">
        <x:v>PJT_346</x:v>
      </x:c>
      <x:c r="B347" t="n">
        <x:v>84981540</x:v>
      </x:c>
      <x:c r="C347" t="n">
        <x:v>91268449</x:v>
      </x:c>
      <x:c r="D347" t="n">
        <x:v>6286909</x:v>
      </x:c>
      <x:c r="E347" t="n">
        <x:v>0.074</x:v>
      </x:c>
      <x:c r="F347" t="n">
        <x:v>1486</x:v>
      </x:c>
      <x:c r="G347" t="n">
        <x:v>1702</x:v>
      </x:c>
      <x:c r="H347" t="n">
        <x:v>216</x:v>
      </x:c>
      <x:c r="I347" t="n">
        <x:v>0.1454</x:v>
      </x:c>
      <x:c r="J347" t="str">
        <x:v>High</x:v>
      </x:c>
      <x:c r="K347" t="n">
        <x:v>73.5</x:v>
      </x:c>
      <x:c r="L347" t="n">
        <x:v>69.5</x:v>
      </x:c>
      <x:c r="M347" t="n">
        <x:v>68.2</x:v>
      </x:c>
      <x:c r="N347" t="str">
        <x:v>Most Likely</x:v>
      </x:c>
      <x:c r="O347" t="str">
        <x:v>Pessimistic</x:v>
      </x:c>
    </x:row>
    <x:row r="348">
      <x:c r="A348" t="str">
        <x:v>PJT_347</x:v>
      </x:c>
      <x:c r="B348" t="n">
        <x:v>105399580</x:v>
      </x:c>
      <x:c r="C348" t="n">
        <x:v>116927515</x:v>
      </x:c>
      <x:c r="D348" t="n">
        <x:v>11527935</x:v>
      </x:c>
      <x:c r="E348" t="n">
        <x:v>0.1094</x:v>
      </x:c>
      <x:c r="F348" t="n">
        <x:v>1927</x:v>
      </x:c>
      <x:c r="G348" t="n">
        <x:v>2042</x:v>
      </x:c>
      <x:c r="H348" t="n">
        <x:v>115</x:v>
      </x:c>
      <x:c r="I348" t="n">
        <x:v>0.0597</x:v>
      </x:c>
      <x:c r="J348" t="str">
        <x:v>Medium</x:v>
      </x:c>
      <x:c r="K348" t="n">
        <x:v>55.7</x:v>
      </x:c>
      <x:c r="L348" t="n">
        <x:v>62.1</x:v>
      </x:c>
      <x:c r="M348" t="n">
        <x:v>55.5</x:v>
      </x:c>
      <x:c r="N348" t="str">
        <x:v>Pessimistic</x:v>
      </x:c>
      <x:c r="O348" t="str">
        <x:v>Most Likely</x:v>
      </x:c>
    </x:row>
    <x:row r="349">
      <x:c r="A349" t="str">
        <x:v>PJT_348</x:v>
      </x:c>
      <x:c r="B349" t="n">
        <x:v>90861310</x:v>
      </x:c>
      <x:c r="C349" t="n">
        <x:v>91902236</x:v>
      </x:c>
      <x:c r="D349" t="n">
        <x:v>1040926</x:v>
      </x:c>
      <x:c r="E349" t="n">
        <x:v>0.0115</x:v>
      </x:c>
      <x:c r="F349" t="n">
        <x:v>1862</x:v>
      </x:c>
      <x:c r="G349" t="n">
        <x:v>2007</x:v>
      </x:c>
      <x:c r="H349" t="n">
        <x:v>145</x:v>
      </x:c>
      <x:c r="I349" t="n">
        <x:v>0.0779</x:v>
      </x:c>
      <x:c r="J349" t="str">
        <x:v>Medium</x:v>
      </x:c>
      <x:c r="K349" t="n">
        <x:v>61.5</x:v>
      </x:c>
      <x:c r="L349" t="n">
        <x:v>65.9</x:v>
      </x:c>
      <x:c r="M349" t="n">
        <x:v>61.9</x:v>
      </x:c>
      <x:c r="N349" t="str">
        <x:v>Most Likely</x:v>
      </x:c>
      <x:c r="O349" t="str">
        <x:v>Most Likely</x:v>
      </x:c>
    </x:row>
    <x:row r="350">
      <x:c r="A350" t="str">
        <x:v>PJT_349</x:v>
      </x:c>
      <x:c r="B350" t="n">
        <x:v>47053650</x:v>
      </x:c>
      <x:c r="C350" t="n">
        <x:v>49129666</x:v>
      </x:c>
      <x:c r="D350" t="n">
        <x:v>2076016</x:v>
      </x:c>
      <x:c r="E350" t="n">
        <x:v>0.0441</x:v>
      </x:c>
      <x:c r="F350" t="n">
        <x:v>730</x:v>
      </x:c>
      <x:c r="G350" t="n">
        <x:v>781</x:v>
      </x:c>
      <x:c r="H350" t="n">
        <x:v>51</x:v>
      </x:c>
      <x:c r="I350" t="n">
        <x:v>0.0699</x:v>
      </x:c>
      <x:c r="J350" t="str">
        <x:v>Medium</x:v>
      </x:c>
      <x:c r="K350" t="n">
        <x:v>55.9</x:v>
      </x:c>
      <x:c r="L350" t="n">
        <x:v>58.7</x:v>
      </x:c>
      <x:c r="M350" t="n">
        <x:v>48.2</x:v>
      </x:c>
      <x:c r="N350" t="str">
        <x:v>Most Likely</x:v>
      </x:c>
      <x:c r="O350" t="str">
        <x:v>Most Likely</x:v>
      </x:c>
    </x:row>
    <x:row r="351">
      <x:c r="A351" t="str">
        <x:v>PJT_350</x:v>
      </x:c>
      <x:c r="B351" t="n">
        <x:v>33189450</x:v>
      </x:c>
      <x:c r="C351" t="n">
        <x:v>35744654</x:v>
      </x:c>
      <x:c r="D351" t="n">
        <x:v>2555204</x:v>
      </x:c>
      <x:c r="E351" t="n">
        <x:v>0.077</x:v>
      </x:c>
      <x:c r="F351" t="n">
        <x:v>712</x:v>
      </x:c>
      <x:c r="G351" t="n">
        <x:v>795</x:v>
      </x:c>
      <x:c r="H351" t="n">
        <x:v>83</x:v>
      </x:c>
      <x:c r="I351" t="n">
        <x:v>0.1166</x:v>
      </x:c>
      <x:c r="J351" t="str">
        <x:v>Medium</x:v>
      </x:c>
      <x:c r="K351" t="n">
        <x:v>55.5</x:v>
      </x:c>
      <x:c r="L351" t="n">
        <x:v>61.4</x:v>
      </x:c>
      <x:c r="M351" t="n">
        <x:v>59.8</x:v>
      </x:c>
      <x:c r="N351" t="str">
        <x:v>Most Likely</x:v>
      </x:c>
      <x:c r="O351" t="str">
        <x:v>Pessimistic</x:v>
      </x:c>
    </x:row>
    <x:row r="352">
      <x:c r="A352" t="str">
        <x:v>PJT_351</x:v>
      </x:c>
      <x:c r="B352" t="n">
        <x:v>18203350</x:v>
      </x:c>
      <x:c r="C352" t="n">
        <x:v>18001215</x:v>
      </x:c>
      <x:c r="D352" t="n">
        <x:v>-202135</x:v>
      </x:c>
      <x:c r="E352" t="n">
        <x:v>-0.0111</x:v>
      </x:c>
      <x:c r="F352" t="n">
        <x:v>454</x:v>
      </x:c>
      <x:c r="G352" t="n">
        <x:v>479</x:v>
      </x:c>
      <x:c r="H352" t="n">
        <x:v>25</x:v>
      </x:c>
      <x:c r="I352" t="n">
        <x:v>0.0551</x:v>
      </x:c>
      <x:c r="J352" t="str">
        <x:v>Low</x:v>
      </x:c>
      <x:c r="K352" t="n">
        <x:v>39.8</x:v>
      </x:c>
      <x:c r="L352" t="n">
        <x:v>41</x:v>
      </x:c>
      <x:c r="M352" t="n">
        <x:v>41.7</x:v>
      </x:c>
      <x:c r="N352" t="str">
        <x:v>Optimistic</x:v>
      </x:c>
      <x:c r="O352" t="str">
        <x:v>Most Likely</x:v>
      </x:c>
    </x:row>
    <x:row r="353">
      <x:c r="A353" t="str">
        <x:v>PJT_352</x:v>
      </x:c>
      <x:c r="B353" t="n">
        <x:v>21246750</x:v>
      </x:c>
      <x:c r="C353" t="n">
        <x:v>20874341</x:v>
      </x:c>
      <x:c r="D353" t="n">
        <x:v>-372409</x:v>
      </x:c>
      <x:c r="E353" t="n">
        <x:v>-0.0175</x:v>
      </x:c>
      <x:c r="F353" t="n">
        <x:v>511</x:v>
      </x:c>
      <x:c r="G353" t="n">
        <x:v>526</x:v>
      </x:c>
      <x:c r="H353" t="n">
        <x:v>15</x:v>
      </x:c>
      <x:c r="I353" t="n">
        <x:v>0.0294</x:v>
      </x:c>
      <x:c r="J353" t="str">
        <x:v>Medium</x:v>
      </x:c>
      <x:c r="K353" t="n">
        <x:v>45.5</x:v>
      </x:c>
      <x:c r="L353" t="n">
        <x:v>42.8</x:v>
      </x:c>
      <x:c r="M353" t="n">
        <x:v>45.7</x:v>
      </x:c>
      <x:c r="N353" t="str">
        <x:v>Optimistic</x:v>
      </x:c>
      <x:c r="O353" t="str">
        <x:v>Most Likely</x:v>
      </x:c>
    </x:row>
    <x:row r="354">
      <x:c r="A354" t="str">
        <x:v>PJT_353</x:v>
      </x:c>
      <x:c r="B354" t="n">
        <x:v>9959990</x:v>
      </x:c>
      <x:c r="C354" t="n">
        <x:v>10160780</x:v>
      </x:c>
      <x:c r="D354" t="n">
        <x:v>200790</x:v>
      </x:c>
      <x:c r="E354" t="n">
        <x:v>0.0202</x:v>
      </x:c>
      <x:c r="F354" t="n">
        <x:v>180</x:v>
      </x:c>
      <x:c r="G354" t="n">
        <x:v>175</x:v>
      </x:c>
      <x:c r="H354" t="n">
        <x:v>-5</x:v>
      </x:c>
      <x:c r="I354" t="n">
        <x:v>-0.0278</x:v>
      </x:c>
      <x:c r="J354" t="str">
        <x:v>Low</x:v>
      </x:c>
      <x:c r="K354" t="n">
        <x:v>32.6</x:v>
      </x:c>
      <x:c r="L354" t="n">
        <x:v>39.4</x:v>
      </x:c>
      <x:c r="M354" t="n">
        <x:v>27.8</x:v>
      </x:c>
      <x:c r="N354" t="str">
        <x:v>Most Likely</x:v>
      </x:c>
      <x:c r="O354" t="str">
        <x:v>Optimistic</x:v>
      </x:c>
    </x:row>
    <x:row r="355">
      <x:c r="A355" t="str">
        <x:v>PJT_354</x:v>
      </x:c>
      <x:c r="B355" t="n">
        <x:v>37791000</x:v>
      </x:c>
      <x:c r="C355" t="n">
        <x:v>41550558</x:v>
      </x:c>
      <x:c r="D355" t="n">
        <x:v>3759558</x:v>
      </x:c>
      <x:c r="E355" t="n">
        <x:v>0.0995</x:v>
      </x:c>
      <x:c r="F355" t="n">
        <x:v>775</x:v>
      </x:c>
      <x:c r="G355" t="n">
        <x:v>882</x:v>
      </x:c>
      <x:c r="H355" t="n">
        <x:v>107</x:v>
      </x:c>
      <x:c r="I355" t="n">
        <x:v>0.1381</x:v>
      </x:c>
      <x:c r="J355" t="str">
        <x:v>Medium</x:v>
      </x:c>
      <x:c r="K355" t="n">
        <x:v>56.8</x:v>
      </x:c>
      <x:c r="L355" t="n">
        <x:v>53.5</x:v>
      </x:c>
      <x:c r="M355" t="n">
        <x:v>60.6</x:v>
      </x:c>
      <x:c r="N355" t="str">
        <x:v>Most Likely</x:v>
      </x:c>
      <x:c r="O355" t="str">
        <x:v>Pessimistic</x:v>
      </x:c>
    </x:row>
    <x:row r="356">
      <x:c r="A356" t="str">
        <x:v>PJT_355</x:v>
      </x:c>
      <x:c r="B356" t="n">
        <x:v>59967600</x:v>
      </x:c>
      <x:c r="C356" t="n">
        <x:v>62849577</x:v>
      </x:c>
      <x:c r="D356" t="n">
        <x:v>2881977</x:v>
      </x:c>
      <x:c r="E356" t="n">
        <x:v>0.0481</x:v>
      </x:c>
      <x:c r="F356" t="n">
        <x:v>1079</x:v>
      </x:c>
      <x:c r="G356" t="n">
        <x:v>1166</x:v>
      </x:c>
      <x:c r="H356" t="n">
        <x:v>87</x:v>
      </x:c>
      <x:c r="I356" t="n">
        <x:v>0.0806</x:v>
      </x:c>
      <x:c r="J356" t="str">
        <x:v>Medium</x:v>
      </x:c>
      <x:c r="K356" t="n">
        <x:v>55.5</x:v>
      </x:c>
      <x:c r="L356" t="n">
        <x:v>56</x:v>
      </x:c>
      <x:c r="M356" t="n">
        <x:v>57.1</x:v>
      </x:c>
      <x:c r="N356" t="str">
        <x:v>Most Likely</x:v>
      </x:c>
      <x:c r="O356" t="str">
        <x:v>Most Likely</x:v>
      </x:c>
    </x:row>
    <x:row r="357">
      <x:c r="A357" t="str">
        <x:v>PJT_356</x:v>
      </x:c>
      <x:c r="B357" t="n">
        <x:v>16110260</x:v>
      </x:c>
      <x:c r="C357" t="n">
        <x:v>15876892</x:v>
      </x:c>
      <x:c r="D357" t="n">
        <x:v>-233368</x:v>
      </x:c>
      <x:c r="E357" t="n">
        <x:v>-0.0145</x:v>
      </x:c>
      <x:c r="F357" t="n">
        <x:v>278</x:v>
      </x:c>
      <x:c r="G357" t="n">
        <x:v>254</x:v>
      </x:c>
      <x:c r="H357" t="n">
        <x:v>-24</x:v>
      </x:c>
      <x:c r="I357" t="n">
        <x:v>-0.0863</x:v>
      </x:c>
      <x:c r="J357" t="str">
        <x:v>Low</x:v>
      </x:c>
      <x:c r="K357" t="n">
        <x:v>35</x:v>
      </x:c>
      <x:c r="L357" t="n">
        <x:v>34.3</x:v>
      </x:c>
      <x:c r="M357" t="n">
        <x:v>34.6</x:v>
      </x:c>
      <x:c r="N357" t="str">
        <x:v>Optimistic</x:v>
      </x:c>
      <x:c r="O357" t="str">
        <x:v>Optimistic</x:v>
      </x:c>
    </x:row>
    <x:row r="358">
      <x:c r="A358" t="str">
        <x:v>PJT_357</x:v>
      </x:c>
      <x:c r="B358" t="n">
        <x:v>13038000</x:v>
      </x:c>
      <x:c r="C358" t="n">
        <x:v>11930642</x:v>
      </x:c>
      <x:c r="D358" t="n">
        <x:v>-1107358</x:v>
      </x:c>
      <x:c r="E358" t="n">
        <x:v>-0.0849</x:v>
      </x:c>
      <x:c r="F358" t="n">
        <x:v>221</x:v>
      </x:c>
      <x:c r="G358" t="n">
        <x:v>213</x:v>
      </x:c>
      <x:c r="H358" t="n">
        <x:v>-8</x:v>
      </x:c>
      <x:c r="I358" t="n">
        <x:v>-0.0362</x:v>
      </x:c>
      <x:c r="J358" t="str">
        <x:v>Low</x:v>
      </x:c>
      <x:c r="K358" t="n">
        <x:v>29</x:v>
      </x:c>
      <x:c r="L358" t="n">
        <x:v>32.3</x:v>
      </x:c>
      <x:c r="M358" t="n">
        <x:v>26.3</x:v>
      </x:c>
      <x:c r="N358" t="str">
        <x:v>Optimistic</x:v>
      </x:c>
      <x:c r="O358" t="str">
        <x:v>Optimistic</x:v>
      </x:c>
    </x:row>
    <x:row r="359">
      <x:c r="A359" t="str">
        <x:v>PJT_358</x:v>
      </x:c>
      <x:c r="B359" t="n">
        <x:v>24177120</x:v>
      </x:c>
      <x:c r="C359" t="n">
        <x:v>26133934</x:v>
      </x:c>
      <x:c r="D359" t="n">
        <x:v>1956814</x:v>
      </x:c>
      <x:c r="E359" t="n">
        <x:v>0.0809</x:v>
      </x:c>
      <x:c r="F359" t="n">
        <x:v>580</x:v>
      </x:c>
      <x:c r="G359" t="n">
        <x:v>566</x:v>
      </x:c>
      <x:c r="H359" t="n">
        <x:v>-14</x:v>
      </x:c>
      <x:c r="I359" t="n">
        <x:v>-0.0241</x:v>
      </x:c>
      <x:c r="J359" t="str">
        <x:v>Medium</x:v>
      </x:c>
      <x:c r="K359" t="n">
        <x:v>48.6</x:v>
      </x:c>
      <x:c r="L359" t="n">
        <x:v>48.9</x:v>
      </x:c>
      <x:c r="M359" t="n">
        <x:v>47.6</x:v>
      </x:c>
      <x:c r="N359" t="str">
        <x:v>Most Likely</x:v>
      </x:c>
      <x:c r="O359" t="str">
        <x:v>Optimistic</x:v>
      </x:c>
    </x:row>
    <x:row r="360">
      <x:c r="A360" t="str">
        <x:v>PJT_359</x:v>
      </x:c>
      <x:c r="B360" t="n">
        <x:v>10324510</x:v>
      </x:c>
      <x:c r="C360" t="n">
        <x:v>9681908</x:v>
      </x:c>
      <x:c r="D360" t="n">
        <x:v>-642602</x:v>
      </x:c>
      <x:c r="E360" t="n">
        <x:v>-0.0622</x:v>
      </x:c>
      <x:c r="F360" t="n">
        <x:v>180</x:v>
      </x:c>
      <x:c r="G360" t="n">
        <x:v>195</x:v>
      </x:c>
      <x:c r="H360" t="n">
        <x:v>15</x:v>
      </x:c>
      <x:c r="I360" t="n">
        <x:v>0.0833</x:v>
      </x:c>
      <x:c r="J360" t="str">
        <x:v>Low</x:v>
      </x:c>
      <x:c r="K360" t="n">
        <x:v>31.4</x:v>
      </x:c>
      <x:c r="L360" t="n">
        <x:v>33.5</x:v>
      </x:c>
      <x:c r="M360" t="n">
        <x:v>34.5</x:v>
      </x:c>
      <x:c r="N360" t="str">
        <x:v>Optimistic</x:v>
      </x:c>
      <x:c r="O360" t="str">
        <x:v>Most Likely</x:v>
      </x:c>
    </x:row>
    <x:row r="361">
      <x:c r="A361" t="str">
        <x:v>PJT_360</x:v>
      </x:c>
      <x:c r="B361" t="n">
        <x:v>84240800</x:v>
      </x:c>
      <x:c r="C361" t="n">
        <x:v>88517249</x:v>
      </x:c>
      <x:c r="D361" t="n">
        <x:v>4276449</x:v>
      </x:c>
      <x:c r="E361" t="n">
        <x:v>0.0508</x:v>
      </x:c>
      <x:c r="F361" t="n">
        <x:v>1370</x:v>
      </x:c>
      <x:c r="G361" t="n">
        <x:v>1409</x:v>
      </x:c>
      <x:c r="H361" t="n">
        <x:v>39</x:v>
      </x:c>
      <x:c r="I361" t="n">
        <x:v>0.0285</x:v>
      </x:c>
      <x:c r="J361" t="str">
        <x:v>Medium</x:v>
      </x:c>
      <x:c r="K361" t="n">
        <x:v>66.1</x:v>
      </x:c>
      <x:c r="L361" t="n">
        <x:v>66.4</x:v>
      </x:c>
      <x:c r="M361" t="n">
        <x:v>60.5</x:v>
      </x:c>
      <x:c r="N361" t="str">
        <x:v>Most Likely</x:v>
      </x:c>
      <x:c r="O361" t="str">
        <x:v>Most Likely</x:v>
      </x:c>
    </x:row>
    <x:row r="362">
      <x:c r="A362" t="str">
        <x:v>PJT_361</x:v>
      </x:c>
      <x:c r="B362" t="n">
        <x:v>21494000</x:v>
      </x:c>
      <x:c r="C362" t="n">
        <x:v>20253152</x:v>
      </x:c>
      <x:c r="D362" t="n">
        <x:v>-1240848</x:v>
      </x:c>
      <x:c r="E362" t="n">
        <x:v>-0.0577</x:v>
      </x:c>
      <x:c r="F362" t="n">
        <x:v>429</x:v>
      </x:c>
      <x:c r="G362" t="n">
        <x:v>418</x:v>
      </x:c>
      <x:c r="H362" t="n">
        <x:v>-11</x:v>
      </x:c>
      <x:c r="I362" t="n">
        <x:v>-0.0256</x:v>
      </x:c>
      <x:c r="J362" t="str">
        <x:v>Low</x:v>
      </x:c>
      <x:c r="K362" t="n">
        <x:v>39.3</x:v>
      </x:c>
      <x:c r="L362" t="n">
        <x:v>33.6</x:v>
      </x:c>
      <x:c r="M362" t="n">
        <x:v>33.1</x:v>
      </x:c>
      <x:c r="N362" t="str">
        <x:v>Optimistic</x:v>
      </x:c>
      <x:c r="O362" t="str">
        <x:v>Optimistic</x:v>
      </x:c>
    </x:row>
    <x:row r="363">
      <x:c r="A363" t="str">
        <x:v>PJT_362</x:v>
      </x:c>
      <x:c r="B363" t="n">
        <x:v>39271800</x:v>
      </x:c>
      <x:c r="C363" t="n">
        <x:v>43379596</x:v>
      </x:c>
      <x:c r="D363" t="n">
        <x:v>4107796</x:v>
      </x:c>
      <x:c r="E363" t="n">
        <x:v>0.1046</x:v>
      </x:c>
      <x:c r="F363" t="n">
        <x:v>746</x:v>
      </x:c>
      <x:c r="G363" t="n">
        <x:v>739</x:v>
      </x:c>
      <x:c r="H363" t="n">
        <x:v>-7</x:v>
      </x:c>
      <x:c r="I363" t="n">
        <x:v>-0.0094</x:v>
      </x:c>
      <x:c r="J363" t="str">
        <x:v>Medium</x:v>
      </x:c>
      <x:c r="K363" t="n">
        <x:v>49.7</x:v>
      </x:c>
      <x:c r="L363" t="n">
        <x:v>51.9</x:v>
      </x:c>
      <x:c r="M363" t="n">
        <x:v>44.7</x:v>
      </x:c>
      <x:c r="N363" t="str">
        <x:v>Pessimistic</x:v>
      </x:c>
      <x:c r="O363" t="str">
        <x:v>Optimistic</x:v>
      </x:c>
    </x:row>
    <x:row r="364">
      <x:c r="A364" t="str">
        <x:v>PJT_363</x:v>
      </x:c>
      <x:c r="B364" t="n">
        <x:v>34036020</x:v>
      </x:c>
      <x:c r="C364" t="n">
        <x:v>36284829</x:v>
      </x:c>
      <x:c r="D364" t="n">
        <x:v>2248809</x:v>
      </x:c>
      <x:c r="E364" t="n">
        <x:v>0.0661</x:v>
      </x:c>
      <x:c r="F364" t="n">
        <x:v>679</x:v>
      </x:c>
      <x:c r="G364" t="n">
        <x:v>757</x:v>
      </x:c>
      <x:c r="H364" t="n">
        <x:v>78</x:v>
      </x:c>
      <x:c r="I364" t="n">
        <x:v>0.1149</x:v>
      </x:c>
      <x:c r="J364" t="str">
        <x:v>Medium</x:v>
      </x:c>
      <x:c r="K364" t="n">
        <x:v>49.7</x:v>
      </x:c>
      <x:c r="L364" t="n">
        <x:v>46.4</x:v>
      </x:c>
      <x:c r="M364" t="n">
        <x:v>46.1</x:v>
      </x:c>
      <x:c r="N364" t="str">
        <x:v>Most Likely</x:v>
      </x:c>
      <x:c r="O364" t="str">
        <x:v>Pessimistic</x:v>
      </x:c>
    </x:row>
    <x:row r="365">
      <x:c r="A365" t="str">
        <x:v>PJT_364</x:v>
      </x:c>
      <x:c r="B365" t="n">
        <x:v>89121000</x:v>
      </x:c>
      <x:c r="C365" t="n">
        <x:v>92660251</x:v>
      </x:c>
      <x:c r="D365" t="n">
        <x:v>3539251</x:v>
      </x:c>
      <x:c r="E365" t="n">
        <x:v>0.0397</x:v>
      </x:c>
      <x:c r="F365" t="n">
        <x:v>1659</x:v>
      </x:c>
      <x:c r="G365" t="n">
        <x:v>1786</x:v>
      </x:c>
      <x:c r="H365" t="n">
        <x:v>127</x:v>
      </x:c>
      <x:c r="I365" t="n">
        <x:v>0.0766</x:v>
      </x:c>
      <x:c r="J365" t="str">
        <x:v>Medium</x:v>
      </x:c>
      <x:c r="K365" t="n">
        <x:v>60.8</x:v>
      </x:c>
      <x:c r="L365" t="n">
        <x:v>60.2</x:v>
      </x:c>
      <x:c r="M365" t="n">
        <x:v>58.9</x:v>
      </x:c>
      <x:c r="N365" t="str">
        <x:v>Most Likely</x:v>
      </x:c>
      <x:c r="O365" t="str">
        <x:v>Most Likely</x:v>
      </x:c>
    </x:row>
    <x:row r="366">
      <x:c r="A366" t="str">
        <x:v>PJT_365</x:v>
      </x:c>
      <x:c r="B366" t="n">
        <x:v>29794170</x:v>
      </x:c>
      <x:c r="C366" t="n">
        <x:v>31047085</x:v>
      </x:c>
      <x:c r="D366" t="n">
        <x:v>1252915</x:v>
      </x:c>
      <x:c r="E366" t="n">
        <x:v>0.0421</x:v>
      </x:c>
      <x:c r="F366" t="n">
        <x:v>503</x:v>
      </x:c>
      <x:c r="G366" t="n">
        <x:v>513</x:v>
      </x:c>
      <x:c r="H366" t="n">
        <x:v>10</x:v>
      </x:c>
      <x:c r="I366" t="n">
        <x:v>0.0199</x:v>
      </x:c>
      <x:c r="J366" t="str">
        <x:v>Low</x:v>
      </x:c>
      <x:c r="K366" t="n">
        <x:v>42.7</x:v>
      </x:c>
      <x:c r="L366" t="n">
        <x:v>50.4</x:v>
      </x:c>
      <x:c r="M366" t="n">
        <x:v>44.1</x:v>
      </x:c>
      <x:c r="N366" t="str">
        <x:v>Most Likely</x:v>
      </x:c>
      <x:c r="O366" t="str">
        <x:v>Most Likely</x:v>
      </x:c>
    </x:row>
    <x:row r="367">
      <x:c r="A367" t="str">
        <x:v>PJT_366</x:v>
      </x:c>
      <x:c r="B367" t="n">
        <x:v>22479040</x:v>
      </x:c>
      <x:c r="C367" t="n">
        <x:v>23277927</x:v>
      </x:c>
      <x:c r="D367" t="n">
        <x:v>798887</x:v>
      </x:c>
      <x:c r="E367" t="n">
        <x:v>0.0355</x:v>
      </x:c>
      <x:c r="F367" t="n">
        <x:v>545</x:v>
      </x:c>
      <x:c r="G367" t="n">
        <x:v>552</x:v>
      </x:c>
      <x:c r="H367" t="n">
        <x:v>7</x:v>
      </x:c>
      <x:c r="I367" t="n">
        <x:v>0.0128</x:v>
      </x:c>
      <x:c r="J367" t="str">
        <x:v>Medium</x:v>
      </x:c>
      <x:c r="K367" t="n">
        <x:v>45.7</x:v>
      </x:c>
      <x:c r="L367" t="n">
        <x:v>43.1</x:v>
      </x:c>
      <x:c r="M367" t="n">
        <x:v>43.8</x:v>
      </x:c>
      <x:c r="N367" t="str">
        <x:v>Most Likely</x:v>
      </x:c>
      <x:c r="O367" t="str">
        <x:v>Most Likely</x:v>
      </x:c>
    </x:row>
    <x:row r="368">
      <x:c r="A368" t="str">
        <x:v>PJT_367</x:v>
      </x:c>
      <x:c r="B368" t="n">
        <x:v>76816440</x:v>
      </x:c>
      <x:c r="C368" t="n">
        <x:v>82978638</x:v>
      </x:c>
      <x:c r="D368" t="n">
        <x:v>6162198</x:v>
      </x:c>
      <x:c r="E368" t="n">
        <x:v>0.0802</x:v>
      </x:c>
      <x:c r="F368" t="n">
        <x:v>1438</x:v>
      </x:c>
      <x:c r="G368" t="n">
        <x:v>1539</x:v>
      </x:c>
      <x:c r="H368" t="n">
        <x:v>101</x:v>
      </x:c>
      <x:c r="I368" t="n">
        <x:v>0.0702</x:v>
      </x:c>
      <x:c r="J368" t="str">
        <x:v>Medium</x:v>
      </x:c>
      <x:c r="K368" t="n">
        <x:v>64.6</x:v>
      </x:c>
      <x:c r="L368" t="n">
        <x:v>67</x:v>
      </x:c>
      <x:c r="M368" t="n">
        <x:v>62</x:v>
      </x:c>
      <x:c r="N368" t="str">
        <x:v>Most Likely</x:v>
      </x:c>
      <x:c r="O368" t="str">
        <x:v>Most Likely</x:v>
      </x:c>
    </x:row>
    <x:row r="369">
      <x:c r="A369" t="str">
        <x:v>PJT_368</x:v>
      </x:c>
      <x:c r="B369" t="n">
        <x:v>46996880</x:v>
      </x:c>
      <x:c r="C369" t="n">
        <x:v>46574850</x:v>
      </x:c>
      <x:c r="D369" t="n">
        <x:v>-422030</x:v>
      </x:c>
      <x:c r="E369" t="n">
        <x:v>-0.009</x:v>
      </x:c>
      <x:c r="F369" t="n">
        <x:v>933</x:v>
      </x:c>
      <x:c r="G369" t="n">
        <x:v>1042</x:v>
      </x:c>
      <x:c r="H369" t="n">
        <x:v>109</x:v>
      </x:c>
      <x:c r="I369" t="n">
        <x:v>0.1168</x:v>
      </x:c>
      <x:c r="J369" t="str">
        <x:v>Medium</x:v>
      </x:c>
      <x:c r="K369" t="n">
        <x:v>46.1</x:v>
      </x:c>
      <x:c r="L369" t="n">
        <x:v>46.5</x:v>
      </x:c>
      <x:c r="M369" t="n">
        <x:v>53.4</x:v>
      </x:c>
      <x:c r="N369" t="str">
        <x:v>Optimistic</x:v>
      </x:c>
      <x:c r="O369" t="str">
        <x:v>Pessimistic</x:v>
      </x:c>
    </x:row>
    <x:row r="370">
      <x:c r="A370" t="str">
        <x:v>PJT_369</x:v>
      </x:c>
      <x:c r="B370" t="n">
        <x:v>25077360</x:v>
      </x:c>
      <x:c r="C370" t="n">
        <x:v>26613848</x:v>
      </x:c>
      <x:c r="D370" t="n">
        <x:v>1536488</x:v>
      </x:c>
      <x:c r="E370" t="n">
        <x:v>0.0613</x:v>
      </x:c>
      <x:c r="F370" t="n">
        <x:v>623</x:v>
      </x:c>
      <x:c r="G370" t="n">
        <x:v>692</x:v>
      </x:c>
      <x:c r="H370" t="n">
        <x:v>69</x:v>
      </x:c>
      <x:c r="I370" t="n">
        <x:v>0.1108</x:v>
      </x:c>
      <x:c r="J370" t="str">
        <x:v>Medium</x:v>
      </x:c>
      <x:c r="K370" t="n">
        <x:v>51.2</x:v>
      </x:c>
      <x:c r="L370" t="n">
        <x:v>51.9</x:v>
      </x:c>
      <x:c r="M370" t="n">
        <x:v>51.6</x:v>
      </x:c>
      <x:c r="N370" t="str">
        <x:v>Most Likely</x:v>
      </x:c>
      <x:c r="O370" t="str">
        <x:v>Pessimistic</x:v>
      </x:c>
    </x:row>
    <x:row r="371">
      <x:c r="A371" t="str">
        <x:v>PJT_370</x:v>
      </x:c>
      <x:c r="B371" t="n">
        <x:v>54860960</x:v>
      </x:c>
      <x:c r="C371" t="n">
        <x:v>57404561</x:v>
      </x:c>
      <x:c r="D371" t="n">
        <x:v>2543601</x:v>
      </x:c>
      <x:c r="E371" t="n">
        <x:v>0.0464</x:v>
      </x:c>
      <x:c r="F371" t="n">
        <x:v>1128</x:v>
      </x:c>
      <x:c r="G371" t="n">
        <x:v>1195</x:v>
      </x:c>
      <x:c r="H371" t="n">
        <x:v>67</x:v>
      </x:c>
      <x:c r="I371" t="n">
        <x:v>0.0594</x:v>
      </x:c>
      <x:c r="J371" t="str">
        <x:v>Medium</x:v>
      </x:c>
      <x:c r="K371" t="n">
        <x:v>56.3</x:v>
      </x:c>
      <x:c r="L371" t="n">
        <x:v>52.2</x:v>
      </x:c>
      <x:c r="M371" t="n">
        <x:v>53.2</x:v>
      </x:c>
      <x:c r="N371" t="str">
        <x:v>Most Likely</x:v>
      </x:c>
      <x:c r="O371" t="str">
        <x:v>Most Likely</x:v>
      </x:c>
    </x:row>
    <x:row r="372">
      <x:c r="A372" t="str">
        <x:v>PJT_371</x:v>
      </x:c>
      <x:c r="B372" t="n">
        <x:v>34906170</x:v>
      </x:c>
      <x:c r="C372" t="n">
        <x:v>38042220</x:v>
      </x:c>
      <x:c r="D372" t="n">
        <x:v>3136050</x:v>
      </x:c>
      <x:c r="E372" t="n">
        <x:v>0.0898</x:v>
      </x:c>
      <x:c r="F372" t="n">
        <x:v>657</x:v>
      </x:c>
      <x:c r="G372" t="n">
        <x:v>713</x:v>
      </x:c>
      <x:c r="H372" t="n">
        <x:v>56</x:v>
      </x:c>
      <x:c r="I372" t="n">
        <x:v>0.0852</x:v>
      </x:c>
      <x:c r="J372" t="str">
        <x:v>Medium</x:v>
      </x:c>
      <x:c r="K372" t="n">
        <x:v>48.7</x:v>
      </x:c>
      <x:c r="L372" t="n">
        <x:v>56.1</x:v>
      </x:c>
      <x:c r="M372" t="n">
        <x:v>52.6</x:v>
      </x:c>
      <x:c r="N372" t="str">
        <x:v>Most Likely</x:v>
      </x:c>
      <x:c r="O372" t="str">
        <x:v>Most Likely</x:v>
      </x:c>
    </x:row>
    <x:row r="373">
      <x:c r="A373" t="str">
        <x:v>PJT_372</x:v>
      </x:c>
      <x:c r="B373" t="n">
        <x:v>38503280</x:v>
      </x:c>
      <x:c r="C373" t="n">
        <x:v>39960449</x:v>
      </x:c>
      <x:c r="D373" t="n">
        <x:v>1457169</x:v>
      </x:c>
      <x:c r="E373" t="n">
        <x:v>0.0378</x:v>
      </x:c>
      <x:c r="F373" t="n">
        <x:v>756</x:v>
      </x:c>
      <x:c r="G373" t="n">
        <x:v>831</x:v>
      </x:c>
      <x:c r="H373" t="n">
        <x:v>75</x:v>
      </x:c>
      <x:c r="I373" t="n">
        <x:v>0.0992</x:v>
      </x:c>
      <x:c r="J373" t="str">
        <x:v>Medium</x:v>
      </x:c>
      <x:c r="K373" t="n">
        <x:v>50.1</x:v>
      </x:c>
      <x:c r="L373" t="n">
        <x:v>51.3</x:v>
      </x:c>
      <x:c r="M373" t="n">
        <x:v>47.8</x:v>
      </x:c>
      <x:c r="N373" t="str">
        <x:v>Most Likely</x:v>
      </x:c>
      <x:c r="O373" t="str">
        <x:v>Most Likely</x:v>
      </x:c>
    </x:row>
    <x:row r="374">
      <x:c r="A374" t="str">
        <x:v>PJT_373</x:v>
      </x:c>
      <x:c r="B374" t="n">
        <x:v>22768680</x:v>
      </x:c>
      <x:c r="C374" t="n">
        <x:v>23117029</x:v>
      </x:c>
      <x:c r="D374" t="n">
        <x:v>348349</x:v>
      </x:c>
      <x:c r="E374" t="n">
        <x:v>0.0153</x:v>
      </x:c>
      <x:c r="F374" t="n">
        <x:v>412</x:v>
      </x:c>
      <x:c r="G374" t="n">
        <x:v>424</x:v>
      </x:c>
      <x:c r="H374" t="n">
        <x:v>12</x:v>
      </x:c>
      <x:c r="I374" t="n">
        <x:v>0.0291</x:v>
      </x:c>
      <x:c r="J374" t="str">
        <x:v>Medium</x:v>
      </x:c>
      <x:c r="K374" t="n">
        <x:v>48.2</x:v>
      </x:c>
      <x:c r="L374" t="n">
        <x:v>44.6</x:v>
      </x:c>
      <x:c r="M374" t="n">
        <x:v>43</x:v>
      </x:c>
      <x:c r="N374" t="str">
        <x:v>Most Likely</x:v>
      </x:c>
      <x:c r="O374" t="str">
        <x:v>Most Likely</x:v>
      </x:c>
    </x:row>
    <x:row r="375">
      <x:c r="A375" t="str">
        <x:v>PJT_374</x:v>
      </x:c>
      <x:c r="B375" t="n">
        <x:v>55248600</x:v>
      </x:c>
      <x:c r="C375" t="n">
        <x:v>57087243</x:v>
      </x:c>
      <x:c r="D375" t="n">
        <x:v>1838643</x:v>
      </x:c>
      <x:c r="E375" t="n">
        <x:v>0.0333</x:v>
      </x:c>
      <x:c r="F375" t="n">
        <x:v>1030</x:v>
      </x:c>
      <x:c r="G375" t="n">
        <x:v>1062</x:v>
      </x:c>
      <x:c r="H375" t="n">
        <x:v>32</x:v>
      </x:c>
      <x:c r="I375" t="n">
        <x:v>0.0311</x:v>
      </x:c>
      <x:c r="J375" t="str">
        <x:v>Low</x:v>
      </x:c>
      <x:c r="K375" t="n">
        <x:v>43.9</x:v>
      </x:c>
      <x:c r="L375" t="n">
        <x:v>48.9</x:v>
      </x:c>
      <x:c r="M375" t="n">
        <x:v>43.7</x:v>
      </x:c>
      <x:c r="N375" t="str">
        <x:v>Most Likely</x:v>
      </x:c>
      <x:c r="O375" t="str">
        <x:v>Most Likely</x:v>
      </x:c>
    </x:row>
    <x:row r="376">
      <x:c r="A376" t="str">
        <x:v>PJT_375</x:v>
      </x:c>
      <x:c r="B376" t="n">
        <x:v>23763520</x:v>
      </x:c>
      <x:c r="C376" t="n">
        <x:v>25092928</x:v>
      </x:c>
      <x:c r="D376" t="n">
        <x:v>1329408</x:v>
      </x:c>
      <x:c r="E376" t="n">
        <x:v>0.0559</x:v>
      </x:c>
      <x:c r="F376" t="n">
        <x:v>571</x:v>
      </x:c>
      <x:c r="G376" t="n">
        <x:v>601</x:v>
      </x:c>
      <x:c r="H376" t="n">
        <x:v>30</x:v>
      </x:c>
      <x:c r="I376" t="n">
        <x:v>0.0525</x:v>
      </x:c>
      <x:c r="J376" t="str">
        <x:v>Medium</x:v>
      </x:c>
      <x:c r="K376" t="n">
        <x:v>60.2</x:v>
      </x:c>
      <x:c r="L376" t="n">
        <x:v>56.3</x:v>
      </x:c>
      <x:c r="M376" t="n">
        <x:v>57.4</x:v>
      </x:c>
      <x:c r="N376" t="str">
        <x:v>Most Likely</x:v>
      </x:c>
      <x:c r="O376" t="str">
        <x:v>Most Likely</x:v>
      </x:c>
    </x:row>
    <x:row r="377">
      <x:c r="A377" t="str">
        <x:v>PJT_376</x:v>
      </x:c>
      <x:c r="B377" t="n">
        <x:v>15067200</x:v>
      </x:c>
      <x:c r="C377" t="n">
        <x:v>13754747</x:v>
      </x:c>
      <x:c r="D377" t="n">
        <x:v>-1312453</x:v>
      </x:c>
      <x:c r="E377" t="n">
        <x:v>-0.0871</x:v>
      </x:c>
      <x:c r="F377" t="n">
        <x:v>233</x:v>
      </x:c>
      <x:c r="G377" t="n">
        <x:v>215</x:v>
      </x:c>
      <x:c r="H377" t="n">
        <x:v>-18</x:v>
      </x:c>
      <x:c r="I377" t="n">
        <x:v>-0.0773</x:v>
      </x:c>
      <x:c r="J377" t="str">
        <x:v>Low</x:v>
      </x:c>
      <x:c r="K377" t="n">
        <x:v>31.5</x:v>
      </x:c>
      <x:c r="L377" t="n">
        <x:v>32.9</x:v>
      </x:c>
      <x:c r="M377" t="n">
        <x:v>24.4</x:v>
      </x:c>
      <x:c r="N377" t="str">
        <x:v>Optimistic</x:v>
      </x:c>
      <x:c r="O377" t="str">
        <x:v>Optimistic</x:v>
      </x:c>
    </x:row>
    <x:row r="378">
      <x:c r="A378" t="str">
        <x:v>PJT_377</x:v>
      </x:c>
      <x:c r="B378" t="n">
        <x:v>57759240</x:v>
      </x:c>
      <x:c r="C378" t="n">
        <x:v>58979607</x:v>
      </x:c>
      <x:c r="D378" t="n">
        <x:v>1220367</x:v>
      </x:c>
      <x:c r="E378" t="n">
        <x:v>0.0211</x:v>
      </x:c>
      <x:c r="F378" t="n">
        <x:v>1135</x:v>
      </x:c>
      <x:c r="G378" t="n">
        <x:v>1226</x:v>
      </x:c>
      <x:c r="H378" t="n">
        <x:v>91</x:v>
      </x:c>
      <x:c r="I378" t="n">
        <x:v>0.0802</x:v>
      </x:c>
      <x:c r="J378" t="str">
        <x:v>Medium</x:v>
      </x:c>
      <x:c r="K378" t="n">
        <x:v>55.6</x:v>
      </x:c>
      <x:c r="L378" t="n">
        <x:v>54.2</x:v>
      </x:c>
      <x:c r="M378" t="n">
        <x:v>51.7</x:v>
      </x:c>
      <x:c r="N378" t="str">
        <x:v>Most Likely</x:v>
      </x:c>
      <x:c r="O378" t="str">
        <x:v>Most Likely</x:v>
      </x:c>
    </x:row>
    <x:row r="379">
      <x:c r="A379" t="str">
        <x:v>PJT_378</x:v>
      </x:c>
      <x:c r="B379" t="n">
        <x:v>22677180</x:v>
      </x:c>
      <x:c r="C379" t="n">
        <x:v>22490027</x:v>
      </x:c>
      <x:c r="D379" t="n">
        <x:v>-187153</x:v>
      </x:c>
      <x:c r="E379" t="n">
        <x:v>-0.0083</x:v>
      </x:c>
      <x:c r="F379" t="n">
        <x:v>425</x:v>
      </x:c>
      <x:c r="G379" t="n">
        <x:v>459</x:v>
      </x:c>
      <x:c r="H379" t="n">
        <x:v>34</x:v>
      </x:c>
      <x:c r="I379" t="n">
        <x:v>0.08</x:v>
      </x:c>
      <x:c r="J379" t="str">
        <x:v>Low</x:v>
      </x:c>
      <x:c r="K379" t="n">
        <x:v>43.8</x:v>
      </x:c>
      <x:c r="L379" t="n">
        <x:v>46.1</x:v>
      </x:c>
      <x:c r="M379" t="n">
        <x:v>46.7</x:v>
      </x:c>
      <x:c r="N379" t="str">
        <x:v>Optimistic</x:v>
      </x:c>
      <x:c r="O379" t="str">
        <x:v>Most Likely</x:v>
      </x:c>
    </x:row>
    <x:row r="380">
      <x:c r="A380" t="str">
        <x:v>PJT_379</x:v>
      </x:c>
      <x:c r="B380" t="n">
        <x:v>54980640</x:v>
      </x:c>
      <x:c r="C380" t="n">
        <x:v>56004277</x:v>
      </x:c>
      <x:c r="D380" t="n">
        <x:v>1023637</x:v>
      </x:c>
      <x:c r="E380" t="n">
        <x:v>0.0186</x:v>
      </x:c>
      <x:c r="F380" t="n">
        <x:v>1072</x:v>
      </x:c>
      <x:c r="G380" t="n">
        <x:v>1180</x:v>
      </x:c>
      <x:c r="H380" t="n">
        <x:v>108</x:v>
      </x:c>
      <x:c r="I380" t="n">
        <x:v>0.1007</x:v>
      </x:c>
      <x:c r="J380" t="str">
        <x:v>Medium</x:v>
      </x:c>
      <x:c r="K380" t="n">
        <x:v>55.4</x:v>
      </x:c>
      <x:c r="L380" t="n">
        <x:v>55.5</x:v>
      </x:c>
      <x:c r="M380" t="n">
        <x:v>53</x:v>
      </x:c>
      <x:c r="N380" t="str">
        <x:v>Most Likely</x:v>
      </x:c>
      <x:c r="O380" t="str">
        <x:v>Pessimistic</x:v>
      </x:c>
    </x:row>
    <x:row r="381">
      <x:c r="A381" t="str">
        <x:v>PJT_380</x:v>
      </x:c>
      <x:c r="B381" t="n">
        <x:v>77415930</x:v>
      </x:c>
      <x:c r="C381" t="n">
        <x:v>90141533</x:v>
      </x:c>
      <x:c r="D381" t="n">
        <x:v>12725603</x:v>
      </x:c>
      <x:c r="E381" t="n">
        <x:v>0.1644</x:v>
      </x:c>
      <x:c r="F381" t="n">
        <x:v>1294</x:v>
      </x:c>
      <x:c r="G381" t="n">
        <x:v>1402</x:v>
      </x:c>
      <x:c r="H381" t="n">
        <x:v>108</x:v>
      </x:c>
      <x:c r="I381" t="n">
        <x:v>0.0835</x:v>
      </x:c>
      <x:c r="J381" t="str">
        <x:v>High</x:v>
      </x:c>
      <x:c r="K381" t="n">
        <x:v>69.3</x:v>
      </x:c>
      <x:c r="L381" t="n">
        <x:v>73.4</x:v>
      </x:c>
      <x:c r="M381" t="n">
        <x:v>66.4</x:v>
      </x:c>
      <x:c r="N381" t="str">
        <x:v>Pessimistic</x:v>
      </x:c>
      <x:c r="O381" t="str">
        <x:v>Most Likely</x:v>
      </x:c>
    </x:row>
    <x:row r="382">
      <x:c r="A382" t="str">
        <x:v>PJT_381</x:v>
      </x:c>
      <x:c r="B382" t="n">
        <x:v>12543840</x:v>
      </x:c>
      <x:c r="C382" t="n">
        <x:v>12174950</x:v>
      </x:c>
      <x:c r="D382" t="n">
        <x:v>-368890</x:v>
      </x:c>
      <x:c r="E382" t="n">
        <x:v>-0.0294</x:v>
      </x:c>
      <x:c r="F382" t="n">
        <x:v>215</x:v>
      </x:c>
      <x:c r="G382" t="n">
        <x:v>219</x:v>
      </x:c>
      <x:c r="H382" t="n">
        <x:v>4</x:v>
      </x:c>
      <x:c r="I382" t="n">
        <x:v>0.0186</x:v>
      </x:c>
      <x:c r="J382" t="str">
        <x:v>Low</x:v>
      </x:c>
      <x:c r="K382" t="n">
        <x:v>30.5</x:v>
      </x:c>
      <x:c r="L382" t="n">
        <x:v>28.7</x:v>
      </x:c>
      <x:c r="M382" t="n">
        <x:v>28.7</x:v>
      </x:c>
      <x:c r="N382" t="str">
        <x:v>Optimistic</x:v>
      </x:c>
      <x:c r="O382" t="str">
        <x:v>Most Likely</x:v>
      </x:c>
    </x:row>
    <x:row r="383">
      <x:c r="A383" t="str">
        <x:v>PJT_382</x:v>
      </x:c>
      <x:c r="B383" t="n">
        <x:v>69416250</x:v>
      </x:c>
      <x:c r="C383" t="n">
        <x:v>74399359</x:v>
      </x:c>
      <x:c r="D383" t="n">
        <x:v>4983109</x:v>
      </x:c>
      <x:c r="E383" t="n">
        <x:v>0.0718</x:v>
      </x:c>
      <x:c r="F383" t="n">
        <x:v>1378</x:v>
      </x:c>
      <x:c r="G383" t="n">
        <x:v>1536</x:v>
      </x:c>
      <x:c r="H383" t="n">
        <x:v>158</x:v>
      </x:c>
      <x:c r="I383" t="n">
        <x:v>0.1147</x:v>
      </x:c>
      <x:c r="J383" t="str">
        <x:v>Medium</x:v>
      </x:c>
      <x:c r="K383" t="n">
        <x:v>63.6</x:v>
      </x:c>
      <x:c r="L383" t="n">
        <x:v>65.3</x:v>
      </x:c>
      <x:c r="M383" t="n">
        <x:v>65.4</x:v>
      </x:c>
      <x:c r="N383" t="str">
        <x:v>Most Likely</x:v>
      </x:c>
      <x:c r="O383" t="str">
        <x:v>Pessimistic</x:v>
      </x:c>
    </x:row>
    <x:row r="384">
      <x:c r="A384" t="str">
        <x:v>PJT_383</x:v>
      </x:c>
      <x:c r="B384" t="n">
        <x:v>89221860</x:v>
      </x:c>
      <x:c r="C384" t="n">
        <x:v>95568079</x:v>
      </x:c>
      <x:c r="D384" t="n">
        <x:v>6346219</x:v>
      </x:c>
      <x:c r="E384" t="n">
        <x:v>0.0711</x:v>
      </x:c>
      <x:c r="F384" t="n">
        <x:v>1681</x:v>
      </x:c>
      <x:c r="G384" t="n">
        <x:v>1864</x:v>
      </x:c>
      <x:c r="H384" t="n">
        <x:v>183</x:v>
      </x:c>
      <x:c r="I384" t="n">
        <x:v>0.1089</x:v>
      </x:c>
      <x:c r="J384" t="str">
        <x:v>Medium</x:v>
      </x:c>
      <x:c r="K384" t="n">
        <x:v>60.1</x:v>
      </x:c>
      <x:c r="L384" t="n">
        <x:v>65.3</x:v>
      </x:c>
      <x:c r="M384" t="n">
        <x:v>62.7</x:v>
      </x:c>
      <x:c r="N384" t="str">
        <x:v>Most Likely</x:v>
      </x:c>
      <x:c r="O384" t="str">
        <x:v>Pessimistic</x:v>
      </x:c>
    </x:row>
    <x:row r="385">
      <x:c r="A385" t="str">
        <x:v>PJT_384</x:v>
      </x:c>
      <x:c r="B385" t="n">
        <x:v>33358080</x:v>
      </x:c>
      <x:c r="C385" t="n">
        <x:v>33418599</x:v>
      </x:c>
      <x:c r="D385" t="n">
        <x:v>60519</x:v>
      </x:c>
      <x:c r="E385" t="n">
        <x:v>0.0018</x:v>
      </x:c>
      <x:c r="F385" t="n">
        <x:v>644</x:v>
      </x:c>
      <x:c r="G385" t="n">
        <x:v>672</x:v>
      </x:c>
      <x:c r="H385" t="n">
        <x:v>28</x:v>
      </x:c>
      <x:c r="I385" t="n">
        <x:v>0.0435</x:v>
      </x:c>
      <x:c r="J385" t="str">
        <x:v>Low</x:v>
      </x:c>
      <x:c r="K385" t="n">
        <x:v>43.9</x:v>
      </x:c>
      <x:c r="L385" t="n">
        <x:v>44.3</x:v>
      </x:c>
      <x:c r="M385" t="n">
        <x:v>42.1</x:v>
      </x:c>
      <x:c r="N385" t="str">
        <x:v>Most Likely</x:v>
      </x:c>
      <x:c r="O385" t="str">
        <x:v>Most Likely</x:v>
      </x:c>
    </x:row>
    <x:row r="386">
      <x:c r="A386" t="str">
        <x:v>PJT_385</x:v>
      </x:c>
      <x:c r="B386" t="n">
        <x:v>68275000</x:v>
      </x:c>
      <x:c r="C386" t="n">
        <x:v>74039221</x:v>
      </x:c>
      <x:c r="D386" t="n">
        <x:v>5764221</x:v>
      </x:c>
      <x:c r="E386" t="n">
        <x:v>0.0844</x:v>
      </x:c>
      <x:c r="F386" t="n">
        <x:v>1228</x:v>
      </x:c>
      <x:c r="G386" t="n">
        <x:v>1201</x:v>
      </x:c>
      <x:c r="H386" t="n">
        <x:v>-27</x:v>
      </x:c>
      <x:c r="I386" t="n">
        <x:v>-0.022</x:v>
      </x:c>
      <x:c r="J386" t="str">
        <x:v>Medium</x:v>
      </x:c>
      <x:c r="K386" t="n">
        <x:v>50.9</x:v>
      </x:c>
      <x:c r="L386" t="n">
        <x:v>50.7</x:v>
      </x:c>
      <x:c r="M386" t="n">
        <x:v>50.1</x:v>
      </x:c>
      <x:c r="N386" t="str">
        <x:v>Most Likely</x:v>
      </x:c>
      <x:c r="O386" t="str">
        <x:v>Optimistic</x:v>
      </x:c>
    </x:row>
    <x:row r="387">
      <x:c r="A387" t="str">
        <x:v>PJT_386</x:v>
      </x:c>
      <x:c r="B387" t="n">
        <x:v>58818760</x:v>
      </x:c>
      <x:c r="C387" t="n">
        <x:v>64343569</x:v>
      </x:c>
      <x:c r="D387" t="n">
        <x:v>5524809</x:v>
      </x:c>
      <x:c r="E387" t="n">
        <x:v>0.0939</x:v>
      </x:c>
      <x:c r="F387" t="n">
        <x:v>892</x:v>
      </x:c>
      <x:c r="G387" t="n">
        <x:v>872</x:v>
      </x:c>
      <x:c r="H387" t="n">
        <x:v>-20</x:v>
      </x:c>
      <x:c r="I387" t="n">
        <x:v>-0.0224</x:v>
      </x:c>
      <x:c r="J387" t="str">
        <x:v>Medium</x:v>
      </x:c>
      <x:c r="K387" t="n">
        <x:v>45.2</x:v>
      </x:c>
      <x:c r="L387" t="n">
        <x:v>53.6</x:v>
      </x:c>
      <x:c r="M387" t="n">
        <x:v>48.5</x:v>
      </x:c>
      <x:c r="N387" t="str">
        <x:v>Most Likely</x:v>
      </x:c>
      <x:c r="O387" t="str">
        <x:v>Optimistic</x:v>
      </x:c>
    </x:row>
    <x:row r="388">
      <x:c r="A388" t="str">
        <x:v>PJT_387</x:v>
      </x:c>
      <x:c r="B388" t="n">
        <x:v>22898510</x:v>
      </x:c>
      <x:c r="C388" t="n">
        <x:v>23319829</x:v>
      </x:c>
      <x:c r="D388" t="n">
        <x:v>421319</x:v>
      </x:c>
      <x:c r="E388" t="n">
        <x:v>0.0184</x:v>
      </x:c>
      <x:c r="F388" t="n">
        <x:v>437</x:v>
      </x:c>
      <x:c r="G388" t="n">
        <x:v>432</x:v>
      </x:c>
      <x:c r="H388" t="n">
        <x:v>-5</x:v>
      </x:c>
      <x:c r="I388" t="n">
        <x:v>-0.0114</x:v>
      </x:c>
      <x:c r="J388" t="str">
        <x:v>Medium</x:v>
      </x:c>
      <x:c r="K388" t="n">
        <x:v>45.7</x:v>
      </x:c>
      <x:c r="L388" t="n">
        <x:v>49.1</x:v>
      </x:c>
      <x:c r="M388" t="n">
        <x:v>44</x:v>
      </x:c>
      <x:c r="N388" t="str">
        <x:v>Most Likely</x:v>
      </x:c>
      <x:c r="O388" t="str">
        <x:v>Optimistic</x:v>
      </x:c>
    </x:row>
    <x:row r="389">
      <x:c r="A389" t="str">
        <x:v>PJT_388</x:v>
      </x:c>
      <x:c r="B389" t="n">
        <x:v>76249420</x:v>
      </x:c>
      <x:c r="C389" t="n">
        <x:v>84972835</x:v>
      </x:c>
      <x:c r="D389" t="n">
        <x:v>8723415</x:v>
      </x:c>
      <x:c r="E389" t="n">
        <x:v>0.1144</x:v>
      </x:c>
      <x:c r="F389" t="n">
        <x:v>1508</x:v>
      </x:c>
      <x:c r="G389" t="n">
        <x:v>1552</x:v>
      </x:c>
      <x:c r="H389" t="n">
        <x:v>44</x:v>
      </x:c>
      <x:c r="I389" t="n">
        <x:v>0.0292</x:v>
      </x:c>
      <x:c r="J389" t="str">
        <x:v>Medium</x:v>
      </x:c>
      <x:c r="K389" t="n">
        <x:v>54.7</x:v>
      </x:c>
      <x:c r="L389" t="n">
        <x:v>55.7</x:v>
      </x:c>
      <x:c r="M389" t="n">
        <x:v>52.5</x:v>
      </x:c>
      <x:c r="N389" t="str">
        <x:v>Pessimistic</x:v>
      </x:c>
      <x:c r="O389" t="str">
        <x:v>Most Likely</x:v>
      </x:c>
    </x:row>
    <x:row r="390">
      <x:c r="A390" t="str">
        <x:v>PJT_389</x:v>
      </x:c>
      <x:c r="B390" t="n">
        <x:v>109182160</x:v>
      </x:c>
      <x:c r="C390" t="n">
        <x:v>113226059</x:v>
      </x:c>
      <x:c r="D390" t="n">
        <x:v>4043899</x:v>
      </x:c>
      <x:c r="E390" t="n">
        <x:v>0.037</x:v>
      </x:c>
      <x:c r="F390" t="n">
        <x:v>2166</x:v>
      </x:c>
      <x:c r="G390" t="n">
        <x:v>2404</x:v>
      </x:c>
      <x:c r="H390" t="n">
        <x:v>238</x:v>
      </x:c>
      <x:c r="I390" t="n">
        <x:v>0.1099</x:v>
      </x:c>
      <x:c r="J390" t="str">
        <x:v>High</x:v>
      </x:c>
      <x:c r="K390" t="n">
        <x:v>70.1</x:v>
      </x:c>
      <x:c r="L390" t="n">
        <x:v>66.8</x:v>
      </x:c>
      <x:c r="M390" t="n">
        <x:v>71.7</x:v>
      </x:c>
      <x:c r="N390" t="str">
        <x:v>Most Likely</x:v>
      </x:c>
      <x:c r="O390" t="str">
        <x:v>Pessimistic</x:v>
      </x:c>
    </x:row>
    <x:row r="391">
      <x:c r="A391" t="str">
        <x:v>PJT_390</x:v>
      </x:c>
      <x:c r="B391" t="n">
        <x:v>15515820</x:v>
      </x:c>
      <x:c r="C391" t="n">
        <x:v>14879105</x:v>
      </x:c>
      <x:c r="D391" t="n">
        <x:v>-636715</x:v>
      </x:c>
      <x:c r="E391" t="n">
        <x:v>-0.041</x:v>
      </x:c>
      <x:c r="F391" t="n">
        <x:v>392</x:v>
      </x:c>
      <x:c r="G391" t="n">
        <x:v>376</x:v>
      </x:c>
      <x:c r="H391" t="n">
        <x:v>-16</x:v>
      </x:c>
      <x:c r="I391" t="n">
        <x:v>-0.0408</x:v>
      </x:c>
      <x:c r="J391" t="str">
        <x:v>Low</x:v>
      </x:c>
      <x:c r="K391" t="n">
        <x:v>31.6</x:v>
      </x:c>
      <x:c r="L391" t="n">
        <x:v>34.1</x:v>
      </x:c>
      <x:c r="M391" t="n">
        <x:v>33.4</x:v>
      </x:c>
      <x:c r="N391" t="str">
        <x:v>Optimistic</x:v>
      </x:c>
      <x:c r="O391" t="str">
        <x:v>Optimistic</x:v>
      </x:c>
    </x:row>
    <x:row r="392">
      <x:c r="A392" t="str">
        <x:v>PJT_391</x:v>
      </x:c>
      <x:c r="B392" t="n">
        <x:v>15378000</x:v>
      </x:c>
      <x:c r="C392" t="n">
        <x:v>14830826</x:v>
      </x:c>
      <x:c r="D392" t="n">
        <x:v>-547174</x:v>
      </x:c>
      <x:c r="E392" t="n">
        <x:v>-0.0356</x:v>
      </x:c>
      <x:c r="F392" t="n">
        <x:v>385</x:v>
      </x:c>
      <x:c r="G392" t="n">
        <x:v>383</x:v>
      </x:c>
      <x:c r="H392" t="n">
        <x:v>-2</x:v>
      </x:c>
      <x:c r="I392" t="n">
        <x:v>-0.0052</x:v>
      </x:c>
      <x:c r="J392" t="str">
        <x:v>Low</x:v>
      </x:c>
      <x:c r="K392" t="n">
        <x:v>31.7</x:v>
      </x:c>
      <x:c r="L392" t="n">
        <x:v>33.3</x:v>
      </x:c>
      <x:c r="M392" t="n">
        <x:v>29.6</x:v>
      </x:c>
      <x:c r="N392" t="str">
        <x:v>Optimistic</x:v>
      </x:c>
      <x:c r="O392" t="str">
        <x:v>Optimistic</x:v>
      </x:c>
    </x:row>
    <x:row r="393">
      <x:c r="A393" t="str">
        <x:v>PJT_392</x:v>
      </x:c>
      <x:c r="B393" t="n">
        <x:v>69436480</x:v>
      </x:c>
      <x:c r="C393" t="n">
        <x:v>70960661</x:v>
      </x:c>
      <x:c r="D393" t="n">
        <x:v>1524181</x:v>
      </x:c>
      <x:c r="E393" t="n">
        <x:v>0.022</x:v>
      </x:c>
      <x:c r="F393" t="n">
        <x:v>1165</x:v>
      </x:c>
      <x:c r="G393" t="n">
        <x:v>1269</x:v>
      </x:c>
      <x:c r="H393" t="n">
        <x:v>104</x:v>
      </x:c>
      <x:c r="I393" t="n">
        <x:v>0.0893</x:v>
      </x:c>
      <x:c r="J393" t="str">
        <x:v>Medium</x:v>
      </x:c>
      <x:c r="K393" t="n">
        <x:v>51.6</x:v>
      </x:c>
      <x:c r="L393" t="n">
        <x:v>56</x:v>
      </x:c>
      <x:c r="M393" t="n">
        <x:v>59.8</x:v>
      </x:c>
      <x:c r="N393" t="str">
        <x:v>Most Likely</x:v>
      </x:c>
      <x:c r="O393" t="str">
        <x:v>Most Likely</x:v>
      </x:c>
    </x:row>
    <x:row r="394">
      <x:c r="A394" t="str">
        <x:v>PJT_393</x:v>
      </x:c>
      <x:c r="B394" t="n">
        <x:v>46436000</x:v>
      </x:c>
      <x:c r="C394" t="n">
        <x:v>47063125</x:v>
      </x:c>
      <x:c r="D394" t="n">
        <x:v>627125</x:v>
      </x:c>
      <x:c r="E394" t="n">
        <x:v>0.0135</x:v>
      </x:c>
      <x:c r="F394" t="n">
        <x:v>889</x:v>
      </x:c>
      <x:c r="G394" t="n">
        <x:v>854</x:v>
      </x:c>
      <x:c r="H394" t="n">
        <x:v>-35</x:v>
      </x:c>
      <x:c r="I394" t="n">
        <x:v>-0.0394</x:v>
      </x:c>
      <x:c r="J394" t="str">
        <x:v>Low</x:v>
      </x:c>
      <x:c r="K394" t="n">
        <x:v>36.9</x:v>
      </x:c>
      <x:c r="L394" t="n">
        <x:v>41.3</x:v>
      </x:c>
      <x:c r="M394" t="n">
        <x:v>36</x:v>
      </x:c>
      <x:c r="N394" t="str">
        <x:v>Most Likely</x:v>
      </x:c>
      <x:c r="O394" t="str">
        <x:v>Optimistic</x:v>
      </x:c>
    </x:row>
    <x:row r="395">
      <x:c r="A395" t="str">
        <x:v>PJT_394</x:v>
      </x:c>
      <x:c r="B395" t="n">
        <x:v>24500880</x:v>
      </x:c>
      <x:c r="C395" t="n">
        <x:v>24842143</x:v>
      </x:c>
      <x:c r="D395" t="n">
        <x:v>341263</x:v>
      </x:c>
      <x:c r="E395" t="n">
        <x:v>0.0139</x:v>
      </x:c>
      <x:c r="F395" t="n">
        <x:v>645</x:v>
      </x:c>
      <x:c r="G395" t="n">
        <x:v>688</x:v>
      </x:c>
      <x:c r="H395" t="n">
        <x:v>43</x:v>
      </x:c>
      <x:c r="I395" t="n">
        <x:v>0.0667</x:v>
      </x:c>
      <x:c r="J395" t="str">
        <x:v>Medium</x:v>
      </x:c>
      <x:c r="K395" t="n">
        <x:v>49.2</x:v>
      </x:c>
      <x:c r="L395" t="n">
        <x:v>41.5</x:v>
      </x:c>
      <x:c r="M395" t="n">
        <x:v>44.8</x:v>
      </x:c>
      <x:c r="N395" t="str">
        <x:v>Most Likely</x:v>
      </x:c>
      <x:c r="O395" t="str">
        <x:v>Most Likely</x:v>
      </x:c>
    </x:row>
    <x:row r="396">
      <x:c r="A396" t="str">
        <x:v>PJT_395</x:v>
      </x:c>
      <x:c r="B396" t="n">
        <x:v>34134990</x:v>
      </x:c>
      <x:c r="C396" t="n">
        <x:v>35945364</x:v>
      </x:c>
      <x:c r="D396" t="n">
        <x:v>1810374</x:v>
      </x:c>
      <x:c r="E396" t="n">
        <x:v>0.053</x:v>
      </x:c>
      <x:c r="F396" t="n">
        <x:v>659</x:v>
      </x:c>
      <x:c r="G396" t="n">
        <x:v>686</x:v>
      </x:c>
      <x:c r="H396" t="n">
        <x:v>27</x:v>
      </x:c>
      <x:c r="I396" t="n">
        <x:v>0.041</x:v>
      </x:c>
      <x:c r="J396" t="str">
        <x:v>Medium</x:v>
      </x:c>
      <x:c r="K396" t="n">
        <x:v>54.6</x:v>
      </x:c>
      <x:c r="L396" t="n">
        <x:v>52.4</x:v>
      </x:c>
      <x:c r="M396" t="n">
        <x:v>55.9</x:v>
      </x:c>
      <x:c r="N396" t="str">
        <x:v>Most Likely</x:v>
      </x:c>
      <x:c r="O396" t="str">
        <x:v>Most Likely</x:v>
      </x:c>
    </x:row>
    <x:row r="397">
      <x:c r="A397" t="str">
        <x:v>PJT_396</x:v>
      </x:c>
      <x:c r="B397" t="n">
        <x:v>75541420</x:v>
      </x:c>
      <x:c r="C397" t="n">
        <x:v>82473867</x:v>
      </x:c>
      <x:c r="D397" t="n">
        <x:v>6932447</x:v>
      </x:c>
      <x:c r="E397" t="n">
        <x:v>0.0918</x:v>
      </x:c>
      <x:c r="F397" t="n">
        <x:v>1492</x:v>
      </x:c>
      <x:c r="G397" t="n">
        <x:v>1602</x:v>
      </x:c>
      <x:c r="H397" t="n">
        <x:v>110</x:v>
      </x:c>
      <x:c r="I397" t="n">
        <x:v>0.0737</x:v>
      </x:c>
      <x:c r="J397" t="str">
        <x:v>Medium</x:v>
      </x:c>
      <x:c r="K397" t="n">
        <x:v>60.2</x:v>
      </x:c>
      <x:c r="L397" t="n">
        <x:v>58.2</x:v>
      </x:c>
      <x:c r="M397" t="n">
        <x:v>54.2</x:v>
      </x:c>
      <x:c r="N397" t="str">
        <x:v>Most Likely</x:v>
      </x:c>
      <x:c r="O397" t="str">
        <x:v>Most Likely</x:v>
      </x:c>
    </x:row>
    <x:row r="398">
      <x:c r="A398" t="str">
        <x:v>PJT_397</x:v>
      </x:c>
      <x:c r="B398" t="n">
        <x:v>32192640</x:v>
      </x:c>
      <x:c r="C398" t="n">
        <x:v>33695068</x:v>
      </x:c>
      <x:c r="D398" t="n">
        <x:v>1502428</x:v>
      </x:c>
      <x:c r="E398" t="n">
        <x:v>0.0467</x:v>
      </x:c>
      <x:c r="F398" t="n">
        <x:v>822</x:v>
      </x:c>
      <x:c r="G398" t="n">
        <x:v>897</x:v>
      </x:c>
      <x:c r="H398" t="n">
        <x:v>75</x:v>
      </x:c>
      <x:c r="I398" t="n">
        <x:v>0.0912</x:v>
      </x:c>
      <x:c r="J398" t="str">
        <x:v>Medium</x:v>
      </x:c>
      <x:c r="K398" t="n">
        <x:v>61.8</x:v>
      </x:c>
      <x:c r="L398" t="n">
        <x:v>55.1</x:v>
      </x:c>
      <x:c r="M398" t="n">
        <x:v>58.1</x:v>
      </x:c>
      <x:c r="N398" t="str">
        <x:v>Most Likely</x:v>
      </x:c>
      <x:c r="O398" t="str">
        <x:v>Most Likely</x:v>
      </x:c>
    </x:row>
    <x:row r="399">
      <x:c r="A399" t="str">
        <x:v>PJT_398</x:v>
      </x:c>
      <x:c r="B399" t="n">
        <x:v>54221480</x:v>
      </x:c>
      <x:c r="C399" t="n">
        <x:v>54578870</x:v>
      </x:c>
      <x:c r="D399" t="n">
        <x:v>357390</x:v>
      </x:c>
      <x:c r="E399" t="n">
        <x:v>0.0066</x:v>
      </x:c>
      <x:c r="F399" t="n">
        <x:v>1107</x:v>
      </x:c>
      <x:c r="G399" t="n">
        <x:v>1119</x:v>
      </x:c>
      <x:c r="H399" t="n">
        <x:v>12</x:v>
      </x:c>
      <x:c r="I399" t="n">
        <x:v>0.0108</x:v>
      </x:c>
      <x:c r="J399" t="str">
        <x:v>Medium</x:v>
      </x:c>
      <x:c r="K399" t="n">
        <x:v>49.5</x:v>
      </x:c>
      <x:c r="L399" t="n">
        <x:v>48</x:v>
      </x:c>
      <x:c r="M399" t="n">
        <x:v>47.2</x:v>
      </x:c>
      <x:c r="N399" t="str">
        <x:v>Most Likely</x:v>
      </x:c>
      <x:c r="O399" t="str">
        <x:v>Most Likely</x:v>
      </x:c>
    </x:row>
    <x:row r="400">
      <x:c r="A400" t="str">
        <x:v>PJT_399</x:v>
      </x:c>
      <x:c r="B400" t="n">
        <x:v>9923440</x:v>
      </x:c>
      <x:c r="C400" t="n">
        <x:v>9839319</x:v>
      </x:c>
      <x:c r="D400" t="n">
        <x:v>-84121</x:v>
      </x:c>
      <x:c r="E400" t="n">
        <x:v>-0.0085</x:v>
      </x:c>
      <x:c r="F400" t="n">
        <x:v>218</x:v>
      </x:c>
      <x:c r="G400" t="n">
        <x:v>220</x:v>
      </x:c>
      <x:c r="H400" t="n">
        <x:v>2</x:v>
      </x:c>
      <x:c r="I400" t="n">
        <x:v>0.0092</x:v>
      </x:c>
      <x:c r="J400" t="str">
        <x:v>Low</x:v>
      </x:c>
      <x:c r="K400" t="n">
        <x:v>43.7</x:v>
      </x:c>
      <x:c r="L400" t="n">
        <x:v>36.2</x:v>
      </x:c>
      <x:c r="M400" t="n">
        <x:v>39.2</x:v>
      </x:c>
      <x:c r="N400" t="str">
        <x:v>Optimistic</x:v>
      </x:c>
      <x:c r="O400" t="str">
        <x:v>Most Likely</x:v>
      </x:c>
    </x:row>
    <x:row r="401">
      <x:c r="A401" t="str">
        <x:v>PJT_400</x:v>
      </x:c>
      <x:c r="B401" t="n">
        <x:v>33264260</x:v>
      </x:c>
      <x:c r="C401" t="n">
        <x:v>33083176</x:v>
      </x:c>
      <x:c r="D401" t="n">
        <x:v>-181084</x:v>
      </x:c>
      <x:c r="E401" t="n">
        <x:v>-0.0054</x:v>
      </x:c>
      <x:c r="F401" t="n">
        <x:v>624</x:v>
      </x:c>
      <x:c r="G401" t="n">
        <x:v>655</x:v>
      </x:c>
      <x:c r="H401" t="n">
        <x:v>31</x:v>
      </x:c>
      <x:c r="I401" t="n">
        <x:v>0.0497</x:v>
      </x:c>
      <x:c r="J401" t="str">
        <x:v>Low</x:v>
      </x:c>
      <x:c r="K401" t="n">
        <x:v>41.9</x:v>
      </x:c>
      <x:c r="L401" t="n">
        <x:v>49.5</x:v>
      </x:c>
      <x:c r="M401" t="n">
        <x:v>44.2</x:v>
      </x:c>
      <x:c r="N401" t="str">
        <x:v>Optimistic</x:v>
      </x:c>
      <x:c r="O401" t="str">
        <x:v>Most Likely</x:v>
      </x:c>
    </x:row>
    <x:row r="402">
      <x:c r="A402" t="str">
        <x:v>PJT_401</x:v>
      </x:c>
      <x:c r="B402" t="n">
        <x:v>87811050</x:v>
      </x:c>
      <x:c r="C402" t="n">
        <x:v>93349300</x:v>
      </x:c>
      <x:c r="D402" t="n">
        <x:v>5538250</x:v>
      </x:c>
      <x:c r="E402" t="n">
        <x:v>0.0631</x:v>
      </x:c>
      <x:c r="F402" t="n">
        <x:v>1731</x:v>
      </x:c>
      <x:c r="G402" t="n">
        <x:v>1763</x:v>
      </x:c>
      <x:c r="H402" t="n">
        <x:v>32</x:v>
      </x:c>
      <x:c r="I402" t="n">
        <x:v>0.0185</x:v>
      </x:c>
      <x:c r="J402" t="str">
        <x:v>Medium</x:v>
      </x:c>
      <x:c r="K402" t="n">
        <x:v>59.2</x:v>
      </x:c>
      <x:c r="L402" t="n">
        <x:v>59.2</x:v>
      </x:c>
      <x:c r="M402" t="n">
        <x:v>57.7</x:v>
      </x:c>
      <x:c r="N402" t="str">
        <x:v>Most Likely</x:v>
      </x:c>
      <x:c r="O402" t="str">
        <x:v>Most Likely</x:v>
      </x:c>
    </x:row>
    <x:row r="403">
      <x:c r="A403" t="str">
        <x:v>PJT_402</x:v>
      </x:c>
      <x:c r="B403" t="n">
        <x:v>80213160</x:v>
      </x:c>
      <x:c r="C403" t="n">
        <x:v>82062221</x:v>
      </x:c>
      <x:c r="D403" t="n">
        <x:v>1849061</x:v>
      </x:c>
      <x:c r="E403" t="n">
        <x:v>0.0231</x:v>
      </x:c>
      <x:c r="F403" t="n">
        <x:v>1466</x:v>
      </x:c>
      <x:c r="G403" t="n">
        <x:v>1623</x:v>
      </x:c>
      <x:c r="H403" t="n">
        <x:v>157</x:v>
      </x:c>
      <x:c r="I403" t="n">
        <x:v>0.1071</x:v>
      </x:c>
      <x:c r="J403" t="str">
        <x:v>Medium</x:v>
      </x:c>
      <x:c r="K403" t="n">
        <x:v>54.6</x:v>
      </x:c>
      <x:c r="L403" t="n">
        <x:v>60.9</x:v>
      </x:c>
      <x:c r="M403" t="n">
        <x:v>58.4</x:v>
      </x:c>
      <x:c r="N403" t="str">
        <x:v>Most Likely</x:v>
      </x:c>
      <x:c r="O403" t="str">
        <x:v>Pessimistic</x:v>
      </x:c>
    </x:row>
    <x:row r="404">
      <x:c r="A404" t="str">
        <x:v>PJT_403</x:v>
      </x:c>
      <x:c r="B404" t="n">
        <x:v>51278960</x:v>
      </x:c>
      <x:c r="C404" t="n">
        <x:v>53337197</x:v>
      </x:c>
      <x:c r="D404" t="n">
        <x:v>2058237</x:v>
      </x:c>
      <x:c r="E404" t="n">
        <x:v>0.0401</x:v>
      </x:c>
      <x:c r="F404" t="n">
        <x:v>946</x:v>
      </x:c>
      <x:c r="G404" t="n">
        <x:v>972</x:v>
      </x:c>
      <x:c r="H404" t="n">
        <x:v>26</x:v>
      </x:c>
      <x:c r="I404" t="n">
        <x:v>0.0275</x:v>
      </x:c>
      <x:c r="J404" t="str">
        <x:v>Medium</x:v>
      </x:c>
      <x:c r="K404" t="n">
        <x:v>50</x:v>
      </x:c>
      <x:c r="L404" t="n">
        <x:v>56.4</x:v>
      </x:c>
      <x:c r="M404" t="n">
        <x:v>51.8</x:v>
      </x:c>
      <x:c r="N404" t="str">
        <x:v>Most Likely</x:v>
      </x:c>
      <x:c r="O404" t="str">
        <x:v>Most Likely</x:v>
      </x:c>
    </x:row>
    <x:row r="405">
      <x:c r="A405" t="str">
        <x:v>PJT_404</x:v>
      </x:c>
      <x:c r="B405" t="n">
        <x:v>79557500</x:v>
      </x:c>
      <x:c r="C405" t="n">
        <x:v>84359402</x:v>
      </x:c>
      <x:c r="D405" t="n">
        <x:v>4801902</x:v>
      </x:c>
      <x:c r="E405" t="n">
        <x:v>0.0604</x:v>
      </x:c>
      <x:c r="F405" t="n">
        <x:v>1556</x:v>
      </x:c>
      <x:c r="G405" t="n">
        <x:v>1582</x:v>
      </x:c>
      <x:c r="H405" t="n">
        <x:v>26</x:v>
      </x:c>
      <x:c r="I405" t="n">
        <x:v>0.0167</x:v>
      </x:c>
      <x:c r="J405" t="str">
        <x:v>Medium</x:v>
      </x:c>
      <x:c r="K405" t="n">
        <x:v>58.5</x:v>
      </x:c>
      <x:c r="L405" t="n">
        <x:v>62</x:v>
      </x:c>
      <x:c r="M405" t="n">
        <x:v>58.3</x:v>
      </x:c>
      <x:c r="N405" t="str">
        <x:v>Most Likely</x:v>
      </x:c>
      <x:c r="O405" t="str">
        <x:v>Most Likely</x:v>
      </x:c>
    </x:row>
    <x:row r="406">
      <x:c r="A406" t="str">
        <x:v>PJT_405</x:v>
      </x:c>
      <x:c r="B406" t="n">
        <x:v>7993350</x:v>
      </x:c>
      <x:c r="C406" t="n">
        <x:v>7855263</x:v>
      </x:c>
      <x:c r="D406" t="n">
        <x:v>-138087</x:v>
      </x:c>
      <x:c r="E406" t="n">
        <x:v>-0.0173</x:v>
      </x:c>
      <x:c r="F406" t="n">
        <x:v>189</x:v>
      </x:c>
      <x:c r="G406" t="n">
        <x:v>180</x:v>
      </x:c>
      <x:c r="H406" t="n">
        <x:v>-9</x:v>
      </x:c>
      <x:c r="I406" t="n">
        <x:v>-0.0476</x:v>
      </x:c>
      <x:c r="J406" t="str">
        <x:v>Low</x:v>
      </x:c>
      <x:c r="K406" t="n">
        <x:v>32.3</x:v>
      </x:c>
      <x:c r="L406" t="n">
        <x:v>30.1</x:v>
      </x:c>
      <x:c r="M406" t="n">
        <x:v>28.5</x:v>
      </x:c>
      <x:c r="N406" t="str">
        <x:v>Optimistic</x:v>
      </x:c>
      <x:c r="O406" t="str">
        <x:v>Optimistic</x:v>
      </x:c>
    </x:row>
    <x:row r="407">
      <x:c r="A407" t="str">
        <x:v>PJT_406</x:v>
      </x:c>
      <x:c r="B407" t="n">
        <x:v>37037000</x:v>
      </x:c>
      <x:c r="C407" t="n">
        <x:v>39446360</x:v>
      </x:c>
      <x:c r="D407" t="n">
        <x:v>2409360</x:v>
      </x:c>
      <x:c r="E407" t="n">
        <x:v>0.0651</x:v>
      </x:c>
      <x:c r="F407" t="n">
        <x:v>598</x:v>
      </x:c>
      <x:c r="G407" t="n">
        <x:v>610</x:v>
      </x:c>
      <x:c r="H407" t="n">
        <x:v>12</x:v>
      </x:c>
      <x:c r="I407" t="n">
        <x:v>0.0201</x:v>
      </x:c>
      <x:c r="J407" t="str">
        <x:v>Low</x:v>
      </x:c>
      <x:c r="K407" t="n">
        <x:v>40.7</x:v>
      </x:c>
      <x:c r="L407" t="n">
        <x:v>51.2</x:v>
      </x:c>
      <x:c r="M407" t="n">
        <x:v>45.3</x:v>
      </x:c>
      <x:c r="N407" t="str">
        <x:v>Most Likely</x:v>
      </x:c>
      <x:c r="O407" t="str">
        <x:v>Most Likely</x:v>
      </x:c>
    </x:row>
    <x:row r="408">
      <x:c r="A408" t="str">
        <x:v>PJT_407</x:v>
      </x:c>
      <x:c r="B408" t="n">
        <x:v>33734750</x:v>
      </x:c>
      <x:c r="C408" t="n">
        <x:v>37304399</x:v>
      </x:c>
      <x:c r="D408" t="n">
        <x:v>3569649</x:v>
      </x:c>
      <x:c r="E408" t="n">
        <x:v>0.1058</x:v>
      </x:c>
      <x:c r="F408" t="n">
        <x:v>653</x:v>
      </x:c>
      <x:c r="G408" t="n">
        <x:v>672</x:v>
      </x:c>
      <x:c r="H408" t="n">
        <x:v>19</x:v>
      </x:c>
      <x:c r="I408" t="n">
        <x:v>0.0291</x:v>
      </x:c>
      <x:c r="J408" t="str">
        <x:v>Medium</x:v>
      </x:c>
      <x:c r="K408" t="n">
        <x:v>49</x:v>
      </x:c>
      <x:c r="L408" t="n">
        <x:v>50.8</x:v>
      </x:c>
      <x:c r="M408" t="n">
        <x:v>48.6</x:v>
      </x:c>
      <x:c r="N408" t="str">
        <x:v>Pessimistic</x:v>
      </x:c>
      <x:c r="O408" t="str">
        <x:v>Most Likely</x:v>
      </x:c>
    </x:row>
    <x:row r="409">
      <x:c r="A409" t="str">
        <x:v>PJT_408</x:v>
      </x:c>
      <x:c r="B409" t="n">
        <x:v>12268560</x:v>
      </x:c>
      <x:c r="C409" t="n">
        <x:v>11892179</x:v>
      </x:c>
      <x:c r="D409" t="n">
        <x:v>-376381</x:v>
      </x:c>
      <x:c r="E409" t="n">
        <x:v>-0.0307</x:v>
      </x:c>
      <x:c r="F409" t="n">
        <x:v>223</x:v>
      </x:c>
      <x:c r="G409" t="n">
        <x:v>221</x:v>
      </x:c>
      <x:c r="H409" t="n">
        <x:v>-2</x:v>
      </x:c>
      <x:c r="I409" t="n">
        <x:v>-0.009</x:v>
      </x:c>
      <x:c r="J409" t="str">
        <x:v>Low</x:v>
      </x:c>
      <x:c r="K409" t="n">
        <x:v>33.2</x:v>
      </x:c>
      <x:c r="L409" t="n">
        <x:v>26.8</x:v>
      </x:c>
      <x:c r="M409" t="n">
        <x:v>33.2</x:v>
      </x:c>
      <x:c r="N409" t="str">
        <x:v>Optimistic</x:v>
      </x:c>
      <x:c r="O409" t="str">
        <x:v>Optimistic</x:v>
      </x:c>
    </x:row>
    <x:row r="410">
      <x:c r="A410" t="str">
        <x:v>PJT_409</x:v>
      </x:c>
      <x:c r="B410" t="n">
        <x:v>25953620</x:v>
      </x:c>
      <x:c r="C410" t="n">
        <x:v>26356018</x:v>
      </x:c>
      <x:c r="D410" t="n">
        <x:v>402398</x:v>
      </x:c>
      <x:c r="E410" t="n">
        <x:v>0.0155</x:v>
      </x:c>
      <x:c r="F410" t="n">
        <x:v>537</x:v>
      </x:c>
      <x:c r="G410" t="n">
        <x:v>513</x:v>
      </x:c>
      <x:c r="H410" t="n">
        <x:v>-24</x:v>
      </x:c>
      <x:c r="I410" t="n">
        <x:v>-0.0447</x:v>
      </x:c>
      <x:c r="J410" t="str">
        <x:v>Medium</x:v>
      </x:c>
      <x:c r="K410" t="n">
        <x:v>48.2</x:v>
      </x:c>
      <x:c r="L410" t="n">
        <x:v>51.9</x:v>
      </x:c>
      <x:c r="M410" t="n">
        <x:v>43</x:v>
      </x:c>
      <x:c r="N410" t="str">
        <x:v>Most Likely</x:v>
      </x:c>
      <x:c r="O410" t="str">
        <x:v>Optimistic</x:v>
      </x:c>
    </x:row>
    <x:row r="411">
      <x:c r="A411" t="str">
        <x:v>PJT_410</x:v>
      </x:c>
      <x:c r="B411" t="n">
        <x:v>18949180</x:v>
      </x:c>
      <x:c r="C411" t="n">
        <x:v>21111496</x:v>
      </x:c>
      <x:c r="D411" t="n">
        <x:v>2162316</x:v>
      </x:c>
      <x:c r="E411" t="n">
        <x:v>0.1141</x:v>
      </x:c>
      <x:c r="F411" t="n">
        <x:v>358</x:v>
      </x:c>
      <x:c r="G411" t="n">
        <x:v>340</x:v>
      </x:c>
      <x:c r="H411" t="n">
        <x:v>-18</x:v>
      </x:c>
      <x:c r="I411" t="n">
        <x:v>-0.0503</x:v>
      </x:c>
      <x:c r="J411" t="str">
        <x:v>Low</x:v>
      </x:c>
      <x:c r="K411" t="n">
        <x:v>33.8</x:v>
      </x:c>
      <x:c r="L411" t="n">
        <x:v>40.3</x:v>
      </x:c>
      <x:c r="M411" t="n">
        <x:v>34.5</x:v>
      </x:c>
      <x:c r="N411" t="str">
        <x:v>Pessimistic</x:v>
      </x:c>
      <x:c r="O411" t="str">
        <x:v>Optimistic</x:v>
      </x:c>
    </x:row>
    <x:row r="412">
      <x:c r="A412" t="str">
        <x:v>PJT_411</x:v>
      </x:c>
      <x:c r="B412" t="n">
        <x:v>78316560</x:v>
      </x:c>
      <x:c r="C412" t="n">
        <x:v>92213073</x:v>
      </x:c>
      <x:c r="D412" t="n">
        <x:v>13896513</x:v>
      </x:c>
      <x:c r="E412" t="n">
        <x:v>0.1774</x:v>
      </x:c>
      <x:c r="F412" t="n">
        <x:v>1332</x:v>
      </x:c>
      <x:c r="G412" t="n">
        <x:v>1616</x:v>
      </x:c>
      <x:c r="H412" t="n">
        <x:v>284</x:v>
      </x:c>
      <x:c r="I412" t="n">
        <x:v>0.2132</x:v>
      </x:c>
      <x:c r="J412" t="str">
        <x:v>High</x:v>
      </x:c>
      <x:c r="K412" t="n">
        <x:v>74.5</x:v>
      </x:c>
      <x:c r="L412" t="n">
        <x:v>77.6</x:v>
      </x:c>
      <x:c r="M412" t="n">
        <x:v>72.8</x:v>
      </x:c>
      <x:c r="N412" t="str">
        <x:v>Pessimistic</x:v>
      </x:c>
      <x:c r="O412" t="str">
        <x:v>Pessimistic</x:v>
      </x:c>
    </x:row>
    <x:row r="413">
      <x:c r="A413" t="str">
        <x:v>PJT_412</x:v>
      </x:c>
      <x:c r="B413" t="n">
        <x:v>35267970</x:v>
      </x:c>
      <x:c r="C413" t="n">
        <x:v>34598068</x:v>
      </x:c>
      <x:c r="D413" t="n">
        <x:v>-669902</x:v>
      </x:c>
      <x:c r="E413" t="n">
        <x:v>-0.019</x:v>
      </x:c>
      <x:c r="F413" t="n">
        <x:v>833</x:v>
      </x:c>
      <x:c r="G413" t="n">
        <x:v>878</x:v>
      </x:c>
      <x:c r="H413" t="n">
        <x:v>45</x:v>
      </x:c>
      <x:c r="I413" t="n">
        <x:v>0.054</x:v>
      </x:c>
      <x:c r="J413" t="str">
        <x:v>Medium</x:v>
      </x:c>
      <x:c r="K413" t="n">
        <x:v>50</x:v>
      </x:c>
      <x:c r="L413" t="n">
        <x:v>47.5</x:v>
      </x:c>
      <x:c r="M413" t="n">
        <x:v>52.1</x:v>
      </x:c>
      <x:c r="N413" t="str">
        <x:v>Optimistic</x:v>
      </x:c>
      <x:c r="O413" t="str">
        <x:v>Most Likely</x:v>
      </x:c>
    </x:row>
    <x:row r="414">
      <x:c r="A414" t="str">
        <x:v>PJT_413</x:v>
      </x:c>
      <x:c r="B414" t="n">
        <x:v>39044500</x:v>
      </x:c>
      <x:c r="C414" t="n">
        <x:v>41342186</x:v>
      </x:c>
      <x:c r="D414" t="n">
        <x:v>2297686</x:v>
      </x:c>
      <x:c r="E414" t="n">
        <x:v>0.0588</x:v>
      </x:c>
      <x:c r="F414" t="n">
        <x:v>962</x:v>
      </x:c>
      <x:c r="G414" t="n">
        <x:v>1040</x:v>
      </x:c>
      <x:c r="H414" t="n">
        <x:v>78</x:v>
      </x:c>
      <x:c r="I414" t="n">
        <x:v>0.0811</x:v>
      </x:c>
      <x:c r="J414" t="str">
        <x:v>Medium</x:v>
      </x:c>
      <x:c r="K414" t="n">
        <x:v>54.5</x:v>
      </x:c>
      <x:c r="L414" t="n">
        <x:v>54.5</x:v>
      </x:c>
      <x:c r="M414" t="n">
        <x:v>50.8</x:v>
      </x:c>
      <x:c r="N414" t="str">
        <x:v>Most Likely</x:v>
      </x:c>
      <x:c r="O414" t="str">
        <x:v>Most Likely</x:v>
      </x:c>
    </x:row>
    <x:row r="415">
      <x:c r="A415" t="str">
        <x:v>PJT_414</x:v>
      </x:c>
      <x:c r="B415" t="n">
        <x:v>16938100</x:v>
      </x:c>
      <x:c r="C415" t="n">
        <x:v>16669604</x:v>
      </x:c>
      <x:c r="D415" t="n">
        <x:v>-268496</x:v>
      </x:c>
      <x:c r="E415" t="n">
        <x:v>-0.0159</x:v>
      </x:c>
      <x:c r="F415" t="n">
        <x:v>448</x:v>
      </x:c>
      <x:c r="G415" t="n">
        <x:v>448</x:v>
      </x:c>
      <x:c r="H415" t="n">
        <x:v>0</x:v>
      </x:c>
      <x:c r="I415" t="n">
        <x:v>0</x:v>
      </x:c>
      <x:c r="J415" t="str">
        <x:v>Medium</x:v>
      </x:c>
      <x:c r="K415" t="n">
        <x:v>49.6</x:v>
      </x:c>
      <x:c r="L415" t="n">
        <x:v>42.7</x:v>
      </x:c>
      <x:c r="M415" t="n">
        <x:v>48.8</x:v>
      </x:c>
      <x:c r="N415" t="str">
        <x:v>Optimistic</x:v>
      </x:c>
      <x:c r="O415" t="str">
        <x:v>Optimistic</x:v>
      </x:c>
    </x:row>
    <x:row r="416">
      <x:c r="A416" t="str">
        <x:v>PJT_415</x:v>
      </x:c>
      <x:c r="B416" t="n">
        <x:v>58869720</x:v>
      </x:c>
      <x:c r="C416" t="n">
        <x:v>64037565</x:v>
      </x:c>
      <x:c r="D416" t="n">
        <x:v>5167845</x:v>
      </x:c>
      <x:c r="E416" t="n">
        <x:v>0.0878</x:v>
      </x:c>
      <x:c r="F416" t="n">
        <x:v>1179</x:v>
      </x:c>
      <x:c r="G416" t="n">
        <x:v>1220</x:v>
      </x:c>
      <x:c r="H416" t="n">
        <x:v>41</x:v>
      </x:c>
      <x:c r="I416" t="n">
        <x:v>0.0348</x:v>
      </x:c>
      <x:c r="J416" t="str">
        <x:v>Medium</x:v>
      </x:c>
      <x:c r="K416" t="n">
        <x:v>50.2</x:v>
      </x:c>
      <x:c r="L416" t="n">
        <x:v>54.7</x:v>
      </x:c>
      <x:c r="M416" t="n">
        <x:v>59.3</x:v>
      </x:c>
      <x:c r="N416" t="str">
        <x:v>Most Likely</x:v>
      </x:c>
      <x:c r="O416" t="str">
        <x:v>Most Likely</x:v>
      </x:c>
    </x:row>
    <x:row r="417">
      <x:c r="A417" t="str">
        <x:v>PJT_416</x:v>
      </x:c>
      <x:c r="B417" t="n">
        <x:v>64944020</x:v>
      </x:c>
      <x:c r="C417" t="n">
        <x:v>69319574</x:v>
      </x:c>
      <x:c r="D417" t="n">
        <x:v>4375554</x:v>
      </x:c>
      <x:c r="E417" t="n">
        <x:v>0.0674</x:v>
      </x:c>
      <x:c r="F417" t="n">
        <x:v>1339</x:v>
      </x:c>
      <x:c r="G417" t="n">
        <x:v>1442</x:v>
      </x:c>
      <x:c r="H417" t="n">
        <x:v>103</x:v>
      </x:c>
      <x:c r="I417" t="n">
        <x:v>0.0769</x:v>
      </x:c>
      <x:c r="J417" t="str">
        <x:v>Medium</x:v>
      </x:c>
      <x:c r="K417" t="n">
        <x:v>55.1</x:v>
      </x:c>
      <x:c r="L417" t="n">
        <x:v>52.8</x:v>
      </x:c>
      <x:c r="M417" t="n">
        <x:v>59.8</x:v>
      </x:c>
      <x:c r="N417" t="str">
        <x:v>Most Likely</x:v>
      </x:c>
      <x:c r="O417" t="str">
        <x:v>Most Likely</x:v>
      </x:c>
    </x:row>
    <x:row r="418">
      <x:c r="A418" t="str">
        <x:v>PJT_417</x:v>
      </x:c>
      <x:c r="B418" t="n">
        <x:v>5180560</x:v>
      </x:c>
      <x:c r="C418" t="n">
        <x:v>5302567</x:v>
      </x:c>
      <x:c r="D418" t="n">
        <x:v>122007</x:v>
      </x:c>
      <x:c r="E418" t="n">
        <x:v>0.0236</x:v>
      </x:c>
      <x:c r="F418" t="n">
        <x:v>180</x:v>
      </x:c>
      <x:c r="G418" t="n">
        <x:v>178</x:v>
      </x:c>
      <x:c r="H418" t="n">
        <x:v>-2</x:v>
      </x:c>
      <x:c r="I418" t="n">
        <x:v>-0.0111</x:v>
      </x:c>
      <x:c r="J418" t="str">
        <x:v>Low</x:v>
      </x:c>
      <x:c r="K418" t="n">
        <x:v>29.8</x:v>
      </x:c>
      <x:c r="L418" t="n">
        <x:v>29.2</x:v>
      </x:c>
      <x:c r="M418" t="n">
        <x:v>29.3</x:v>
      </x:c>
      <x:c r="N418" t="str">
        <x:v>Most Likely</x:v>
      </x:c>
      <x:c r="O418" t="str">
        <x:v>Optimistic</x:v>
      </x:c>
    </x:row>
    <x:row r="419">
      <x:c r="A419" t="str">
        <x:v>PJT_418</x:v>
      </x:c>
      <x:c r="B419" t="n">
        <x:v>16653610</x:v>
      </x:c>
      <x:c r="C419" t="n">
        <x:v>17192040</x:v>
      </x:c>
      <x:c r="D419" t="n">
        <x:v>538430</x:v>
      </x:c>
      <x:c r="E419" t="n">
        <x:v>0.0323</x:v>
      </x:c>
      <x:c r="F419" t="n">
        <x:v>417</x:v>
      </x:c>
      <x:c r="G419" t="n">
        <x:v>399</x:v>
      </x:c>
      <x:c r="H419" t="n">
        <x:v>-18</x:v>
      </x:c>
      <x:c r="I419" t="n">
        <x:v>-0.0432</x:v>
      </x:c>
      <x:c r="J419" t="str">
        <x:v>Low</x:v>
      </x:c>
      <x:c r="K419" t="n">
        <x:v>37.7</x:v>
      </x:c>
      <x:c r="L419" t="n">
        <x:v>37.4</x:v>
      </x:c>
      <x:c r="M419" t="n">
        <x:v>31.6</x:v>
      </x:c>
      <x:c r="N419" t="str">
        <x:v>Most Likely</x:v>
      </x:c>
      <x:c r="O419" t="str">
        <x:v>Optimistic</x:v>
      </x:c>
    </x:row>
    <x:row r="420">
      <x:c r="A420" t="str">
        <x:v>PJT_419</x:v>
      </x:c>
      <x:c r="B420" t="n">
        <x:v>14426900</x:v>
      </x:c>
      <x:c r="C420" t="n">
        <x:v>14543605</x:v>
      </x:c>
      <x:c r="D420" t="n">
        <x:v>116705</x:v>
      </x:c>
      <x:c r="E420" t="n">
        <x:v>0.0081</x:v>
      </x:c>
      <x:c r="F420" t="n">
        <x:v>274</x:v>
      </x:c>
      <x:c r="G420" t="n">
        <x:v>277</x:v>
      </x:c>
      <x:c r="H420" t="n">
        <x:v>3</x:v>
      </x:c>
      <x:c r="I420" t="n">
        <x:v>0.0109</x:v>
      </x:c>
      <x:c r="J420" t="str">
        <x:v>Low</x:v>
      </x:c>
      <x:c r="K420" t="n">
        <x:v>39</x:v>
      </x:c>
      <x:c r="L420" t="n">
        <x:v>30.3</x:v>
      </x:c>
      <x:c r="M420" t="n">
        <x:v>33.6</x:v>
      </x:c>
      <x:c r="N420" t="str">
        <x:v>Most Likely</x:v>
      </x:c>
      <x:c r="O420" t="str">
        <x:v>Most Likely</x:v>
      </x:c>
    </x:row>
    <x:row r="421">
      <x:c r="A421" t="str">
        <x:v>PJT_420</x:v>
      </x:c>
      <x:c r="B421" t="n">
        <x:v>42019560</x:v>
      </x:c>
      <x:c r="C421" t="n">
        <x:v>43047540</x:v>
      </x:c>
      <x:c r="D421" t="n">
        <x:v>1027980</x:v>
      </x:c>
      <x:c r="E421" t="n">
        <x:v>0.0245</x:v>
      </x:c>
      <x:c r="F421" t="n">
        <x:v>740</x:v>
      </x:c>
      <x:c r="G421" t="n">
        <x:v>790</x:v>
      </x:c>
      <x:c r="H421" t="n">
        <x:v>50</x:v>
      </x:c>
      <x:c r="I421" t="n">
        <x:v>0.0676</x:v>
      </x:c>
      <x:c r="J421" t="str">
        <x:v>Medium</x:v>
      </x:c>
      <x:c r="K421" t="n">
        <x:v>58.9</x:v>
      </x:c>
      <x:c r="L421" t="n">
        <x:v>56.9</x:v>
      </x:c>
      <x:c r="M421" t="n">
        <x:v>58.9</x:v>
      </x:c>
      <x:c r="N421" t="str">
        <x:v>Most Likely</x:v>
      </x:c>
      <x:c r="O421" t="str">
        <x:v>Most Likely</x:v>
      </x:c>
    </x:row>
    <x:row r="422">
      <x:c r="A422" t="str">
        <x:v>PJT_421</x:v>
      </x:c>
      <x:c r="B422" t="n">
        <x:v>5168600</x:v>
      </x:c>
      <x:c r="C422" t="n">
        <x:v>5005532</x:v>
      </x:c>
      <x:c r="D422" t="n">
        <x:v>-163068</x:v>
      </x:c>
      <x:c r="E422" t="n">
        <x:v>-0.0315</x:v>
      </x:c>
      <x:c r="F422" t="n">
        <x:v>180</x:v>
      </x:c>
      <x:c r="G422" t="n">
        <x:v>180</x:v>
      </x:c>
      <x:c r="H422" t="n">
        <x:v>0</x:v>
      </x:c>
      <x:c r="I422" t="n">
        <x:v>0</x:v>
      </x:c>
      <x:c r="J422" t="str">
        <x:v>Low</x:v>
      </x:c>
      <x:c r="K422" t="n">
        <x:v>38.1</x:v>
      </x:c>
      <x:c r="L422" t="n">
        <x:v>31.7</x:v>
      </x:c>
      <x:c r="M422" t="n">
        <x:v>36.2</x:v>
      </x:c>
      <x:c r="N422" t="str">
        <x:v>Optimistic</x:v>
      </x:c>
      <x:c r="O422" t="str">
        <x:v>Optimistic</x:v>
      </x:c>
    </x:row>
    <x:row r="423">
      <x:c r="A423" t="str">
        <x:v>PJT_422</x:v>
      </x:c>
      <x:c r="B423" t="n">
        <x:v>79728000</x:v>
      </x:c>
      <x:c r="C423" t="n">
        <x:v>82342125</x:v>
      </x:c>
      <x:c r="D423" t="n">
        <x:v>2614125</x:v>
      </x:c>
      <x:c r="E423" t="n">
        <x:v>0.0328</x:v>
      </x:c>
      <x:c r="F423" t="n">
        <x:v>1325</x:v>
      </x:c>
      <x:c r="G423" t="n">
        <x:v>1407</x:v>
      </x:c>
      <x:c r="H423" t="n">
        <x:v>82</x:v>
      </x:c>
      <x:c r="I423" t="n">
        <x:v>0.0619</x:v>
      </x:c>
      <x:c r="J423" t="str">
        <x:v>Medium</x:v>
      </x:c>
      <x:c r="K423" t="n">
        <x:v>61.7</x:v>
      </x:c>
      <x:c r="L423" t="n">
        <x:v>67.2</x:v>
      </x:c>
      <x:c r="M423" t="n">
        <x:v>61.2</x:v>
      </x:c>
      <x:c r="N423" t="str">
        <x:v>Most Likely</x:v>
      </x:c>
      <x:c r="O423" t="str">
        <x:v>Most Likely</x:v>
      </x:c>
    </x:row>
    <x:row r="424">
      <x:c r="A424" t="str">
        <x:v>PJT_423</x:v>
      </x:c>
      <x:c r="B424" t="n">
        <x:v>15695680</x:v>
      </x:c>
      <x:c r="C424" t="n">
        <x:v>15678775</x:v>
      </x:c>
      <x:c r="D424" t="n">
        <x:v>-16905</x:v>
      </x:c>
      <x:c r="E424" t="n">
        <x:v>-0.0011</x:v>
      </x:c>
      <x:c r="F424" t="n">
        <x:v>402</x:v>
      </x:c>
      <x:c r="G424" t="n">
        <x:v>437</x:v>
      </x:c>
      <x:c r="H424" t="n">
        <x:v>35</x:v>
      </x:c>
      <x:c r="I424" t="n">
        <x:v>0.0871</x:v>
      </x:c>
      <x:c r="J424" t="str">
        <x:v>Low</x:v>
      </x:c>
      <x:c r="K424" t="n">
        <x:v>42.9</x:v>
      </x:c>
      <x:c r="L424" t="n">
        <x:v>40</x:v>
      </x:c>
      <x:c r="M424" t="n">
        <x:v>47.1</x:v>
      </x:c>
      <x:c r="N424" t="str">
        <x:v>Optimistic</x:v>
      </x:c>
      <x:c r="O424" t="str">
        <x:v>Most Likely</x:v>
      </x:c>
    </x:row>
    <x:row r="425">
      <x:c r="A425" t="str">
        <x:v>PJT_424</x:v>
      </x:c>
      <x:c r="B425" t="n">
        <x:v>19242820</x:v>
      </x:c>
      <x:c r="C425" t="n">
        <x:v>17513229</x:v>
      </x:c>
      <x:c r="D425" t="n">
        <x:v>-1729591</x:v>
      </x:c>
      <x:c r="E425" t="n">
        <x:v>-0.0899</x:v>
      </x:c>
      <x:c r="F425" t="n">
        <x:v>420</x:v>
      </x:c>
      <x:c r="G425" t="n">
        <x:v>424</x:v>
      </x:c>
      <x:c r="H425" t="n">
        <x:v>4</x:v>
      </x:c>
      <x:c r="I425" t="n">
        <x:v>0.0095</x:v>
      </x:c>
      <x:c r="J425" t="str">
        <x:v>Low</x:v>
      </x:c>
      <x:c r="K425" t="n">
        <x:v>32.9</x:v>
      </x:c>
      <x:c r="L425" t="n">
        <x:v>26.2</x:v>
      </x:c>
      <x:c r="M425" t="n">
        <x:v>25</x:v>
      </x:c>
      <x:c r="N425" t="str">
        <x:v>Optimistic</x:v>
      </x:c>
      <x:c r="O425" t="str">
        <x:v>Most Likely</x:v>
      </x:c>
    </x:row>
    <x:row r="426">
      <x:c r="A426" t="str">
        <x:v>PJT_425</x:v>
      </x:c>
      <x:c r="B426" t="n">
        <x:v>77294240</x:v>
      </x:c>
      <x:c r="C426" t="n">
        <x:v>83757744</x:v>
      </x:c>
      <x:c r="D426" t="n">
        <x:v>6463504</x:v>
      </x:c>
      <x:c r="E426" t="n">
        <x:v>0.0836</x:v>
      </x:c>
      <x:c r="F426" t="n">
        <x:v>1548</x:v>
      </x:c>
      <x:c r="G426" t="n">
        <x:v>1690</x:v>
      </x:c>
      <x:c r="H426" t="n">
        <x:v>142</x:v>
      </x:c>
      <x:c r="I426" t="n">
        <x:v>0.0917</x:v>
      </x:c>
      <x:c r="J426" t="str">
        <x:v>Medium</x:v>
      </x:c>
      <x:c r="K426" t="n">
        <x:v>54.9</x:v>
      </x:c>
      <x:c r="L426" t="n">
        <x:v>56.4</x:v>
      </x:c>
      <x:c r="M426" t="n">
        <x:v>62</x:v>
      </x:c>
      <x:c r="N426" t="str">
        <x:v>Most Likely</x:v>
      </x:c>
      <x:c r="O426" t="str">
        <x:v>Most Likely</x:v>
      </x:c>
    </x:row>
    <x:row r="427">
      <x:c r="A427" t="str">
        <x:v>PJT_426</x:v>
      </x:c>
      <x:c r="B427" t="n">
        <x:v>73719250</x:v>
      </x:c>
      <x:c r="C427" t="n">
        <x:v>76181149</x:v>
      </x:c>
      <x:c r="D427" t="n">
        <x:v>2461899</x:v>
      </x:c>
      <x:c r="E427" t="n">
        <x:v>0.0334</x:v>
      </x:c>
      <x:c r="F427" t="n">
        <x:v>1133</x:v>
      </x:c>
      <x:c r="G427" t="n">
        <x:v>1187</x:v>
      </x:c>
      <x:c r="H427" t="n">
        <x:v>54</x:v>
      </x:c>
      <x:c r="I427" t="n">
        <x:v>0.0477</x:v>
      </x:c>
      <x:c r="J427" t="str">
        <x:v>Medium</x:v>
      </x:c>
      <x:c r="K427" t="n">
        <x:v>47.8</x:v>
      </x:c>
      <x:c r="L427" t="n">
        <x:v>52</x:v>
      </x:c>
      <x:c r="M427" t="n">
        <x:v>49.6</x:v>
      </x:c>
      <x:c r="N427" t="str">
        <x:v>Most Likely</x:v>
      </x:c>
      <x:c r="O427" t="str">
        <x:v>Most Likely</x:v>
      </x:c>
    </x:row>
    <x:row r="428">
      <x:c r="A428" t="str">
        <x:v>PJT_427</x:v>
      </x:c>
      <x:c r="B428" t="n">
        <x:v>30219360</x:v>
      </x:c>
      <x:c r="C428" t="n">
        <x:v>30967045</x:v>
      </x:c>
      <x:c r="D428" t="n">
        <x:v>747685</x:v>
      </x:c>
      <x:c r="E428" t="n">
        <x:v>0.0247</x:v>
      </x:c>
      <x:c r="F428" t="n">
        <x:v>500</x:v>
      </x:c>
      <x:c r="G428" t="n">
        <x:v>533</x:v>
      </x:c>
      <x:c r="H428" t="n">
        <x:v>33</x:v>
      </x:c>
      <x:c r="I428" t="n">
        <x:v>0.066</x:v>
      </x:c>
      <x:c r="J428" t="str">
        <x:v>Medium</x:v>
      </x:c>
      <x:c r="K428" t="n">
        <x:v>50.5</x:v>
      </x:c>
      <x:c r="L428" t="n">
        <x:v>52.5</x:v>
      </x:c>
      <x:c r="M428" t="n">
        <x:v>53.6</x:v>
      </x:c>
      <x:c r="N428" t="str">
        <x:v>Most Likely</x:v>
      </x:c>
      <x:c r="O428" t="str">
        <x:v>Most Likely</x:v>
      </x:c>
    </x:row>
    <x:row r="429">
      <x:c r="A429" t="str">
        <x:v>PJT_428</x:v>
      </x:c>
      <x:c r="B429" t="n">
        <x:v>26157540</x:v>
      </x:c>
      <x:c r="C429" t="n">
        <x:v>27057438</x:v>
      </x:c>
      <x:c r="D429" t="n">
        <x:v>899898</x:v>
      </x:c>
      <x:c r="E429" t="n">
        <x:v>0.0344</x:v>
      </x:c>
      <x:c r="F429" t="n">
        <x:v>685</x:v>
      </x:c>
      <x:c r="G429" t="n">
        <x:v>741</x:v>
      </x:c>
      <x:c r="H429" t="n">
        <x:v>56</x:v>
      </x:c>
      <x:c r="I429" t="n">
        <x:v>0.0818</x:v>
      </x:c>
      <x:c r="J429" t="str">
        <x:v>Medium</x:v>
      </x:c>
      <x:c r="K429" t="n">
        <x:v>54.5</x:v>
      </x:c>
      <x:c r="L429" t="n">
        <x:v>49.5</x:v>
      </x:c>
      <x:c r="M429" t="n">
        <x:v>54.1</x:v>
      </x:c>
      <x:c r="N429" t="str">
        <x:v>Most Likely</x:v>
      </x:c>
      <x:c r="O429" t="str">
        <x:v>Most Likely</x:v>
      </x:c>
    </x:row>
    <x:row r="430">
      <x:c r="A430" t="str">
        <x:v>PJT_429</x:v>
      </x:c>
      <x:c r="B430" t="n">
        <x:v>49883040</x:v>
      </x:c>
      <x:c r="C430" t="n">
        <x:v>53355305</x:v>
      </x:c>
      <x:c r="D430" t="n">
        <x:v>3472265</x:v>
      </x:c>
      <x:c r="E430" t="n">
        <x:v>0.0696</x:v>
      </x:c>
      <x:c r="F430" t="n">
        <x:v>931</x:v>
      </x:c>
      <x:c r="G430" t="n">
        <x:v>942</x:v>
      </x:c>
      <x:c r="H430" t="n">
        <x:v>11</x:v>
      </x:c>
      <x:c r="I430" t="n">
        <x:v>0.0118</x:v>
      </x:c>
      <x:c r="J430" t="str">
        <x:v>Medium</x:v>
      </x:c>
      <x:c r="K430" t="n">
        <x:v>48.9</x:v>
      </x:c>
      <x:c r="L430" t="n">
        <x:v>55.2</x:v>
      </x:c>
      <x:c r="M430" t="n">
        <x:v>44.6</x:v>
      </x:c>
      <x:c r="N430" t="str">
        <x:v>Most Likely</x:v>
      </x:c>
      <x:c r="O430" t="str">
        <x:v>Most Likely</x:v>
      </x:c>
    </x:row>
    <x:row r="431">
      <x:c r="A431" t="str">
        <x:v>PJT_430</x:v>
      </x:c>
      <x:c r="B431" t="n">
        <x:v>38918840</x:v>
      </x:c>
      <x:c r="C431" t="n">
        <x:v>39840036</x:v>
      </x:c>
      <x:c r="D431" t="n">
        <x:v>921196</x:v>
      </x:c>
      <x:c r="E431" t="n">
        <x:v>0.0237</x:v>
      </x:c>
      <x:c r="F431" t="n">
        <x:v>743</x:v>
      </x:c>
      <x:c r="G431" t="n">
        <x:v>709</x:v>
      </x:c>
      <x:c r="H431" t="n">
        <x:v>-34</x:v>
      </x:c>
      <x:c r="I431" t="n">
        <x:v>-0.0458</x:v>
      </x:c>
      <x:c r="J431" t="str">
        <x:v>Medium</x:v>
      </x:c>
      <x:c r="K431" t="n">
        <x:v>49.4</x:v>
      </x:c>
      <x:c r="L431" t="n">
        <x:v>48.1</x:v>
      </x:c>
      <x:c r="M431" t="n">
        <x:v>48.6</x:v>
      </x:c>
      <x:c r="N431" t="str">
        <x:v>Most Likely</x:v>
      </x:c>
      <x:c r="O431" t="str">
        <x:v>Optimistic</x:v>
      </x:c>
    </x:row>
    <x:row r="432">
      <x:c r="A432" t="str">
        <x:v>PJT_431</x:v>
      </x:c>
      <x:c r="B432" t="n">
        <x:v>15103040</x:v>
      </x:c>
      <x:c r="C432" t="n">
        <x:v>15706548</x:v>
      </x:c>
      <x:c r="D432" t="n">
        <x:v>603508</x:v>
      </x:c>
      <x:c r="E432" t="n">
        <x:v>0.04</x:v>
      </x:c>
      <x:c r="F432" t="n">
        <x:v>240</x:v>
      </x:c>
      <x:c r="G432" t="n">
        <x:v>246</x:v>
      </x:c>
      <x:c r="H432" t="n">
        <x:v>6</x:v>
      </x:c>
      <x:c r="I432" t="n">
        <x:v>0.025</x:v>
      </x:c>
      <x:c r="J432" t="str">
        <x:v>Low</x:v>
      </x:c>
      <x:c r="K432" t="n">
        <x:v>38.4</x:v>
      </x:c>
      <x:c r="L432" t="n">
        <x:v>39.5</x:v>
      </x:c>
      <x:c r="M432" t="n">
        <x:v>31.5</x:v>
      </x:c>
      <x:c r="N432" t="str">
        <x:v>Most Likely</x:v>
      </x:c>
      <x:c r="O432" t="str">
        <x:v>Most Likely</x:v>
      </x:c>
    </x:row>
    <x:row r="433">
      <x:c r="A433" t="str">
        <x:v>PJT_432</x:v>
      </x:c>
      <x:c r="B433" t="n">
        <x:v>66771810</x:v>
      </x:c>
      <x:c r="C433" t="n">
        <x:v>67323316</x:v>
      </x:c>
      <x:c r="D433" t="n">
        <x:v>551506</x:v>
      </x:c>
      <x:c r="E433" t="n">
        <x:v>0.0083</x:v>
      </x:c>
      <x:c r="F433" t="n">
        <x:v>1357</x:v>
      </x:c>
      <x:c r="G433" t="n">
        <x:v>1443</x:v>
      </x:c>
      <x:c r="H433" t="n">
        <x:v>86</x:v>
      </x:c>
      <x:c r="I433" t="n">
        <x:v>0.0634</x:v>
      </x:c>
      <x:c r="J433" t="str">
        <x:v>Medium</x:v>
      </x:c>
      <x:c r="K433" t="n">
        <x:v>56</x:v>
      </x:c>
      <x:c r="L433" t="n">
        <x:v>54.6</x:v>
      </x:c>
      <x:c r="M433" t="n">
        <x:v>51.4</x:v>
      </x:c>
      <x:c r="N433" t="str">
        <x:v>Most Likely</x:v>
      </x:c>
      <x:c r="O433" t="str">
        <x:v>Most Likely</x:v>
      </x:c>
    </x:row>
    <x:row r="434">
      <x:c r="A434" t="str">
        <x:v>PJT_433</x:v>
      </x:c>
      <x:c r="B434" t="n">
        <x:v>103095720</x:v>
      </x:c>
      <x:c r="C434" t="n">
        <x:v>111003305</x:v>
      </x:c>
      <x:c r="D434" t="n">
        <x:v>7907585</x:v>
      </x:c>
      <x:c r="E434" t="n">
        <x:v>0.0767</x:v>
      </x:c>
      <x:c r="F434" t="n">
        <x:v>1792</x:v>
      </x:c>
      <x:c r="G434" t="n">
        <x:v>1878</x:v>
      </x:c>
      <x:c r="H434" t="n">
        <x:v>86</x:v>
      </x:c>
      <x:c r="I434" t="n">
        <x:v>0.048</x:v>
      </x:c>
      <x:c r="J434" t="str">
        <x:v>Medium</x:v>
      </x:c>
      <x:c r="K434" t="n">
        <x:v>55.6</x:v>
      </x:c>
      <x:c r="L434" t="n">
        <x:v>57.7</x:v>
      </x:c>
      <x:c r="M434" t="n">
        <x:v>49</x:v>
      </x:c>
      <x:c r="N434" t="str">
        <x:v>Most Likely</x:v>
      </x:c>
      <x:c r="O434" t="str">
        <x:v>Most Likely</x:v>
      </x:c>
    </x:row>
    <x:row r="435">
      <x:c r="A435" t="str">
        <x:v>PJT_434</x:v>
      </x:c>
      <x:c r="B435" t="n">
        <x:v>29263000</x:v>
      </x:c>
      <x:c r="C435" t="n">
        <x:v>29606503</x:v>
      </x:c>
      <x:c r="D435" t="n">
        <x:v>343503</x:v>
      </x:c>
      <x:c r="E435" t="n">
        <x:v>0.0117</x:v>
      </x:c>
      <x:c r="F435" t="n">
        <x:v>632</x:v>
      </x:c>
      <x:c r="G435" t="n">
        <x:v>691</x:v>
      </x:c>
      <x:c r="H435" t="n">
        <x:v>59</x:v>
      </x:c>
      <x:c r="I435" t="n">
        <x:v>0.0934</x:v>
      </x:c>
      <x:c r="J435" t="str">
        <x:v>Medium</x:v>
      </x:c>
      <x:c r="K435" t="n">
        <x:v>49.2</x:v>
      </x:c>
      <x:c r="L435" t="n">
        <x:v>49</x:v>
      </x:c>
      <x:c r="M435" t="n">
        <x:v>53.7</x:v>
      </x:c>
      <x:c r="N435" t="str">
        <x:v>Most Likely</x:v>
      </x:c>
      <x:c r="O435" t="str">
        <x:v>Most Likely</x:v>
      </x:c>
    </x:row>
    <x:row r="436">
      <x:c r="A436" t="str">
        <x:v>PJT_435</x:v>
      </x:c>
      <x:c r="B436" t="n">
        <x:v>67934220</x:v>
      </x:c>
      <x:c r="C436" t="n">
        <x:v>68465878</x:v>
      </x:c>
      <x:c r="D436" t="n">
        <x:v>531658</x:v>
      </x:c>
      <x:c r="E436" t="n">
        <x:v>0.0078</x:v>
      </x:c>
      <x:c r="F436" t="n">
        <x:v>1248</x:v>
      </x:c>
      <x:c r="G436" t="n">
        <x:v>1194</x:v>
      </x:c>
      <x:c r="H436" t="n">
        <x:v>-54</x:v>
      </x:c>
      <x:c r="I436" t="n">
        <x:v>-0.0433</x:v>
      </x:c>
      <x:c r="J436" t="str">
        <x:v>Medium</x:v>
      </x:c>
      <x:c r="K436" t="n">
        <x:v>46.9</x:v>
      </x:c>
      <x:c r="L436" t="n">
        <x:v>47.2</x:v>
      </x:c>
      <x:c r="M436" t="n">
        <x:v>42.7</x:v>
      </x:c>
      <x:c r="N436" t="str">
        <x:v>Most Likely</x:v>
      </x:c>
      <x:c r="O436" t="str">
        <x:v>Optimistic</x:v>
      </x:c>
    </x:row>
    <x:row r="437">
      <x:c r="A437" t="str">
        <x:v>PJT_436</x:v>
      </x:c>
      <x:c r="B437" t="n">
        <x:v>16109500</x:v>
      </x:c>
      <x:c r="C437" t="n">
        <x:v>17124142</x:v>
      </x:c>
      <x:c r="D437" t="n">
        <x:v>1014642</x:v>
      </x:c>
      <x:c r="E437" t="n">
        <x:v>0.063</x:v>
      </x:c>
      <x:c r="F437" t="n">
        <x:v>417</x:v>
      </x:c>
      <x:c r="G437" t="n">
        <x:v>439</x:v>
      </x:c>
      <x:c r="H437" t="n">
        <x:v>22</x:v>
      </x:c>
      <x:c r="I437" t="n">
        <x:v>0.0528</x:v>
      </x:c>
      <x:c r="J437" t="str">
        <x:v>Low</x:v>
      </x:c>
      <x:c r="K437" t="n">
        <x:v>40.4</x:v>
      </x:c>
      <x:c r="L437" t="n">
        <x:v>39.5</x:v>
      </x:c>
      <x:c r="M437" t="n">
        <x:v>41</x:v>
      </x:c>
      <x:c r="N437" t="str">
        <x:v>Most Likely</x:v>
      </x:c>
      <x:c r="O437" t="str">
        <x:v>Most Likely</x:v>
      </x:c>
    </x:row>
    <x:row r="438">
      <x:c r="A438" t="str">
        <x:v>PJT_437</x:v>
      </x:c>
      <x:c r="B438" t="n">
        <x:v>57714740</x:v>
      </x:c>
      <x:c r="C438" t="n">
        <x:v>61133015</x:v>
      </x:c>
      <x:c r="D438" t="n">
        <x:v>3418275</x:v>
      </x:c>
      <x:c r="E438" t="n">
        <x:v>0.0592</x:v>
      </x:c>
      <x:c r="F438" t="n">
        <x:v>1064</x:v>
      </x:c>
      <x:c r="G438" t="n">
        <x:v>1151</x:v>
      </x:c>
      <x:c r="H438" t="n">
        <x:v>87</x:v>
      </x:c>
      <x:c r="I438" t="n">
        <x:v>0.0818</x:v>
      </x:c>
      <x:c r="J438" t="str">
        <x:v>Medium</x:v>
      </x:c>
      <x:c r="K438" t="n">
        <x:v>53.3</x:v>
      </x:c>
      <x:c r="L438" t="n">
        <x:v>57.3</x:v>
      </x:c>
      <x:c r="M438" t="n">
        <x:v>55.8</x:v>
      </x:c>
      <x:c r="N438" t="str">
        <x:v>Most Likely</x:v>
      </x:c>
      <x:c r="O438" t="str">
        <x:v>Most Likely</x:v>
      </x:c>
    </x:row>
    <x:row r="439">
      <x:c r="A439" t="str">
        <x:v>PJT_438</x:v>
      </x:c>
      <x:c r="B439" t="n">
        <x:v>71159040</x:v>
      </x:c>
      <x:c r="C439" t="n">
        <x:v>77816330</x:v>
      </x:c>
      <x:c r="D439" t="n">
        <x:v>6657290</x:v>
      </x:c>
      <x:c r="E439" t="n">
        <x:v>0.0936</x:v>
      </x:c>
      <x:c r="F439" t="n">
        <x:v>1364</x:v>
      </x:c>
      <x:c r="G439" t="n">
        <x:v>1483</x:v>
      </x:c>
      <x:c r="H439" t="n">
        <x:v>119</x:v>
      </x:c>
      <x:c r="I439" t="n">
        <x:v>0.0872</x:v>
      </x:c>
      <x:c r="J439" t="str">
        <x:v>Medium</x:v>
      </x:c>
      <x:c r="K439" t="n">
        <x:v>58</x:v>
      </x:c>
      <x:c r="L439" t="n">
        <x:v>52.7</x:v>
      </x:c>
      <x:c r="M439" t="n">
        <x:v>61.8</x:v>
      </x:c>
      <x:c r="N439" t="str">
        <x:v>Most Likely</x:v>
      </x:c>
      <x:c r="O439" t="str">
        <x:v>Most Likely</x:v>
      </x:c>
    </x:row>
    <x:row r="440">
      <x:c r="A440" t="str">
        <x:v>PJT_439</x:v>
      </x:c>
      <x:c r="B440" t="n">
        <x:v>31657230</x:v>
      </x:c>
      <x:c r="C440" t="n">
        <x:v>30378343</x:v>
      </x:c>
      <x:c r="D440" t="n">
        <x:v>-1278887</x:v>
      </x:c>
      <x:c r="E440" t="n">
        <x:v>-0.0404</x:v>
      </x:c>
      <x:c r="F440" t="n">
        <x:v>595</x:v>
      </x:c>
      <x:c r="G440" t="n">
        <x:v>606</x:v>
      </x:c>
      <x:c r="H440" t="n">
        <x:v>11</x:v>
      </x:c>
      <x:c r="I440" t="n">
        <x:v>0.0185</x:v>
      </x:c>
      <x:c r="J440" t="str">
        <x:v>Low</x:v>
      </x:c>
      <x:c r="K440" t="n">
        <x:v>40.1</x:v>
      </x:c>
      <x:c r="L440" t="n">
        <x:v>39.2</x:v>
      </x:c>
      <x:c r="M440" t="n">
        <x:v>38.3</x:v>
      </x:c>
      <x:c r="N440" t="str">
        <x:v>Optimistic</x:v>
      </x:c>
      <x:c r="O440" t="str">
        <x:v>Most Likely</x:v>
      </x:c>
    </x:row>
    <x:row r="441">
      <x:c r="A441" t="str">
        <x:v>PJT_440</x:v>
      </x:c>
      <x:c r="B441" t="n">
        <x:v>50818950</x:v>
      </x:c>
      <x:c r="C441" t="n">
        <x:v>54399444</x:v>
      </x:c>
      <x:c r="D441" t="n">
        <x:v>3580494</x:v>
      </x:c>
      <x:c r="E441" t="n">
        <x:v>0.0705</x:v>
      </x:c>
      <x:c r="F441" t="n">
        <x:v>981</x:v>
      </x:c>
      <x:c r="G441" t="n">
        <x:v>999</x:v>
      </x:c>
      <x:c r="H441" t="n">
        <x:v>18</x:v>
      </x:c>
      <x:c r="I441" t="n">
        <x:v>0.0183</x:v>
      </x:c>
      <x:c r="J441" t="str">
        <x:v>Medium</x:v>
      </x:c>
      <x:c r="K441" t="n">
        <x:v>46.5</x:v>
      </x:c>
      <x:c r="L441" t="n">
        <x:v>52</x:v>
      </x:c>
      <x:c r="M441" t="n">
        <x:v>42</x:v>
      </x:c>
      <x:c r="N441" t="str">
        <x:v>Most Likely</x:v>
      </x:c>
      <x:c r="O441" t="str">
        <x:v>Most Likely</x:v>
      </x:c>
    </x:row>
    <x:row r="442">
      <x:c r="A442" t="str">
        <x:v>PJT_441</x:v>
      </x:c>
      <x:c r="B442" t="n">
        <x:v>44005710</x:v>
      </x:c>
      <x:c r="C442" t="n">
        <x:v>47247074</x:v>
      </x:c>
      <x:c r="D442" t="n">
        <x:v>3241364</x:v>
      </x:c>
      <x:c r="E442" t="n">
        <x:v>0.0737</x:v>
      </x:c>
      <x:c r="F442" t="n">
        <x:v>804</x:v>
      </x:c>
      <x:c r="G442" t="n">
        <x:v>867</x:v>
      </x:c>
      <x:c r="H442" t="n">
        <x:v>63</x:v>
      </x:c>
      <x:c r="I442" t="n">
        <x:v>0.0784</x:v>
      </x:c>
      <x:c r="J442" t="str">
        <x:v>Medium</x:v>
      </x:c>
      <x:c r="K442" t="n">
        <x:v>49.7</x:v>
      </x:c>
      <x:c r="L442" t="n">
        <x:v>50.1</x:v>
      </x:c>
      <x:c r="M442" t="n">
        <x:v>48.5</x:v>
      </x:c>
      <x:c r="N442" t="str">
        <x:v>Most Likely</x:v>
      </x:c>
      <x:c r="O442" t="str">
        <x:v>Most Likely</x:v>
      </x:c>
    </x:row>
    <x:row r="443">
      <x:c r="A443" t="str">
        <x:v>PJT_442</x:v>
      </x:c>
      <x:c r="B443" t="n">
        <x:v>14864640</x:v>
      </x:c>
      <x:c r="C443" t="n">
        <x:v>15304745</x:v>
      </x:c>
      <x:c r="D443" t="n">
        <x:v>440105</x:v>
      </x:c>
      <x:c r="E443" t="n">
        <x:v>0.0296</x:v>
      </x:c>
      <x:c r="F443" t="n">
        <x:v>339</x:v>
      </x:c>
      <x:c r="G443" t="n">
        <x:v>359</x:v>
      </x:c>
      <x:c r="H443" t="n">
        <x:v>20</x:v>
      </x:c>
      <x:c r="I443" t="n">
        <x:v>0.059</x:v>
      </x:c>
      <x:c r="J443" t="str">
        <x:v>Low</x:v>
      </x:c>
      <x:c r="K443" t="n">
        <x:v>44.9</x:v>
      </x:c>
      <x:c r="L443" t="n">
        <x:v>40.4</x:v>
      </x:c>
      <x:c r="M443" t="n">
        <x:v>41.5</x:v>
      </x:c>
      <x:c r="N443" t="str">
        <x:v>Most Likely</x:v>
      </x:c>
      <x:c r="O443" t="str">
        <x:v>Most Likely</x:v>
      </x:c>
    </x:row>
    <x:row r="444">
      <x:c r="A444" t="str">
        <x:v>PJT_443</x:v>
      </x:c>
      <x:c r="B444" t="n">
        <x:v>64406860</x:v>
      </x:c>
      <x:c r="C444" t="n">
        <x:v>68520942</x:v>
      </x:c>
      <x:c r="D444" t="n">
        <x:v>4114082</x:v>
      </x:c>
      <x:c r="E444" t="n">
        <x:v>0.0639</x:v>
      </x:c>
      <x:c r="F444" t="n">
        <x:v>1114</x:v>
      </x:c>
      <x:c r="G444" t="n">
        <x:v>1214</x:v>
      </x:c>
      <x:c r="H444" t="n">
        <x:v>100</x:v>
      </x:c>
      <x:c r="I444" t="n">
        <x:v>0.0898</x:v>
      </x:c>
      <x:c r="J444" t="str">
        <x:v>Medium</x:v>
      </x:c>
      <x:c r="K444" t="n">
        <x:v>61.4</x:v>
      </x:c>
      <x:c r="L444" t="n">
        <x:v>61.4</x:v>
      </x:c>
      <x:c r="M444" t="n">
        <x:v>63.2</x:v>
      </x:c>
      <x:c r="N444" t="str">
        <x:v>Most Likely</x:v>
      </x:c>
      <x:c r="O444" t="str">
        <x:v>Most Likely</x:v>
      </x:c>
    </x:row>
    <x:row r="445">
      <x:c r="A445" t="str">
        <x:v>PJT_444</x:v>
      </x:c>
      <x:c r="B445" t="n">
        <x:v>40183250</x:v>
      </x:c>
      <x:c r="C445" t="n">
        <x:v>43920955</x:v>
      </x:c>
      <x:c r="D445" t="n">
        <x:v>3737705</x:v>
      </x:c>
      <x:c r="E445" t="n">
        <x:v>0.093</x:v>
      </x:c>
      <x:c r="F445" t="n">
        <x:v>1058</x:v>
      </x:c>
      <x:c r="G445" t="n">
        <x:v>1134</x:v>
      </x:c>
      <x:c r="H445" t="n">
        <x:v>76</x:v>
      </x:c>
      <x:c r="I445" t="n">
        <x:v>0.0718</x:v>
      </x:c>
      <x:c r="J445" t="str">
        <x:v>Medium</x:v>
      </x:c>
      <x:c r="K445" t="n">
        <x:v>53.1</x:v>
      </x:c>
      <x:c r="L445" t="n">
        <x:v>52.7</x:v>
      </x:c>
      <x:c r="M445" t="n">
        <x:v>59.3</x:v>
      </x:c>
      <x:c r="N445" t="str">
        <x:v>Most Likely</x:v>
      </x:c>
      <x:c r="O445" t="str">
        <x:v>Most Likely</x:v>
      </x:c>
    </x:row>
    <x:row r="446">
      <x:c r="A446" t="str">
        <x:v>PJT_445</x:v>
      </x:c>
      <x:c r="B446" t="n">
        <x:v>14123430</x:v>
      </x:c>
      <x:c r="C446" t="n">
        <x:v>13221411</x:v>
      </x:c>
      <x:c r="D446" t="n">
        <x:v>-902019</x:v>
      </x:c>
      <x:c r="E446" t="n">
        <x:v>-0.0639</x:v>
      </x:c>
      <x:c r="F446" t="n">
        <x:v>247</x:v>
      </x:c>
      <x:c r="G446" t="n">
        <x:v>233</x:v>
      </x:c>
      <x:c r="H446" t="n">
        <x:v>-14</x:v>
      </x:c>
      <x:c r="I446" t="n">
        <x:v>-0.0567</x:v>
      </x:c>
      <x:c r="J446" t="str">
        <x:v>Low</x:v>
      </x:c>
      <x:c r="K446" t="n">
        <x:v>24</x:v>
      </x:c>
      <x:c r="L446" t="n">
        <x:v>23.2</x:v>
      </x:c>
      <x:c r="M446" t="n">
        <x:v>22</x:v>
      </x:c>
      <x:c r="N446" t="str">
        <x:v>Optimistic</x:v>
      </x:c>
      <x:c r="O446" t="str">
        <x:v>Optimistic</x:v>
      </x:c>
    </x:row>
    <x:row r="447">
      <x:c r="A447" t="str">
        <x:v>PJT_446</x:v>
      </x:c>
      <x:c r="B447" t="n">
        <x:v>13275900</x:v>
      </x:c>
      <x:c r="C447" t="n">
        <x:v>12668299</x:v>
      </x:c>
      <x:c r="D447" t="n">
        <x:v>-607601</x:v>
      </x:c>
      <x:c r="E447" t="n">
        <x:v>-0.0458</x:v>
      </x:c>
      <x:c r="F447" t="n">
        <x:v>322</x:v>
      </x:c>
      <x:c r="G447" t="n">
        <x:v>338</x:v>
      </x:c>
      <x:c r="H447" t="n">
        <x:v>16</x:v>
      </x:c>
      <x:c r="I447" t="n">
        <x:v>0.0497</x:v>
      </x:c>
      <x:c r="J447" t="str">
        <x:v>Low</x:v>
      </x:c>
      <x:c r="K447" t="n">
        <x:v>32.9</x:v>
      </x:c>
      <x:c r="L447" t="n">
        <x:v>31.2</x:v>
      </x:c>
      <x:c r="M447" t="n">
        <x:v>35.5</x:v>
      </x:c>
      <x:c r="N447" t="str">
        <x:v>Optimistic</x:v>
      </x:c>
      <x:c r="O447" t="str">
        <x:v>Most Likely</x:v>
      </x:c>
    </x:row>
    <x:row r="448">
      <x:c r="A448" t="str">
        <x:v>PJT_447</x:v>
      </x:c>
      <x:c r="B448" t="n">
        <x:v>56977440</x:v>
      </x:c>
      <x:c r="C448" t="n">
        <x:v>59582663</x:v>
      </x:c>
      <x:c r="D448" t="n">
        <x:v>2605223</x:v>
      </x:c>
      <x:c r="E448" t="n">
        <x:v>0.0457</x:v>
      </x:c>
      <x:c r="F448" t="n">
        <x:v>1096</x:v>
      </x:c>
      <x:c r="G448" t="n">
        <x:v>1125</x:v>
      </x:c>
      <x:c r="H448" t="n">
        <x:v>29</x:v>
      </x:c>
      <x:c r="I448" t="n">
        <x:v>0.0265</x:v>
      </x:c>
      <x:c r="J448" t="str">
        <x:v>Medium</x:v>
      </x:c>
      <x:c r="K448" t="n">
        <x:v>52.7</x:v>
      </x:c>
      <x:c r="L448" t="n">
        <x:v>49.3</x:v>
      </x:c>
      <x:c r="M448" t="n">
        <x:v>50.1</x:v>
      </x:c>
      <x:c r="N448" t="str">
        <x:v>Most Likely</x:v>
      </x:c>
      <x:c r="O448" t="str">
        <x:v>Most Likely</x:v>
      </x:c>
    </x:row>
    <x:row r="449">
      <x:c r="A449" t="str">
        <x:v>PJT_448</x:v>
      </x:c>
      <x:c r="B449" t="n">
        <x:v>23533650</x:v>
      </x:c>
      <x:c r="C449" t="n">
        <x:v>23608793</x:v>
      </x:c>
      <x:c r="D449" t="n">
        <x:v>75143</x:v>
      </x:c>
      <x:c r="E449" t="n">
        <x:v>0.0032</x:v>
      </x:c>
      <x:c r="F449" t="n">
        <x:v>547</x:v>
      </x:c>
      <x:c r="G449" t="n">
        <x:v>554</x:v>
      </x:c>
      <x:c r="H449" t="n">
        <x:v>7</x:v>
      </x:c>
      <x:c r="I449" t="n">
        <x:v>0.0128</x:v>
      </x:c>
      <x:c r="J449" t="str">
        <x:v>Medium</x:v>
      </x:c>
      <x:c r="K449" t="n">
        <x:v>48.8</x:v>
      </x:c>
      <x:c r="L449" t="n">
        <x:v>41.5</x:v>
      </x:c>
      <x:c r="M449" t="n">
        <x:v>42.9</x:v>
      </x:c>
      <x:c r="N449" t="str">
        <x:v>Most Likely</x:v>
      </x:c>
      <x:c r="O449" t="str">
        <x:v>Most Likely</x:v>
      </x:c>
    </x:row>
    <x:row r="450">
      <x:c r="A450" t="str">
        <x:v>PJT_449</x:v>
      </x:c>
      <x:c r="B450" t="n">
        <x:v>48352500</x:v>
      </x:c>
      <x:c r="C450" t="n">
        <x:v>50586652</x:v>
      </x:c>
      <x:c r="D450" t="n">
        <x:v>2234152</x:v>
      </x:c>
      <x:c r="E450" t="n">
        <x:v>0.0462</x:v>
      </x:c>
      <x:c r="F450" t="n">
        <x:v>884</x:v>
      </x:c>
      <x:c r="G450" t="n">
        <x:v>956</x:v>
      </x:c>
      <x:c r="H450" t="n">
        <x:v>72</x:v>
      </x:c>
      <x:c r="I450" t="n">
        <x:v>0.0814</x:v>
      </x:c>
      <x:c r="J450" t="str">
        <x:v>Medium</x:v>
      </x:c>
      <x:c r="K450" t="n">
        <x:v>54.4</x:v>
      </x:c>
      <x:c r="L450" t="n">
        <x:v>53</x:v>
      </x:c>
      <x:c r="M450" t="n">
        <x:v>57.9</x:v>
      </x:c>
      <x:c r="N450" t="str">
        <x:v>Most Likely</x:v>
      </x:c>
      <x:c r="O450" t="str">
        <x:v>Most Likely</x:v>
      </x:c>
    </x:row>
    <x:row r="451">
      <x:c r="A451" t="str">
        <x:v>PJT_450</x:v>
      </x:c>
      <x:c r="B451" t="n">
        <x:v>41267880</x:v>
      </x:c>
      <x:c r="C451" t="n">
        <x:v>43806510</x:v>
      </x:c>
      <x:c r="D451" t="n">
        <x:v>2538630</x:v>
      </x:c>
      <x:c r="E451" t="n">
        <x:v>0.0615</x:v>
      </x:c>
      <x:c r="F451" t="n">
        <x:v>780</x:v>
      </x:c>
      <x:c r="G451" t="n">
        <x:v>802</x:v>
      </x:c>
      <x:c r="H451" t="n">
        <x:v>22</x:v>
      </x:c>
      <x:c r="I451" t="n">
        <x:v>0.0282</x:v>
      </x:c>
      <x:c r="J451" t="str">
        <x:v>Medium</x:v>
      </x:c>
      <x:c r="K451" t="n">
        <x:v>48</x:v>
      </x:c>
      <x:c r="L451" t="n">
        <x:v>57.9</x:v>
      </x:c>
      <x:c r="M451" t="n">
        <x:v>50</x:v>
      </x:c>
      <x:c r="N451" t="str">
        <x:v>Most Likely</x:v>
      </x:c>
      <x:c r="O451" t="str">
        <x:v>Most Likely</x:v>
      </x:c>
    </x:row>
    <x:row r="452">
      <x:c r="A452" t="str">
        <x:v>PJT_451</x:v>
      </x:c>
      <x:c r="B452" t="n">
        <x:v>19703940</x:v>
      </x:c>
      <x:c r="C452" t="n">
        <x:v>19870212</x:v>
      </x:c>
      <x:c r="D452" t="n">
        <x:v>166272</x:v>
      </x:c>
      <x:c r="E452" t="n">
        <x:v>0.0084</x:v>
      </x:c>
      <x:c r="F452" t="n">
        <x:v>479</x:v>
      </x:c>
      <x:c r="G452" t="n">
        <x:v>460</x:v>
      </x:c>
      <x:c r="H452" t="n">
        <x:v>-19</x:v>
      </x:c>
      <x:c r="I452" t="n">
        <x:v>-0.0397</x:v>
      </x:c>
      <x:c r="J452" t="str">
        <x:v>Medium</x:v>
      </x:c>
      <x:c r="K452" t="n">
        <x:v>46.7</x:v>
      </x:c>
      <x:c r="L452" t="n">
        <x:v>46.6</x:v>
      </x:c>
      <x:c r="M452" t="n">
        <x:v>48.1</x:v>
      </x:c>
      <x:c r="N452" t="str">
        <x:v>Most Likely</x:v>
      </x:c>
      <x:c r="O452" t="str">
        <x:v>Optimistic</x:v>
      </x:c>
    </x:row>
    <x:row r="453">
      <x:c r="A453" t="str">
        <x:v>PJT_452</x:v>
      </x:c>
      <x:c r="B453" t="n">
        <x:v>117236250</x:v>
      </x:c>
      <x:c r="C453" t="n">
        <x:v>137452113</x:v>
      </x:c>
      <x:c r="D453" t="n">
        <x:v>20215863</x:v>
      </x:c>
      <x:c r="E453" t="n">
        <x:v>0.1724</x:v>
      </x:c>
      <x:c r="F453" t="n">
        <x:v>2123</x:v>
      </x:c>
      <x:c r="G453" t="n">
        <x:v>2256</x:v>
      </x:c>
      <x:c r="H453" t="n">
        <x:v>133</x:v>
      </x:c>
      <x:c r="I453" t="n">
        <x:v>0.0626</x:v>
      </x:c>
      <x:c r="J453" t="str">
        <x:v>Medium</x:v>
      </x:c>
      <x:c r="K453" t="n">
        <x:v>66.4</x:v>
      </x:c>
      <x:c r="L453" t="n">
        <x:v>69</x:v>
      </x:c>
      <x:c r="M453" t="n">
        <x:v>62.7</x:v>
      </x:c>
      <x:c r="N453" t="str">
        <x:v>Pessimistic</x:v>
      </x:c>
      <x:c r="O453" t="str">
        <x:v>Most Likely</x:v>
      </x:c>
    </x:row>
    <x:row r="454">
      <x:c r="A454" t="str">
        <x:v>PJT_453</x:v>
      </x:c>
      <x:c r="B454" t="n">
        <x:v>62832440</x:v>
      </x:c>
      <x:c r="C454" t="n">
        <x:v>66355223</x:v>
      </x:c>
      <x:c r="D454" t="n">
        <x:v>3522783</x:v>
      </x:c>
      <x:c r="E454" t="n">
        <x:v>0.0561</x:v>
      </x:c>
      <x:c r="F454" t="n">
        <x:v>1283</x:v>
      </x:c>
      <x:c r="G454" t="n">
        <x:v>1422</x:v>
      </x:c>
      <x:c r="H454" t="n">
        <x:v>139</x:v>
      </x:c>
      <x:c r="I454" t="n">
        <x:v>0.1083</x:v>
      </x:c>
      <x:c r="J454" t="str">
        <x:v>Medium</x:v>
      </x:c>
      <x:c r="K454" t="n">
        <x:v>59.9</x:v>
      </x:c>
      <x:c r="L454" t="n">
        <x:v>56.1</x:v>
      </x:c>
      <x:c r="M454" t="n">
        <x:v>61.3</x:v>
      </x:c>
      <x:c r="N454" t="str">
        <x:v>Most Likely</x:v>
      </x:c>
      <x:c r="O454" t="str">
        <x:v>Pessimistic</x:v>
      </x:c>
    </x:row>
    <x:row r="455">
      <x:c r="A455" t="str">
        <x:v>PJT_454</x:v>
      </x:c>
      <x:c r="B455" t="n">
        <x:v>60401180</x:v>
      </x:c>
      <x:c r="C455" t="n">
        <x:v>68142666</x:v>
      </x:c>
      <x:c r="D455" t="n">
        <x:v>7741486</x:v>
      </x:c>
      <x:c r="E455" t="n">
        <x:v>0.1282</x:v>
      </x:c>
      <x:c r="F455" t="n">
        <x:v>1138</x:v>
      </x:c>
      <x:c r="G455" t="n">
        <x:v>1122</x:v>
      </x:c>
      <x:c r="H455" t="n">
        <x:v>-16</x:v>
      </x:c>
      <x:c r="I455" t="n">
        <x:v>-0.0141</x:v>
      </x:c>
      <x:c r="J455" t="str">
        <x:v>Medium</x:v>
      </x:c>
      <x:c r="K455" t="n">
        <x:v>63.3</x:v>
      </x:c>
      <x:c r="L455" t="n">
        <x:v>67</x:v>
      </x:c>
      <x:c r="M455" t="n">
        <x:v>62.5</x:v>
      </x:c>
      <x:c r="N455" t="str">
        <x:v>Pessimistic</x:v>
      </x:c>
      <x:c r="O455" t="str">
        <x:v>Optimistic</x:v>
      </x:c>
    </x:row>
    <x:row r="456">
      <x:c r="A456" t="str">
        <x:v>PJT_455</x:v>
      </x:c>
      <x:c r="B456" t="n">
        <x:v>64420920</x:v>
      </x:c>
      <x:c r="C456" t="n">
        <x:v>68104793</x:v>
      </x:c>
      <x:c r="D456" t="n">
        <x:v>3683873</x:v>
      </x:c>
      <x:c r="E456" t="n">
        <x:v>0.0572</x:v>
      </x:c>
      <x:c r="F456" t="n">
        <x:v>1027</x:v>
      </x:c>
      <x:c r="G456" t="n">
        <x:v>1138</x:v>
      </x:c>
      <x:c r="H456" t="n">
        <x:v>111</x:v>
      </x:c>
      <x:c r="I456" t="n">
        <x:v>0.1081</x:v>
      </x:c>
      <x:c r="J456" t="str">
        <x:v>Medium</x:v>
      </x:c>
      <x:c r="K456" t="n">
        <x:v>47.9</x:v>
      </x:c>
      <x:c r="L456" t="n">
        <x:v>56.5</x:v>
      </x:c>
      <x:c r="M456" t="n">
        <x:v>54</x:v>
      </x:c>
      <x:c r="N456" t="str">
        <x:v>Most Likely</x:v>
      </x:c>
      <x:c r="O456" t="str">
        <x:v>Pessimistic</x:v>
      </x:c>
    </x:row>
    <x:row r="457">
      <x:c r="A457" t="str">
        <x:v>PJT_456</x:v>
      </x:c>
      <x:c r="B457" t="n">
        <x:v>62707200</x:v>
      </x:c>
      <x:c r="C457" t="n">
        <x:v>68354182</x:v>
      </x:c>
      <x:c r="D457" t="n">
        <x:v>5646982</x:v>
      </x:c>
      <x:c r="E457" t="n">
        <x:v>0.0901</x:v>
      </x:c>
      <x:c r="F457" t="n">
        <x:v>1091</x:v>
      </x:c>
      <x:c r="G457" t="n">
        <x:v>1134</x:v>
      </x:c>
      <x:c r="H457" t="n">
        <x:v>43</x:v>
      </x:c>
      <x:c r="I457" t="n">
        <x:v>0.0394</x:v>
      </x:c>
      <x:c r="J457" t="str">
        <x:v>Medium</x:v>
      </x:c>
      <x:c r="K457" t="n">
        <x:v>47.8</x:v>
      </x:c>
      <x:c r="L457" t="n">
        <x:v>53.2</x:v>
      </x:c>
      <x:c r="M457" t="n">
        <x:v>49.4</x:v>
      </x:c>
      <x:c r="N457" t="str">
        <x:v>Most Likely</x:v>
      </x:c>
      <x:c r="O457" t="str">
        <x:v>Most Likely</x:v>
      </x:c>
    </x:row>
    <x:row r="458">
      <x:c r="A458" t="str">
        <x:v>PJT_457</x:v>
      </x:c>
      <x:c r="B458" t="n">
        <x:v>12328000</x:v>
      </x:c>
      <x:c r="C458" t="n">
        <x:v>12439797</x:v>
      </x:c>
      <x:c r="D458" t="n">
        <x:v>111797</x:v>
      </x:c>
      <x:c r="E458" t="n">
        <x:v>0.0091</x:v>
      </x:c>
      <x:c r="F458" t="n">
        <x:v>250</x:v>
      </x:c>
      <x:c r="G458" t="n">
        <x:v>265</x:v>
      </x:c>
      <x:c r="H458" t="n">
        <x:v>15</x:v>
      </x:c>
      <x:c r="I458" t="n">
        <x:v>0.06</x:v>
      </x:c>
      <x:c r="J458" t="str">
        <x:v>Low</x:v>
      </x:c>
      <x:c r="K458" t="n">
        <x:v>37.5</x:v>
      </x:c>
      <x:c r="L458" t="n">
        <x:v>31.3</x:v>
      </x:c>
      <x:c r="M458" t="n">
        <x:v>38.2</x:v>
      </x:c>
      <x:c r="N458" t="str">
        <x:v>Most Likely</x:v>
      </x:c>
      <x:c r="O458" t="str">
        <x:v>Most Likely</x:v>
      </x:c>
    </x:row>
    <x:row r="459">
      <x:c r="A459" t="str">
        <x:v>PJT_458</x:v>
      </x:c>
      <x:c r="B459" t="n">
        <x:v>21326250</x:v>
      </x:c>
      <x:c r="C459" t="n">
        <x:v>22653360</x:v>
      </x:c>
      <x:c r="D459" t="n">
        <x:v>1327110</x:v>
      </x:c>
      <x:c r="E459" t="n">
        <x:v>0.0622</x:v>
      </x:c>
      <x:c r="F459" t="n">
        <x:v>416</x:v>
      </x:c>
      <x:c r="G459" t="n">
        <x:v>447</x:v>
      </x:c>
      <x:c r="H459" t="n">
        <x:v>31</x:v>
      </x:c>
      <x:c r="I459" t="n">
        <x:v>0.0745</x:v>
      </x:c>
      <x:c r="J459" t="str">
        <x:v>Medium</x:v>
      </x:c>
      <x:c r="K459" t="n">
        <x:v>46.2</x:v>
      </x:c>
      <x:c r="L459" t="n">
        <x:v>48.7</x:v>
      </x:c>
      <x:c r="M459" t="n">
        <x:v>40.2</x:v>
      </x:c>
      <x:c r="N459" t="str">
        <x:v>Most Likely</x:v>
      </x:c>
      <x:c r="O459" t="str">
        <x:v>Most Likely</x:v>
      </x:c>
    </x:row>
    <x:row r="460">
      <x:c r="A460" t="str">
        <x:v>PJT_459</x:v>
      </x:c>
      <x:c r="B460" t="n">
        <x:v>72968350</x:v>
      </x:c>
      <x:c r="C460" t="n">
        <x:v>76955220</x:v>
      </x:c>
      <x:c r="D460" t="n">
        <x:v>3986870</x:v>
      </x:c>
      <x:c r="E460" t="n">
        <x:v>0.0546</x:v>
      </x:c>
      <x:c r="F460" t="n">
        <x:v>1360</x:v>
      </x:c>
      <x:c r="G460" t="n">
        <x:v>1433</x:v>
      </x:c>
      <x:c r="H460" t="n">
        <x:v>73</x:v>
      </x:c>
      <x:c r="I460" t="n">
        <x:v>0.0537</x:v>
      </x:c>
      <x:c r="J460" t="str">
        <x:v>Medium</x:v>
      </x:c>
      <x:c r="K460" t="n">
        <x:v>46.5</x:v>
      </x:c>
      <x:c r="L460" t="n">
        <x:v>53.6</x:v>
      </x:c>
      <x:c r="M460" t="n">
        <x:v>51.3</x:v>
      </x:c>
      <x:c r="N460" t="str">
        <x:v>Most Likely</x:v>
      </x:c>
      <x:c r="O460" t="str">
        <x:v>Most Likely</x:v>
      </x:c>
    </x:row>
    <x:row r="461">
      <x:c r="A461" t="str">
        <x:v>PJT_460</x:v>
      </x:c>
      <x:c r="B461" t="n">
        <x:v>8429720</x:v>
      </x:c>
      <x:c r="C461" t="n">
        <x:v>7963040</x:v>
      </x:c>
      <x:c r="D461" t="n">
        <x:v>-466680</x:v>
      </x:c>
      <x:c r="E461" t="n">
        <x:v>-0.0554</x:v>
      </x:c>
      <x:c r="F461" t="n">
        <x:v>180</x:v>
      </x:c>
      <x:c r="G461" t="n">
        <x:v>160</x:v>
      </x:c>
      <x:c r="H461" t="n">
        <x:v>-20</x:v>
      </x:c>
      <x:c r="I461" t="n">
        <x:v>-0.1111</x:v>
      </x:c>
      <x:c r="J461" t="str">
        <x:v>Low</x:v>
      </x:c>
      <x:c r="K461" t="n">
        <x:v>24.8</x:v>
      </x:c>
      <x:c r="L461" t="n">
        <x:v>31.2</x:v>
      </x:c>
      <x:c r="M461" t="n">
        <x:v>24.1</x:v>
      </x:c>
      <x:c r="N461" t="str">
        <x:v>Optimistic</x:v>
      </x:c>
      <x:c r="O461" t="str">
        <x:v>Optimistic</x:v>
      </x:c>
    </x:row>
    <x:row r="462">
      <x:c r="A462" t="str">
        <x:v>PJT_461</x:v>
      </x:c>
      <x:c r="B462" t="n">
        <x:v>67274800</x:v>
      </x:c>
      <x:c r="C462" t="n">
        <x:v>70078537</x:v>
      </x:c>
      <x:c r="D462" t="n">
        <x:v>2803737</x:v>
      </x:c>
      <x:c r="E462" t="n">
        <x:v>0.0417</x:v>
      </x:c>
      <x:c r="F462" t="n">
        <x:v>1140</x:v>
      </x:c>
      <x:c r="G462" t="n">
        <x:v>1169</x:v>
      </x:c>
      <x:c r="H462" t="n">
        <x:v>29</x:v>
      </x:c>
      <x:c r="I462" t="n">
        <x:v>0.0254</x:v>
      </x:c>
      <x:c r="J462" t="str">
        <x:v>Medium</x:v>
      </x:c>
      <x:c r="K462" t="n">
        <x:v>55.9</x:v>
      </x:c>
      <x:c r="L462" t="n">
        <x:v>59.8</x:v>
      </x:c>
      <x:c r="M462" t="n">
        <x:v>60.5</x:v>
      </x:c>
      <x:c r="N462" t="str">
        <x:v>Most Likely</x:v>
      </x:c>
      <x:c r="O462" t="str">
        <x:v>Most Likely</x:v>
      </x:c>
    </x:row>
    <x:row r="463">
      <x:c r="A463" t="str">
        <x:v>PJT_462</x:v>
      </x:c>
      <x:c r="B463" t="n">
        <x:v>7947540</x:v>
      </x:c>
      <x:c r="C463" t="n">
        <x:v>7991865</x:v>
      </x:c>
      <x:c r="D463" t="n">
        <x:v>44325</x:v>
      </x:c>
      <x:c r="E463" t="n">
        <x:v>0.0056</x:v>
      </x:c>
      <x:c r="F463" t="n">
        <x:v>192</x:v>
      </x:c>
      <x:c r="G463" t="n">
        <x:v>195</x:v>
      </x:c>
      <x:c r="H463" t="n">
        <x:v>3</x:v>
      </x:c>
      <x:c r="I463" t="n">
        <x:v>0.0156</x:v>
      </x:c>
      <x:c r="J463" t="str">
        <x:v>Low</x:v>
      </x:c>
      <x:c r="K463" t="n">
        <x:v>35</x:v>
      </x:c>
      <x:c r="L463" t="n">
        <x:v>38.1</x:v>
      </x:c>
      <x:c r="M463" t="n">
        <x:v>28.7</x:v>
      </x:c>
      <x:c r="N463" t="str">
        <x:v>Most Likely</x:v>
      </x:c>
      <x:c r="O463" t="str">
        <x:v>Most Likely</x:v>
      </x:c>
    </x:row>
    <x:row r="464">
      <x:c r="A464" t="str">
        <x:v>PJT_463</x:v>
      </x:c>
      <x:c r="B464" t="n">
        <x:v>13992550</x:v>
      </x:c>
      <x:c r="C464" t="n">
        <x:v>13009730</x:v>
      </x:c>
      <x:c r="D464" t="n">
        <x:v>-982820</x:v>
      </x:c>
      <x:c r="E464" t="n">
        <x:v>-0.0702</x:v>
      </x:c>
      <x:c r="F464" t="n">
        <x:v>231</x:v>
      </x:c>
      <x:c r="G464" t="n">
        <x:v>233</x:v>
      </x:c>
      <x:c r="H464" t="n">
        <x:v>2</x:v>
      </x:c>
      <x:c r="I464" t="n">
        <x:v>0.0087</x:v>
      </x:c>
      <x:c r="J464" t="str">
        <x:v>Low</x:v>
      </x:c>
      <x:c r="K464" t="n">
        <x:v>33.8</x:v>
      </x:c>
      <x:c r="L464" t="n">
        <x:v>33.2</x:v>
      </x:c>
      <x:c r="M464" t="n">
        <x:v>35.8</x:v>
      </x:c>
      <x:c r="N464" t="str">
        <x:v>Optimistic</x:v>
      </x:c>
      <x:c r="O464" t="str">
        <x:v>Most Likely</x:v>
      </x:c>
    </x:row>
    <x:row r="465">
      <x:c r="A465" t="str">
        <x:v>PJT_464</x:v>
      </x:c>
      <x:c r="B465" t="n">
        <x:v>77559690</x:v>
      </x:c>
      <x:c r="C465" t="n">
        <x:v>76560577</x:v>
      </x:c>
      <x:c r="D465" t="n">
        <x:v>-999113</x:v>
      </x:c>
      <x:c r="E465" t="n">
        <x:v>-0.0129</x:v>
      </x:c>
      <x:c r="F465" t="n">
        <x:v>1342</x:v>
      </x:c>
      <x:c r="G465" t="n">
        <x:v>1350</x:v>
      </x:c>
      <x:c r="H465" t="n">
        <x:v>8</x:v>
      </x:c>
      <x:c r="I465" t="n">
        <x:v>0.006</x:v>
      </x:c>
      <x:c r="J465" t="str">
        <x:v>Medium</x:v>
      </x:c>
      <x:c r="K465" t="n">
        <x:v>51.9</x:v>
      </x:c>
      <x:c r="L465" t="n">
        <x:v>49.9</x:v>
      </x:c>
      <x:c r="M465" t="n">
        <x:v>47.5</x:v>
      </x:c>
      <x:c r="N465" t="str">
        <x:v>Optimistic</x:v>
      </x:c>
      <x:c r="O465" t="str">
        <x:v>Most Likely</x:v>
      </x:c>
    </x:row>
    <x:row r="466">
      <x:c r="A466" t="str">
        <x:v>PJT_465</x:v>
      </x:c>
      <x:c r="B466" t="n">
        <x:v>18216750</x:v>
      </x:c>
      <x:c r="C466" t="n">
        <x:v>18721676</x:v>
      </x:c>
      <x:c r="D466" t="n">
        <x:v>504926</x:v>
      </x:c>
      <x:c r="E466" t="n">
        <x:v>0.0277</x:v>
      </x:c>
      <x:c r="F466" t="n">
        <x:v>389</x:v>
      </x:c>
      <x:c r="G466" t="n">
        <x:v>376</x:v>
      </x:c>
      <x:c r="H466" t="n">
        <x:v>-13</x:v>
      </x:c>
      <x:c r="I466" t="n">
        <x:v>-0.0334</x:v>
      </x:c>
      <x:c r="J466" t="str">
        <x:v>Low</x:v>
      </x:c>
      <x:c r="K466" t="n">
        <x:v>37.3</x:v>
      </x:c>
      <x:c r="L466" t="n">
        <x:v>42.8</x:v>
      </x:c>
      <x:c r="M466" t="n">
        <x:v>37.4</x:v>
      </x:c>
      <x:c r="N466" t="str">
        <x:v>Most Likely</x:v>
      </x:c>
      <x:c r="O466" t="str">
        <x:v>Optimistic</x:v>
      </x:c>
    </x:row>
    <x:row r="467">
      <x:c r="A467" t="str">
        <x:v>PJT_466</x:v>
      </x:c>
      <x:c r="B467" t="n">
        <x:v>41184000</x:v>
      </x:c>
      <x:c r="C467" t="n">
        <x:v>44623240</x:v>
      </x:c>
      <x:c r="D467" t="n">
        <x:v>3439240</x:v>
      </x:c>
      <x:c r="E467" t="n">
        <x:v>0.0835</x:v>
      </x:c>
      <x:c r="F467" t="n">
        <x:v>816</x:v>
      </x:c>
      <x:c r="G467" t="n">
        <x:v>900</x:v>
      </x:c>
      <x:c r="H467" t="n">
        <x:v>84</x:v>
      </x:c>
      <x:c r="I467" t="n">
        <x:v>0.1029</x:v>
      </x:c>
      <x:c r="J467" t="str">
        <x:v>Medium</x:v>
      </x:c>
      <x:c r="K467" t="n">
        <x:v>60.9</x:v>
      </x:c>
      <x:c r="L467" t="n">
        <x:v>55.8</x:v>
      </x:c>
      <x:c r="M467" t="n">
        <x:v>61.8</x:v>
      </x:c>
      <x:c r="N467" t="str">
        <x:v>Most Likely</x:v>
      </x:c>
      <x:c r="O467" t="str">
        <x:v>Pessimistic</x:v>
      </x:c>
    </x:row>
    <x:row r="468">
      <x:c r="A468" t="str">
        <x:v>PJT_467</x:v>
      </x:c>
      <x:c r="B468" t="n">
        <x:v>58036200</x:v>
      </x:c>
      <x:c r="C468" t="n">
        <x:v>61379200</x:v>
      </x:c>
      <x:c r="D468" t="n">
        <x:v>3343000</x:v>
      </x:c>
      <x:c r="E468" t="n">
        <x:v>0.0576</x:v>
      </x:c>
      <x:c r="F468" t="n">
        <x:v>1003</x:v>
      </x:c>
      <x:c r="G468" t="n">
        <x:v>1055</x:v>
      </x:c>
      <x:c r="H468" t="n">
        <x:v>52</x:v>
      </x:c>
      <x:c r="I468" t="n">
        <x:v>0.0518</x:v>
      </x:c>
      <x:c r="J468" t="str">
        <x:v>Medium</x:v>
      </x:c>
      <x:c r="K468" t="n">
        <x:v>60.5</x:v>
      </x:c>
      <x:c r="L468" t="n">
        <x:v>63.6</x:v>
      </x:c>
      <x:c r="M468" t="n">
        <x:v>57.7</x:v>
      </x:c>
      <x:c r="N468" t="str">
        <x:v>Most Likely</x:v>
      </x:c>
      <x:c r="O468" t="str">
        <x:v>Most Likely</x:v>
      </x:c>
    </x:row>
    <x:row r="469">
      <x:c r="A469" t="str">
        <x:v>PJT_468</x:v>
      </x:c>
      <x:c r="B469" t="n">
        <x:v>23032260</x:v>
      </x:c>
      <x:c r="C469" t="n">
        <x:v>21533841</x:v>
      </x:c>
      <x:c r="D469" t="n">
        <x:v>-1498419</x:v>
      </x:c>
      <x:c r="E469" t="n">
        <x:v>-0.0651</x:v>
      </x:c>
      <x:c r="F469" t="n">
        <x:v>427</x:v>
      </x:c>
      <x:c r="G469" t="n">
        <x:v>376</x:v>
      </x:c>
      <x:c r="H469" t="n">
        <x:v>-51</x:v>
      </x:c>
      <x:c r="I469" t="n">
        <x:v>-0.1194</x:v>
      </x:c>
      <x:c r="J469" t="str">
        <x:v>Low</x:v>
      </x:c>
      <x:c r="K469" t="n">
        <x:v>30.6</x:v>
      </x:c>
      <x:c r="L469" t="n">
        <x:v>29.7</x:v>
      </x:c>
      <x:c r="M469" t="n">
        <x:v>28.3</x:v>
      </x:c>
      <x:c r="N469" t="str">
        <x:v>Optimistic</x:v>
      </x:c>
      <x:c r="O469" t="str">
        <x:v>Optimistic</x:v>
      </x:c>
    </x:row>
    <x:row r="470">
      <x:c r="A470" t="str">
        <x:v>PJT_469</x:v>
      </x:c>
      <x:c r="B470" t="n">
        <x:v>7106400</x:v>
      </x:c>
      <x:c r="C470" t="n">
        <x:v>6800765</x:v>
      </x:c>
      <x:c r="D470" t="n">
        <x:v>-305635</x:v>
      </x:c>
      <x:c r="E470" t="n">
        <x:v>-0.043</x:v>
      </x:c>
      <x:c r="F470" t="n">
        <x:v>180</x:v>
      </x:c>
      <x:c r="G470" t="n">
        <x:v>176</x:v>
      </x:c>
      <x:c r="H470" t="n">
        <x:v>-4</x:v>
      </x:c>
      <x:c r="I470" t="n">
        <x:v>-0.0222</x:v>
      </x:c>
      <x:c r="J470" t="str">
        <x:v>Low</x:v>
      </x:c>
      <x:c r="K470" t="n">
        <x:v>33</x:v>
      </x:c>
      <x:c r="L470" t="n">
        <x:v>32.4</x:v>
      </x:c>
      <x:c r="M470" t="n">
        <x:v>29.1</x:v>
      </x:c>
      <x:c r="N470" t="str">
        <x:v>Optimistic</x:v>
      </x:c>
      <x:c r="O470" t="str">
        <x:v>Optimistic</x:v>
      </x:c>
    </x:row>
    <x:row r="471">
      <x:c r="A471" t="str">
        <x:v>PJT_470</x:v>
      </x:c>
      <x:c r="B471" t="n">
        <x:v>32291160</x:v>
      </x:c>
      <x:c r="C471" t="n">
        <x:v>32319622</x:v>
      </x:c>
      <x:c r="D471" t="n">
        <x:v>28462</x:v>
      </x:c>
      <x:c r="E471" t="n">
        <x:v>0.0009</x:v>
      </x:c>
      <x:c r="F471" t="n">
        <x:v>918</x:v>
      </x:c>
      <x:c r="G471" t="n">
        <x:v>905</x:v>
      </x:c>
      <x:c r="H471" t="n">
        <x:v>-13</x:v>
      </x:c>
      <x:c r="I471" t="n">
        <x:v>-0.0142</x:v>
      </x:c>
      <x:c r="J471" t="str">
        <x:v>Low</x:v>
      </x:c>
      <x:c r="K471" t="n">
        <x:v>43.1</x:v>
      </x:c>
      <x:c r="L471" t="n">
        <x:v>42.2</x:v>
      </x:c>
      <x:c r="M471" t="n">
        <x:v>46.2</x:v>
      </x:c>
      <x:c r="N471" t="str">
        <x:v>Most Likely</x:v>
      </x:c>
      <x:c r="O471" t="str">
        <x:v>Optimistic</x:v>
      </x:c>
    </x:row>
    <x:row r="472">
      <x:c r="A472" t="str">
        <x:v>PJT_471</x:v>
      </x:c>
      <x:c r="B472" t="n">
        <x:v>25065480</x:v>
      </x:c>
      <x:c r="C472" t="n">
        <x:v>24641746</x:v>
      </x:c>
      <x:c r="D472" t="n">
        <x:v>-423734</x:v>
      </x:c>
      <x:c r="E472" t="n">
        <x:v>-0.0169</x:v>
      </x:c>
      <x:c r="F472" t="n">
        <x:v>512</x:v>
      </x:c>
      <x:c r="G472" t="n">
        <x:v>520</x:v>
      </x:c>
      <x:c r="H472" t="n">
        <x:v>8</x:v>
      </x:c>
      <x:c r="I472" t="n">
        <x:v>0.0156</x:v>
      </x:c>
      <x:c r="J472" t="str">
        <x:v>Low</x:v>
      </x:c>
      <x:c r="K472" t="n">
        <x:v>41</x:v>
      </x:c>
      <x:c r="L472" t="n">
        <x:v>43.4</x:v>
      </x:c>
      <x:c r="M472" t="n">
        <x:v>41.8</x:v>
      </x:c>
      <x:c r="N472" t="str">
        <x:v>Optimistic</x:v>
      </x:c>
      <x:c r="O472" t="str">
        <x:v>Most Likely</x:v>
      </x:c>
    </x:row>
    <x:row r="473">
      <x:c r="A473" t="str">
        <x:v>PJT_472</x:v>
      </x:c>
      <x:c r="B473" t="n">
        <x:v>36414840</x:v>
      </x:c>
      <x:c r="C473" t="n">
        <x:v>36480002</x:v>
      </x:c>
      <x:c r="D473" t="n">
        <x:v>65162</x:v>
      </x:c>
      <x:c r="E473" t="n">
        <x:v>0.0018</x:v>
      </x:c>
      <x:c r="F473" t="n">
        <x:v>686</x:v>
      </x:c>
      <x:c r="G473" t="n">
        <x:v>726</x:v>
      </x:c>
      <x:c r="H473" t="n">
        <x:v>40</x:v>
      </x:c>
      <x:c r="I473" t="n">
        <x:v>0.0583</x:v>
      </x:c>
      <x:c r="J473" t="str">
        <x:v>Low</x:v>
      </x:c>
      <x:c r="K473" t="n">
        <x:v>42</x:v>
      </x:c>
      <x:c r="L473" t="n">
        <x:v>38.3</x:v>
      </x:c>
      <x:c r="M473" t="n">
        <x:v>40.1</x:v>
      </x:c>
      <x:c r="N473" t="str">
        <x:v>Most Likely</x:v>
      </x:c>
      <x:c r="O473" t="str">
        <x:v>Most Likely</x:v>
      </x:c>
    </x:row>
    <x:row r="474">
      <x:c r="A474" t="str">
        <x:v>PJT_473</x:v>
      </x:c>
      <x:c r="B474" t="n">
        <x:v>25921350</x:v>
      </x:c>
      <x:c r="C474" t="n">
        <x:v>26881760</x:v>
      </x:c>
      <x:c r="D474" t="n">
        <x:v>960410</x:v>
      </x:c>
      <x:c r="E474" t="n">
        <x:v>0.0371</x:v>
      </x:c>
      <x:c r="F474" t="n">
        <x:v>570</x:v>
      </x:c>
      <x:c r="G474" t="n">
        <x:v>577</x:v>
      </x:c>
      <x:c r="H474" t="n">
        <x:v>7</x:v>
      </x:c>
      <x:c r="I474" t="n">
        <x:v>0.0123</x:v>
      </x:c>
      <x:c r="J474" t="str">
        <x:v>Low</x:v>
      </x:c>
      <x:c r="K474" t="n">
        <x:v>42.9</x:v>
      </x:c>
      <x:c r="L474" t="n">
        <x:v>42.3</x:v>
      </x:c>
      <x:c r="M474" t="n">
        <x:v>43.1</x:v>
      </x:c>
      <x:c r="N474" t="str">
        <x:v>Most Likely</x:v>
      </x:c>
      <x:c r="O474" t="str">
        <x:v>Most Likely</x:v>
      </x:c>
    </x:row>
    <x:row r="475">
      <x:c r="A475" t="str">
        <x:v>PJT_474</x:v>
      </x:c>
      <x:c r="B475" t="n">
        <x:v>52902080</x:v>
      </x:c>
      <x:c r="C475" t="n">
        <x:v>56814030</x:v>
      </x:c>
      <x:c r="D475" t="n">
        <x:v>3911950</x:v>
      </x:c>
      <x:c r="E475" t="n">
        <x:v>0.0739</x:v>
      </x:c>
      <x:c r="F475" t="n">
        <x:v>966</x:v>
      </x:c>
      <x:c r="G475" t="n">
        <x:v>1064</x:v>
      </x:c>
      <x:c r="H475" t="n">
        <x:v>98</x:v>
      </x:c>
      <x:c r="I475" t="n">
        <x:v>0.1014</x:v>
      </x:c>
      <x:c r="J475" t="str">
        <x:v>Medium</x:v>
      </x:c>
      <x:c r="K475" t="n">
        <x:v>50.1</x:v>
      </x:c>
      <x:c r="L475" t="n">
        <x:v>54.3</x:v>
      </x:c>
      <x:c r="M475" t="n">
        <x:v>54.2</x:v>
      </x:c>
      <x:c r="N475" t="str">
        <x:v>Most Likely</x:v>
      </x:c>
      <x:c r="O475" t="str">
        <x:v>Pessimistic</x:v>
      </x:c>
    </x:row>
    <x:row r="476">
      <x:c r="A476" t="str">
        <x:v>PJT_475</x:v>
      </x:c>
      <x:c r="B476" t="n">
        <x:v>16655200</x:v>
      </x:c>
      <x:c r="C476" t="n">
        <x:v>16416917</x:v>
      </x:c>
      <x:c r="D476" t="n">
        <x:v>-238283</x:v>
      </x:c>
      <x:c r="E476" t="n">
        <x:v>-0.0143</x:v>
      </x:c>
      <x:c r="F476" t="n">
        <x:v>341</x:v>
      </x:c>
      <x:c r="G476" t="n">
        <x:v>339</x:v>
      </x:c>
      <x:c r="H476" t="n">
        <x:v>-2</x:v>
      </x:c>
      <x:c r="I476" t="n">
        <x:v>-0.0059</x:v>
      </x:c>
      <x:c r="J476" t="str">
        <x:v>Low</x:v>
      </x:c>
      <x:c r="K476" t="n">
        <x:v>40.5</x:v>
      </x:c>
      <x:c r="L476" t="n">
        <x:v>36.3</x:v>
      </x:c>
      <x:c r="M476" t="n">
        <x:v>34.1</x:v>
      </x:c>
      <x:c r="N476" t="str">
        <x:v>Optimistic</x:v>
      </x:c>
      <x:c r="O476" t="str">
        <x:v>Optimistic</x:v>
      </x:c>
    </x:row>
    <x:row r="477">
      <x:c r="A477" t="str">
        <x:v>PJT_476</x:v>
      </x:c>
      <x:c r="B477" t="n">
        <x:v>44510640</x:v>
      </x:c>
      <x:c r="C477" t="n">
        <x:v>46444633</x:v>
      </x:c>
      <x:c r="D477" t="n">
        <x:v>1933993</x:v>
      </x:c>
      <x:c r="E477" t="n">
        <x:v>0.0435</x:v>
      </x:c>
      <x:c r="F477" t="n">
        <x:v>790</x:v>
      </x:c>
      <x:c r="G477" t="n">
        <x:v>828</x:v>
      </x:c>
      <x:c r="H477" t="n">
        <x:v>38</x:v>
      </x:c>
      <x:c r="I477" t="n">
        <x:v>0.0481</x:v>
      </x:c>
      <x:c r="J477" t="str">
        <x:v>Medium</x:v>
      </x:c>
      <x:c r="K477" t="n">
        <x:v>48.1</x:v>
      </x:c>
      <x:c r="L477" t="n">
        <x:v>49</x:v>
      </x:c>
      <x:c r="M477" t="n">
        <x:v>48.4</x:v>
      </x:c>
      <x:c r="N477" t="str">
        <x:v>Most Likely</x:v>
      </x:c>
      <x:c r="O477" t="str">
        <x:v>Most Likely</x:v>
      </x:c>
    </x:row>
    <x:row r="478">
      <x:c r="A478" t="str">
        <x:v>PJT_477</x:v>
      </x:c>
      <x:c r="B478" t="n">
        <x:v>19151340</x:v>
      </x:c>
      <x:c r="C478" t="n">
        <x:v>19164032</x:v>
      </x:c>
      <x:c r="D478" t="n">
        <x:v>12692</x:v>
      </x:c>
      <x:c r="E478" t="n">
        <x:v>0.0007</x:v>
      </x:c>
      <x:c r="F478" t="n">
        <x:v>332</x:v>
      </x:c>
      <x:c r="G478" t="n">
        <x:v>345</x:v>
      </x:c>
      <x:c r="H478" t="n">
        <x:v>13</x:v>
      </x:c>
      <x:c r="I478" t="n">
        <x:v>0.0392</x:v>
      </x:c>
      <x:c r="J478" t="str">
        <x:v>Low</x:v>
      </x:c>
      <x:c r="K478" t="n">
        <x:v>34.8</x:v>
      </x:c>
      <x:c r="L478" t="n">
        <x:v>34.2</x:v>
      </x:c>
      <x:c r="M478" t="n">
        <x:v>36.2</x:v>
      </x:c>
      <x:c r="N478" t="str">
        <x:v>Most Likely</x:v>
      </x:c>
      <x:c r="O478" t="str">
        <x:v>Most Likely</x:v>
      </x:c>
    </x:row>
    <x:row r="479">
      <x:c r="A479" t="str">
        <x:v>PJT_478</x:v>
      </x:c>
      <x:c r="B479" t="n">
        <x:v>40272660</x:v>
      </x:c>
      <x:c r="C479" t="n">
        <x:v>40262088</x:v>
      </x:c>
      <x:c r="D479" t="n">
        <x:v>-10572</x:v>
      </x:c>
      <x:c r="E479" t="n">
        <x:v>-0.0003</x:v>
      </x:c>
      <x:c r="F479" t="n">
        <x:v>815</x:v>
      </x:c>
      <x:c r="G479" t="n">
        <x:v>835</x:v>
      </x:c>
      <x:c r="H479" t="n">
        <x:v>20</x:v>
      </x:c>
      <x:c r="I479" t="n">
        <x:v>0.0245</x:v>
      </x:c>
      <x:c r="J479" t="str">
        <x:v>Medium</x:v>
      </x:c>
      <x:c r="K479" t="n">
        <x:v>46.2</x:v>
      </x:c>
      <x:c r="L479" t="n">
        <x:v>48</x:v>
      </x:c>
      <x:c r="M479" t="n">
        <x:v>48.4</x:v>
      </x:c>
      <x:c r="N479" t="str">
        <x:v>Optimistic</x:v>
      </x:c>
      <x:c r="O479" t="str">
        <x:v>Most Likely</x:v>
      </x:c>
    </x:row>
    <x:row r="480">
      <x:c r="A480" t="str">
        <x:v>PJT_479</x:v>
      </x:c>
      <x:c r="B480" t="n">
        <x:v>43001630</x:v>
      </x:c>
      <x:c r="C480" t="n">
        <x:v>45592758</x:v>
      </x:c>
      <x:c r="D480" t="n">
        <x:v>2591128</x:v>
      </x:c>
      <x:c r="E480" t="n">
        <x:v>0.0603</x:v>
      </x:c>
      <x:c r="F480" t="n">
        <x:v>751</x:v>
      </x:c>
      <x:c r="G480" t="n">
        <x:v>796</x:v>
      </x:c>
      <x:c r="H480" t="n">
        <x:v>45</x:v>
      </x:c>
      <x:c r="I480" t="n">
        <x:v>0.0599</x:v>
      </x:c>
      <x:c r="J480" t="str">
        <x:v>Low</x:v>
      </x:c>
      <x:c r="K480" t="n">
        <x:v>41.7</x:v>
      </x:c>
      <x:c r="L480" t="n">
        <x:v>45.5</x:v>
      </x:c>
      <x:c r="M480" t="n">
        <x:v>39.1</x:v>
      </x:c>
      <x:c r="N480" t="str">
        <x:v>Most Likely</x:v>
      </x:c>
      <x:c r="O480" t="str">
        <x:v>Most Likely</x:v>
      </x:c>
    </x:row>
    <x:row r="481">
      <x:c r="A481" t="str">
        <x:v>PJT_480</x:v>
      </x:c>
      <x:c r="B481" t="n">
        <x:v>54812790</x:v>
      </x:c>
      <x:c r="C481" t="n">
        <x:v>62309904</x:v>
      </x:c>
      <x:c r="D481" t="n">
        <x:v>7497114</x:v>
      </x:c>
      <x:c r="E481" t="n">
        <x:v>0.1368</x:v>
      </x:c>
      <x:c r="F481" t="n">
        <x:v>987</x:v>
      </x:c>
      <x:c r="G481" t="n">
        <x:v>1000</x:v>
      </x:c>
      <x:c r="H481" t="n">
        <x:v>13</x:v>
      </x:c>
      <x:c r="I481" t="n">
        <x:v>0.0132</x:v>
      </x:c>
      <x:c r="J481" t="str">
        <x:v>Medium</x:v>
      </x:c>
      <x:c r="K481" t="n">
        <x:v>45.7</x:v>
      </x:c>
      <x:c r="L481" t="n">
        <x:v>50.3</x:v>
      </x:c>
      <x:c r="M481" t="n">
        <x:v>48.2</x:v>
      </x:c>
      <x:c r="N481" t="str">
        <x:v>Pessimistic</x:v>
      </x:c>
      <x:c r="O481" t="str">
        <x:v>Most Likely</x:v>
      </x:c>
    </x:row>
    <x:row r="482">
      <x:c r="A482" t="str">
        <x:v>PJT_481</x:v>
      </x:c>
      <x:c r="B482" t="n">
        <x:v>69417720</x:v>
      </x:c>
      <x:c r="C482" t="n">
        <x:v>72522580</x:v>
      </x:c>
      <x:c r="D482" t="n">
        <x:v>3104860</x:v>
      </x:c>
      <x:c r="E482" t="n">
        <x:v>0.0447</x:v>
      </x:c>
      <x:c r="F482" t="n">
        <x:v>1498</x:v>
      </x:c>
      <x:c r="G482" t="n">
        <x:v>1564</x:v>
      </x:c>
      <x:c r="H482" t="n">
        <x:v>66</x:v>
      </x:c>
      <x:c r="I482" t="n">
        <x:v>0.0441</x:v>
      </x:c>
      <x:c r="J482" t="str">
        <x:v>Medium</x:v>
      </x:c>
      <x:c r="K482" t="n">
        <x:v>54</x:v>
      </x:c>
      <x:c r="L482" t="n">
        <x:v>53.6</x:v>
      </x:c>
      <x:c r="M482" t="n">
        <x:v>59.9</x:v>
      </x:c>
      <x:c r="N482" t="str">
        <x:v>Most Likely</x:v>
      </x:c>
      <x:c r="O482" t="str">
        <x:v>Most Likely</x:v>
      </x:c>
    </x:row>
    <x:row r="483">
      <x:c r="A483" t="str">
        <x:v>PJT_482</x:v>
      </x:c>
      <x:c r="B483" t="n">
        <x:v>74038050</x:v>
      </x:c>
      <x:c r="C483" t="n">
        <x:v>85242276</x:v>
      </x:c>
      <x:c r="D483" t="n">
        <x:v>11204226</x:v>
      </x:c>
      <x:c r="E483" t="n">
        <x:v>0.1513</x:v>
      </x:c>
      <x:c r="F483" t="n">
        <x:v>1582</x:v>
      </x:c>
      <x:c r="G483" t="n">
        <x:v>1912</x:v>
      </x:c>
      <x:c r="H483" t="n">
        <x:v>330</x:v>
      </x:c>
      <x:c r="I483" t="n">
        <x:v>0.2086</x:v>
      </x:c>
      <x:c r="J483" t="str">
        <x:v>Medium</x:v>
      </x:c>
      <x:c r="K483" t="n">
        <x:v>66.5</x:v>
      </x:c>
      <x:c r="L483" t="n">
        <x:v>67.1</x:v>
      </x:c>
      <x:c r="M483" t="n">
        <x:v>69.9</x:v>
      </x:c>
      <x:c r="N483" t="str">
        <x:v>Pessimistic</x:v>
      </x:c>
      <x:c r="O483" t="str">
        <x:v>Pessimistic</x:v>
      </x:c>
    </x:row>
    <x:row r="484">
      <x:c r="A484" t="str">
        <x:v>PJT_483</x:v>
      </x:c>
      <x:c r="B484" t="n">
        <x:v>19433040</x:v>
      </x:c>
      <x:c r="C484" t="n">
        <x:v>19144358</x:v>
      </x:c>
      <x:c r="D484" t="n">
        <x:v>-288682</x:v>
      </x:c>
      <x:c r="E484" t="n">
        <x:v>-0.0149</x:v>
      </x:c>
      <x:c r="F484" t="n">
        <x:v>378</x:v>
      </x:c>
      <x:c r="G484" t="n">
        <x:v>419</x:v>
      </x:c>
      <x:c r="H484" t="n">
        <x:v>41</x:v>
      </x:c>
      <x:c r="I484" t="n">
        <x:v>0.1085</x:v>
      </x:c>
      <x:c r="J484" t="str">
        <x:v>Medium</x:v>
      </x:c>
      <x:c r="K484" t="n">
        <x:v>48.4</x:v>
      </x:c>
      <x:c r="L484" t="n">
        <x:v>46.5</x:v>
      </x:c>
      <x:c r="M484" t="n">
        <x:v>53.7</x:v>
      </x:c>
      <x:c r="N484" t="str">
        <x:v>Optimistic</x:v>
      </x:c>
      <x:c r="O484" t="str">
        <x:v>Pessimistic</x:v>
      </x:c>
    </x:row>
    <x:row r="485">
      <x:c r="A485" t="str">
        <x:v>PJT_484</x:v>
      </x:c>
      <x:c r="B485" t="n">
        <x:v>62371120</x:v>
      </x:c>
      <x:c r="C485" t="n">
        <x:v>62134725</x:v>
      </x:c>
      <x:c r="D485" t="n">
        <x:v>-236395</x:v>
      </x:c>
      <x:c r="E485" t="n">
        <x:v>-0.0038</x:v>
      </x:c>
      <x:c r="F485" t="n">
        <x:v>1193</x:v>
      </x:c>
      <x:c r="G485" t="n">
        <x:v>1276</x:v>
      </x:c>
      <x:c r="H485" t="n">
        <x:v>83</x:v>
      </x:c>
      <x:c r="I485" t="n">
        <x:v>0.0696</x:v>
      </x:c>
      <x:c r="J485" t="str">
        <x:v>Medium</x:v>
      </x:c>
      <x:c r="K485" t="n">
        <x:v>61.8</x:v>
      </x:c>
      <x:c r="L485" t="n">
        <x:v>65.2</x:v>
      </x:c>
      <x:c r="M485" t="n">
        <x:v>63.5</x:v>
      </x:c>
      <x:c r="N485" t="str">
        <x:v>Optimistic</x:v>
      </x:c>
      <x:c r="O485" t="str">
        <x:v>Most Likely</x:v>
      </x:c>
    </x:row>
    <x:row r="486">
      <x:c r="A486" t="str">
        <x:v>PJT_485</x:v>
      </x:c>
      <x:c r="B486" t="n">
        <x:v>78512280</x:v>
      </x:c>
      <x:c r="C486" t="n">
        <x:v>83819256</x:v>
      </x:c>
      <x:c r="D486" t="n">
        <x:v>5306976</x:v>
      </x:c>
      <x:c r="E486" t="n">
        <x:v>0.0676</x:v>
      </x:c>
      <x:c r="F486" t="n">
        <x:v>1269</x:v>
      </x:c>
      <x:c r="G486" t="n">
        <x:v>1407</x:v>
      </x:c>
      <x:c r="H486" t="n">
        <x:v>138</x:v>
      </x:c>
      <x:c r="I486" t="n">
        <x:v>0.1087</x:v>
      </x:c>
      <x:c r="J486" t="str">
        <x:v>Medium</x:v>
      </x:c>
      <x:c r="K486" t="n">
        <x:v>56.4</x:v>
      </x:c>
      <x:c r="L486" t="n">
        <x:v>60.8</x:v>
      </x:c>
      <x:c r="M486" t="n">
        <x:v>53.6</x:v>
      </x:c>
      <x:c r="N486" t="str">
        <x:v>Most Likely</x:v>
      </x:c>
      <x:c r="O486" t="str">
        <x:v>Pessimistic</x:v>
      </x:c>
    </x:row>
    <x:row r="487">
      <x:c r="A487" t="str">
        <x:v>PJT_486</x:v>
      </x:c>
      <x:c r="B487" t="n">
        <x:v>30357120</x:v>
      </x:c>
      <x:c r="C487" t="n">
        <x:v>30442649</x:v>
      </x:c>
      <x:c r="D487" t="n">
        <x:v>85529</x:v>
      </x:c>
      <x:c r="E487" t="n">
        <x:v>0.0028</x:v>
      </x:c>
      <x:c r="F487" t="n">
        <x:v>530</x:v>
      </x:c>
      <x:c r="G487" t="n">
        <x:v>559</x:v>
      </x:c>
      <x:c r="H487" t="n">
        <x:v>29</x:v>
      </x:c>
      <x:c r="I487" t="n">
        <x:v>0.0547</x:v>
      </x:c>
      <x:c r="J487" t="str">
        <x:v>Medium</x:v>
      </x:c>
      <x:c r="K487" t="n">
        <x:v>52.2</x:v>
      </x:c>
      <x:c r="L487" t="n">
        <x:v>49</x:v>
      </x:c>
      <x:c r="M487" t="n">
        <x:v>43.7</x:v>
      </x:c>
      <x:c r="N487" t="str">
        <x:v>Most Likely</x:v>
      </x:c>
      <x:c r="O487" t="str">
        <x:v>Most Likely</x:v>
      </x:c>
    </x:row>
    <x:row r="488">
      <x:c r="A488" t="str">
        <x:v>PJT_487</x:v>
      </x:c>
      <x:c r="B488" t="n">
        <x:v>37144100</x:v>
      </x:c>
      <x:c r="C488" t="n">
        <x:v>36938776</x:v>
      </x:c>
      <x:c r="D488" t="n">
        <x:v>-205324</x:v>
      </x:c>
      <x:c r="E488" t="n">
        <x:v>-0.0055</x:v>
      </x:c>
      <x:c r="F488" t="n">
        <x:v>691</x:v>
      </x:c>
      <x:c r="G488" t="n">
        <x:v>711</x:v>
      </x:c>
      <x:c r="H488" t="n">
        <x:v>20</x:v>
      </x:c>
      <x:c r="I488" t="n">
        <x:v>0.0289</x:v>
      </x:c>
      <x:c r="J488" t="str">
        <x:v>Low</x:v>
      </x:c>
      <x:c r="K488" t="n">
        <x:v>42.6</x:v>
      </x:c>
      <x:c r="L488" t="n">
        <x:v>45.7</x:v>
      </x:c>
      <x:c r="M488" t="n">
        <x:v>46</x:v>
      </x:c>
      <x:c r="N488" t="str">
        <x:v>Optimistic</x:v>
      </x:c>
      <x:c r="O488" t="str">
        <x:v>Most Likely</x:v>
      </x:c>
    </x:row>
    <x:row r="489">
      <x:c r="A489" t="str">
        <x:v>PJT_488</x:v>
      </x:c>
      <x:c r="B489" t="n">
        <x:v>66017280</x:v>
      </x:c>
      <x:c r="C489" t="n">
        <x:v>67991278</x:v>
      </x:c>
      <x:c r="D489" t="n">
        <x:v>1973998</x:v>
      </x:c>
      <x:c r="E489" t="n">
        <x:v>0.0299</x:v>
      </x:c>
      <x:c r="F489" t="n">
        <x:v>1260</x:v>
      </x:c>
      <x:c r="G489" t="n">
        <x:v>1321</x:v>
      </x:c>
      <x:c r="H489" t="n">
        <x:v>61</x:v>
      </x:c>
      <x:c r="I489" t="n">
        <x:v>0.0484</x:v>
      </x:c>
      <x:c r="J489" t="str">
        <x:v>Medium</x:v>
      </x:c>
      <x:c r="K489" t="n">
        <x:v>48.5</x:v>
      </x:c>
      <x:c r="L489" t="n">
        <x:v>50</x:v>
      </x:c>
      <x:c r="M489" t="n">
        <x:v>43.2</x:v>
      </x:c>
      <x:c r="N489" t="str">
        <x:v>Most Likely</x:v>
      </x:c>
      <x:c r="O489" t="str">
        <x:v>Most Likely</x:v>
      </x:c>
    </x:row>
    <x:row r="490">
      <x:c r="A490" t="str">
        <x:v>PJT_489</x:v>
      </x:c>
      <x:c r="B490" t="n">
        <x:v>54062600</x:v>
      </x:c>
      <x:c r="C490" t="n">
        <x:v>57335434</x:v>
      </x:c>
      <x:c r="D490" t="n">
        <x:v>3272834</x:v>
      </x:c>
      <x:c r="E490" t="n">
        <x:v>0.0605</x:v>
      </x:c>
      <x:c r="F490" t="n">
        <x:v>937</x:v>
      </x:c>
      <x:c r="G490" t="n">
        <x:v>991</x:v>
      </x:c>
      <x:c r="H490" t="n">
        <x:v>54</x:v>
      </x:c>
      <x:c r="I490" t="n">
        <x:v>0.0576</x:v>
      </x:c>
      <x:c r="J490" t="str">
        <x:v>Medium</x:v>
      </x:c>
      <x:c r="K490" t="n">
        <x:v>55.8</x:v>
      </x:c>
      <x:c r="L490" t="n">
        <x:v>56.7</x:v>
      </x:c>
      <x:c r="M490" t="n">
        <x:v>55.2</x:v>
      </x:c>
      <x:c r="N490" t="str">
        <x:v>Most Likely</x:v>
      </x:c>
      <x:c r="O490" t="str">
        <x:v>Most Likely</x:v>
      </x:c>
    </x:row>
    <x:row r="491">
      <x:c r="A491" t="str">
        <x:v>PJT_490</x:v>
      </x:c>
      <x:c r="B491" t="n">
        <x:v>5886420</x:v>
      </x:c>
      <x:c r="C491" t="n">
        <x:v>5445055</x:v>
      </x:c>
      <x:c r="D491" t="n">
        <x:v>-441365</x:v>
      </x:c>
      <x:c r="E491" t="n">
        <x:v>-0.075</x:v>
      </x:c>
      <x:c r="F491" t="n">
        <x:v>180</x:v>
      </x:c>
      <x:c r="G491" t="n">
        <x:v>183</x:v>
      </x:c>
      <x:c r="H491" t="n">
        <x:v>3</x:v>
      </x:c>
      <x:c r="I491" t="n">
        <x:v>0.0167</x:v>
      </x:c>
      <x:c r="J491" t="str">
        <x:v>Low</x:v>
      </x:c>
      <x:c r="K491" t="n">
        <x:v>31.6</x:v>
      </x:c>
      <x:c r="L491" t="n">
        <x:v>35.6</x:v>
      </x:c>
      <x:c r="M491" t="n">
        <x:v>31.1</x:v>
      </x:c>
      <x:c r="N491" t="str">
        <x:v>Optimistic</x:v>
      </x:c>
      <x:c r="O491" t="str">
        <x:v>Most Likely</x:v>
      </x:c>
    </x:row>
    <x:row r="492">
      <x:c r="A492" t="str">
        <x:v>PJT_491</x:v>
      </x:c>
      <x:c r="B492" t="n">
        <x:v>19509300</x:v>
      </x:c>
      <x:c r="C492" t="n">
        <x:v>20047342</x:v>
      </x:c>
      <x:c r="D492" t="n">
        <x:v>538042</x:v>
      </x:c>
      <x:c r="E492" t="n">
        <x:v>0.0276</x:v>
      </x:c>
      <x:c r="F492" t="n">
        <x:v>526</x:v>
      </x:c>
      <x:c r="G492" t="n">
        <x:v>582</x:v>
      </x:c>
      <x:c r="H492" t="n">
        <x:v>56</x:v>
      </x:c>
      <x:c r="I492" t="n">
        <x:v>0.1065</x:v>
      </x:c>
      <x:c r="J492" t="str">
        <x:v>Low</x:v>
      </x:c>
      <x:c r="K492" t="n">
        <x:v>34</x:v>
      </x:c>
      <x:c r="L492" t="n">
        <x:v>33.8</x:v>
      </x:c>
      <x:c r="M492" t="n">
        <x:v>39.4</x:v>
      </x:c>
      <x:c r="N492" t="str">
        <x:v>Most Likely</x:v>
      </x:c>
      <x:c r="O492" t="str">
        <x:v>Pessimistic</x:v>
      </x:c>
    </x:row>
    <x:row r="493">
      <x:c r="A493" t="str">
        <x:v>PJT_492</x:v>
      </x:c>
      <x:c r="B493" t="n">
        <x:v>61039660</x:v>
      </x:c>
      <x:c r="C493" t="n">
        <x:v>64222041</x:v>
      </x:c>
      <x:c r="D493" t="n">
        <x:v>3182381</x:v>
      </x:c>
      <x:c r="E493" t="n">
        <x:v>0.0521</x:v>
      </x:c>
      <x:c r="F493" t="n">
        <x:v>1052</x:v>
      </x:c>
      <x:c r="G493" t="n">
        <x:v>1086</x:v>
      </x:c>
      <x:c r="H493" t="n">
        <x:v>34</x:v>
      </x:c>
      <x:c r="I493" t="n">
        <x:v>0.0323</x:v>
      </x:c>
      <x:c r="J493" t="str">
        <x:v>Medium</x:v>
      </x:c>
      <x:c r="K493" t="n">
        <x:v>51.4</x:v>
      </x:c>
      <x:c r="L493" t="n">
        <x:v>53.7</x:v>
      </x:c>
      <x:c r="M493" t="n">
        <x:v>48.1</x:v>
      </x:c>
      <x:c r="N493" t="str">
        <x:v>Most Likely</x:v>
      </x:c>
      <x:c r="O493" t="str">
        <x:v>Most Likely</x:v>
      </x:c>
    </x:row>
    <x:row r="494">
      <x:c r="A494" t="str">
        <x:v>PJT_493</x:v>
      </x:c>
      <x:c r="B494" t="n">
        <x:v>11936520</x:v>
      </x:c>
      <x:c r="C494" t="n">
        <x:v>12671485</x:v>
      </x:c>
      <x:c r="D494" t="n">
        <x:v>734965</x:v>
      </x:c>
      <x:c r="E494" t="n">
        <x:v>0.0616</x:v>
      </x:c>
      <x:c r="F494" t="n">
        <x:v>268</x:v>
      </x:c>
      <x:c r="G494" t="n">
        <x:v>262</x:v>
      </x:c>
      <x:c r="H494" t="n">
        <x:v>-6</x:v>
      </x:c>
      <x:c r="I494" t="n">
        <x:v>-0.0224</x:v>
      </x:c>
      <x:c r="J494" t="str">
        <x:v>Low</x:v>
      </x:c>
      <x:c r="K494" t="n">
        <x:v>30.4</x:v>
      </x:c>
      <x:c r="L494" t="n">
        <x:v>38.5</x:v>
      </x:c>
      <x:c r="M494" t="n">
        <x:v>31.1</x:v>
      </x:c>
      <x:c r="N494" t="str">
        <x:v>Most Likely</x:v>
      </x:c>
      <x:c r="O494" t="str">
        <x:v>Optimistic</x:v>
      </x:c>
    </x:row>
    <x:row r="495">
      <x:c r="A495" t="str">
        <x:v>PJT_494</x:v>
      </x:c>
      <x:c r="B495" t="n">
        <x:v>51269620</x:v>
      </x:c>
      <x:c r="C495" t="n">
        <x:v>55367850</x:v>
      </x:c>
      <x:c r="D495" t="n">
        <x:v>4098230</x:v>
      </x:c>
      <x:c r="E495" t="n">
        <x:v>0.0799</x:v>
      </x:c>
      <x:c r="F495" t="n">
        <x:v>802</x:v>
      </x:c>
      <x:c r="G495" t="n">
        <x:v>851</x:v>
      </x:c>
      <x:c r="H495" t="n">
        <x:v>49</x:v>
      </x:c>
      <x:c r="I495" t="n">
        <x:v>0.0611</x:v>
      </x:c>
      <x:c r="J495" t="str">
        <x:v>Medium</x:v>
      </x:c>
      <x:c r="K495" t="n">
        <x:v>50.9</x:v>
      </x:c>
      <x:c r="L495" t="n">
        <x:v>51.7</x:v>
      </x:c>
      <x:c r="M495" t="n">
        <x:v>47.5</x:v>
      </x:c>
      <x:c r="N495" t="str">
        <x:v>Most Likely</x:v>
      </x:c>
      <x:c r="O495" t="str">
        <x:v>Most Likely</x:v>
      </x:c>
    </x:row>
    <x:row r="496">
      <x:c r="A496" t="str">
        <x:v>PJT_495</x:v>
      </x:c>
      <x:c r="B496" t="n">
        <x:v>77035500</x:v>
      </x:c>
      <x:c r="C496" t="n">
        <x:v>89980387</x:v>
      </x:c>
      <x:c r="D496" t="n">
        <x:v>12944887</x:v>
      </x:c>
      <x:c r="E496" t="n">
        <x:v>0.168</x:v>
      </x:c>
      <x:c r="F496" t="n">
        <x:v>1416</x:v>
      </x:c>
      <x:c r="G496" t="n">
        <x:v>1482</x:v>
      </x:c>
      <x:c r="H496" t="n">
        <x:v>66</x:v>
      </x:c>
      <x:c r="I496" t="n">
        <x:v>0.0466</x:v>
      </x:c>
      <x:c r="J496" t="str">
        <x:v>Medium</x:v>
      </x:c>
      <x:c r="K496" t="n">
        <x:v>61.9</x:v>
      </x:c>
      <x:c r="L496" t="n">
        <x:v>71.9</x:v>
      </x:c>
      <x:c r="M496" t="n">
        <x:v>61.3</x:v>
      </x:c>
      <x:c r="N496" t="str">
        <x:v>Pessimistic</x:v>
      </x:c>
      <x:c r="O496" t="str">
        <x:v>Most Likely</x:v>
      </x:c>
    </x:row>
    <x:row r="497">
      <x:c r="A497" t="str">
        <x:v>PJT_496</x:v>
      </x:c>
      <x:c r="B497" t="n">
        <x:v>60639680</x:v>
      </x:c>
      <x:c r="C497" t="n">
        <x:v>66449565</x:v>
      </x:c>
      <x:c r="D497" t="n">
        <x:v>5809885</x:v>
      </x:c>
      <x:c r="E497" t="n">
        <x:v>0.0958</x:v>
      </x:c>
      <x:c r="F497" t="n">
        <x:v>1125</x:v>
      </x:c>
      <x:c r="G497" t="n">
        <x:v>1145</x:v>
      </x:c>
      <x:c r="H497" t="n">
        <x:v>20</x:v>
      </x:c>
      <x:c r="I497" t="n">
        <x:v>0.0178</x:v>
      </x:c>
      <x:c r="J497" t="str">
        <x:v>Medium</x:v>
      </x:c>
      <x:c r="K497" t="n">
        <x:v>45.1</x:v>
      </x:c>
      <x:c r="L497" t="n">
        <x:v>49.5</x:v>
      </x:c>
      <x:c r="M497" t="n">
        <x:v>52.4</x:v>
      </x:c>
      <x:c r="N497" t="str">
        <x:v>Most Likely</x:v>
      </x:c>
      <x:c r="O497" t="str">
        <x:v>Most Likely</x:v>
      </x:c>
    </x:row>
    <x:row r="498">
      <x:c r="A498" t="str">
        <x:v>PJT_497</x:v>
      </x:c>
      <x:c r="B498" t="n">
        <x:v>27341160</x:v>
      </x:c>
      <x:c r="C498" t="n">
        <x:v>29136974</x:v>
      </x:c>
      <x:c r="D498" t="n">
        <x:v>1795814</x:v>
      </x:c>
      <x:c r="E498" t="n">
        <x:v>0.0657</x:v>
      </x:c>
      <x:c r="F498" t="n">
        <x:v>654</x:v>
      </x:c>
      <x:c r="G498" t="n">
        <x:v>680</x:v>
      </x:c>
      <x:c r="H498" t="n">
        <x:v>26</x:v>
      </x:c>
      <x:c r="I498" t="n">
        <x:v>0.0398</x:v>
      </x:c>
      <x:c r="J498" t="str">
        <x:v>Medium</x:v>
      </x:c>
      <x:c r="K498" t="n">
        <x:v>47.2</x:v>
      </x:c>
      <x:c r="L498" t="n">
        <x:v>52.5</x:v>
      </x:c>
      <x:c r="M498" t="n">
        <x:v>45.7</x:v>
      </x:c>
      <x:c r="N498" t="str">
        <x:v>Most Likely</x:v>
      </x:c>
      <x:c r="O498" t="str">
        <x:v>Most Likely</x:v>
      </x:c>
    </x:row>
    <x:row r="499">
      <x:c r="A499" t="str">
        <x:v>PJT_498</x:v>
      </x:c>
      <x:c r="B499" t="n">
        <x:v>55015740</x:v>
      </x:c>
      <x:c r="C499" t="n">
        <x:v>60871948</x:v>
      </x:c>
      <x:c r="D499" t="n">
        <x:v>5856208</x:v>
      </x:c>
      <x:c r="E499" t="n">
        <x:v>0.1064</x:v>
      </x:c>
      <x:c r="F499" t="n">
        <x:v>998</x:v>
      </x:c>
      <x:c r="G499" t="n">
        <x:v>1057</x:v>
      </x:c>
      <x:c r="H499" t="n">
        <x:v>59</x:v>
      </x:c>
      <x:c r="I499" t="n">
        <x:v>0.0591</x:v>
      </x:c>
      <x:c r="J499" t="str">
        <x:v>Medium</x:v>
      </x:c>
      <x:c r="K499" t="n">
        <x:v>56</x:v>
      </x:c>
      <x:c r="L499" t="n">
        <x:v>57.7</x:v>
      </x:c>
      <x:c r="M499" t="n">
        <x:v>50.9</x:v>
      </x:c>
      <x:c r="N499" t="str">
        <x:v>Pessimistic</x:v>
      </x:c>
      <x:c r="O499" t="str">
        <x:v>Most Likely</x:v>
      </x:c>
    </x:row>
    <x:row r="500">
      <x:c r="A500" t="str">
        <x:v>PJT_499</x:v>
      </x:c>
      <x:c r="B500" t="n">
        <x:v>70756560</x:v>
      </x:c>
      <x:c r="C500" t="n">
        <x:v>75509410</x:v>
      </x:c>
      <x:c r="D500" t="n">
        <x:v>4752850</x:v>
      </x:c>
      <x:c r="E500" t="n">
        <x:v>0.0672</x:v>
      </x:c>
      <x:c r="F500" t="n">
        <x:v>1196</x:v>
      </x:c>
      <x:c r="G500" t="n">
        <x:v>1226</x:v>
      </x:c>
      <x:c r="H500" t="n">
        <x:v>30</x:v>
      </x:c>
      <x:c r="I500" t="n">
        <x:v>0.0251</x:v>
      </x:c>
      <x:c r="J500" t="str">
        <x:v>Medium</x:v>
      </x:c>
      <x:c r="K500" t="n">
        <x:v>56.5</x:v>
      </x:c>
      <x:c r="L500" t="n">
        <x:v>56.4</x:v>
      </x:c>
      <x:c r="M500" t="n">
        <x:v>47</x:v>
      </x:c>
      <x:c r="N500" t="str">
        <x:v>Most Likely</x:v>
      </x:c>
      <x:c r="O500" t="str">
        <x:v>Most Likely</x:v>
      </x:c>
    </x:row>
    <x:row r="501">
      <x:c r="A501" t="str">
        <x:v>PJT_500</x:v>
      </x:c>
      <x:c r="B501" t="n">
        <x:v>67286400</x:v>
      </x:c>
      <x:c r="C501" t="n">
        <x:v>72195559</x:v>
      </x:c>
      <x:c r="D501" t="n">
        <x:v>4909159</x:v>
      </x:c>
      <x:c r="E501" t="n">
        <x:v>0.073</x:v>
      </x:c>
      <x:c r="F501" t="n">
        <x:v>1335</x:v>
      </x:c>
      <x:c r="G501" t="n">
        <x:v>1405</x:v>
      </x:c>
      <x:c r="H501" t="n">
        <x:v>70</x:v>
      </x:c>
      <x:c r="I501" t="n">
        <x:v>0.0524</x:v>
      </x:c>
      <x:c r="J501" t="str">
        <x:v>Medium</x:v>
      </x:c>
      <x:c r="K501" t="n">
        <x:v>61.3</x:v>
      </x:c>
      <x:c r="L501" t="n">
        <x:v>62.2</x:v>
      </x:c>
      <x:c r="M501" t="n">
        <x:v>53.5</x:v>
      </x:c>
      <x:c r="N501" t="str">
        <x:v>Most Likely</x:v>
      </x:c>
      <x:c r="O501" t="str">
        <x:v>Most Likely</x:v>
      </x:c>
    </x:row>
    <x:row r="502">
      <x:c r="A502" t="str">
        <x:v>PJT_501</x:v>
      </x:c>
      <x:c r="B502" t="n">
        <x:v>8741400</x:v>
      </x:c>
      <x:c r="C502" t="n">
        <x:v>8575731</x:v>
      </x:c>
      <x:c r="D502" t="n">
        <x:v>-165669</x:v>
      </x:c>
      <x:c r="E502" t="n">
        <x:v>-0.019</x:v>
      </x:c>
      <x:c r="F502" t="n">
        <x:v>180</x:v>
      </x:c>
      <x:c r="G502" t="n">
        <x:v>183</x:v>
      </x:c>
      <x:c r="H502" t="n">
        <x:v>3</x:v>
      </x:c>
      <x:c r="I502" t="n">
        <x:v>0.0167</x:v>
      </x:c>
      <x:c r="J502" t="str">
        <x:v>Low</x:v>
      </x:c>
      <x:c r="K502" t="n">
        <x:v>35.6</x:v>
      </x:c>
      <x:c r="L502" t="n">
        <x:v>35.1</x:v>
      </x:c>
      <x:c r="M502" t="n">
        <x:v>36.9</x:v>
      </x:c>
      <x:c r="N502" t="str">
        <x:v>Optimistic</x:v>
      </x:c>
      <x:c r="O502" t="str">
        <x:v>Most Likely</x:v>
      </x:c>
    </x:row>
    <x:row r="503">
      <x:c r="A503" t="str">
        <x:v>PJT_502</x:v>
      </x:c>
      <x:c r="B503" t="n">
        <x:v>26186240</x:v>
      </x:c>
      <x:c r="C503" t="n">
        <x:v>24868265</x:v>
      </x:c>
      <x:c r="D503" t="n">
        <x:v>-1317975</x:v>
      </x:c>
      <x:c r="E503" t="n">
        <x:v>-0.0503</x:v>
      </x:c>
      <x:c r="F503" t="n">
        <x:v>605</x:v>
      </x:c>
      <x:c r="G503" t="n">
        <x:v>574</x:v>
      </x:c>
      <x:c r="H503" t="n">
        <x:v>-31</x:v>
      </x:c>
      <x:c r="I503" t="n">
        <x:v>-0.0512</x:v>
      </x:c>
      <x:c r="J503" t="str">
        <x:v>Low</x:v>
      </x:c>
      <x:c r="K503" t="n">
        <x:v>37</x:v>
      </x:c>
      <x:c r="L503" t="n">
        <x:v>37.4</x:v>
      </x:c>
      <x:c r="M503" t="n">
        <x:v>37.3</x:v>
      </x:c>
      <x:c r="N503" t="str">
        <x:v>Optimistic</x:v>
      </x:c>
      <x:c r="O503" t="str">
        <x:v>Optimistic</x:v>
      </x:c>
    </x:row>
    <x:row r="504">
      <x:c r="A504" t="str">
        <x:v>PJT_503</x:v>
      </x:c>
      <x:c r="B504" t="n">
        <x:v>31361080</x:v>
      </x:c>
      <x:c r="C504" t="n">
        <x:v>31209423</x:v>
      </x:c>
      <x:c r="D504" t="n">
        <x:v>-151657</x:v>
      </x:c>
      <x:c r="E504" t="n">
        <x:v>-0.0048</x:v>
      </x:c>
      <x:c r="F504" t="n">
        <x:v>582</x:v>
      </x:c>
      <x:c r="G504" t="n">
        <x:v>631</x:v>
      </x:c>
      <x:c r="H504" t="n">
        <x:v>49</x:v>
      </x:c>
      <x:c r="I504" t="n">
        <x:v>0.0842</x:v>
      </x:c>
      <x:c r="J504" t="str">
        <x:v>Low</x:v>
      </x:c>
      <x:c r="K504" t="n">
        <x:v>44</x:v>
      </x:c>
      <x:c r="L504" t="n">
        <x:v>48.3</x:v>
      </x:c>
      <x:c r="M504" t="n">
        <x:v>44.4</x:v>
      </x:c>
      <x:c r="N504" t="str">
        <x:v>Optimistic</x:v>
      </x:c>
      <x:c r="O504" t="str">
        <x:v>Most Likely</x:v>
      </x:c>
    </x:row>
    <x:row r="505">
      <x:c r="A505" t="str">
        <x:v>PJT_504</x:v>
      </x:c>
      <x:c r="B505" t="n">
        <x:v>31691880</x:v>
      </x:c>
      <x:c r="C505" t="n">
        <x:v>31729642</x:v>
      </x:c>
      <x:c r="D505" t="n">
        <x:v>37762</x:v>
      </x:c>
      <x:c r="E505" t="n">
        <x:v>0.0012</x:v>
      </x:c>
      <x:c r="F505" t="n">
        <x:v>563</x:v>
      </x:c>
      <x:c r="G505" t="n">
        <x:v>558</x:v>
      </x:c>
      <x:c r="H505" t="n">
        <x:v>-5</x:v>
      </x:c>
      <x:c r="I505" t="n">
        <x:v>-0.0089</x:v>
      </x:c>
      <x:c r="J505" t="str">
        <x:v>Low</x:v>
      </x:c>
      <x:c r="K505" t="n">
        <x:v>38.8</x:v>
      </x:c>
      <x:c r="L505" t="n">
        <x:v>46.3</x:v>
      </x:c>
      <x:c r="M505" t="n">
        <x:v>39.1</x:v>
      </x:c>
      <x:c r="N505" t="str">
        <x:v>Most Likely</x:v>
      </x:c>
      <x:c r="O505" t="str">
        <x:v>Optimistic</x:v>
      </x:c>
    </x:row>
    <x:row r="506">
      <x:c r="A506" t="str">
        <x:v>PJT_505</x:v>
      </x:c>
      <x:c r="B506" t="n">
        <x:v>40398420</x:v>
      </x:c>
      <x:c r="C506" t="n">
        <x:v>42868703</x:v>
      </x:c>
      <x:c r="D506" t="n">
        <x:v>2470283</x:v>
      </x:c>
      <x:c r="E506" t="n">
        <x:v>0.0611</x:v>
      </x:c>
      <x:c r="F506" t="n">
        <x:v>715</x:v>
      </x:c>
      <x:c r="G506" t="n">
        <x:v>759</x:v>
      </x:c>
      <x:c r="H506" t="n">
        <x:v>44</x:v>
      </x:c>
      <x:c r="I506" t="n">
        <x:v>0.0615</x:v>
      </x:c>
      <x:c r="J506" t="str">
        <x:v>Medium</x:v>
      </x:c>
      <x:c r="K506" t="n">
        <x:v>56</x:v>
      </x:c>
      <x:c r="L506" t="n">
        <x:v>58.5</x:v>
      </x:c>
      <x:c r="M506" t="n">
        <x:v>52.8</x:v>
      </x:c>
      <x:c r="N506" t="str">
        <x:v>Most Likely</x:v>
      </x:c>
      <x:c r="O506" t="str">
        <x:v>Most Likely</x:v>
      </x:c>
    </x:row>
    <x:row r="507">
      <x:c r="A507" t="str">
        <x:v>PJT_506</x:v>
      </x:c>
      <x:c r="B507" t="n">
        <x:v>44793450</x:v>
      </x:c>
      <x:c r="C507" t="n">
        <x:v>43748698</x:v>
      </x:c>
      <x:c r="D507" t="n">
        <x:v>-1044752</x:v>
      </x:c>
      <x:c r="E507" t="n">
        <x:v>-0.0233</x:v>
      </x:c>
      <x:c r="F507" t="n">
        <x:v>654</x:v>
      </x:c>
      <x:c r="G507" t="n">
        <x:v>716</x:v>
      </x:c>
      <x:c r="H507" t="n">
        <x:v>62</x:v>
      </x:c>
      <x:c r="I507" t="n">
        <x:v>0.0948</x:v>
      </x:c>
      <x:c r="J507" t="str">
        <x:v>Medium</x:v>
      </x:c>
      <x:c r="K507" t="n">
        <x:v>50.4</x:v>
      </x:c>
      <x:c r="L507" t="n">
        <x:v>56.5</x:v>
      </x:c>
      <x:c r="M507" t="n">
        <x:v>55.2</x:v>
      </x:c>
      <x:c r="N507" t="str">
        <x:v>Optimistic</x:v>
      </x:c>
      <x:c r="O507" t="str">
        <x:v>Most Likely</x:v>
      </x:c>
    </x:row>
    <x:row r="508">
      <x:c r="A508" t="str">
        <x:v>PJT_507</x:v>
      </x:c>
      <x:c r="B508" t="n">
        <x:v>22075200</x:v>
      </x:c>
      <x:c r="C508" t="n">
        <x:v>22691482</x:v>
      </x:c>
      <x:c r="D508" t="n">
        <x:v>616282</x:v>
      </x:c>
      <x:c r="E508" t="n">
        <x:v>0.0279</x:v>
      </x:c>
      <x:c r="F508" t="n">
        <x:v>394</x:v>
      </x:c>
      <x:c r="G508" t="n">
        <x:v>412</x:v>
      </x:c>
      <x:c r="H508" t="n">
        <x:v>18</x:v>
      </x:c>
      <x:c r="I508" t="n">
        <x:v>0.0457</x:v>
      </x:c>
      <x:c r="J508" t="str">
        <x:v>Medium</x:v>
      </x:c>
      <x:c r="K508" t="n">
        <x:v>45.3</x:v>
      </x:c>
      <x:c r="L508" t="n">
        <x:v>47.7</x:v>
      </x:c>
      <x:c r="M508" t="n">
        <x:v>42.2</x:v>
      </x:c>
      <x:c r="N508" t="str">
        <x:v>Most Likely</x:v>
      </x:c>
      <x:c r="O508" t="str">
        <x:v>Most Likely</x:v>
      </x:c>
    </x:row>
    <x:row r="509">
      <x:c r="A509" t="str">
        <x:v>PJT_508</x:v>
      </x:c>
      <x:c r="B509" t="n">
        <x:v>55229850</x:v>
      </x:c>
      <x:c r="C509" t="n">
        <x:v>59590882</x:v>
      </x:c>
      <x:c r="D509" t="n">
        <x:v>4361032</x:v>
      </x:c>
      <x:c r="E509" t="n">
        <x:v>0.079</x:v>
      </x:c>
      <x:c r="F509" t="n">
        <x:v>913</x:v>
      </x:c>
      <x:c r="G509" t="n">
        <x:v>915</x:v>
      </x:c>
      <x:c r="H509" t="n">
        <x:v>2</x:v>
      </x:c>
      <x:c r="I509" t="n">
        <x:v>0.0022</x:v>
      </x:c>
      <x:c r="J509" t="str">
        <x:v>Medium</x:v>
      </x:c>
      <x:c r="K509" t="n">
        <x:v>61.3</x:v>
      </x:c>
      <x:c r="L509" t="n">
        <x:v>63.7</x:v>
      </x:c>
      <x:c r="M509" t="n">
        <x:v>62.3</x:v>
      </x:c>
      <x:c r="N509" t="str">
        <x:v>Most Likely</x:v>
      </x:c>
      <x:c r="O509" t="str">
        <x:v>Most Likely</x:v>
      </x:c>
    </x:row>
    <x:row r="510">
      <x:c r="A510" t="str">
        <x:v>PJT_509</x:v>
      </x:c>
      <x:c r="B510" t="n">
        <x:v>64760300</x:v>
      </x:c>
      <x:c r="C510" t="n">
        <x:v>70006954</x:v>
      </x:c>
      <x:c r="D510" t="n">
        <x:v>5246654</x:v>
      </x:c>
      <x:c r="E510" t="n">
        <x:v>0.081</x:v>
      </x:c>
      <x:c r="F510" t="n">
        <x:v>1303</x:v>
      </x:c>
      <x:c r="G510" t="n">
        <x:v>1383</x:v>
      </x:c>
      <x:c r="H510" t="n">
        <x:v>80</x:v>
      </x:c>
      <x:c r="I510" t="n">
        <x:v>0.0614</x:v>
      </x:c>
      <x:c r="J510" t="str">
        <x:v>Medium</x:v>
      </x:c>
      <x:c r="K510" t="n">
        <x:v>55.1</x:v>
      </x:c>
      <x:c r="L510" t="n">
        <x:v>53.5</x:v>
      </x:c>
      <x:c r="M510" t="n">
        <x:v>55.6</x:v>
      </x:c>
      <x:c r="N510" t="str">
        <x:v>Most Likely</x:v>
      </x:c>
      <x:c r="O510" t="str">
        <x:v>Most Likely</x:v>
      </x:c>
    </x:row>
    <x:row r="511">
      <x:c r="A511" t="str">
        <x:v>PJT_510</x:v>
      </x:c>
      <x:c r="B511" t="n">
        <x:v>58988480</x:v>
      </x:c>
      <x:c r="C511" t="n">
        <x:v>62046988</x:v>
      </x:c>
      <x:c r="D511" t="n">
        <x:v>3058508</x:v>
      </x:c>
      <x:c r="E511" t="n">
        <x:v>0.0518</x:v>
      </x:c>
      <x:c r="F511" t="n">
        <x:v>1142</x:v>
      </x:c>
      <x:c r="G511" t="n">
        <x:v>1138</x:v>
      </x:c>
      <x:c r="H511" t="n">
        <x:v>-4</x:v>
      </x:c>
      <x:c r="I511" t="n">
        <x:v>-0.0035</x:v>
      </x:c>
      <x:c r="J511" t="str">
        <x:v>Medium</x:v>
      </x:c>
      <x:c r="K511" t="n">
        <x:v>51.2</x:v>
      </x:c>
      <x:c r="L511" t="n">
        <x:v>52.7</x:v>
      </x:c>
      <x:c r="M511" t="n">
        <x:v>55.2</x:v>
      </x:c>
      <x:c r="N511" t="str">
        <x:v>Most Likely</x:v>
      </x:c>
      <x:c r="O511" t="str">
        <x:v>Optimistic</x:v>
      </x:c>
    </x:row>
    <x:row r="512">
      <x:c r="A512" t="str">
        <x:v>PJT_511</x:v>
      </x:c>
      <x:c r="B512" t="n">
        <x:v>44919000</x:v>
      </x:c>
      <x:c r="C512" t="n">
        <x:v>49126744</x:v>
      </x:c>
      <x:c r="D512" t="n">
        <x:v>4207744</x:v>
      </x:c>
      <x:c r="E512" t="n">
        <x:v>0.0937</x:v>
      </x:c>
      <x:c r="F512" t="n">
        <x:v>854</x:v>
      </x:c>
      <x:c r="G512" t="n">
        <x:v>851</x:v>
      </x:c>
      <x:c r="H512" t="n">
        <x:v>-3</x:v>
      </x:c>
      <x:c r="I512" t="n">
        <x:v>-0.0035</x:v>
      </x:c>
      <x:c r="J512" t="str">
        <x:v>Medium</x:v>
      </x:c>
      <x:c r="K512" t="n">
        <x:v>50.3</x:v>
      </x:c>
      <x:c r="L512" t="n">
        <x:v>54.5</x:v>
      </x:c>
      <x:c r="M512" t="n">
        <x:v>47.9</x:v>
      </x:c>
      <x:c r="N512" t="str">
        <x:v>Most Likely</x:v>
      </x:c>
      <x:c r="O512" t="str">
        <x:v>Optimistic</x:v>
      </x:c>
    </x:row>
    <x:row r="513">
      <x:c r="A513" t="str">
        <x:v>PJT_512</x:v>
      </x:c>
      <x:c r="B513" t="n">
        <x:v>58406480</x:v>
      </x:c>
      <x:c r="C513" t="n">
        <x:v>62854678</x:v>
      </x:c>
      <x:c r="D513" t="n">
        <x:v>4448198</x:v>
      </x:c>
      <x:c r="E513" t="n">
        <x:v>0.0762</x:v>
      </x:c>
      <x:c r="F513" t="n">
        <x:v>1030</x:v>
      </x:c>
      <x:c r="G513" t="n">
        <x:v>1049</x:v>
      </x:c>
      <x:c r="H513" t="n">
        <x:v>19</x:v>
      </x:c>
      <x:c r="I513" t="n">
        <x:v>0.0184</x:v>
      </x:c>
      <x:c r="J513" t="str">
        <x:v>Medium</x:v>
      </x:c>
      <x:c r="K513" t="n">
        <x:v>54.7</x:v>
      </x:c>
      <x:c r="L513" t="n">
        <x:v>52.5</x:v>
      </x:c>
      <x:c r="M513" t="n">
        <x:v>46.9</x:v>
      </x:c>
      <x:c r="N513" t="str">
        <x:v>Most Likely</x:v>
      </x:c>
      <x:c r="O513" t="str">
        <x:v>Most Likely</x:v>
      </x:c>
    </x:row>
    <x:row r="514">
      <x:c r="A514" t="str">
        <x:v>PJT_513</x:v>
      </x:c>
      <x:c r="B514" t="n">
        <x:v>47090550</x:v>
      </x:c>
      <x:c r="C514" t="n">
        <x:v>50450097</x:v>
      </x:c>
      <x:c r="D514" t="n">
        <x:v>3359547</x:v>
      </x:c>
      <x:c r="E514" t="n">
        <x:v>0.0713</x:v>
      </x:c>
      <x:c r="F514" t="n">
        <x:v>707</x:v>
      </x:c>
      <x:c r="G514" t="n">
        <x:v>726</x:v>
      </x:c>
      <x:c r="H514" t="n">
        <x:v>19</x:v>
      </x:c>
      <x:c r="I514" t="n">
        <x:v>0.0269</x:v>
      </x:c>
      <x:c r="J514" t="str">
        <x:v>Low</x:v>
      </x:c>
      <x:c r="K514" t="n">
        <x:v>41.9</x:v>
      </x:c>
      <x:c r="L514" t="n">
        <x:v>47.6</x:v>
      </x:c>
      <x:c r="M514" t="n">
        <x:v>45</x:v>
      </x:c>
      <x:c r="N514" t="str">
        <x:v>Most Likely</x:v>
      </x:c>
      <x:c r="O514" t="str">
        <x:v>Most Likely</x:v>
      </x:c>
    </x:row>
    <x:row r="515">
      <x:c r="A515" t="str">
        <x:v>PJT_514</x:v>
      </x:c>
      <x:c r="B515" t="n">
        <x:v>31809420</x:v>
      </x:c>
      <x:c r="C515" t="n">
        <x:v>33647303</x:v>
      </x:c>
      <x:c r="D515" t="n">
        <x:v>1837883</x:v>
      </x:c>
      <x:c r="E515" t="n">
        <x:v>0.0578</x:v>
      </x:c>
      <x:c r="F515" t="n">
        <x:v>665</x:v>
      </x:c>
      <x:c r="G515" t="n">
        <x:v>747</x:v>
      </x:c>
      <x:c r="H515" t="n">
        <x:v>82</x:v>
      </x:c>
      <x:c r="I515" t="n">
        <x:v>0.1233</x:v>
      </x:c>
      <x:c r="J515" t="str">
        <x:v>Medium</x:v>
      </x:c>
      <x:c r="K515" t="n">
        <x:v>48.3</x:v>
      </x:c>
      <x:c r="L515" t="n">
        <x:v>43.2</x:v>
      </x:c>
      <x:c r="M515" t="n">
        <x:v>53.3</x:v>
      </x:c>
      <x:c r="N515" t="str">
        <x:v>Most Likely</x:v>
      </x:c>
      <x:c r="O515" t="str">
        <x:v>Pessimistic</x:v>
      </x:c>
    </x:row>
    <x:row r="516">
      <x:c r="A516" t="str">
        <x:v>PJT_515</x:v>
      </x:c>
      <x:c r="B516" t="n">
        <x:v>12238520</x:v>
      </x:c>
      <x:c r="C516" t="n">
        <x:v>12088509</x:v>
      </x:c>
      <x:c r="D516" t="n">
        <x:v>-150011</x:v>
      </x:c>
      <x:c r="E516" t="n">
        <x:v>-0.0123</x:v>
      </x:c>
      <x:c r="F516" t="n">
        <x:v>231</x:v>
      </x:c>
      <x:c r="G516" t="n">
        <x:v>232</x:v>
      </x:c>
      <x:c r="H516" t="n">
        <x:v>1</x:v>
      </x:c>
      <x:c r="I516" t="n">
        <x:v>0.0043</x:v>
      </x:c>
      <x:c r="J516" t="str">
        <x:v>Low</x:v>
      </x:c>
      <x:c r="K516" t="n">
        <x:v>25.4</x:v>
      </x:c>
      <x:c r="L516" t="n">
        <x:v>30.9</x:v>
      </x:c>
      <x:c r="M516" t="n">
        <x:v>23.6</x:v>
      </x:c>
      <x:c r="N516" t="str">
        <x:v>Optimistic</x:v>
      </x:c>
      <x:c r="O516" t="str">
        <x:v>Most Likely</x:v>
      </x:c>
    </x:row>
    <x:row r="517">
      <x:c r="A517" t="str">
        <x:v>PJT_516</x:v>
      </x:c>
      <x:c r="B517" t="n">
        <x:v>75137960</x:v>
      </x:c>
      <x:c r="C517" t="n">
        <x:v>77503442</x:v>
      </x:c>
      <x:c r="D517" t="n">
        <x:v>2365482</x:v>
      </x:c>
      <x:c r="E517" t="n">
        <x:v>0.0315</x:v>
      </x:c>
      <x:c r="F517" t="n">
        <x:v>1187</x:v>
      </x:c>
      <x:c r="G517" t="n">
        <x:v>1260</x:v>
      </x:c>
      <x:c r="H517" t="n">
        <x:v>73</x:v>
      </x:c>
      <x:c r="I517" t="n">
        <x:v>0.0615</x:v>
      </x:c>
      <x:c r="J517" t="str">
        <x:v>Medium</x:v>
      </x:c>
      <x:c r="K517" t="n">
        <x:v>54.4</x:v>
      </x:c>
      <x:c r="L517" t="n">
        <x:v>57.3</x:v>
      </x:c>
      <x:c r="M517" t="n">
        <x:v>51.9</x:v>
      </x:c>
      <x:c r="N517" t="str">
        <x:v>Most Likely</x:v>
      </x:c>
      <x:c r="O517" t="str">
        <x:v>Most Likely</x:v>
      </x:c>
    </x:row>
    <x:row r="518">
      <x:c r="A518" t="str">
        <x:v>PJT_517</x:v>
      </x:c>
      <x:c r="B518" t="n">
        <x:v>18949490</x:v>
      </x:c>
      <x:c r="C518" t="n">
        <x:v>19883377</x:v>
      </x:c>
      <x:c r="D518" t="n">
        <x:v>933887</x:v>
      </x:c>
      <x:c r="E518" t="n">
        <x:v>0.0493</x:v>
      </x:c>
      <x:c r="F518" t="n">
        <x:v>415</x:v>
      </x:c>
      <x:c r="G518" t="n">
        <x:v>441</x:v>
      </x:c>
      <x:c r="H518" t="n">
        <x:v>26</x:v>
      </x:c>
      <x:c r="I518" t="n">
        <x:v>0.0627</x:v>
      </x:c>
      <x:c r="J518" t="str">
        <x:v>Medium</x:v>
      </x:c>
      <x:c r="K518" t="n">
        <x:v>46.4</x:v>
      </x:c>
      <x:c r="L518" t="n">
        <x:v>44.9</x:v>
      </x:c>
      <x:c r="M518" t="n">
        <x:v>39.3</x:v>
      </x:c>
      <x:c r="N518" t="str">
        <x:v>Most Likely</x:v>
      </x:c>
      <x:c r="O518" t="str">
        <x:v>Most Likely</x:v>
      </x:c>
    </x:row>
    <x:row r="519">
      <x:c r="A519" t="str">
        <x:v>PJT_518</x:v>
      </x:c>
      <x:c r="B519" t="n">
        <x:v>8872460</x:v>
      </x:c>
      <x:c r="C519" t="n">
        <x:v>8690977</x:v>
      </x:c>
      <x:c r="D519" t="n">
        <x:v>-181483</x:v>
      </x:c>
      <x:c r="E519" t="n">
        <x:v>-0.0205</x:v>
      </x:c>
      <x:c r="F519" t="n">
        <x:v>180</x:v>
      </x:c>
      <x:c r="G519" t="n">
        <x:v>178</x:v>
      </x:c>
      <x:c r="H519" t="n">
        <x:v>-2</x:v>
      </x:c>
      <x:c r="I519" t="n">
        <x:v>-0.0111</x:v>
      </x:c>
      <x:c r="J519" t="str">
        <x:v>Low</x:v>
      </x:c>
      <x:c r="K519" t="n">
        <x:v>24</x:v>
      </x:c>
      <x:c r="L519" t="n">
        <x:v>23.8</x:v>
      </x:c>
      <x:c r="M519" t="n">
        <x:v>22</x:v>
      </x:c>
      <x:c r="N519" t="str">
        <x:v>Optimistic</x:v>
      </x:c>
      <x:c r="O519" t="str">
        <x:v>Optimistic</x:v>
      </x:c>
    </x:row>
    <x:row r="520">
      <x:c r="A520" t="str">
        <x:v>PJT_519</x:v>
      </x:c>
      <x:c r="B520" t="n">
        <x:v>43886240</x:v>
      </x:c>
      <x:c r="C520" t="n">
        <x:v>45846422</x:v>
      </x:c>
      <x:c r="D520" t="n">
        <x:v>1960182</x:v>
      </x:c>
      <x:c r="E520" t="n">
        <x:v>0.0447</x:v>
      </x:c>
      <x:c r="F520" t="n">
        <x:v>827</x:v>
      </x:c>
      <x:c r="G520" t="n">
        <x:v>879</x:v>
      </x:c>
      <x:c r="H520" t="n">
        <x:v>52</x:v>
      </x:c>
      <x:c r="I520" t="n">
        <x:v>0.0629</x:v>
      </x:c>
      <x:c r="J520" t="str">
        <x:v>Medium</x:v>
      </x:c>
      <x:c r="K520" t="n">
        <x:v>57.4</x:v>
      </x:c>
      <x:c r="L520" t="n">
        <x:v>59.7</x:v>
      </x:c>
      <x:c r="M520" t="n">
        <x:v>53.3</x:v>
      </x:c>
      <x:c r="N520" t="str">
        <x:v>Most Likely</x:v>
      </x:c>
      <x:c r="O520" t="str">
        <x:v>Most Likely</x:v>
      </x:c>
    </x:row>
    <x:row r="521">
      <x:c r="A521" t="str">
        <x:v>PJT_520</x:v>
      </x:c>
      <x:c r="B521" t="n">
        <x:v>22232720</x:v>
      </x:c>
      <x:c r="C521" t="n">
        <x:v>23126083</x:v>
      </x:c>
      <x:c r="D521" t="n">
        <x:v>893363</x:v>
      </x:c>
      <x:c r="E521" t="n">
        <x:v>0.0402</x:v>
      </x:c>
      <x:c r="F521" t="n">
        <x:v>391</x:v>
      </x:c>
      <x:c r="G521" t="n">
        <x:v>414</x:v>
      </x:c>
      <x:c r="H521" t="n">
        <x:v>23</x:v>
      </x:c>
      <x:c r="I521" t="n">
        <x:v>0.0588</x:v>
      </x:c>
      <x:c r="J521" t="str">
        <x:v>Medium</x:v>
      </x:c>
      <x:c r="K521" t="n">
        <x:v>49</x:v>
      </x:c>
      <x:c r="L521" t="n">
        <x:v>49</x:v>
      </x:c>
      <x:c r="M521" t="n">
        <x:v>43.2</x:v>
      </x:c>
      <x:c r="N521" t="str">
        <x:v>Most Likely</x:v>
      </x:c>
      <x:c r="O521" t="str">
        <x:v>Most Likely</x:v>
      </x:c>
    </x:row>
    <x:row r="522">
      <x:c r="A522" t="str">
        <x:v>PJT_521</x:v>
      </x:c>
      <x:c r="B522" t="n">
        <x:v>5336000</x:v>
      </x:c>
      <x:c r="C522" t="n">
        <x:v>5072069</x:v>
      </x:c>
      <x:c r="D522" t="n">
        <x:v>-263931</x:v>
      </x:c>
      <x:c r="E522" t="n">
        <x:v>-0.0495</x:v>
      </x:c>
      <x:c r="F522" t="n">
        <x:v>180</x:v>
      </x:c>
      <x:c r="G522" t="n">
        <x:v>182</x:v>
      </x:c>
      <x:c r="H522" t="n">
        <x:v>2</x:v>
      </x:c>
      <x:c r="I522" t="n">
        <x:v>0.0111</x:v>
      </x:c>
      <x:c r="J522" t="str">
        <x:v>Low</x:v>
      </x:c>
      <x:c r="K522" t="n">
        <x:v>24</x:v>
      </x:c>
      <x:c r="L522" t="n">
        <x:v>23.3</x:v>
      </x:c>
      <x:c r="M522" t="n">
        <x:v>22.3</x:v>
      </x:c>
      <x:c r="N522" t="str">
        <x:v>Optimistic</x:v>
      </x:c>
      <x:c r="O522" t="str">
        <x:v>Most Likely</x:v>
      </x:c>
    </x:row>
    <x:row r="523">
      <x:c r="A523" t="str">
        <x:v>PJT_522</x:v>
      </x:c>
      <x:c r="B523" t="n">
        <x:v>34154400</x:v>
      </x:c>
      <x:c r="C523" t="n">
        <x:v>33835064</x:v>
      </x:c>
      <x:c r="D523" t="n">
        <x:v>-319336</x:v>
      </x:c>
      <x:c r="E523" t="n">
        <x:v>-0.0093</x:v>
      </x:c>
      <x:c r="F523" t="n">
        <x:v>808</x:v>
      </x:c>
      <x:c r="G523" t="n">
        <x:v>824</x:v>
      </x:c>
      <x:c r="H523" t="n">
        <x:v>16</x:v>
      </x:c>
      <x:c r="I523" t="n">
        <x:v>0.0198</x:v>
      </x:c>
      <x:c r="J523" t="str">
        <x:v>Low</x:v>
      </x:c>
      <x:c r="K523" t="n">
        <x:v>42.1</x:v>
      </x:c>
      <x:c r="L523" t="n">
        <x:v>48.5</x:v>
      </x:c>
      <x:c r="M523" t="n">
        <x:v>43.9</x:v>
      </x:c>
      <x:c r="N523" t="str">
        <x:v>Optimistic</x:v>
      </x:c>
      <x:c r="O523" t="str">
        <x:v>Most Likely</x:v>
      </x:c>
    </x:row>
    <x:row r="524">
      <x:c r="A524" t="str">
        <x:v>PJT_523</x:v>
      </x:c>
      <x:c r="B524" t="n">
        <x:v>72380140</x:v>
      </x:c>
      <x:c r="C524" t="n">
        <x:v>77464494</x:v>
      </x:c>
      <x:c r="D524" t="n">
        <x:v>5084354</x:v>
      </x:c>
      <x:c r="E524" t="n">
        <x:v>0.0702</x:v>
      </x:c>
      <x:c r="F524" t="n">
        <x:v>1207</x:v>
      </x:c>
      <x:c r="G524" t="n">
        <x:v>1378</x:v>
      </x:c>
      <x:c r="H524" t="n">
        <x:v>171</x:v>
      </x:c>
      <x:c r="I524" t="n">
        <x:v>0.1417</x:v>
      </x:c>
      <x:c r="J524" t="str">
        <x:v>Medium</x:v>
      </x:c>
      <x:c r="K524" t="n">
        <x:v>62.2</x:v>
      </x:c>
      <x:c r="L524" t="n">
        <x:v>62.9</x:v>
      </x:c>
      <x:c r="M524" t="n">
        <x:v>66.1</x:v>
      </x:c>
      <x:c r="N524" t="str">
        <x:v>Most Likely</x:v>
      </x:c>
      <x:c r="O524" t="str">
        <x:v>Pessimistic</x:v>
      </x:c>
    </x:row>
    <x:row r="525">
      <x:c r="A525" t="str">
        <x:v>PJT_524</x:v>
      </x:c>
      <x:c r="B525" t="n">
        <x:v>78977040</x:v>
      </x:c>
      <x:c r="C525" t="n">
        <x:v>84941683</x:v>
      </x:c>
      <x:c r="D525" t="n">
        <x:v>5964643</x:v>
      </x:c>
      <x:c r="E525" t="n">
        <x:v>0.0755</x:v>
      </x:c>
      <x:c r="F525" t="n">
        <x:v>1485</x:v>
      </x:c>
      <x:c r="G525" t="n">
        <x:v>1676</x:v>
      </x:c>
      <x:c r="H525" t="n">
        <x:v>191</x:v>
      </x:c>
      <x:c r="I525" t="n">
        <x:v>0.1286</x:v>
      </x:c>
      <x:c r="J525" t="str">
        <x:v>Medium</x:v>
      </x:c>
      <x:c r="K525" t="n">
        <x:v>50.5</x:v>
      </x:c>
      <x:c r="L525" t="n">
        <x:v>56</x:v>
      </x:c>
      <x:c r="M525" t="n">
        <x:v>59.5</x:v>
      </x:c>
      <x:c r="N525" t="str">
        <x:v>Most Likely</x:v>
      </x:c>
      <x:c r="O525" t="str">
        <x:v>Pessimistic</x:v>
      </x:c>
    </x:row>
    <x:row r="526">
      <x:c r="A526" t="str">
        <x:v>PJT_525</x:v>
      </x:c>
      <x:c r="B526" t="n">
        <x:v>17653530</x:v>
      </x:c>
      <x:c r="C526" t="n">
        <x:v>18906158</x:v>
      </x:c>
      <x:c r="D526" t="n">
        <x:v>1252628</x:v>
      </x:c>
      <x:c r="E526" t="n">
        <x:v>0.071</x:v>
      </x:c>
      <x:c r="F526" t="n">
        <x:v>435</x:v>
      </x:c>
      <x:c r="G526" t="n">
        <x:v>450</x:v>
      </x:c>
      <x:c r="H526" t="n">
        <x:v>15</x:v>
      </x:c>
      <x:c r="I526" t="n">
        <x:v>0.0345</x:v>
      </x:c>
      <x:c r="J526" t="str">
        <x:v>Medium</x:v>
      </x:c>
      <x:c r="K526" t="n">
        <x:v>51.8</x:v>
      </x:c>
      <x:c r="L526" t="n">
        <x:v>52.7</x:v>
      </x:c>
      <x:c r="M526" t="n">
        <x:v>49.7</x:v>
      </x:c>
      <x:c r="N526" t="str">
        <x:v>Most Likely</x:v>
      </x:c>
      <x:c r="O526" t="str">
        <x:v>Most Likely</x:v>
      </x:c>
    </x:row>
    <x:row r="527">
      <x:c r="A527" t="str">
        <x:v>PJT_526</x:v>
      </x:c>
      <x:c r="B527" t="n">
        <x:v>21110910</x:v>
      </x:c>
      <x:c r="C527" t="n">
        <x:v>23151843</x:v>
      </x:c>
      <x:c r="D527" t="n">
        <x:v>2040933</x:v>
      </x:c>
      <x:c r="E527" t="n">
        <x:v>0.0967</x:v>
      </x:c>
      <x:c r="F527" t="n">
        <x:v>518</x:v>
      </x:c>
      <x:c r="G527" t="n">
        <x:v>539</x:v>
      </x:c>
      <x:c r="H527" t="n">
        <x:v>21</x:v>
      </x:c>
      <x:c r="I527" t="n">
        <x:v>0.0405</x:v>
      </x:c>
      <x:c r="J527" t="str">
        <x:v>Low</x:v>
      </x:c>
      <x:c r="K527" t="n">
        <x:v>43.1</x:v>
      </x:c>
      <x:c r="L527" t="n">
        <x:v>43.1</x:v>
      </x:c>
      <x:c r="M527" t="n">
        <x:v>40.5</x:v>
      </x:c>
      <x:c r="N527" t="str">
        <x:v>Most Likely</x:v>
      </x:c>
      <x:c r="O527" t="str">
        <x:v>Most Likely</x:v>
      </x:c>
    </x:row>
    <x:row r="528">
      <x:c r="A528" t="str">
        <x:v>PJT_527</x:v>
      </x:c>
      <x:c r="B528" t="n">
        <x:v>126382720</x:v>
      </x:c>
      <x:c r="C528" t="n">
        <x:v>151566992</x:v>
      </x:c>
      <x:c r="D528" t="n">
        <x:v>25184272</x:v>
      </x:c>
      <x:c r="E528" t="n">
        <x:v>0.1993</x:v>
      </x:c>
      <x:c r="F528" t="n">
        <x:v>2137</x:v>
      </x:c>
      <x:c r="G528" t="n">
        <x:v>2309</x:v>
      </x:c>
      <x:c r="H528" t="n">
        <x:v>172</x:v>
      </x:c>
      <x:c r="I528" t="n">
        <x:v>0.0805</x:v>
      </x:c>
      <x:c r="J528" t="str">
        <x:v>High</x:v>
      </x:c>
      <x:c r="K528" t="n">
        <x:v>67.2</x:v>
      </x:c>
      <x:c r="L528" t="n">
        <x:v>71.7</x:v>
      </x:c>
      <x:c r="M528" t="n">
        <x:v>67.3</x:v>
      </x:c>
      <x:c r="N528" t="str">
        <x:v>Pessimistic</x:v>
      </x:c>
      <x:c r="O528" t="str">
        <x:v>Most Likely</x:v>
      </x:c>
    </x:row>
    <x:row r="529">
      <x:c r="A529" t="str">
        <x:v>PJT_528</x:v>
      </x:c>
      <x:c r="B529" t="n">
        <x:v>35244360</x:v>
      </x:c>
      <x:c r="C529" t="n">
        <x:v>36113311</x:v>
      </x:c>
      <x:c r="D529" t="n">
        <x:v>868951</x:v>
      </x:c>
      <x:c r="E529" t="n">
        <x:v>0.0247</x:v>
      </x:c>
      <x:c r="F529" t="n">
        <x:v>736</x:v>
      </x:c>
      <x:c r="G529" t="n">
        <x:v>780</x:v>
      </x:c>
      <x:c r="H529" t="n">
        <x:v>44</x:v>
      </x:c>
      <x:c r="I529" t="n">
        <x:v>0.0598</x:v>
      </x:c>
      <x:c r="J529" t="str">
        <x:v>Low</x:v>
      </x:c>
      <x:c r="K529" t="n">
        <x:v>41.7</x:v>
      </x:c>
      <x:c r="L529" t="n">
        <x:v>41.4</x:v>
      </x:c>
      <x:c r="M529" t="n">
        <x:v>50</x:v>
      </x:c>
      <x:c r="N529" t="str">
        <x:v>Most Likely</x:v>
      </x:c>
      <x:c r="O529" t="str">
        <x:v>Most Likely</x:v>
      </x:c>
    </x:row>
    <x:row r="530">
      <x:c r="A530" t="str">
        <x:v>PJT_529</x:v>
      </x:c>
      <x:c r="B530" t="n">
        <x:v>28529200</x:v>
      </x:c>
      <x:c r="C530" t="n">
        <x:v>28310152</x:v>
      </x:c>
      <x:c r="D530" t="n">
        <x:v>-219048</x:v>
      </x:c>
      <x:c r="E530" t="n">
        <x:v>-0.0077</x:v>
      </x:c>
      <x:c r="F530" t="n">
        <x:v>554</x:v>
      </x:c>
      <x:c r="G530" t="n">
        <x:v>542</x:v>
      </x:c>
      <x:c r="H530" t="n">
        <x:v>-12</x:v>
      </x:c>
      <x:c r="I530" t="n">
        <x:v>-0.0217</x:v>
      </x:c>
      <x:c r="J530" t="str">
        <x:v>Low</x:v>
      </x:c>
      <x:c r="K530" t="n">
        <x:v>41.8</x:v>
      </x:c>
      <x:c r="L530" t="n">
        <x:v>48.3</x:v>
      </x:c>
      <x:c r="M530" t="n">
        <x:v>47.7</x:v>
      </x:c>
      <x:c r="N530" t="str">
        <x:v>Optimistic</x:v>
      </x:c>
      <x:c r="O530" t="str">
        <x:v>Optimistic</x:v>
      </x:c>
    </x:row>
    <x:row r="531">
      <x:c r="A531" t="str">
        <x:v>PJT_530</x:v>
      </x:c>
      <x:c r="B531" t="n">
        <x:v>5306820</x:v>
      </x:c>
      <x:c r="C531" t="n">
        <x:v>5235926</x:v>
      </x:c>
      <x:c r="D531" t="n">
        <x:v>-70894</x:v>
      </x:c>
      <x:c r="E531" t="n">
        <x:v>-0.0134</x:v>
      </x:c>
      <x:c r="F531" t="n">
        <x:v>180</x:v>
      </x:c>
      <x:c r="G531" t="n">
        <x:v>198</x:v>
      </x:c>
      <x:c r="H531" t="n">
        <x:v>18</x:v>
      </x:c>
      <x:c r="I531" t="n">
        <x:v>0.1</x:v>
      </x:c>
      <x:c r="J531" t="str">
        <x:v>Low</x:v>
      </x:c>
      <x:c r="K531" t="n">
        <x:v>24</x:v>
      </x:c>
      <x:c r="L531" t="n">
        <x:v>26.7</x:v>
      </x:c>
      <x:c r="M531" t="n">
        <x:v>22</x:v>
      </x:c>
      <x:c r="N531" t="str">
        <x:v>Optimistic</x:v>
      </x:c>
      <x:c r="O531" t="str">
        <x:v>Most Likely</x:v>
      </x:c>
    </x:row>
    <x:row r="532">
      <x:c r="A532" t="str">
        <x:v>PJT_531</x:v>
      </x:c>
      <x:c r="B532" t="n">
        <x:v>93706800</x:v>
      </x:c>
      <x:c r="C532" t="n">
        <x:v>112837350</x:v>
      </x:c>
      <x:c r="D532" t="n">
        <x:v>19130550</x:v>
      </x:c>
      <x:c r="E532" t="n">
        <x:v>0.2042</x:v>
      </x:c>
      <x:c r="F532" t="n">
        <x:v>1522</x:v>
      </x:c>
      <x:c r="G532" t="n">
        <x:v>1595</x:v>
      </x:c>
      <x:c r="H532" t="n">
        <x:v>73</x:v>
      </x:c>
      <x:c r="I532" t="n">
        <x:v>0.048</x:v>
      </x:c>
      <x:c r="J532" t="str">
        <x:v>High</x:v>
      </x:c>
      <x:c r="K532" t="n">
        <x:v>70.4</x:v>
      </x:c>
      <x:c r="L532" t="n">
        <x:v>70.7</x:v>
      </x:c>
      <x:c r="M532" t="n">
        <x:v>62.3</x:v>
      </x:c>
      <x:c r="N532" t="str">
        <x:v>Pessimistic</x:v>
      </x:c>
      <x:c r="O532" t="str">
        <x:v>Most Likely</x:v>
      </x:c>
    </x:row>
    <x:row r="533">
      <x:c r="A533" t="str">
        <x:v>PJT_532</x:v>
      </x:c>
      <x:c r="B533" t="n">
        <x:v>83264800</x:v>
      </x:c>
      <x:c r="C533" t="n">
        <x:v>89885452</x:v>
      </x:c>
      <x:c r="D533" t="n">
        <x:v>6620652</x:v>
      </x:c>
      <x:c r="E533" t="n">
        <x:v>0.0795</x:v>
      </x:c>
      <x:c r="F533" t="n">
        <x:v>1598</x:v>
      </x:c>
      <x:c r="G533" t="n">
        <x:v>1727</x:v>
      </x:c>
      <x:c r="H533" t="n">
        <x:v>129</x:v>
      </x:c>
      <x:c r="I533" t="n">
        <x:v>0.0807</x:v>
      </x:c>
      <x:c r="J533" t="str">
        <x:v>Medium</x:v>
      </x:c>
      <x:c r="K533" t="n">
        <x:v>56</x:v>
      </x:c>
      <x:c r="L533" t="n">
        <x:v>62.5</x:v>
      </x:c>
      <x:c r="M533" t="n">
        <x:v>58.2</x:v>
      </x:c>
      <x:c r="N533" t="str">
        <x:v>Most Likely</x:v>
      </x:c>
      <x:c r="O533" t="str">
        <x:v>Most Likely</x:v>
      </x:c>
    </x:row>
    <x:row r="534">
      <x:c r="A534" t="str">
        <x:v>PJT_533</x:v>
      </x:c>
      <x:c r="B534" t="n">
        <x:v>35516250</x:v>
      </x:c>
      <x:c r="C534" t="n">
        <x:v>35259046</x:v>
      </x:c>
      <x:c r="D534" t="n">
        <x:v>-257204</x:v>
      </x:c>
      <x:c r="E534" t="n">
        <x:v>-0.0072</x:v>
      </x:c>
      <x:c r="F534" t="n">
        <x:v>787</x:v>
      </x:c>
      <x:c r="G534" t="n">
        <x:v>815</x:v>
      </x:c>
      <x:c r="H534" t="n">
        <x:v>28</x:v>
      </x:c>
      <x:c r="I534" t="n">
        <x:v>0.0356</x:v>
      </x:c>
      <x:c r="J534" t="str">
        <x:v>Medium</x:v>
      </x:c>
      <x:c r="K534" t="n">
        <x:v>52</x:v>
      </x:c>
      <x:c r="L534" t="n">
        <x:v>46.5</x:v>
      </x:c>
      <x:c r="M534" t="n">
        <x:v>48.4</x:v>
      </x:c>
      <x:c r="N534" t="str">
        <x:v>Optimistic</x:v>
      </x:c>
      <x:c r="O534" t="str">
        <x:v>Most Likely</x:v>
      </x:c>
    </x:row>
    <x:row r="535">
      <x:c r="A535" t="str">
        <x:v>PJT_534</x:v>
      </x:c>
      <x:c r="B535" t="n">
        <x:v>34130900</x:v>
      </x:c>
      <x:c r="C535" t="n">
        <x:v>36431990</x:v>
      </x:c>
      <x:c r="D535" t="n">
        <x:v>2301090</x:v>
      </x:c>
      <x:c r="E535" t="n">
        <x:v>0.0674</x:v>
      </x:c>
      <x:c r="F535" t="n">
        <x:v>642</x:v>
      </x:c>
      <x:c r="G535" t="n">
        <x:v>666</x:v>
      </x:c>
      <x:c r="H535" t="n">
        <x:v>24</x:v>
      </x:c>
      <x:c r="I535" t="n">
        <x:v>0.0374</x:v>
      </x:c>
      <x:c r="J535" t="str">
        <x:v>Medium</x:v>
      </x:c>
      <x:c r="K535" t="n">
        <x:v>46.2</x:v>
      </x:c>
      <x:c r="L535" t="n">
        <x:v>52.7</x:v>
      </x:c>
      <x:c r="M535" t="n">
        <x:v>45.5</x:v>
      </x:c>
      <x:c r="N535" t="str">
        <x:v>Most Likely</x:v>
      </x:c>
      <x:c r="O535" t="str">
        <x:v>Most Likely</x:v>
      </x:c>
    </x:row>
    <x:row r="536">
      <x:c r="A536" t="str">
        <x:v>PJT_535</x:v>
      </x:c>
      <x:c r="B536" t="n">
        <x:v>76969040</x:v>
      </x:c>
      <x:c r="C536" t="n">
        <x:v>87577478</x:v>
      </x:c>
      <x:c r="D536" t="n">
        <x:v>10608438</x:v>
      </x:c>
      <x:c r="E536" t="n">
        <x:v>0.1378</x:v>
      </x:c>
      <x:c r="F536" t="n">
        <x:v>1574</x:v>
      </x:c>
      <x:c r="G536" t="n">
        <x:v>1633</x:v>
      </x:c>
      <x:c r="H536" t="n">
        <x:v>59</x:v>
      </x:c>
      <x:c r="I536" t="n">
        <x:v>0.0375</x:v>
      </x:c>
      <x:c r="J536" t="str">
        <x:v>High</x:v>
      </x:c>
      <x:c r="K536" t="n">
        <x:v>67.6</x:v>
      </x:c>
      <x:c r="L536" t="n">
        <x:v>63.9</x:v>
      </x:c>
      <x:c r="M536" t="n">
        <x:v>63.8</x:v>
      </x:c>
      <x:c r="N536" t="str">
        <x:v>Pessimistic</x:v>
      </x:c>
      <x:c r="O536" t="str">
        <x:v>Most Likely</x:v>
      </x:c>
    </x:row>
    <x:row r="537">
      <x:c r="A537" t="str">
        <x:v>PJT_536</x:v>
      </x:c>
      <x:c r="B537" t="n">
        <x:v>16119250</x:v>
      </x:c>
      <x:c r="C537" t="n">
        <x:v>15621048</x:v>
      </x:c>
      <x:c r="D537" t="n">
        <x:v>-498202</x:v>
      </x:c>
      <x:c r="E537" t="n">
        <x:v>-0.0309</x:v>
      </x:c>
      <x:c r="F537" t="n">
        <x:v>389</x:v>
      </x:c>
      <x:c r="G537" t="n">
        <x:v>379</x:v>
      </x:c>
      <x:c r="H537" t="n">
        <x:v>-10</x:v>
      </x:c>
      <x:c r="I537" t="n">
        <x:v>-0.0257</x:v>
      </x:c>
      <x:c r="J537" t="str">
        <x:v>Low</x:v>
      </x:c>
      <x:c r="K537" t="n">
        <x:v>38.3</x:v>
      </x:c>
      <x:c r="L537" t="n">
        <x:v>35.7</x:v>
      </x:c>
      <x:c r="M537" t="n">
        <x:v>37.9</x:v>
      </x:c>
      <x:c r="N537" t="str">
        <x:v>Optimistic</x:v>
      </x:c>
      <x:c r="O537" t="str">
        <x:v>Optimistic</x:v>
      </x:c>
    </x:row>
    <x:row r="538">
      <x:c r="A538" t="str">
        <x:v>PJT_537</x:v>
      </x:c>
      <x:c r="B538" t="n">
        <x:v>54383630</x:v>
      </x:c>
      <x:c r="C538" t="n">
        <x:v>57421144</x:v>
      </x:c>
      <x:c r="D538" t="n">
        <x:v>3037514</x:v>
      </x:c>
      <x:c r="E538" t="n">
        <x:v>0.0559</x:v>
      </x:c>
      <x:c r="F538" t="n">
        <x:v>982</x:v>
      </x:c>
      <x:c r="G538" t="n">
        <x:v>997</x:v>
      </x:c>
      <x:c r="H538" t="n">
        <x:v>15</x:v>
      </x:c>
      <x:c r="I538" t="n">
        <x:v>0.0153</x:v>
      </x:c>
      <x:c r="J538" t="str">
        <x:v>Medium</x:v>
      </x:c>
      <x:c r="K538" t="n">
        <x:v>48.8</x:v>
      </x:c>
      <x:c r="L538" t="n">
        <x:v>55.1</x:v>
      </x:c>
      <x:c r="M538" t="n">
        <x:v>49.8</x:v>
      </x:c>
      <x:c r="N538" t="str">
        <x:v>Most Likely</x:v>
      </x:c>
      <x:c r="O538" t="str">
        <x:v>Most Likely</x:v>
      </x:c>
    </x:row>
    <x:row r="539">
      <x:c r="A539" t="str">
        <x:v>PJT_538</x:v>
      </x:c>
      <x:c r="B539" t="n">
        <x:v>10246530</x:v>
      </x:c>
      <x:c r="C539" t="n">
        <x:v>9564513</x:v>
      </x:c>
      <x:c r="D539" t="n">
        <x:v>-682017</x:v>
      </x:c>
      <x:c r="E539" t="n">
        <x:v>-0.0666</x:v>
      </x:c>
      <x:c r="F539" t="n">
        <x:v>288</x:v>
      </x:c>
      <x:c r="G539" t="n">
        <x:v>295</x:v>
      </x:c>
      <x:c r="H539" t="n">
        <x:v>7</x:v>
      </x:c>
      <x:c r="I539" t="n">
        <x:v>0.0243</x:v>
      </x:c>
      <x:c r="J539" t="str">
        <x:v>Low</x:v>
      </x:c>
      <x:c r="K539" t="n">
        <x:v>35.4</x:v>
      </x:c>
      <x:c r="L539" t="n">
        <x:v>30.4</x:v>
      </x:c>
      <x:c r="M539" t="n">
        <x:v>35.7</x:v>
      </x:c>
      <x:c r="N539" t="str">
        <x:v>Optimistic</x:v>
      </x:c>
      <x:c r="O539" t="str">
        <x:v>Most Likely</x:v>
      </x:c>
    </x:row>
    <x:row r="540">
      <x:c r="A540" t="str">
        <x:v>PJT_539</x:v>
      </x:c>
      <x:c r="B540" t="n">
        <x:v>24183180</x:v>
      </x:c>
      <x:c r="C540" t="n">
        <x:v>25616283</x:v>
      </x:c>
      <x:c r="D540" t="n">
        <x:v>1433103</x:v>
      </x:c>
      <x:c r="E540" t="n">
        <x:v>0.0593</x:v>
      </x:c>
      <x:c r="F540" t="n">
        <x:v>502</x:v>
      </x:c>
      <x:c r="G540" t="n">
        <x:v>515</x:v>
      </x:c>
      <x:c r="H540" t="n">
        <x:v>13</x:v>
      </x:c>
      <x:c r="I540" t="n">
        <x:v>0.0259</x:v>
      </x:c>
      <x:c r="J540" t="str">
        <x:v>Medium</x:v>
      </x:c>
      <x:c r="K540" t="n">
        <x:v>48.9</x:v>
      </x:c>
      <x:c r="L540" t="n">
        <x:v>50.3</x:v>
      </x:c>
      <x:c r="M540" t="n">
        <x:v>52.6</x:v>
      </x:c>
      <x:c r="N540" t="str">
        <x:v>Most Likely</x:v>
      </x:c>
      <x:c r="O540" t="str">
        <x:v>Most Likely</x:v>
      </x:c>
    </x:row>
    <x:row r="541">
      <x:c r="A541" t="str">
        <x:v>PJT_540</x:v>
      </x:c>
      <x:c r="B541" t="n">
        <x:v>12383250</x:v>
      </x:c>
      <x:c r="C541" t="n">
        <x:v>12730918</x:v>
      </x:c>
      <x:c r="D541" t="n">
        <x:v>347668</x:v>
      </x:c>
      <x:c r="E541" t="n">
        <x:v>0.0281</x:v>
      </x:c>
      <x:c r="F541" t="n">
        <x:v>293</x:v>
      </x:c>
      <x:c r="G541" t="n">
        <x:v>295</x:v>
      </x:c>
      <x:c r="H541" t="n">
        <x:v>2</x:v>
      </x:c>
      <x:c r="I541" t="n">
        <x:v>0.0068</x:v>
      </x:c>
      <x:c r="J541" t="str">
        <x:v>Low</x:v>
      </x:c>
      <x:c r="K541" t="n">
        <x:v>36.3</x:v>
      </x:c>
      <x:c r="L541" t="n">
        <x:v>34.5</x:v>
      </x:c>
      <x:c r="M541" t="n">
        <x:v>34.8</x:v>
      </x:c>
      <x:c r="N541" t="str">
        <x:v>Most Likely</x:v>
      </x:c>
      <x:c r="O541" t="str">
        <x:v>Most Likely</x:v>
      </x:c>
    </x:row>
    <x:row r="542">
      <x:c r="A542" t="str">
        <x:v>PJT_541</x:v>
      </x:c>
      <x:c r="B542" t="n">
        <x:v>111805610</x:v>
      </x:c>
      <x:c r="C542" t="n">
        <x:v>121317613</x:v>
      </x:c>
      <x:c r="D542" t="n">
        <x:v>9512003</x:v>
      </x:c>
      <x:c r="E542" t="n">
        <x:v>0.0851</x:v>
      </x:c>
      <x:c r="F542" t="n">
        <x:v>1887</x:v>
      </x:c>
      <x:c r="G542" t="n">
        <x:v>2326</x:v>
      </x:c>
      <x:c r="H542" t="n">
        <x:v>439</x:v>
      </x:c>
      <x:c r="I542" t="n">
        <x:v>0.2326</x:v>
      </x:c>
      <x:c r="J542" t="str">
        <x:v>Medium</x:v>
      </x:c>
      <x:c r="K542" t="n">
        <x:v>66.4</x:v>
      </x:c>
      <x:c r="L542" t="n">
        <x:v>70</x:v>
      </x:c>
      <x:c r="M542" t="n">
        <x:v>71.6</x:v>
      </x:c>
      <x:c r="N542" t="str">
        <x:v>Most Likely</x:v>
      </x:c>
      <x:c r="O542" t="str">
        <x:v>Pessimistic</x:v>
      </x:c>
    </x:row>
    <x:row r="543">
      <x:c r="A543" t="str">
        <x:v>PJT_542</x:v>
      </x:c>
      <x:c r="B543" t="n">
        <x:v>32832800</x:v>
      </x:c>
      <x:c r="C543" t="n">
        <x:v>33857116</x:v>
      </x:c>
      <x:c r="D543" t="n">
        <x:v>1024316</x:v>
      </x:c>
      <x:c r="E543" t="n">
        <x:v>0.0312</x:v>
      </x:c>
      <x:c r="F543" t="n">
        <x:v>825</x:v>
      </x:c>
      <x:c r="G543" t="n">
        <x:v>838</x:v>
      </x:c>
      <x:c r="H543" t="n">
        <x:v>13</x:v>
      </x:c>
      <x:c r="I543" t="n">
        <x:v>0.0158</x:v>
      </x:c>
      <x:c r="J543" t="str">
        <x:v>Medium</x:v>
      </x:c>
      <x:c r="K543" t="n">
        <x:v>46.7</x:v>
      </x:c>
      <x:c r="L543" t="n">
        <x:v>45.6</x:v>
      </x:c>
      <x:c r="M543" t="n">
        <x:v>47.1</x:v>
      </x:c>
      <x:c r="N543" t="str">
        <x:v>Most Likely</x:v>
      </x:c>
      <x:c r="O543" t="str">
        <x:v>Most Likely</x:v>
      </x:c>
    </x:row>
    <x:row r="544">
      <x:c r="A544" t="str">
        <x:v>PJT_543</x:v>
      </x:c>
      <x:c r="B544" t="n">
        <x:v>116853860</x:v>
      </x:c>
      <x:c r="C544" t="n">
        <x:v>124228681</x:v>
      </x:c>
      <x:c r="D544" t="n">
        <x:v>7374821</x:v>
      </x:c>
      <x:c r="E544" t="n">
        <x:v>0.0631</x:v>
      </x:c>
      <x:c r="F544" t="n">
        <x:v>1819</x:v>
      </x:c>
      <x:c r="G544" t="n">
        <x:v>2032</x:v>
      </x:c>
      <x:c r="H544" t="n">
        <x:v>213</x:v>
      </x:c>
      <x:c r="I544" t="n">
        <x:v>0.1171</x:v>
      </x:c>
      <x:c r="J544" t="str">
        <x:v>Medium</x:v>
      </x:c>
      <x:c r="K544" t="n">
        <x:v>61.6</x:v>
      </x:c>
      <x:c r="L544" t="n">
        <x:v>63.7</x:v>
      </x:c>
      <x:c r="M544" t="n">
        <x:v>59.7</x:v>
      </x:c>
      <x:c r="N544" t="str">
        <x:v>Most Likely</x:v>
      </x:c>
      <x:c r="O544" t="str">
        <x:v>Pessimistic</x:v>
      </x:c>
    </x:row>
    <x:row r="545">
      <x:c r="A545" t="str">
        <x:v>PJT_544</x:v>
      </x:c>
      <x:c r="B545" t="n">
        <x:v>57798540</x:v>
      </x:c>
      <x:c r="C545" t="n">
        <x:v>61072803</x:v>
      </x:c>
      <x:c r="D545" t="n">
        <x:v>3274263</x:v>
      </x:c>
      <x:c r="E545" t="n">
        <x:v>0.0566</x:v>
      </x:c>
      <x:c r="F545" t="n">
        <x:v>910</x:v>
      </x:c>
      <x:c r="G545" t="n">
        <x:v>950</x:v>
      </x:c>
      <x:c r="H545" t="n">
        <x:v>40</x:v>
      </x:c>
      <x:c r="I545" t="n">
        <x:v>0.044</x:v>
      </x:c>
      <x:c r="J545" t="str">
        <x:v>Medium</x:v>
      </x:c>
      <x:c r="K545" t="n">
        <x:v>56.5</x:v>
      </x:c>
      <x:c r="L545" t="n">
        <x:v>55.4</x:v>
      </x:c>
      <x:c r="M545" t="n">
        <x:v>53.7</x:v>
      </x:c>
      <x:c r="N545" t="str">
        <x:v>Most Likely</x:v>
      </x:c>
      <x:c r="O545" t="str">
        <x:v>Most Likely</x:v>
      </x:c>
    </x:row>
    <x:row r="546">
      <x:c r="A546" t="str">
        <x:v>PJT_545</x:v>
      </x:c>
      <x:c r="B546" t="n">
        <x:v>33750840</x:v>
      </x:c>
      <x:c r="C546" t="n">
        <x:v>33957746</x:v>
      </x:c>
      <x:c r="D546" t="n">
        <x:v>206906</x:v>
      </x:c>
      <x:c r="E546" t="n">
        <x:v>0.0061</x:v>
      </x:c>
      <x:c r="F546" t="n">
        <x:v>616</x:v>
      </x:c>
      <x:c r="G546" t="n">
        <x:v>614</x:v>
      </x:c>
      <x:c r="H546" t="n">
        <x:v>-2</x:v>
      </x:c>
      <x:c r="I546" t="n">
        <x:v>-0.0032</x:v>
      </x:c>
      <x:c r="J546" t="str">
        <x:v>Medium</x:v>
      </x:c>
      <x:c r="K546" t="n">
        <x:v>45.1</x:v>
      </x:c>
      <x:c r="L546" t="n">
        <x:v>44.2</x:v>
      </x:c>
      <x:c r="M546" t="n">
        <x:v>39.7</x:v>
      </x:c>
      <x:c r="N546" t="str">
        <x:v>Most Likely</x:v>
      </x:c>
      <x:c r="O546" t="str">
        <x:v>Optimistic</x:v>
      </x:c>
    </x:row>
    <x:row r="547">
      <x:c r="A547" t="str">
        <x:v>PJT_546</x:v>
      </x:c>
      <x:c r="B547" t="n">
        <x:v>67777100</x:v>
      </x:c>
      <x:c r="C547" t="n">
        <x:v>73915053</x:v>
      </x:c>
      <x:c r="D547" t="n">
        <x:v>6137953</x:v>
      </x:c>
      <x:c r="E547" t="n">
        <x:v>0.0906</x:v>
      </x:c>
      <x:c r="F547" t="n">
        <x:v>1374</x:v>
      </x:c>
      <x:c r="G547" t="n">
        <x:v>1446</x:v>
      </x:c>
      <x:c r="H547" t="n">
        <x:v>72</x:v>
      </x:c>
      <x:c r="I547" t="n">
        <x:v>0.0524</x:v>
      </x:c>
      <x:c r="J547" t="str">
        <x:v>Medium</x:v>
      </x:c>
      <x:c r="K547" t="n">
        <x:v>55.1</x:v>
      </x:c>
      <x:c r="L547" t="n">
        <x:v>53.1</x:v>
      </x:c>
      <x:c r="M547" t="n">
        <x:v>54.4</x:v>
      </x:c>
      <x:c r="N547" t="str">
        <x:v>Most Likely</x:v>
      </x:c>
      <x:c r="O547" t="str">
        <x:v>Most Likely</x:v>
      </x:c>
    </x:row>
    <x:row r="548">
      <x:c r="A548" t="str">
        <x:v>PJT_547</x:v>
      </x:c>
      <x:c r="B548" t="n">
        <x:v>21731820</x:v>
      </x:c>
      <x:c r="C548" t="n">
        <x:v>21779767</x:v>
      </x:c>
      <x:c r="D548" t="n">
        <x:v>47947</x:v>
      </x:c>
      <x:c r="E548" t="n">
        <x:v>0.0022</x:v>
      </x:c>
      <x:c r="F548" t="n">
        <x:v>357</x:v>
      </x:c>
      <x:c r="G548" t="n">
        <x:v>352</x:v>
      </x:c>
      <x:c r="H548" t="n">
        <x:v>-5</x:v>
      </x:c>
      <x:c r="I548" t="n">
        <x:v>-0.014</x:v>
      </x:c>
      <x:c r="J548" t="str">
        <x:v>Low</x:v>
      </x:c>
      <x:c r="K548" t="n">
        <x:v>33.9</x:v>
      </x:c>
      <x:c r="L548" t="n">
        <x:v>35.2</x:v>
      </x:c>
      <x:c r="M548" t="n">
        <x:v>33</x:v>
      </x:c>
      <x:c r="N548" t="str">
        <x:v>Most Likely</x:v>
      </x:c>
      <x:c r="O548" t="str">
        <x:v>Optimistic</x:v>
      </x:c>
    </x:row>
    <x:row r="549">
      <x:c r="A549" t="str">
        <x:v>PJT_548</x:v>
      </x:c>
      <x:c r="B549" t="n">
        <x:v>36494320</x:v>
      </x:c>
      <x:c r="C549" t="n">
        <x:v>37296187</x:v>
      </x:c>
      <x:c r="D549" t="n">
        <x:v>801867</x:v>
      </x:c>
      <x:c r="E549" t="n">
        <x:v>0.022</x:v>
      </x:c>
      <x:c r="F549" t="n">
        <x:v>731</x:v>
      </x:c>
      <x:c r="G549" t="n">
        <x:v>726</x:v>
      </x:c>
      <x:c r="H549" t="n">
        <x:v>-5</x:v>
      </x:c>
      <x:c r="I549" t="n">
        <x:v>-0.0068</x:v>
      </x:c>
      <x:c r="J549" t="str">
        <x:v>Low</x:v>
      </x:c>
      <x:c r="K549" t="n">
        <x:v>39.7</x:v>
      </x:c>
      <x:c r="L549" t="n">
        <x:v>46.3</x:v>
      </x:c>
      <x:c r="M549" t="n">
        <x:v>42.1</x:v>
      </x:c>
      <x:c r="N549" t="str">
        <x:v>Most Likely</x:v>
      </x:c>
      <x:c r="O549" t="str">
        <x:v>Optimistic</x:v>
      </x:c>
    </x:row>
    <x:row r="550">
      <x:c r="A550" t="str">
        <x:v>PJT_549</x:v>
      </x:c>
      <x:c r="B550" t="n">
        <x:v>21892140</x:v>
      </x:c>
      <x:c r="C550" t="n">
        <x:v>20316628</x:v>
      </x:c>
      <x:c r="D550" t="n">
        <x:v>-1575512</x:v>
      </x:c>
      <x:c r="E550" t="n">
        <x:v>-0.072</x:v>
      </x:c>
      <x:c r="F550" t="n">
        <x:v>368</x:v>
      </x:c>
      <x:c r="G550" t="n">
        <x:v>357</x:v>
      </x:c>
      <x:c r="H550" t="n">
        <x:v>-11</x:v>
      </x:c>
      <x:c r="I550" t="n">
        <x:v>-0.0299</x:v>
      </x:c>
      <x:c r="J550" t="str">
        <x:v>Low</x:v>
      </x:c>
      <x:c r="K550" t="n">
        <x:v>35.6</x:v>
      </x:c>
      <x:c r="L550" t="n">
        <x:v>36.4</x:v>
      </x:c>
      <x:c r="M550" t="n">
        <x:v>35.9</x:v>
      </x:c>
      <x:c r="N550" t="str">
        <x:v>Optimistic</x:v>
      </x:c>
      <x:c r="O550" t="str">
        <x:v>Optimistic</x:v>
      </x:c>
    </x:row>
    <x:row r="551">
      <x:c r="A551" t="str">
        <x:v>PJT_550</x:v>
      </x:c>
      <x:c r="B551" t="n">
        <x:v>62567340</x:v>
      </x:c>
      <x:c r="C551" t="n">
        <x:v>63569063</x:v>
      </x:c>
      <x:c r="D551" t="n">
        <x:v>1001723</x:v>
      </x:c>
      <x:c r="E551" t="n">
        <x:v>0.016</x:v>
      </x:c>
      <x:c r="F551" t="n">
        <x:v>964</x:v>
      </x:c>
      <x:c r="G551" t="n">
        <x:v>973</x:v>
      </x:c>
      <x:c r="H551" t="n">
        <x:v>9</x:v>
      </x:c>
      <x:c r="I551" t="n">
        <x:v>0.0093</x:v>
      </x:c>
      <x:c r="J551" t="str">
        <x:v>Medium</x:v>
      </x:c>
      <x:c r="K551" t="n">
        <x:v>47.6</x:v>
      </x:c>
      <x:c r="L551" t="n">
        <x:v>46.2</x:v>
      </x:c>
      <x:c r="M551" t="n">
        <x:v>42.5</x:v>
      </x:c>
      <x:c r="N551" t="str">
        <x:v>Most Likely</x:v>
      </x:c>
      <x:c r="O551" t="str">
        <x:v>Most Likely</x:v>
      </x:c>
    </x:row>
    <x:row r="552">
      <x:c r="A552" t="str">
        <x:v>PJT_551</x:v>
      </x:c>
      <x:c r="B552" t="n">
        <x:v>93176930</x:v>
      </x:c>
      <x:c r="C552" t="n">
        <x:v>93617899</x:v>
      </x:c>
      <x:c r="D552" t="n">
        <x:v>440969</x:v>
      </x:c>
      <x:c r="E552" t="n">
        <x:v>0.0047</x:v>
      </x:c>
      <x:c r="F552" t="n">
        <x:v>1512</x:v>
      </x:c>
      <x:c r="G552" t="n">
        <x:v>1578</x:v>
      </x:c>
      <x:c r="H552" t="n">
        <x:v>66</x:v>
      </x:c>
      <x:c r="I552" t="n">
        <x:v>0.0437</x:v>
      </x:c>
      <x:c r="J552" t="str">
        <x:v>Medium</x:v>
      </x:c>
      <x:c r="K552" t="n">
        <x:v>48.5</x:v>
      </x:c>
      <x:c r="L552" t="n">
        <x:v>49.6</x:v>
      </x:c>
      <x:c r="M552" t="n">
        <x:v>52.7</x:v>
      </x:c>
      <x:c r="N552" t="str">
        <x:v>Most Likely</x:v>
      </x:c>
      <x:c r="O552" t="str">
        <x:v>Most Likely</x:v>
      </x:c>
    </x:row>
    <x:row r="553">
      <x:c r="A553" t="str">
        <x:v>PJT_552</x:v>
      </x:c>
      <x:c r="B553" t="n">
        <x:v>70085600</x:v>
      </x:c>
      <x:c r="C553" t="n">
        <x:v>77150852</x:v>
      </x:c>
      <x:c r="D553" t="n">
        <x:v>7065252</x:v>
      </x:c>
      <x:c r="E553" t="n">
        <x:v>0.1008</x:v>
      </x:c>
      <x:c r="F553" t="n">
        <x:v>1310</x:v>
      </x:c>
      <x:c r="G553" t="n">
        <x:v>1353</x:v>
      </x:c>
      <x:c r="H553" t="n">
        <x:v>43</x:v>
      </x:c>
      <x:c r="I553" t="n">
        <x:v>0.0328</x:v>
      </x:c>
      <x:c r="J553" t="str">
        <x:v>Medium</x:v>
      </x:c>
      <x:c r="K553" t="n">
        <x:v>61.9</x:v>
      </x:c>
      <x:c r="L553" t="n">
        <x:v>67.3</x:v>
      </x:c>
      <x:c r="M553" t="n">
        <x:v>62.8</x:v>
      </x:c>
      <x:c r="N553" t="str">
        <x:v>Pessimistic</x:v>
      </x:c>
      <x:c r="O553" t="str">
        <x:v>Most Likely</x:v>
      </x:c>
    </x:row>
    <x:row r="554">
      <x:c r="A554" t="str">
        <x:v>PJT_553</x:v>
      </x:c>
      <x:c r="B554" t="n">
        <x:v>18364950</x:v>
      </x:c>
      <x:c r="C554" t="n">
        <x:v>18267130</x:v>
      </x:c>
      <x:c r="D554" t="n">
        <x:v>-97820</x:v>
      </x:c>
      <x:c r="E554" t="n">
        <x:v>-0.0053</x:v>
      </x:c>
      <x:c r="F554" t="n">
        <x:v>364</x:v>
      </x:c>
      <x:c r="G554" t="n">
        <x:v>373</x:v>
      </x:c>
      <x:c r="H554" t="n">
        <x:v>9</x:v>
      </x:c>
      <x:c r="I554" t="n">
        <x:v>0.0247</x:v>
      </x:c>
      <x:c r="J554" t="str">
        <x:v>Low</x:v>
      </x:c>
      <x:c r="K554" t="n">
        <x:v>43</x:v>
      </x:c>
      <x:c r="L554" t="n">
        <x:v>41.6</x:v>
      </x:c>
      <x:c r="M554" t="n">
        <x:v>38.2</x:v>
      </x:c>
      <x:c r="N554" t="str">
        <x:v>Optimistic</x:v>
      </x:c>
      <x:c r="O554" t="str">
        <x:v>Most Likely</x:v>
      </x:c>
    </x:row>
    <x:row r="555">
      <x:c r="A555" t="str">
        <x:v>PJT_554</x:v>
      </x:c>
      <x:c r="B555" t="n">
        <x:v>77889500</x:v>
      </x:c>
      <x:c r="C555" t="n">
        <x:v>92415815</x:v>
      </x:c>
      <x:c r="D555" t="n">
        <x:v>14526315</x:v>
      </x:c>
      <x:c r="E555" t="n">
        <x:v>0.1865</x:v>
      </x:c>
      <x:c r="F555" t="n">
        <x:v>1454</x:v>
      </x:c>
      <x:c r="G555" t="n">
        <x:v>1561</x:v>
      </x:c>
      <x:c r="H555" t="n">
        <x:v>107</x:v>
      </x:c>
      <x:c r="I555" t="n">
        <x:v>0.0736</x:v>
      </x:c>
      <x:c r="J555" t="str">
        <x:v>Medium</x:v>
      </x:c>
      <x:c r="K555" t="n">
        <x:v>62.9</x:v>
      </x:c>
      <x:c r="L555" t="n">
        <x:v>67.2</x:v>
      </x:c>
      <x:c r="M555" t="n">
        <x:v>60.1</x:v>
      </x:c>
      <x:c r="N555" t="str">
        <x:v>Pessimistic</x:v>
      </x:c>
      <x:c r="O555" t="str">
        <x:v>Most Likely</x:v>
      </x:c>
    </x:row>
    <x:row r="556">
      <x:c r="A556" t="str">
        <x:v>PJT_555</x:v>
      </x:c>
      <x:c r="B556" t="n">
        <x:v>59439240</x:v>
      </x:c>
      <x:c r="C556" t="n">
        <x:v>64384759</x:v>
      </x:c>
      <x:c r="D556" t="n">
        <x:v>4945519</x:v>
      </x:c>
      <x:c r="E556" t="n">
        <x:v>0.0832</x:v>
      </x:c>
      <x:c r="F556" t="n">
        <x:v>1099</x:v>
      </x:c>
      <x:c r="G556" t="n">
        <x:v>1202</x:v>
      </x:c>
      <x:c r="H556" t="n">
        <x:v>103</x:v>
      </x:c>
      <x:c r="I556" t="n">
        <x:v>0.0937</x:v>
      </x:c>
      <x:c r="J556" t="str">
        <x:v>Medium</x:v>
      </x:c>
      <x:c r="K556" t="n">
        <x:v>51.4</x:v>
      </x:c>
      <x:c r="L556" t="n">
        <x:v>52.7</x:v>
      </x:c>
      <x:c r="M556" t="n">
        <x:v>53.1</x:v>
      </x:c>
      <x:c r="N556" t="str">
        <x:v>Most Likely</x:v>
      </x:c>
      <x:c r="O556" t="str">
        <x:v>Most Likely</x:v>
      </x:c>
    </x:row>
    <x:row r="557">
      <x:c r="A557" t="str">
        <x:v>PJT_556</x:v>
      </x:c>
      <x:c r="B557" t="n">
        <x:v>42005420</x:v>
      </x:c>
      <x:c r="C557" t="n">
        <x:v>44418951</x:v>
      </x:c>
      <x:c r="D557" t="n">
        <x:v>2413531</x:v>
      </x:c>
      <x:c r="E557" t="n">
        <x:v>0.0575</x:v>
      </x:c>
      <x:c r="F557" t="n">
        <x:v>802</x:v>
      </x:c>
      <x:c r="G557" t="n">
        <x:v>829</x:v>
      </x:c>
      <x:c r="H557" t="n">
        <x:v>27</x:v>
      </x:c>
      <x:c r="I557" t="n">
        <x:v>0.0337</x:v>
      </x:c>
      <x:c r="J557" t="str">
        <x:v>Medium</x:v>
      </x:c>
      <x:c r="K557" t="n">
        <x:v>47.2</x:v>
      </x:c>
      <x:c r="L557" t="n">
        <x:v>48.1</x:v>
      </x:c>
      <x:c r="M557" t="n">
        <x:v>45.4</x:v>
      </x:c>
      <x:c r="N557" t="str">
        <x:v>Most Likely</x:v>
      </x:c>
      <x:c r="O557" t="str">
        <x:v>Most Likely</x:v>
      </x:c>
    </x:row>
    <x:row r="558">
      <x:c r="A558" t="str">
        <x:v>PJT_557</x:v>
      </x:c>
      <x:c r="B558" t="n">
        <x:v>15184800</x:v>
      </x:c>
      <x:c r="C558" t="n">
        <x:v>14964511</x:v>
      </x:c>
      <x:c r="D558" t="n">
        <x:v>-220289</x:v>
      </x:c>
      <x:c r="E558" t="n">
        <x:v>-0.0145</x:v>
      </x:c>
      <x:c r="F558" t="n">
        <x:v>342</x:v>
      </x:c>
      <x:c r="G558" t="n">
        <x:v>320</x:v>
      </x:c>
      <x:c r="H558" t="n">
        <x:v>-22</x:v>
      </x:c>
      <x:c r="I558" t="n">
        <x:v>-0.0643</x:v>
      </x:c>
      <x:c r="J558" t="str">
        <x:v>Low</x:v>
      </x:c>
      <x:c r="K558" t="n">
        <x:v>34.5</x:v>
      </x:c>
      <x:c r="L558" t="n">
        <x:v>32.2</x:v>
      </x:c>
      <x:c r="M558" t="n">
        <x:v>26.2</x:v>
      </x:c>
      <x:c r="N558" t="str">
        <x:v>Optimistic</x:v>
      </x:c>
      <x:c r="O558" t="str">
        <x:v>Optimistic</x:v>
      </x:c>
    </x:row>
    <x:row r="559">
      <x:c r="A559" t="str">
        <x:v>PJT_558</x:v>
      </x:c>
      <x:c r="B559" t="n">
        <x:v>81629130</x:v>
      </x:c>
      <x:c r="C559" t="n">
        <x:v>82632409</x:v>
      </x:c>
      <x:c r="D559" t="n">
        <x:v>1003279</x:v>
      </x:c>
      <x:c r="E559" t="n">
        <x:v>0.0123</x:v>
      </x:c>
      <x:c r="F559" t="n">
        <x:v>1334</x:v>
      </x:c>
      <x:c r="G559" t="n">
        <x:v>1466</x:v>
      </x:c>
      <x:c r="H559" t="n">
        <x:v>132</x:v>
      </x:c>
      <x:c r="I559" t="n">
        <x:v>0.099</x:v>
      </x:c>
      <x:c r="J559" t="str">
        <x:v>Medium</x:v>
      </x:c>
      <x:c r="K559" t="n">
        <x:v>55</x:v>
      </x:c>
      <x:c r="L559" t="n">
        <x:v>59.4</x:v>
      </x:c>
      <x:c r="M559" t="n">
        <x:v>55.5</x:v>
      </x:c>
      <x:c r="N559" t="str">
        <x:v>Most Likely</x:v>
      </x:c>
      <x:c r="O559" t="str">
        <x:v>Most Likely</x:v>
      </x:c>
    </x:row>
    <x:row r="560">
      <x:c r="A560" t="str">
        <x:v>PJT_559</x:v>
      </x:c>
      <x:c r="B560" t="n">
        <x:v>105079100</x:v>
      </x:c>
      <x:c r="C560" t="n">
        <x:v>114579702</x:v>
      </x:c>
      <x:c r="D560" t="n">
        <x:v>9500602</x:v>
      </x:c>
      <x:c r="E560" t="n">
        <x:v>0.0904</x:v>
      </x:c>
      <x:c r="F560" t="n">
        <x:v>1993</x:v>
      </x:c>
      <x:c r="G560" t="n">
        <x:v>2211</x:v>
      </x:c>
      <x:c r="H560" t="n">
        <x:v>218</x:v>
      </x:c>
      <x:c r="I560" t="n">
        <x:v>0.1094</x:v>
      </x:c>
      <x:c r="J560" t="str">
        <x:v>High</x:v>
      </x:c>
      <x:c r="K560" t="n">
        <x:v>67.6</x:v>
      </x:c>
      <x:c r="L560" t="n">
        <x:v>73.8</x:v>
      </x:c>
      <x:c r="M560" t="n">
        <x:v>62.8</x:v>
      </x:c>
      <x:c r="N560" t="str">
        <x:v>Most Likely</x:v>
      </x:c>
      <x:c r="O560" t="str">
        <x:v>Pessimistic</x:v>
      </x:c>
    </x:row>
    <x:row r="561">
      <x:c r="A561" t="str">
        <x:v>PJT_560</x:v>
      </x:c>
      <x:c r="B561" t="n">
        <x:v>75510270</x:v>
      </x:c>
      <x:c r="C561" t="n">
        <x:v>79752248</x:v>
      </x:c>
      <x:c r="D561" t="n">
        <x:v>4241978</x:v>
      </x:c>
      <x:c r="E561" t="n">
        <x:v>0.0562</x:v>
      </x:c>
      <x:c r="F561" t="n">
        <x:v>1342</x:v>
      </x:c>
      <x:c r="G561" t="n">
        <x:v>1460</x:v>
      </x:c>
      <x:c r="H561" t="n">
        <x:v>118</x:v>
      </x:c>
      <x:c r="I561" t="n">
        <x:v>0.0879</x:v>
      </x:c>
      <x:c r="J561" t="str">
        <x:v>Low</x:v>
      </x:c>
      <x:c r="K561" t="n">
        <x:v>44.3</x:v>
      </x:c>
      <x:c r="L561" t="n">
        <x:v>50.4</x:v>
      </x:c>
      <x:c r="M561" t="n">
        <x:v>50.4</x:v>
      </x:c>
      <x:c r="N561" t="str">
        <x:v>Most Likely</x:v>
      </x:c>
      <x:c r="O561" t="str">
        <x:v>Most Likely</x:v>
      </x:c>
    </x:row>
    <x:row r="562">
      <x:c r="A562" t="str">
        <x:v>PJT_561</x:v>
      </x:c>
      <x:c r="B562" t="n">
        <x:v>24075480</x:v>
      </x:c>
      <x:c r="C562" t="n">
        <x:v>24045592</x:v>
      </x:c>
      <x:c r="D562" t="n">
        <x:v>-29888</x:v>
      </x:c>
      <x:c r="E562" t="n">
        <x:v>-0.0012</x:v>
      </x:c>
      <x:c r="F562" t="n">
        <x:v>601</x:v>
      </x:c>
      <x:c r="G562" t="n">
        <x:v>586</x:v>
      </x:c>
      <x:c r="H562" t="n">
        <x:v>-15</x:v>
      </x:c>
      <x:c r="I562" t="n">
        <x:v>-0.025</x:v>
      </x:c>
      <x:c r="J562" t="str">
        <x:v>Low</x:v>
      </x:c>
      <x:c r="K562" t="n">
        <x:v>39.7</x:v>
      </x:c>
      <x:c r="L562" t="n">
        <x:v>37.8</x:v>
      </x:c>
      <x:c r="M562" t="n">
        <x:v>37.8</x:v>
      </x:c>
      <x:c r="N562" t="str">
        <x:v>Optimistic</x:v>
      </x:c>
      <x:c r="O562" t="str">
        <x:v>Optimistic</x:v>
      </x:c>
    </x:row>
    <x:row r="563">
      <x:c r="A563" t="str">
        <x:v>PJT_562</x:v>
      </x:c>
      <x:c r="B563" t="n">
        <x:v>49779250</x:v>
      </x:c>
      <x:c r="C563" t="n">
        <x:v>51328293</x:v>
      </x:c>
      <x:c r="D563" t="n">
        <x:v>1549043</x:v>
      </x:c>
      <x:c r="E563" t="n">
        <x:v>0.0311</x:v>
      </x:c>
      <x:c r="F563" t="n">
        <x:v>977</x:v>
      </x:c>
      <x:c r="G563" t="n">
        <x:v>1018</x:v>
      </x:c>
      <x:c r="H563" t="n">
        <x:v>41</x:v>
      </x:c>
      <x:c r="I563" t="n">
        <x:v>0.042</x:v>
      </x:c>
      <x:c r="J563" t="str">
        <x:v>Low</x:v>
      </x:c>
      <x:c r="K563" t="n">
        <x:v>44.1</x:v>
      </x:c>
      <x:c r="L563" t="n">
        <x:v>52</x:v>
      </x:c>
      <x:c r="M563" t="n">
        <x:v>45.7</x:v>
      </x:c>
      <x:c r="N563" t="str">
        <x:v>Most Likely</x:v>
      </x:c>
      <x:c r="O563" t="str">
        <x:v>Most Likely</x:v>
      </x:c>
    </x:row>
    <x:row r="564">
      <x:c r="A564" t="str">
        <x:v>PJT_563</x:v>
      </x:c>
      <x:c r="B564" t="n">
        <x:v>56692800</x:v>
      </x:c>
      <x:c r="C564" t="n">
        <x:v>61553320</x:v>
      </x:c>
      <x:c r="D564" t="n">
        <x:v>4860520</x:v>
      </x:c>
      <x:c r="E564" t="n">
        <x:v>0.0857</x:v>
      </x:c>
      <x:c r="F564" t="n">
        <x:v>941</x:v>
      </x:c>
      <x:c r="G564" t="n">
        <x:v>1046</x:v>
      </x:c>
      <x:c r="H564" t="n">
        <x:v>105</x:v>
      </x:c>
      <x:c r="I564" t="n">
        <x:v>0.1116</x:v>
      </x:c>
      <x:c r="J564" t="str">
        <x:v>Medium</x:v>
      </x:c>
      <x:c r="K564" t="n">
        <x:v>52.9</x:v>
      </x:c>
      <x:c r="L564" t="n">
        <x:v>52.6</x:v>
      </x:c>
      <x:c r="M564" t="n">
        <x:v>56.9</x:v>
      </x:c>
      <x:c r="N564" t="str">
        <x:v>Most Likely</x:v>
      </x:c>
      <x:c r="O564" t="str">
        <x:v>Pessimistic</x:v>
      </x:c>
    </x:row>
    <x:row r="565">
      <x:c r="A565" t="str">
        <x:v>PJT_564</x:v>
      </x:c>
      <x:c r="B565" t="n">
        <x:v>49929480</x:v>
      </x:c>
      <x:c r="C565" t="n">
        <x:v>51759922</x:v>
      </x:c>
      <x:c r="D565" t="n">
        <x:v>1830442</x:v>
      </x:c>
      <x:c r="E565" t="n">
        <x:v>0.0367</x:v>
      </x:c>
      <x:c r="F565" t="n">
        <x:v>851</x:v>
      </x:c>
      <x:c r="G565" t="n">
        <x:v>899</x:v>
      </x:c>
      <x:c r="H565" t="n">
        <x:v>48</x:v>
      </x:c>
      <x:c r="I565" t="n">
        <x:v>0.0564</x:v>
      </x:c>
      <x:c r="J565" t="str">
        <x:v>Medium</x:v>
      </x:c>
      <x:c r="K565" t="n">
        <x:v>51.7</x:v>
      </x:c>
      <x:c r="L565" t="n">
        <x:v>51.4</x:v>
      </x:c>
      <x:c r="M565" t="n">
        <x:v>49.6</x:v>
      </x:c>
      <x:c r="N565" t="str">
        <x:v>Most Likely</x:v>
      </x:c>
      <x:c r="O565" t="str">
        <x:v>Most Likely</x:v>
      </x:c>
    </x:row>
    <x:row r="566">
      <x:c r="A566" t="str">
        <x:v>PJT_565</x:v>
      </x:c>
      <x:c r="B566" t="n">
        <x:v>16758110</x:v>
      </x:c>
      <x:c r="C566" t="n">
        <x:v>16934590</x:v>
      </x:c>
      <x:c r="D566" t="n">
        <x:v>176480</x:v>
      </x:c>
      <x:c r="E566" t="n">
        <x:v>0.0105</x:v>
      </x:c>
      <x:c r="F566" t="n">
        <x:v>275</x:v>
      </x:c>
      <x:c r="G566" t="n">
        <x:v>259</x:v>
      </x:c>
      <x:c r="H566" t="n">
        <x:v>-16</x:v>
      </x:c>
      <x:c r="I566" t="n">
        <x:v>-0.0582</x:v>
      </x:c>
      <x:c r="J566" t="str">
        <x:v>Low</x:v>
      </x:c>
      <x:c r="K566" t="n">
        <x:v>35.7</x:v>
      </x:c>
      <x:c r="L566" t="n">
        <x:v>40.1</x:v>
      </x:c>
      <x:c r="M566" t="n">
        <x:v>36.5</x:v>
      </x:c>
      <x:c r="N566" t="str">
        <x:v>Most Likely</x:v>
      </x:c>
      <x:c r="O566" t="str">
        <x:v>Optimistic</x:v>
      </x:c>
    </x:row>
    <x:row r="567">
      <x:c r="A567" t="str">
        <x:v>PJT_566</x:v>
      </x:c>
      <x:c r="B567" t="n">
        <x:v>57865880</x:v>
      </x:c>
      <x:c r="C567" t="n">
        <x:v>61949139</x:v>
      </x:c>
      <x:c r="D567" t="n">
        <x:v>4083259</x:v>
      </x:c>
      <x:c r="E567" t="n">
        <x:v>0.0706</x:v>
      </x:c>
      <x:c r="F567" t="n">
        <x:v>1005</x:v>
      </x:c>
      <x:c r="G567" t="n">
        <x:v>1100</x:v>
      </x:c>
      <x:c r="H567" t="n">
        <x:v>95</x:v>
      </x:c>
      <x:c r="I567" t="n">
        <x:v>0.0945</x:v>
      </x:c>
      <x:c r="J567" t="str">
        <x:v>Medium</x:v>
      </x:c>
      <x:c r="K567" t="n">
        <x:v>60.8</x:v>
      </x:c>
      <x:c r="L567" t="n">
        <x:v>64.7</x:v>
      </x:c>
      <x:c r="M567" t="n">
        <x:v>59.5</x:v>
      </x:c>
      <x:c r="N567" t="str">
        <x:v>Most Likely</x:v>
      </x:c>
      <x:c r="O567" t="str">
        <x:v>Most Likely</x:v>
      </x:c>
    </x:row>
    <x:row r="568">
      <x:c r="A568" t="str">
        <x:v>PJT_567</x:v>
      </x:c>
      <x:c r="B568" t="n">
        <x:v>33775880</x:v>
      </x:c>
      <x:c r="C568" t="n">
        <x:v>35744425</x:v>
      </x:c>
      <x:c r="D568" t="n">
        <x:v>1968545</x:v>
      </x:c>
      <x:c r="E568" t="n">
        <x:v>0.0583</x:v>
      </x:c>
      <x:c r="F568" t="n">
        <x:v>771</x:v>
      </x:c>
      <x:c r="G568" t="n">
        <x:v>810</x:v>
      </x:c>
      <x:c r="H568" t="n">
        <x:v>39</x:v>
      </x:c>
      <x:c r="I568" t="n">
        <x:v>0.0506</x:v>
      </x:c>
      <x:c r="J568" t="str">
        <x:v>Medium</x:v>
      </x:c>
      <x:c r="K568" t="n">
        <x:v>50</x:v>
      </x:c>
      <x:c r="L568" t="n">
        <x:v>46.3</x:v>
      </x:c>
      <x:c r="M568" t="n">
        <x:v>42.5</x:v>
      </x:c>
      <x:c r="N568" t="str">
        <x:v>Most Likely</x:v>
      </x:c>
      <x:c r="O568" t="str">
        <x:v>Most Likely</x:v>
      </x:c>
    </x:row>
    <x:row r="569">
      <x:c r="A569" t="str">
        <x:v>PJT_568</x:v>
      </x:c>
      <x:c r="B569" t="n">
        <x:v>67100500</x:v>
      </x:c>
      <x:c r="C569" t="n">
        <x:v>73332869</x:v>
      </x:c>
      <x:c r="D569" t="n">
        <x:v>6232369</x:v>
      </x:c>
      <x:c r="E569" t="n">
        <x:v>0.0929</x:v>
      </x:c>
      <x:c r="F569" t="n">
        <x:v>1100</x:v>
      </x:c>
      <x:c r="G569" t="n">
        <x:v>1134</x:v>
      </x:c>
      <x:c r="H569" t="n">
        <x:v>34</x:v>
      </x:c>
      <x:c r="I569" t="n">
        <x:v>0.0309</x:v>
      </x:c>
      <x:c r="J569" t="str">
        <x:v>Medium</x:v>
      </x:c>
      <x:c r="K569" t="n">
        <x:v>61.4</x:v>
      </x:c>
      <x:c r="L569" t="n">
        <x:v>64</x:v>
      </x:c>
      <x:c r="M569" t="n">
        <x:v>56.4</x:v>
      </x:c>
      <x:c r="N569" t="str">
        <x:v>Most Likely</x:v>
      </x:c>
      <x:c r="O569" t="str">
        <x:v>Most Likely</x:v>
      </x:c>
    </x:row>
    <x:row r="570">
      <x:c r="A570" t="str">
        <x:v>PJT_569</x:v>
      </x:c>
      <x:c r="B570" t="n">
        <x:v>72311720</x:v>
      </x:c>
      <x:c r="C570" t="n">
        <x:v>79980334</x:v>
      </x:c>
      <x:c r="D570" t="n">
        <x:v>7668614</x:v>
      </x:c>
      <x:c r="E570" t="n">
        <x:v>0.106</x:v>
      </x:c>
      <x:c r="F570" t="n">
        <x:v>1268</x:v>
      </x:c>
      <x:c r="G570" t="n">
        <x:v>1387</x:v>
      </x:c>
      <x:c r="H570" t="n">
        <x:v>119</x:v>
      </x:c>
      <x:c r="I570" t="n">
        <x:v>0.0938</x:v>
      </x:c>
      <x:c r="J570" t="str">
        <x:v>Medium</x:v>
      </x:c>
      <x:c r="K570" t="n">
        <x:v>62.2</x:v>
      </x:c>
      <x:c r="L570" t="n">
        <x:v>65</x:v>
      </x:c>
      <x:c r="M570" t="n">
        <x:v>64.1</x:v>
      </x:c>
      <x:c r="N570" t="str">
        <x:v>Pessimistic</x:v>
      </x:c>
      <x:c r="O570" t="str">
        <x:v>Most Likely</x:v>
      </x:c>
    </x:row>
    <x:row r="571">
      <x:c r="A571" t="str">
        <x:v>PJT_570</x:v>
      </x:c>
      <x:c r="B571" t="n">
        <x:v>84652260</x:v>
      </x:c>
      <x:c r="C571" t="n">
        <x:v>90871557</x:v>
      </x:c>
      <x:c r="D571" t="n">
        <x:v>6219297</x:v>
      </x:c>
      <x:c r="E571" t="n">
        <x:v>0.0735</x:v>
      </x:c>
      <x:c r="F571" t="n">
        <x:v>1616</x:v>
      </x:c>
      <x:c r="G571" t="n">
        <x:v>1714</x:v>
      </x:c>
      <x:c r="H571" t="n">
        <x:v>98</x:v>
      </x:c>
      <x:c r="I571" t="n">
        <x:v>0.0606</x:v>
      </x:c>
      <x:c r="J571" t="str">
        <x:v>Medium</x:v>
      </x:c>
      <x:c r="K571" t="n">
        <x:v>57.6</x:v>
      </x:c>
      <x:c r="L571" t="n">
        <x:v>54.7</x:v>
      </x:c>
      <x:c r="M571" t="n">
        <x:v>55.5</x:v>
      </x:c>
      <x:c r="N571" t="str">
        <x:v>Most Likely</x:v>
      </x:c>
      <x:c r="O571" t="str">
        <x:v>Most Likely</x:v>
      </x:c>
    </x:row>
    <x:row r="572">
      <x:c r="A572" t="str">
        <x:v>PJT_571</x:v>
      </x:c>
      <x:c r="B572" t="n">
        <x:v>34345350</x:v>
      </x:c>
      <x:c r="C572" t="n">
        <x:v>34371968</x:v>
      </x:c>
      <x:c r="D572" t="n">
        <x:v>26618</x:v>
      </x:c>
      <x:c r="E572" t="n">
        <x:v>0.0008</x:v>
      </x:c>
      <x:c r="F572" t="n">
        <x:v>806</x:v>
      </x:c>
      <x:c r="G572" t="n">
        <x:v>865</x:v>
      </x:c>
      <x:c r="H572" t="n">
        <x:v>59</x:v>
      </x:c>
      <x:c r="I572" t="n">
        <x:v>0.0732</x:v>
      </x:c>
      <x:c r="J572" t="str">
        <x:v>Medium</x:v>
      </x:c>
      <x:c r="K572" t="n">
        <x:v>54.4</x:v>
      </x:c>
      <x:c r="L572" t="n">
        <x:v>48.9</x:v>
      </x:c>
      <x:c r="M572" t="n">
        <x:v>54.2</x:v>
      </x:c>
      <x:c r="N572" t="str">
        <x:v>Most Likely</x:v>
      </x:c>
      <x:c r="O572" t="str">
        <x:v>Most Likely</x:v>
      </x:c>
    </x:row>
    <x:row r="573">
      <x:c r="A573" t="str">
        <x:v>PJT_572</x:v>
      </x:c>
      <x:c r="B573" t="n">
        <x:v>105723640</x:v>
      </x:c>
      <x:c r="C573" t="n">
        <x:v>116109592</x:v>
      </x:c>
      <x:c r="D573" t="n">
        <x:v>10385952</x:v>
      </x:c>
      <x:c r="E573" t="n">
        <x:v>0.0982</x:v>
      </x:c>
      <x:c r="F573" t="n">
        <x:v>2150</x:v>
      </x:c>
      <x:c r="G573" t="n">
        <x:v>2412</x:v>
      </x:c>
      <x:c r="H573" t="n">
        <x:v>262</x:v>
      </x:c>
      <x:c r="I573" t="n">
        <x:v>0.1219</x:v>
      </x:c>
      <x:c r="J573" t="str">
        <x:v>Medium</x:v>
      </x:c>
      <x:c r="K573" t="n">
        <x:v>65.8</x:v>
      </x:c>
      <x:c r="L573" t="n">
        <x:v>65.3</x:v>
      </x:c>
      <x:c r="M573" t="n">
        <x:v>71.6</x:v>
      </x:c>
      <x:c r="N573" t="str">
        <x:v>Most Likely</x:v>
      </x:c>
      <x:c r="O573" t="str">
        <x:v>Pessimistic</x:v>
      </x:c>
    </x:row>
    <x:row r="574">
      <x:c r="A574" t="str">
        <x:v>PJT_573</x:v>
      </x:c>
      <x:c r="B574" t="n">
        <x:v>15977640</x:v>
      </x:c>
      <x:c r="C574" t="n">
        <x:v>15641910</x:v>
      </x:c>
      <x:c r="D574" t="n">
        <x:v>-335730</x:v>
      </x:c>
      <x:c r="E574" t="n">
        <x:v>-0.021</x:v>
      </x:c>
      <x:c r="F574" t="n">
        <x:v>287</x:v>
      </x:c>
      <x:c r="G574" t="n">
        <x:v>280</x:v>
      </x:c>
      <x:c r="H574" t="n">
        <x:v>-7</x:v>
      </x:c>
      <x:c r="I574" t="n">
        <x:v>-0.0244</x:v>
      </x:c>
      <x:c r="J574" t="str">
        <x:v>Low</x:v>
      </x:c>
      <x:c r="K574" t="n">
        <x:v>27.8</x:v>
      </x:c>
      <x:c r="L574" t="n">
        <x:v>32.4</x:v>
      </x:c>
      <x:c r="M574" t="n">
        <x:v>35.2</x:v>
      </x:c>
      <x:c r="N574" t="str">
        <x:v>Optimistic</x:v>
      </x:c>
      <x:c r="O574" t="str">
        <x:v>Optimistic</x:v>
      </x:c>
    </x:row>
    <x:row r="575">
      <x:c r="A575" t="str">
        <x:v>PJT_574</x:v>
      </x:c>
      <x:c r="B575" t="n">
        <x:v>14893890</x:v>
      </x:c>
      <x:c r="C575" t="n">
        <x:v>14158819</x:v>
      </x:c>
      <x:c r="D575" t="n">
        <x:v>-735071</x:v>
      </x:c>
      <x:c r="E575" t="n">
        <x:v>-0.0494</x:v>
      </x:c>
      <x:c r="F575" t="n">
        <x:v>392</x:v>
      </x:c>
      <x:c r="G575" t="n">
        <x:v>393</x:v>
      </x:c>
      <x:c r="H575" t="n">
        <x:v>1</x:v>
      </x:c>
      <x:c r="I575" t="n">
        <x:v>0.0026</x:v>
      </x:c>
      <x:c r="J575" t="str">
        <x:v>Low</x:v>
      </x:c>
      <x:c r="K575" t="n">
        <x:v>32.7</x:v>
      </x:c>
      <x:c r="L575" t="n">
        <x:v>30.1</x:v>
      </x:c>
      <x:c r="M575" t="n">
        <x:v>37.4</x:v>
      </x:c>
      <x:c r="N575" t="str">
        <x:v>Optimistic</x:v>
      </x:c>
      <x:c r="O575" t="str">
        <x:v>Most Likely</x:v>
      </x:c>
    </x:row>
    <x:row r="576">
      <x:c r="A576" t="str">
        <x:v>PJT_575</x:v>
      </x:c>
      <x:c r="B576" t="n">
        <x:v>15653980</x:v>
      </x:c>
      <x:c r="C576" t="n">
        <x:v>16193645</x:v>
      </x:c>
      <x:c r="D576" t="n">
        <x:v>539665</x:v>
      </x:c>
      <x:c r="E576" t="n">
        <x:v>0.0345</x:v>
      </x:c>
      <x:c r="F576" t="n">
        <x:v>366</x:v>
      </x:c>
      <x:c r="G576" t="n">
        <x:v>362</x:v>
      </x:c>
      <x:c r="H576" t="n">
        <x:v>-4</x:v>
      </x:c>
      <x:c r="I576" t="n">
        <x:v>-0.0109</x:v>
      </x:c>
      <x:c r="J576" t="str">
        <x:v>Low</x:v>
      </x:c>
      <x:c r="K576" t="n">
        <x:v>26.8</x:v>
      </x:c>
      <x:c r="L576" t="n">
        <x:v>29.1</x:v>
      </x:c>
      <x:c r="M576" t="n">
        <x:v>29.8</x:v>
      </x:c>
      <x:c r="N576" t="str">
        <x:v>Most Likely</x:v>
      </x:c>
      <x:c r="O576" t="str">
        <x:v>Optimistic</x:v>
      </x:c>
    </x:row>
    <x:row r="577">
      <x:c r="A577" t="str">
        <x:v>PJT_576</x:v>
      </x:c>
      <x:c r="B577" t="n">
        <x:v>14774760</x:v>
      </x:c>
      <x:c r="C577" t="n">
        <x:v>13910730</x:v>
      </x:c>
      <x:c r="D577" t="n">
        <x:v>-864030</x:v>
      </x:c>
      <x:c r="E577" t="n">
        <x:v>-0.0585</x:v>
      </x:c>
      <x:c r="F577" t="n">
        <x:v>374</x:v>
      </x:c>
      <x:c r="G577" t="n">
        <x:v>374</x:v>
      </x:c>
      <x:c r="H577" t="n">
        <x:v>0</x:v>
      </x:c>
      <x:c r="I577" t="n">
        <x:v>0</x:v>
      </x:c>
      <x:c r="J577" t="str">
        <x:v>Low</x:v>
      </x:c>
      <x:c r="K577" t="n">
        <x:v>38.9</x:v>
      </x:c>
      <x:c r="L577" t="n">
        <x:v>31.6</x:v>
      </x:c>
      <x:c r="M577" t="n">
        <x:v>39.5</x:v>
      </x:c>
      <x:c r="N577" t="str">
        <x:v>Optimistic</x:v>
      </x:c>
      <x:c r="O577" t="str">
        <x:v>Optimistic</x:v>
      </x:c>
    </x:row>
    <x:row r="578">
      <x:c r="A578" t="str">
        <x:v>PJT_577</x:v>
      </x:c>
      <x:c r="B578" t="n">
        <x:v>69586950</x:v>
      </x:c>
      <x:c r="C578" t="n">
        <x:v>71219741</x:v>
      </x:c>
      <x:c r="D578" t="n">
        <x:v>1632791</x:v>
      </x:c>
      <x:c r="E578" t="n">
        <x:v>0.0235</x:v>
      </x:c>
      <x:c r="F578" t="n">
        <x:v>1304</x:v>
      </x:c>
      <x:c r="G578" t="n">
        <x:v>1327</x:v>
      </x:c>
      <x:c r="H578" t="n">
        <x:v>23</x:v>
      </x:c>
      <x:c r="I578" t="n">
        <x:v>0.0176</x:v>
      </x:c>
      <x:c r="J578" t="str">
        <x:v>Low</x:v>
      </x:c>
      <x:c r="K578" t="n">
        <x:v>42.6</x:v>
      </x:c>
      <x:c r="L578" t="n">
        <x:v>42.5</x:v>
      </x:c>
      <x:c r="M578" t="n">
        <x:v>41.4</x:v>
      </x:c>
      <x:c r="N578" t="str">
        <x:v>Most Likely</x:v>
      </x:c>
      <x:c r="O578" t="str">
        <x:v>Most Likely</x:v>
      </x:c>
    </x:row>
    <x:row r="579">
      <x:c r="A579" t="str">
        <x:v>PJT_578</x:v>
      </x:c>
      <x:c r="B579" t="n">
        <x:v>72102030</x:v>
      </x:c>
      <x:c r="C579" t="n">
        <x:v>79672999</x:v>
      </x:c>
      <x:c r="D579" t="n">
        <x:v>7570969</x:v>
      </x:c>
      <x:c r="E579" t="n">
        <x:v>0.105</x:v>
      </x:c>
      <x:c r="F579" t="n">
        <x:v>1289</x:v>
      </x:c>
      <x:c r="G579" t="n">
        <x:v>1347</x:v>
      </x:c>
      <x:c r="H579" t="n">
        <x:v>58</x:v>
      </x:c>
      <x:c r="I579" t="n">
        <x:v>0.045</x:v>
      </x:c>
      <x:c r="J579" t="str">
        <x:v>Medium</x:v>
      </x:c>
      <x:c r="K579" t="n">
        <x:v>60.9</x:v>
      </x:c>
      <x:c r="L579" t="n">
        <x:v>56.9</x:v>
      </x:c>
      <x:c r="M579" t="n">
        <x:v>61.3</x:v>
      </x:c>
      <x:c r="N579" t="str">
        <x:v>Pessimistic</x:v>
      </x:c>
      <x:c r="O579" t="str">
        <x:v>Most Likely</x:v>
      </x:c>
    </x:row>
    <x:row r="580">
      <x:c r="A580" t="str">
        <x:v>PJT_579</x:v>
      </x:c>
      <x:c r="B580" t="n">
        <x:v>22607000</x:v>
      </x:c>
      <x:c r="C580" t="n">
        <x:v>24697938</x:v>
      </x:c>
      <x:c r="D580" t="n">
        <x:v>2090938</x:v>
      </x:c>
      <x:c r="E580" t="n">
        <x:v>0.0925</x:v>
      </x:c>
      <x:c r="F580" t="n">
        <x:v>420</x:v>
      </x:c>
      <x:c r="G580" t="n">
        <x:v>465</x:v>
      </x:c>
      <x:c r="H580" t="n">
        <x:v>45</x:v>
      </x:c>
      <x:c r="I580" t="n">
        <x:v>0.1071</x:v>
      </x:c>
      <x:c r="J580" t="str">
        <x:v>Medium</x:v>
      </x:c>
      <x:c r="K580" t="n">
        <x:v>55.7</x:v>
      </x:c>
      <x:c r="L580" t="n">
        <x:v>57.3</x:v>
      </x:c>
      <x:c r="M580" t="n">
        <x:v>53.5</x:v>
      </x:c>
      <x:c r="N580" t="str">
        <x:v>Most Likely</x:v>
      </x:c>
      <x:c r="O580" t="str">
        <x:v>Pessimistic</x:v>
      </x:c>
    </x:row>
    <x:row r="581">
      <x:c r="A581" t="str">
        <x:v>PJT_580</x:v>
      </x:c>
      <x:c r="B581" t="n">
        <x:v>57720500</x:v>
      </x:c>
      <x:c r="C581" t="n">
        <x:v>69095610</x:v>
      </x:c>
      <x:c r="D581" t="n">
        <x:v>11375110</x:v>
      </x:c>
      <x:c r="E581" t="n">
        <x:v>0.1971</x:v>
      </x:c>
      <x:c r="F581" t="n">
        <x:v>881</x:v>
      </x:c>
      <x:c r="G581" t="n">
        <x:v>978</x:v>
      </x:c>
      <x:c r="H581" t="n">
        <x:v>97</x:v>
      </x:c>
      <x:c r="I581" t="n">
        <x:v>0.1101</x:v>
      </x:c>
      <x:c r="J581" t="str">
        <x:v>Medium</x:v>
      </x:c>
      <x:c r="K581" t="n">
        <x:v>66.3</x:v>
      </x:c>
      <x:c r="L581" t="n">
        <x:v>69.3</x:v>
      </x:c>
      <x:c r="M581" t="n">
        <x:v>63.5</x:v>
      </x:c>
      <x:c r="N581" t="str">
        <x:v>Pessimistic</x:v>
      </x:c>
      <x:c r="O581" t="str">
        <x:v>Pessimistic</x:v>
      </x:c>
    </x:row>
    <x:row r="582">
      <x:c r="A582" t="str">
        <x:v>PJT_581</x:v>
      </x:c>
      <x:c r="B582" t="n">
        <x:v>59812620</x:v>
      </x:c>
      <x:c r="C582" t="n">
        <x:v>63757253</x:v>
      </x:c>
      <x:c r="D582" t="n">
        <x:v>3944633</x:v>
      </x:c>
      <x:c r="E582" t="n">
        <x:v>0.0659</x:v>
      </x:c>
      <x:c r="F582" t="n">
        <x:v>1220</x:v>
      </x:c>
      <x:c r="G582" t="n">
        <x:v>1367</x:v>
      </x:c>
      <x:c r="H582" t="n">
        <x:v>147</x:v>
      </x:c>
      <x:c r="I582" t="n">
        <x:v>0.1205</x:v>
      </x:c>
      <x:c r="J582" t="str">
        <x:v>Medium</x:v>
      </x:c>
      <x:c r="K582" t="n">
        <x:v>57.9</x:v>
      </x:c>
      <x:c r="L582" t="n">
        <x:v>55</x:v>
      </x:c>
      <x:c r="M582" t="n">
        <x:v>59.4</x:v>
      </x:c>
      <x:c r="N582" t="str">
        <x:v>Most Likely</x:v>
      </x:c>
      <x:c r="O582" t="str">
        <x:v>Pessimistic</x:v>
      </x:c>
    </x:row>
    <x:row r="583">
      <x:c r="A583" t="str">
        <x:v>PJT_582</x:v>
      </x:c>
      <x:c r="B583" t="n">
        <x:v>46720440</x:v>
      </x:c>
      <x:c r="C583" t="n">
        <x:v>48107784</x:v>
      </x:c>
      <x:c r="D583" t="n">
        <x:v>1387344</x:v>
      </x:c>
      <x:c r="E583" t="n">
        <x:v>0.0297</x:v>
      </x:c>
      <x:c r="F583" t="n">
        <x:v>814</x:v>
      </x:c>
      <x:c r="G583" t="n">
        <x:v>847</x:v>
      </x:c>
      <x:c r="H583" t="n">
        <x:v>33</x:v>
      </x:c>
      <x:c r="I583" t="n">
        <x:v>0.0405</x:v>
      </x:c>
      <x:c r="J583" t="str">
        <x:v>Medium</x:v>
      </x:c>
      <x:c r="K583" t="n">
        <x:v>47.1</x:v>
      </x:c>
      <x:c r="L583" t="n">
        <x:v>46.2</x:v>
      </x:c>
      <x:c r="M583" t="n">
        <x:v>49.6</x:v>
      </x:c>
      <x:c r="N583" t="str">
        <x:v>Most Likely</x:v>
      </x:c>
      <x:c r="O583" t="str">
        <x:v>Most Likely</x:v>
      </x:c>
    </x:row>
    <x:row r="584">
      <x:c r="A584" t="str">
        <x:v>PJT_583</x:v>
      </x:c>
      <x:c r="B584" t="n">
        <x:v>80945280</x:v>
      </x:c>
      <x:c r="C584" t="n">
        <x:v>86165484</x:v>
      </x:c>
      <x:c r="D584" t="n">
        <x:v>5220204</x:v>
      </x:c>
      <x:c r="E584" t="n">
        <x:v>0.0645</x:v>
      </x:c>
      <x:c r="F584" t="n">
        <x:v>1328</x:v>
      </x:c>
      <x:c r="G584" t="n">
        <x:v>1496</x:v>
      </x:c>
      <x:c r="H584" t="n">
        <x:v>168</x:v>
      </x:c>
      <x:c r="I584" t="n">
        <x:v>0.1265</x:v>
      </x:c>
      <x:c r="J584" t="str">
        <x:v>Medium</x:v>
      </x:c>
      <x:c r="K584" t="n">
        <x:v>62.1</x:v>
      </x:c>
      <x:c r="L584" t="n">
        <x:v>65.3</x:v>
      </x:c>
      <x:c r="M584" t="n">
        <x:v>57.2</x:v>
      </x:c>
      <x:c r="N584" t="str">
        <x:v>Most Likely</x:v>
      </x:c>
      <x:c r="O584" t="str">
        <x:v>Pessimistic</x:v>
      </x:c>
    </x:row>
    <x:row r="585">
      <x:c r="A585" t="str">
        <x:v>PJT_584</x:v>
      </x:c>
      <x:c r="B585" t="n">
        <x:v>15948280</x:v>
      </x:c>
      <x:c r="C585" t="n">
        <x:v>15625524</x:v>
      </x:c>
      <x:c r="D585" t="n">
        <x:v>-322756</x:v>
      </x:c>
      <x:c r="E585" t="n">
        <x:v>-0.0202</x:v>
      </x:c>
      <x:c r="F585" t="n">
        <x:v>350</x:v>
      </x:c>
      <x:c r="G585" t="n">
        <x:v>348</x:v>
      </x:c>
      <x:c r="H585" t="n">
        <x:v>-2</x:v>
      </x:c>
      <x:c r="I585" t="n">
        <x:v>-0.0057</x:v>
      </x:c>
      <x:c r="J585" t="str">
        <x:v>Low</x:v>
      </x:c>
      <x:c r="K585" t="n">
        <x:v>28.3</x:v>
      </x:c>
      <x:c r="L585" t="n">
        <x:v>26.8</x:v>
      </x:c>
      <x:c r="M585" t="n">
        <x:v>24.3</x:v>
      </x:c>
      <x:c r="N585" t="str">
        <x:v>Optimistic</x:v>
      </x:c>
      <x:c r="O585" t="str">
        <x:v>Optimistic</x:v>
      </x:c>
    </x:row>
    <x:row r="586">
      <x:c r="A586" t="str">
        <x:v>PJT_585</x:v>
      </x:c>
      <x:c r="B586" t="n">
        <x:v>38539120</x:v>
      </x:c>
      <x:c r="C586" t="n">
        <x:v>40312712</x:v>
      </x:c>
      <x:c r="D586" t="n">
        <x:v>1773592</x:v>
      </x:c>
      <x:c r="E586" t="n">
        <x:v>0.046</x:v>
      </x:c>
      <x:c r="F586" t="n">
        <x:v>756</x:v>
      </x:c>
      <x:c r="G586" t="n">
        <x:v>752</x:v>
      </x:c>
      <x:c r="H586" t="n">
        <x:v>-4</x:v>
      </x:c>
      <x:c r="I586" t="n">
        <x:v>-0.0053</x:v>
      </x:c>
      <x:c r="J586" t="str">
        <x:v>Medium</x:v>
      </x:c>
      <x:c r="K586" t="n">
        <x:v>55.8</x:v>
      </x:c>
      <x:c r="L586" t="n">
        <x:v>57.9</x:v>
      </x:c>
      <x:c r="M586" t="n">
        <x:v>46.4</x:v>
      </x:c>
      <x:c r="N586" t="str">
        <x:v>Most Likely</x:v>
      </x:c>
      <x:c r="O586" t="str">
        <x:v>Optimistic</x:v>
      </x:c>
    </x:row>
    <x:row r="587">
      <x:c r="A587" t="str">
        <x:v>PJT_586</x:v>
      </x:c>
      <x:c r="B587" t="n">
        <x:v>52108260</x:v>
      </x:c>
      <x:c r="C587" t="n">
        <x:v>56470117</x:v>
      </x:c>
      <x:c r="D587" t="n">
        <x:v>4361857</x:v>
      </x:c>
      <x:c r="E587" t="n">
        <x:v>0.0837</x:v>
      </x:c>
      <x:c r="F587" t="n">
        <x:v>997</x:v>
      </x:c>
      <x:c r="G587" t="n">
        <x:v>1114</x:v>
      </x:c>
      <x:c r="H587" t="n">
        <x:v>117</x:v>
      </x:c>
      <x:c r="I587" t="n">
        <x:v>0.1174</x:v>
      </x:c>
      <x:c r="J587" t="str">
        <x:v>Medium</x:v>
      </x:c>
      <x:c r="K587" t="n">
        <x:v>57.6</x:v>
      </x:c>
      <x:c r="L587" t="n">
        <x:v>55.2</x:v>
      </x:c>
      <x:c r="M587" t="n">
        <x:v>53.4</x:v>
      </x:c>
      <x:c r="N587" t="str">
        <x:v>Most Likely</x:v>
      </x:c>
      <x:c r="O587" t="str">
        <x:v>Pessimistic</x:v>
      </x:c>
    </x:row>
    <x:row r="588">
      <x:c r="A588" t="str">
        <x:v>PJT_587</x:v>
      </x:c>
      <x:c r="B588" t="n">
        <x:v>17912400</x:v>
      </x:c>
      <x:c r="C588" t="n">
        <x:v>18012042</x:v>
      </x:c>
      <x:c r="D588" t="n">
        <x:v>99642</x:v>
      </x:c>
      <x:c r="E588" t="n">
        <x:v>0.0056</x:v>
      </x:c>
      <x:c r="F588" t="n">
        <x:v>383</x:v>
      </x:c>
      <x:c r="G588" t="n">
        <x:v>377</x:v>
      </x:c>
      <x:c r="H588" t="n">
        <x:v>-6</x:v>
      </x:c>
      <x:c r="I588" t="n">
        <x:v>-0.0157</x:v>
      </x:c>
      <x:c r="J588" t="str">
        <x:v>Low</x:v>
      </x:c>
      <x:c r="K588" t="n">
        <x:v>28.5</x:v>
      </x:c>
      <x:c r="L588" t="n">
        <x:v>28.8</x:v>
      </x:c>
      <x:c r="M588" t="n">
        <x:v>28.6</x:v>
      </x:c>
      <x:c r="N588" t="str">
        <x:v>Most Likely</x:v>
      </x:c>
      <x:c r="O588" t="str">
        <x:v>Optimistic</x:v>
      </x:c>
    </x:row>
    <x:row r="589">
      <x:c r="A589" t="str">
        <x:v>PJT_588</x:v>
      </x:c>
      <x:c r="B589" t="n">
        <x:v>20084480</x:v>
      </x:c>
      <x:c r="C589" t="n">
        <x:v>20103685</x:v>
      </x:c>
      <x:c r="D589" t="n">
        <x:v>19205</x:v>
      </x:c>
      <x:c r="E589" t="n">
        <x:v>0.001</x:v>
      </x:c>
      <x:c r="F589" t="n">
        <x:v>309</x:v>
      </x:c>
      <x:c r="G589" t="n">
        <x:v>299</x:v>
      </x:c>
      <x:c r="H589" t="n">
        <x:v>-10</x:v>
      </x:c>
      <x:c r="I589" t="n">
        <x:v>-0.0324</x:v>
      </x:c>
      <x:c r="J589" t="str">
        <x:v>Low</x:v>
      </x:c>
      <x:c r="K589" t="n">
        <x:v>26.2</x:v>
      </x:c>
      <x:c r="L589" t="n">
        <x:v>31.5</x:v>
      </x:c>
      <x:c r="M589" t="n">
        <x:v>30.5</x:v>
      </x:c>
      <x:c r="N589" t="str">
        <x:v>Most Likely</x:v>
      </x:c>
      <x:c r="O589" t="str">
        <x:v>Optimistic</x:v>
      </x:c>
    </x:row>
    <x:row r="590">
      <x:c r="A590" t="str">
        <x:v>PJT_589</x:v>
      </x:c>
      <x:c r="B590" t="n">
        <x:v>52545600</x:v>
      </x:c>
      <x:c r="C590" t="n">
        <x:v>57585345</x:v>
      </x:c>
      <x:c r="D590" t="n">
        <x:v>5039745</x:v>
      </x:c>
      <x:c r="E590" t="n">
        <x:v>0.0959</x:v>
      </x:c>
      <x:c r="F590" t="n">
        <x:v>985</x:v>
      </x:c>
      <x:c r="G590" t="n">
        <x:v>1029</x:v>
      </x:c>
      <x:c r="H590" t="n">
        <x:v>44</x:v>
      </x:c>
      <x:c r="I590" t="n">
        <x:v>0.0447</x:v>
      </x:c>
      <x:c r="J590" t="str">
        <x:v>Medium</x:v>
      </x:c>
      <x:c r="K590" t="n">
        <x:v>59.4</x:v>
      </x:c>
      <x:c r="L590" t="n">
        <x:v>62.3</x:v>
      </x:c>
      <x:c r="M590" t="n">
        <x:v>56.7</x:v>
      </x:c>
      <x:c r="N590" t="str">
        <x:v>Most Likely</x:v>
      </x:c>
      <x:c r="O590" t="str">
        <x:v>Most Likely</x:v>
      </x:c>
    </x:row>
    <x:row r="591">
      <x:c r="A591" t="str">
        <x:v>PJT_590</x:v>
      </x:c>
      <x:c r="B591" t="n">
        <x:v>48914210</x:v>
      </x:c>
      <x:c r="C591" t="n">
        <x:v>50274274</x:v>
      </x:c>
      <x:c r="D591" t="n">
        <x:v>1360064</x:v>
      </x:c>
      <x:c r="E591" t="n">
        <x:v>0.0278</x:v>
      </x:c>
      <x:c r="F591" t="n">
        <x:v>809</x:v>
      </x:c>
      <x:c r="G591" t="n">
        <x:v>813</x:v>
      </x:c>
      <x:c r="H591" t="n">
        <x:v>4</x:v>
      </x:c>
      <x:c r="I591" t="n">
        <x:v>0.0049</x:v>
      </x:c>
      <x:c r="J591" t="str">
        <x:v>Medium</x:v>
      </x:c>
      <x:c r="K591" t="n">
        <x:v>45.9</x:v>
      </x:c>
      <x:c r="L591" t="n">
        <x:v>52.6</x:v>
      </x:c>
      <x:c r="M591" t="n">
        <x:v>49.6</x:v>
      </x:c>
      <x:c r="N591" t="str">
        <x:v>Most Likely</x:v>
      </x:c>
      <x:c r="O591" t="str">
        <x:v>Most Likely</x:v>
      </x:c>
    </x:row>
    <x:row r="592">
      <x:c r="A592" t="str">
        <x:v>PJT_591</x:v>
      </x:c>
      <x:c r="B592" t="n">
        <x:v>24245130</x:v>
      </x:c>
      <x:c r="C592" t="n">
        <x:v>24447779</x:v>
      </x:c>
      <x:c r="D592" t="n">
        <x:v>202649</x:v>
      </x:c>
      <x:c r="E592" t="n">
        <x:v>0.0084</x:v>
      </x:c>
      <x:c r="F592" t="n">
        <x:v>494</x:v>
      </x:c>
      <x:c r="G592" t="n">
        <x:v>508</x:v>
      </x:c>
      <x:c r="H592" t="n">
        <x:v>14</x:v>
      </x:c>
      <x:c r="I592" t="n">
        <x:v>0.0283</x:v>
      </x:c>
      <x:c r="J592" t="str">
        <x:v>Medium</x:v>
      </x:c>
      <x:c r="K592" t="n">
        <x:v>46.3</x:v>
      </x:c>
      <x:c r="L592" t="n">
        <x:v>46.8</x:v>
      </x:c>
      <x:c r="M592" t="n">
        <x:v>42.3</x:v>
      </x:c>
      <x:c r="N592" t="str">
        <x:v>Most Likely</x:v>
      </x:c>
      <x:c r="O592" t="str">
        <x:v>Most Likely</x:v>
      </x:c>
    </x:row>
    <x:row r="593">
      <x:c r="A593" t="str">
        <x:v>PJT_592</x:v>
      </x:c>
      <x:c r="B593" t="n">
        <x:v>44853500</x:v>
      </x:c>
      <x:c r="C593" t="n">
        <x:v>45510474</x:v>
      </x:c>
      <x:c r="D593" t="n">
        <x:v>656974</x:v>
      </x:c>
      <x:c r="E593" t="n">
        <x:v>0.0146</x:v>
      </x:c>
      <x:c r="F593" t="n">
        <x:v>785</x:v>
      </x:c>
      <x:c r="G593" t="n">
        <x:v>877</x:v>
      </x:c>
      <x:c r="H593" t="n">
        <x:v>92</x:v>
      </x:c>
      <x:c r="I593" t="n">
        <x:v>0.1172</x:v>
      </x:c>
      <x:c r="J593" t="str">
        <x:v>Medium</x:v>
      </x:c>
      <x:c r="K593" t="n">
        <x:v>49.5</x:v>
      </x:c>
      <x:c r="L593" t="n">
        <x:v>48.2</x:v>
      </x:c>
      <x:c r="M593" t="n">
        <x:v>55.9</x:v>
      </x:c>
      <x:c r="N593" t="str">
        <x:v>Most Likely</x:v>
      </x:c>
      <x:c r="O593" t="str">
        <x:v>Pessimistic</x:v>
      </x:c>
    </x:row>
    <x:row r="594">
      <x:c r="A594" t="str">
        <x:v>PJT_593</x:v>
      </x:c>
      <x:c r="B594" t="n">
        <x:v>33447120</x:v>
      </x:c>
      <x:c r="C594" t="n">
        <x:v>34216750</x:v>
      </x:c>
      <x:c r="D594" t="n">
        <x:v>769630</x:v>
      </x:c>
      <x:c r="E594" t="n">
        <x:v>0.023</x:v>
      </x:c>
      <x:c r="F594" t="n">
        <x:v>583</x:v>
      </x:c>
      <x:c r="G594" t="n">
        <x:v>565</x:v>
      </x:c>
      <x:c r="H594" t="n">
        <x:v>-18</x:v>
      </x:c>
      <x:c r="I594" t="n">
        <x:v>-0.0309</x:v>
      </x:c>
      <x:c r="J594" t="str">
        <x:v>Medium</x:v>
      </x:c>
      <x:c r="K594" t="n">
        <x:v>46.4</x:v>
      </x:c>
      <x:c r="L594" t="n">
        <x:v>51.5</x:v>
      </x:c>
      <x:c r="M594" t="n">
        <x:v>46.6</x:v>
      </x:c>
      <x:c r="N594" t="str">
        <x:v>Most Likely</x:v>
      </x:c>
      <x:c r="O594" t="str">
        <x:v>Optimistic</x:v>
      </x:c>
    </x:row>
    <x:row r="595">
      <x:c r="A595" t="str">
        <x:v>PJT_594</x:v>
      </x:c>
      <x:c r="B595" t="n">
        <x:v>21879260</x:v>
      </x:c>
      <x:c r="C595" t="n">
        <x:v>20273642</x:v>
      </x:c>
      <x:c r="D595" t="n">
        <x:v>-1605618</x:v>
      </x:c>
      <x:c r="E595" t="n">
        <x:v>-0.0734</x:v>
      </x:c>
      <x:c r="F595" t="n">
        <x:v>474</x:v>
      </x:c>
      <x:c r="G595" t="n">
        <x:v>479</x:v>
      </x:c>
      <x:c r="H595" t="n">
        <x:v>5</x:v>
      </x:c>
      <x:c r="I595" t="n">
        <x:v>0.0105</x:v>
      </x:c>
      <x:c r="J595" t="str">
        <x:v>Low</x:v>
      </x:c>
      <x:c r="K595" t="n">
        <x:v>36.2</x:v>
      </x:c>
      <x:c r="L595" t="n">
        <x:v>35.6</x:v>
      </x:c>
      <x:c r="M595" t="n">
        <x:v>40.3</x:v>
      </x:c>
      <x:c r="N595" t="str">
        <x:v>Optimistic</x:v>
      </x:c>
      <x:c r="O595" t="str">
        <x:v>Most Likely</x:v>
      </x:c>
    </x:row>
    <x:row r="596">
      <x:c r="A596" t="str">
        <x:v>PJT_595</x:v>
      </x:c>
      <x:c r="B596" t="n">
        <x:v>21867300</x:v>
      </x:c>
      <x:c r="C596" t="n">
        <x:v>21886888</x:v>
      </x:c>
      <x:c r="D596" t="n">
        <x:v>19588</x:v>
      </x:c>
      <x:c r="E596" t="n">
        <x:v>0.0009</x:v>
      </x:c>
      <x:c r="F596" t="n">
        <x:v>359</x:v>
      </x:c>
      <x:c r="G596" t="n">
        <x:v>333</x:v>
      </x:c>
      <x:c r="H596" t="n">
        <x:v>-26</x:v>
      </x:c>
      <x:c r="I596" t="n">
        <x:v>-0.0724</x:v>
      </x:c>
      <x:c r="J596" t="str">
        <x:v>Low</x:v>
      </x:c>
      <x:c r="K596" t="n">
        <x:v>26.8</x:v>
      </x:c>
      <x:c r="L596" t="n">
        <x:v>30.1</x:v>
      </x:c>
      <x:c r="M596" t="n">
        <x:v>27.5</x:v>
      </x:c>
      <x:c r="N596" t="str">
        <x:v>Most Likely</x:v>
      </x:c>
      <x:c r="O596" t="str">
        <x:v>Optimistic</x:v>
      </x:c>
    </x:row>
    <x:row r="597">
      <x:c r="A597" t="str">
        <x:v>PJT_596</x:v>
      </x:c>
      <x:c r="B597" t="n">
        <x:v>31886460</x:v>
      </x:c>
      <x:c r="C597" t="n">
        <x:v>32890204</x:v>
      </x:c>
      <x:c r="D597" t="n">
        <x:v>1003744</x:v>
      </x:c>
      <x:c r="E597" t="n">
        <x:v>0.0315</x:v>
      </x:c>
      <x:c r="F597" t="n">
        <x:v>655</x:v>
      </x:c>
      <x:c r="G597" t="n">
        <x:v>692</x:v>
      </x:c>
      <x:c r="H597" t="n">
        <x:v>37</x:v>
      </x:c>
      <x:c r="I597" t="n">
        <x:v>0.0565</x:v>
      </x:c>
      <x:c r="J597" t="str">
        <x:v>Medium</x:v>
      </x:c>
      <x:c r="K597" t="n">
        <x:v>48</x:v>
      </x:c>
      <x:c r="L597" t="n">
        <x:v>55.3</x:v>
      </x:c>
      <x:c r="M597" t="n">
        <x:v>47.9</x:v>
      </x:c>
      <x:c r="N597" t="str">
        <x:v>Most Likely</x:v>
      </x:c>
      <x:c r="O597" t="str">
        <x:v>Most Likely</x:v>
      </x:c>
    </x:row>
    <x:row r="598">
      <x:c r="A598" t="str">
        <x:v>PJT_597</x:v>
      </x:c>
      <x:c r="B598" t="n">
        <x:v>6567680</x:v>
      </x:c>
      <x:c r="C598" t="n">
        <x:v>6248756</x:v>
      </x:c>
      <x:c r="D598" t="n">
        <x:v>-318924</x:v>
      </x:c>
      <x:c r="E598" t="n">
        <x:v>-0.0486</x:v>
      </x:c>
      <x:c r="F598" t="n">
        <x:v>180</x:v>
      </x:c>
      <x:c r="G598" t="n">
        <x:v>184</x:v>
      </x:c>
      <x:c r="H598" t="n">
        <x:v>4</x:v>
      </x:c>
      <x:c r="I598" t="n">
        <x:v>0.0222</x:v>
      </x:c>
      <x:c r="J598" t="str">
        <x:v>Low</x:v>
      </x:c>
      <x:c r="K598" t="n">
        <x:v>38.1</x:v>
      </x:c>
      <x:c r="L598" t="n">
        <x:v>31.4</x:v>
      </x:c>
      <x:c r="M598" t="n">
        <x:v>38.3</x:v>
      </x:c>
      <x:c r="N598" t="str">
        <x:v>Optimistic</x:v>
      </x:c>
      <x:c r="O598" t="str">
        <x:v>Most Likely</x:v>
      </x:c>
    </x:row>
    <x:row r="599">
      <x:c r="A599" t="str">
        <x:v>PJT_598</x:v>
      </x:c>
      <x:c r="B599" t="n">
        <x:v>19287320</x:v>
      </x:c>
      <x:c r="C599" t="n">
        <x:v>19170833</x:v>
      </x:c>
      <x:c r="D599" t="n">
        <x:v>-116487</x:v>
      </x:c>
      <x:c r="E599" t="n">
        <x:v>-0.006</x:v>
      </x:c>
      <x:c r="F599" t="n">
        <x:v>354</x:v>
      </x:c>
      <x:c r="G599" t="n">
        <x:v>327</x:v>
      </x:c>
      <x:c r="H599" t="n">
        <x:v>-27</x:v>
      </x:c>
      <x:c r="I599" t="n">
        <x:v>-0.0763</x:v>
      </x:c>
      <x:c r="J599" t="str">
        <x:v>Low</x:v>
      </x:c>
      <x:c r="K599" t="n">
        <x:v>25.2</x:v>
      </x:c>
      <x:c r="L599" t="n">
        <x:v>33.3</x:v>
      </x:c>
      <x:c r="M599" t="n">
        <x:v>24.6</x:v>
      </x:c>
      <x:c r="N599" t="str">
        <x:v>Optimistic</x:v>
      </x:c>
      <x:c r="O599" t="str">
        <x:v>Optimistic</x:v>
      </x:c>
    </x:row>
    <x:row r="600">
      <x:c r="A600" t="str">
        <x:v>PJT_599</x:v>
      </x:c>
      <x:c r="B600" t="n">
        <x:v>99788130</x:v>
      </x:c>
      <x:c r="C600" t="n">
        <x:v>120128258</x:v>
      </x:c>
      <x:c r="D600" t="n">
        <x:v>20340128</x:v>
      </x:c>
      <x:c r="E600" t="n">
        <x:v>0.2038</x:v>
      </x:c>
      <x:c r="F600" t="n">
        <x:v>1706</x:v>
      </x:c>
      <x:c r="G600" t="n">
        <x:v>2032</x:v>
      </x:c>
      <x:c r="H600" t="n">
        <x:v>326</x:v>
      </x:c>
      <x:c r="I600" t="n">
        <x:v>0.1911</x:v>
      </x:c>
      <x:c r="J600" t="str">
        <x:v>High</x:v>
      </x:c>
      <x:c r="K600" t="n">
        <x:v>74.8</x:v>
      </x:c>
      <x:c r="L600" t="n">
        <x:v>79.3</x:v>
      </x:c>
      <x:c r="M600" t="n">
        <x:v>73.3</x:v>
      </x:c>
      <x:c r="N600" t="str">
        <x:v>Pessimistic</x:v>
      </x:c>
      <x:c r="O600" t="str">
        <x:v>Pessimistic</x:v>
      </x:c>
    </x:row>
    <x:row r="601">
      <x:c r="A601" t="str">
        <x:v>PJT_600</x:v>
      </x:c>
      <x:c r="B601" t="n">
        <x:v>15011640</x:v>
      </x:c>
      <x:c r="C601" t="n">
        <x:v>15877923</x:v>
      </x:c>
      <x:c r="D601" t="n">
        <x:v>866283</x:v>
      </x:c>
      <x:c r="E601" t="n">
        <x:v>0.0577</x:v>
      </x:c>
      <x:c r="F601" t="n">
        <x:v>259</x:v>
      </x:c>
      <x:c r="G601" t="n">
        <x:v>261</x:v>
      </x:c>
      <x:c r="H601" t="n">
        <x:v>2</x:v>
      </x:c>
      <x:c r="I601" t="n">
        <x:v>0.0077</x:v>
      </x:c>
      <x:c r="J601" t="str">
        <x:v>Low</x:v>
      </x:c>
      <x:c r="K601" t="n">
        <x:v>44.4</x:v>
      </x:c>
      <x:c r="L601" t="n">
        <x:v>43.5</x:v>
      </x:c>
      <x:c r="M601" t="n">
        <x:v>45.2</x:v>
      </x:c>
      <x:c r="N601" t="str">
        <x:v>Most Likely</x:v>
      </x:c>
      <x:c r="O601" t="str">
        <x:v>Most Likely</x:v>
      </x:c>
    </x:row>
    <x:row r="602">
      <x:c r="A602" t="str">
        <x:v>PJT_601</x:v>
      </x:c>
      <x:c r="B602" t="n">
        <x:v>53382880</x:v>
      </x:c>
      <x:c r="C602" t="n">
        <x:v>56369502</x:v>
      </x:c>
      <x:c r="D602" t="n">
        <x:v>2986622</x:v>
      </x:c>
      <x:c r="E602" t="n">
        <x:v>0.0559</x:v>
      </x:c>
      <x:c r="F602" t="n">
        <x:v>969</x:v>
      </x:c>
      <x:c r="G602" t="n">
        <x:v>1006</x:v>
      </x:c>
      <x:c r="H602" t="n">
        <x:v>37</x:v>
      </x:c>
      <x:c r="I602" t="n">
        <x:v>0.0382</x:v>
      </x:c>
      <x:c r="J602" t="str">
        <x:v>Medium</x:v>
      </x:c>
      <x:c r="K602" t="n">
        <x:v>46.6</x:v>
      </x:c>
      <x:c r="L602" t="n">
        <x:v>49.9</x:v>
      </x:c>
      <x:c r="M602" t="n">
        <x:v>43.5</x:v>
      </x:c>
      <x:c r="N602" t="str">
        <x:v>Most Likely</x:v>
      </x:c>
      <x:c r="O602" t="str">
        <x:v>Most Likely</x:v>
      </x:c>
    </x:row>
    <x:row r="603">
      <x:c r="A603" t="str">
        <x:v>PJT_602</x:v>
      </x:c>
      <x:c r="B603" t="n">
        <x:v>25755000</x:v>
      </x:c>
      <x:c r="C603" t="n">
        <x:v>24978743</x:v>
      </x:c>
      <x:c r="D603" t="n">
        <x:v>-776257</x:v>
      </x:c>
      <x:c r="E603" t="n">
        <x:v>-0.0301</x:v>
      </x:c>
      <x:c r="F603" t="n">
        <x:v>556</x:v>
      </x:c>
      <x:c r="G603" t="n">
        <x:v>573</x:v>
      </x:c>
      <x:c r="H603" t="n">
        <x:v>17</x:v>
      </x:c>
      <x:c r="I603" t="n">
        <x:v>0.0306</x:v>
      </x:c>
      <x:c r="J603" t="str">
        <x:v>Low</x:v>
      </x:c>
      <x:c r="K603" t="n">
        <x:v>34.9</x:v>
      </x:c>
      <x:c r="L603" t="n">
        <x:v>31.7</x:v>
      </x:c>
      <x:c r="M603" t="n">
        <x:v>33.7</x:v>
      </x:c>
      <x:c r="N603" t="str">
        <x:v>Optimistic</x:v>
      </x:c>
      <x:c r="O603" t="str">
        <x:v>Most Likely</x:v>
      </x:c>
    </x:row>
    <x:row r="604">
      <x:c r="A604" t="str">
        <x:v>PJT_603</x:v>
      </x:c>
      <x:c r="B604" t="n">
        <x:v>14654600</x:v>
      </x:c>
      <x:c r="C604" t="n">
        <x:v>14757106</x:v>
      </x:c>
      <x:c r="D604" t="n">
        <x:v>102506</x:v>
      </x:c>
      <x:c r="E604" t="n">
        <x:v>0.007</x:v>
      </x:c>
      <x:c r="F604" t="n">
        <x:v>320</x:v>
      </x:c>
      <x:c r="G604" t="n">
        <x:v>325</x:v>
      </x:c>
      <x:c r="H604" t="n">
        <x:v>5</x:v>
      </x:c>
      <x:c r="I604" t="n">
        <x:v>0.0156</x:v>
      </x:c>
      <x:c r="J604" t="str">
        <x:v>Low</x:v>
      </x:c>
      <x:c r="K604" t="n">
        <x:v>34.9</x:v>
      </x:c>
      <x:c r="L604" t="n">
        <x:v>38.5</x:v>
      </x:c>
      <x:c r="M604" t="n">
        <x:v>38.4</x:v>
      </x:c>
      <x:c r="N604" t="str">
        <x:v>Most Likely</x:v>
      </x:c>
      <x:c r="O604" t="str">
        <x:v>Most Likely</x:v>
      </x:c>
    </x:row>
    <x:row r="605">
      <x:c r="A605" t="str">
        <x:v>PJT_604</x:v>
      </x:c>
      <x:c r="B605" t="n">
        <x:v>26012850</x:v>
      </x:c>
      <x:c r="C605" t="n">
        <x:v>27810685</x:v>
      </x:c>
      <x:c r="D605" t="n">
        <x:v>1797835</x:v>
      </x:c>
      <x:c r="E605" t="n">
        <x:v>0.0691</x:v>
      </x:c>
      <x:c r="F605" t="n">
        <x:v>598</x:v>
      </x:c>
      <x:c r="G605" t="n">
        <x:v>604</x:v>
      </x:c>
      <x:c r="H605" t="n">
        <x:v>6</x:v>
      </x:c>
      <x:c r="I605" t="n">
        <x:v>0.01</x:v>
      </x:c>
      <x:c r="J605" t="str">
        <x:v>Low</x:v>
      </x:c>
      <x:c r="K605" t="n">
        <x:v>42</x:v>
      </x:c>
      <x:c r="L605" t="n">
        <x:v>40.7</x:v>
      </x:c>
      <x:c r="M605" t="n">
        <x:v>41.9</x:v>
      </x:c>
      <x:c r="N605" t="str">
        <x:v>Most Likely</x:v>
      </x:c>
      <x:c r="O605" t="str">
        <x:v>Most Likely</x:v>
      </x:c>
    </x:row>
    <x:row r="606">
      <x:c r="A606" t="str">
        <x:v>PJT_605</x:v>
      </x:c>
      <x:c r="B606" t="n">
        <x:v>55828280</x:v>
      </x:c>
      <x:c r="C606" t="n">
        <x:v>59865849</x:v>
      </x:c>
      <x:c r="D606" t="n">
        <x:v>4037569</x:v>
      </x:c>
      <x:c r="E606" t="n">
        <x:v>0.0723</x:v>
      </x:c>
      <x:c r="F606" t="n">
        <x:v>976</x:v>
      </x:c>
      <x:c r="G606" t="n">
        <x:v>1057</x:v>
      </x:c>
      <x:c r="H606" t="n">
        <x:v>81</x:v>
      </x:c>
      <x:c r="I606" t="n">
        <x:v>0.083</x:v>
      </x:c>
      <x:c r="J606" t="str">
        <x:v>Medium</x:v>
      </x:c>
      <x:c r="K606" t="n">
        <x:v>51.9</x:v>
      </x:c>
      <x:c r="L606" t="n">
        <x:v>53.1</x:v>
      </x:c>
      <x:c r="M606" t="n">
        <x:v>52.2</x:v>
      </x:c>
      <x:c r="N606" t="str">
        <x:v>Most Likely</x:v>
      </x:c>
      <x:c r="O606" t="str">
        <x:v>Most Likely</x:v>
      </x:c>
    </x:row>
    <x:row r="607">
      <x:c r="A607" t="str">
        <x:v>PJT_606</x:v>
      </x:c>
      <x:c r="B607" t="n">
        <x:v>74732210</x:v>
      </x:c>
      <x:c r="C607" t="n">
        <x:v>79981009</x:v>
      </x:c>
      <x:c r="D607" t="n">
        <x:v>5248799</x:v>
      </x:c>
      <x:c r="E607" t="n">
        <x:v>0.0702</x:v>
      </x:c>
      <x:c r="F607" t="n">
        <x:v>1464</x:v>
      </x:c>
      <x:c r="G607" t="n">
        <x:v>1545</x:v>
      </x:c>
      <x:c r="H607" t="n">
        <x:v>81</x:v>
      </x:c>
      <x:c r="I607" t="n">
        <x:v>0.0553</x:v>
      </x:c>
      <x:c r="J607" t="str">
        <x:v>Medium</x:v>
      </x:c>
      <x:c r="K607" t="n">
        <x:v>57.1</x:v>
      </x:c>
      <x:c r="L607" t="n">
        <x:v>66.4</x:v>
      </x:c>
      <x:c r="M607" t="n">
        <x:v>61.6</x:v>
      </x:c>
      <x:c r="N607" t="str">
        <x:v>Most Likely</x:v>
      </x:c>
      <x:c r="O607" t="str">
        <x:v>Most Likely</x:v>
      </x:c>
    </x:row>
    <x:row r="608">
      <x:c r="A608" t="str">
        <x:v>PJT_607</x:v>
      </x:c>
      <x:c r="B608" t="n">
        <x:v>27121600</x:v>
      </x:c>
      <x:c r="C608" t="n">
        <x:v>29701148</x:v>
      </x:c>
      <x:c r="D608" t="n">
        <x:v>2579548</x:v>
      </x:c>
      <x:c r="E608" t="n">
        <x:v>0.0951</x:v>
      </x:c>
      <x:c r="F608" t="n">
        <x:v>622</x:v>
      </x:c>
      <x:c r="G608" t="n">
        <x:v>670</x:v>
      </x:c>
      <x:c r="H608" t="n">
        <x:v>48</x:v>
      </x:c>
      <x:c r="I608" t="n">
        <x:v>0.0772</x:v>
      </x:c>
      <x:c r="J608" t="str">
        <x:v>Medium</x:v>
      </x:c>
      <x:c r="K608" t="n">
        <x:v>55.3</x:v>
      </x:c>
      <x:c r="L608" t="n">
        <x:v>55.2</x:v>
      </x:c>
      <x:c r="M608" t="n">
        <x:v>59.6</x:v>
      </x:c>
      <x:c r="N608" t="str">
        <x:v>Most Likely</x:v>
      </x:c>
      <x:c r="O608" t="str">
        <x:v>Most Likely</x:v>
      </x:c>
    </x:row>
    <x:row r="609">
      <x:c r="A609" t="str">
        <x:v>PJT_608</x:v>
      </x:c>
      <x:c r="B609" t="n">
        <x:v>79608900</x:v>
      </x:c>
      <x:c r="C609" t="n">
        <x:v>83129396</x:v>
      </x:c>
      <x:c r="D609" t="n">
        <x:v>3520496</x:v>
      </x:c>
      <x:c r="E609" t="n">
        <x:v>0.0442</x:v>
      </x:c>
      <x:c r="F609" t="n">
        <x:v>1328</x:v>
      </x:c>
      <x:c r="G609" t="n">
        <x:v>1369</x:v>
      </x:c>
      <x:c r="H609" t="n">
        <x:v>41</x:v>
      </x:c>
      <x:c r="I609" t="n">
        <x:v>0.0309</x:v>
      </x:c>
      <x:c r="J609" t="str">
        <x:v>Medium</x:v>
      </x:c>
      <x:c r="K609" t="n">
        <x:v>52.2</x:v>
      </x:c>
      <x:c r="L609" t="n">
        <x:v>48.6</x:v>
      </x:c>
      <x:c r="M609" t="n">
        <x:v>46.2</x:v>
      </x:c>
      <x:c r="N609" t="str">
        <x:v>Most Likely</x:v>
      </x:c>
      <x:c r="O609" t="str">
        <x:v>Most Likely</x:v>
      </x:c>
    </x:row>
    <x:row r="610">
      <x:c r="A610" t="str">
        <x:v>PJT_609</x:v>
      </x:c>
      <x:c r="B610" t="n">
        <x:v>51565920</x:v>
      </x:c>
      <x:c r="C610" t="n">
        <x:v>53407428</x:v>
      </x:c>
      <x:c r="D610" t="n">
        <x:v>1841508</x:v>
      </x:c>
      <x:c r="E610" t="n">
        <x:v>0.0357</x:v>
      </x:c>
      <x:c r="F610" t="n">
        <x:v>868</x:v>
      </x:c>
      <x:c r="G610" t="n">
        <x:v>978</x:v>
      </x:c>
      <x:c r="H610" t="n">
        <x:v>110</x:v>
      </x:c>
      <x:c r="I610" t="n">
        <x:v>0.1267</x:v>
      </x:c>
      <x:c r="J610" t="str">
        <x:v>Medium</x:v>
      </x:c>
      <x:c r="K610" t="n">
        <x:v>52.8</x:v>
      </x:c>
      <x:c r="L610" t="n">
        <x:v>54.4</x:v>
      </x:c>
      <x:c r="M610" t="n">
        <x:v>56.1</x:v>
      </x:c>
      <x:c r="N610" t="str">
        <x:v>Most Likely</x:v>
      </x:c>
      <x:c r="O610" t="str">
        <x:v>Pessimistic</x:v>
      </x:c>
    </x:row>
    <x:row r="611">
      <x:c r="A611" t="str">
        <x:v>PJT_610</x:v>
      </x:c>
      <x:c r="B611" t="n">
        <x:v>5707800</x:v>
      </x:c>
      <x:c r="C611" t="n">
        <x:v>5217679</x:v>
      </x:c>
      <x:c r="D611" t="n">
        <x:v>-490121</x:v>
      </x:c>
      <x:c r="E611" t="n">
        <x:v>-0.0859</x:v>
      </x:c>
      <x:c r="F611" t="n">
        <x:v>180</x:v>
      </x:c>
      <x:c r="G611" t="n">
        <x:v>186</x:v>
      </x:c>
      <x:c r="H611" t="n">
        <x:v>6</x:v>
      </x:c>
      <x:c r="I611" t="n">
        <x:v>0.0333</x:v>
      </x:c>
      <x:c r="J611" t="str">
        <x:v>Low</x:v>
      </x:c>
      <x:c r="K611" t="n">
        <x:v>36</x:v>
      </x:c>
      <x:c r="L611" t="n">
        <x:v>36.5</x:v>
      </x:c>
      <x:c r="M611" t="n">
        <x:v>32.8</x:v>
      </x:c>
      <x:c r="N611" t="str">
        <x:v>Optimistic</x:v>
      </x:c>
      <x:c r="O611" t="str">
        <x:v>Most Likely</x:v>
      </x:c>
    </x:row>
    <x:row r="612">
      <x:c r="A612" t="str">
        <x:v>PJT_611</x:v>
      </x:c>
      <x:c r="B612" t="n">
        <x:v>67156000</x:v>
      </x:c>
      <x:c r="C612" t="n">
        <x:v>68721370</x:v>
      </x:c>
      <x:c r="D612" t="n">
        <x:v>1565370</x:v>
      </x:c>
      <x:c r="E612" t="n">
        <x:v>0.0233</x:v>
      </x:c>
      <x:c r="F612" t="n">
        <x:v>1257</x:v>
      </x:c>
      <x:c r="G612" t="n">
        <x:v>1317</x:v>
      </x:c>
      <x:c r="H612" t="n">
        <x:v>60</x:v>
      </x:c>
      <x:c r="I612" t="n">
        <x:v>0.0477</x:v>
      </x:c>
      <x:c r="J612" t="str">
        <x:v>Medium</x:v>
      </x:c>
      <x:c r="K612" t="n">
        <x:v>45.1</x:v>
      </x:c>
      <x:c r="L612" t="n">
        <x:v>54.1</x:v>
      </x:c>
      <x:c r="M612" t="n">
        <x:v>44</x:v>
      </x:c>
      <x:c r="N612" t="str">
        <x:v>Most Likely</x:v>
      </x:c>
      <x:c r="O612" t="str">
        <x:v>Most Likely</x:v>
      </x:c>
    </x:row>
    <x:row r="613">
      <x:c r="A613" t="str">
        <x:v>PJT_612</x:v>
      </x:c>
      <x:c r="B613" t="n">
        <x:v>9140900</x:v>
      </x:c>
      <x:c r="C613" t="n">
        <x:v>9343849</x:v>
      </x:c>
      <x:c r="D613" t="n">
        <x:v>202949</x:v>
      </x:c>
      <x:c r="E613" t="n">
        <x:v>0.0222</x:v>
      </x:c>
      <x:c r="F613" t="n">
        <x:v>211</x:v>
      </x:c>
      <x:c r="G613" t="n">
        <x:v>217</x:v>
      </x:c>
      <x:c r="H613" t="n">
        <x:v>6</x:v>
      </x:c>
      <x:c r="I613" t="n">
        <x:v>0.0284</x:v>
      </x:c>
      <x:c r="J613" t="str">
        <x:v>Low</x:v>
      </x:c>
      <x:c r="K613" t="n">
        <x:v>40.1</x:v>
      </x:c>
      <x:c r="L613" t="n">
        <x:v>40.1</x:v>
      </x:c>
      <x:c r="M613" t="n">
        <x:v>40.3</x:v>
      </x:c>
      <x:c r="N613" t="str">
        <x:v>Most Likely</x:v>
      </x:c>
      <x:c r="O613" t="str">
        <x:v>Most Likely</x:v>
      </x:c>
    </x:row>
    <x:row r="614">
      <x:c r="A614" t="str">
        <x:v>PJT_613</x:v>
      </x:c>
      <x:c r="B614" t="n">
        <x:v>64480500</x:v>
      </x:c>
      <x:c r="C614" t="n">
        <x:v>69317777</x:v>
      </x:c>
      <x:c r="D614" t="n">
        <x:v>4837277</x:v>
      </x:c>
      <x:c r="E614" t="n">
        <x:v>0.075</x:v>
      </x:c>
      <x:c r="F614" t="n">
        <x:v>1038</x:v>
      </x:c>
      <x:c r="G614" t="n">
        <x:v>1097</x:v>
      </x:c>
      <x:c r="H614" t="n">
        <x:v>59</x:v>
      </x:c>
      <x:c r="I614" t="n">
        <x:v>0.0568</x:v>
      </x:c>
      <x:c r="J614" t="str">
        <x:v>Medium</x:v>
      </x:c>
      <x:c r="K614" t="n">
        <x:v>51.3</x:v>
      </x:c>
      <x:c r="L614" t="n">
        <x:v>55.1</x:v>
      </x:c>
      <x:c r="M614" t="n">
        <x:v>56.7</x:v>
      </x:c>
      <x:c r="N614" t="str">
        <x:v>Most Likely</x:v>
      </x:c>
      <x:c r="O614" t="str">
        <x:v>Most Likely</x:v>
      </x:c>
    </x:row>
    <x:row r="615">
      <x:c r="A615" t="str">
        <x:v>PJT_614</x:v>
      </x:c>
      <x:c r="B615" t="n">
        <x:v>53997240</x:v>
      </x:c>
      <x:c r="C615" t="n">
        <x:v>53401048</x:v>
      </x:c>
      <x:c r="D615" t="n">
        <x:v>-596192</x:v>
      </x:c>
      <x:c r="E615" t="n">
        <x:v>-0.011</x:v>
      </x:c>
      <x:c r="F615" t="n">
        <x:v>971</x:v>
      </x:c>
      <x:c r="G615" t="n">
        <x:v>1047</x:v>
      </x:c>
      <x:c r="H615" t="n">
        <x:v>76</x:v>
      </x:c>
      <x:c r="I615" t="n">
        <x:v>0.0783</x:v>
      </x:c>
      <x:c r="J615" t="str">
        <x:v>Medium</x:v>
      </x:c>
      <x:c r="K615" t="n">
        <x:v>48.2</x:v>
      </x:c>
      <x:c r="L615" t="n">
        <x:v>48.2</x:v>
      </x:c>
      <x:c r="M615" t="n">
        <x:v>48.9</x:v>
      </x:c>
      <x:c r="N615" t="str">
        <x:v>Optimistic</x:v>
      </x:c>
      <x:c r="O615" t="str">
        <x:v>Most Likely</x:v>
      </x:c>
    </x:row>
    <x:row r="616">
      <x:c r="A616" t="str">
        <x:v>PJT_615</x:v>
      </x:c>
      <x:c r="B616" t="n">
        <x:v>76092800</x:v>
      </x:c>
      <x:c r="C616" t="n">
        <x:v>85268569</x:v>
      </x:c>
      <x:c r="D616" t="n">
        <x:v>9175769</x:v>
      </x:c>
      <x:c r="E616" t="n">
        <x:v>0.1206</x:v>
      </x:c>
      <x:c r="F616" t="n">
        <x:v>1541</x:v>
      </x:c>
      <x:c r="G616" t="n">
        <x:v>1753</x:v>
      </x:c>
      <x:c r="H616" t="n">
        <x:v>212</x:v>
      </x:c>
      <x:c r="I616" t="n">
        <x:v>0.1376</x:v>
      </x:c>
      <x:c r="J616" t="str">
        <x:v>Medium</x:v>
      </x:c>
      <x:c r="K616" t="n">
        <x:v>65.9</x:v>
      </x:c>
      <x:c r="L616" t="n">
        <x:v>67.7</x:v>
      </x:c>
      <x:c r="M616" t="n">
        <x:v>63.3</x:v>
      </x:c>
      <x:c r="N616" t="str">
        <x:v>Pessimistic</x:v>
      </x:c>
      <x:c r="O616" t="str">
        <x:v>Pessimistic</x:v>
      </x:c>
    </x:row>
    <x:row r="617">
      <x:c r="A617" t="str">
        <x:v>PJT_616</x:v>
      </x:c>
      <x:c r="B617" t="n">
        <x:v>50135850</x:v>
      </x:c>
      <x:c r="C617" t="n">
        <x:v>52502212</x:v>
      </x:c>
      <x:c r="D617" t="n">
        <x:v>2366362</x:v>
      </x:c>
      <x:c r="E617" t="n">
        <x:v>0.0472</x:v>
      </x:c>
      <x:c r="F617" t="n">
        <x:v>888</x:v>
      </x:c>
      <x:c r="G617" t="n">
        <x:v>929</x:v>
      </x:c>
      <x:c r="H617" t="n">
        <x:v>41</x:v>
      </x:c>
      <x:c r="I617" t="n">
        <x:v>0.0462</x:v>
      </x:c>
      <x:c r="J617" t="str">
        <x:v>Medium</x:v>
      </x:c>
      <x:c r="K617" t="n">
        <x:v>48.6</x:v>
      </x:c>
      <x:c r="L617" t="n">
        <x:v>52.2</x:v>
      </x:c>
      <x:c r="M617" t="n">
        <x:v>48.6</x:v>
      </x:c>
      <x:c r="N617" t="str">
        <x:v>Most Likely</x:v>
      </x:c>
      <x:c r="O617" t="str">
        <x:v>Most Likely</x:v>
      </x:c>
    </x:row>
    <x:row r="618">
      <x:c r="A618" t="str">
        <x:v>PJT_617</x:v>
      </x:c>
      <x:c r="B618" t="n">
        <x:v>17203320</x:v>
      </x:c>
      <x:c r="C618" t="n">
        <x:v>17028106</x:v>
      </x:c>
      <x:c r="D618" t="n">
        <x:v>-175214</x:v>
      </x:c>
      <x:c r="E618" t="n">
        <x:v>-0.0102</x:v>
      </x:c>
      <x:c r="F618" t="n">
        <x:v>279</x:v>
      </x:c>
      <x:c r="G618" t="n">
        <x:v>262</x:v>
      </x:c>
      <x:c r="H618" t="n">
        <x:v>-17</x:v>
      </x:c>
      <x:c r="I618" t="n">
        <x:v>-0.0609</x:v>
      </x:c>
      <x:c r="J618" t="str">
        <x:v>Low</x:v>
      </x:c>
      <x:c r="K618" t="n">
        <x:v>35.5</x:v>
      </x:c>
      <x:c r="L618" t="n">
        <x:v>40.6</x:v>
      </x:c>
      <x:c r="M618" t="n">
        <x:v>36.6</x:v>
      </x:c>
      <x:c r="N618" t="str">
        <x:v>Optimistic</x:v>
      </x:c>
      <x:c r="O618" t="str">
        <x:v>Optimistic</x:v>
      </x:c>
    </x:row>
    <x:row r="619">
      <x:c r="A619" t="str">
        <x:v>PJT_618</x:v>
      </x:c>
      <x:c r="B619" t="n">
        <x:v>8074080</x:v>
      </x:c>
      <x:c r="C619" t="n">
        <x:v>7916244</x:v>
      </x:c>
      <x:c r="D619" t="n">
        <x:v>-157836</x:v>
      </x:c>
      <x:c r="E619" t="n">
        <x:v>-0.0195</x:v>
      </x:c>
      <x:c r="F619" t="n">
        <x:v>180</x:v>
      </x:c>
      <x:c r="G619" t="n">
        <x:v>174</x:v>
      </x:c>
      <x:c r="H619" t="n">
        <x:v>-6</x:v>
      </x:c>
      <x:c r="I619" t="n">
        <x:v>-0.0333</x:v>
      </x:c>
      <x:c r="J619" t="str">
        <x:v>Low</x:v>
      </x:c>
      <x:c r="K619" t="n">
        <x:v>28.3</x:v>
      </x:c>
      <x:c r="L619" t="n">
        <x:v>26.2</x:v>
      </x:c>
      <x:c r="M619" t="n">
        <x:v>22.1</x:v>
      </x:c>
      <x:c r="N619" t="str">
        <x:v>Optimistic</x:v>
      </x:c>
      <x:c r="O619" t="str">
        <x:v>Optimistic</x:v>
      </x:c>
    </x:row>
    <x:row r="620">
      <x:c r="A620" t="str">
        <x:v>PJT_619</x:v>
      </x:c>
      <x:c r="B620" t="n">
        <x:v>57301110</x:v>
      </x:c>
      <x:c r="C620" t="n">
        <x:v>60392739</x:v>
      </x:c>
      <x:c r="D620" t="n">
        <x:v>3091629</x:v>
      </x:c>
      <x:c r="E620" t="n">
        <x:v>0.054</x:v>
      </x:c>
      <x:c r="F620" t="n">
        <x:v>945</x:v>
      </x:c>
      <x:c r="G620" t="n">
        <x:v>959</x:v>
      </x:c>
      <x:c r="H620" t="n">
        <x:v>14</x:v>
      </x:c>
      <x:c r="I620" t="n">
        <x:v>0.0148</x:v>
      </x:c>
      <x:c r="J620" t="str">
        <x:v>Medium</x:v>
      </x:c>
      <x:c r="K620" t="n">
        <x:v>47.7</x:v>
      </x:c>
      <x:c r="L620" t="n">
        <x:v>50.8</x:v>
      </x:c>
      <x:c r="M620" t="n">
        <x:v>48.3</x:v>
      </x:c>
      <x:c r="N620" t="str">
        <x:v>Most Likely</x:v>
      </x:c>
      <x:c r="O620" t="str">
        <x:v>Most Likely</x:v>
      </x:c>
    </x:row>
    <x:row r="621">
      <x:c r="A621" t="str">
        <x:v>PJT_620</x:v>
      </x:c>
      <x:c r="B621" t="n">
        <x:v>22729680</x:v>
      </x:c>
      <x:c r="C621" t="n">
        <x:v>24372233</x:v>
      </x:c>
      <x:c r="D621" t="n">
        <x:v>1642553</x:v>
      </x:c>
      <x:c r="E621" t="n">
        <x:v>0.0723</x:v>
      </x:c>
      <x:c r="F621" t="n">
        <x:v>394</x:v>
      </x:c>
      <x:c r="G621" t="n">
        <x:v>400</x:v>
      </x:c>
      <x:c r="H621" t="n">
        <x:v>6</x:v>
      </x:c>
      <x:c r="I621" t="n">
        <x:v>0.0152</x:v>
      </x:c>
      <x:c r="J621" t="str">
        <x:v>Medium</x:v>
      </x:c>
      <x:c r="K621" t="n">
        <x:v>49.1</x:v>
      </x:c>
      <x:c r="L621" t="n">
        <x:v>45.2</x:v>
      </x:c>
      <x:c r="M621" t="n">
        <x:v>48</x:v>
      </x:c>
      <x:c r="N621" t="str">
        <x:v>Most Likely</x:v>
      </x:c>
      <x:c r="O621" t="str">
        <x:v>Most Likely</x:v>
      </x:c>
    </x:row>
    <x:row r="622">
      <x:c r="A622" t="str">
        <x:v>PJT_621</x:v>
      </x:c>
      <x:c r="B622" t="n">
        <x:v>18406300</x:v>
      </x:c>
      <x:c r="C622" t="n">
        <x:v>16951477</x:v>
      </x:c>
      <x:c r="D622" t="n">
        <x:v>-1454823</x:v>
      </x:c>
      <x:c r="E622" t="n">
        <x:v>-0.079</x:v>
      </x:c>
      <x:c r="F622" t="n">
        <x:v>395</x:v>
      </x:c>
      <x:c r="G622" t="n">
        <x:v>426</x:v>
      </x:c>
      <x:c r="H622" t="n">
        <x:v>31</x:v>
      </x:c>
      <x:c r="I622" t="n">
        <x:v>0.0785</x:v>
      </x:c>
      <x:c r="J622" t="str">
        <x:v>Low</x:v>
      </x:c>
      <x:c r="K622" t="n">
        <x:v>34.2</x:v>
      </x:c>
      <x:c r="L622" t="n">
        <x:v>36</x:v>
      </x:c>
      <x:c r="M622" t="n">
        <x:v>40.4</x:v>
      </x:c>
      <x:c r="N622" t="str">
        <x:v>Optimistic</x:v>
      </x:c>
      <x:c r="O622" t="str">
        <x:v>Most Likely</x:v>
      </x:c>
    </x:row>
    <x:row r="623">
      <x:c r="A623" t="str">
        <x:v>PJT_622</x:v>
      </x:c>
      <x:c r="B623" t="n">
        <x:v>38193050</x:v>
      </x:c>
      <x:c r="C623" t="n">
        <x:v>39214854</x:v>
      </x:c>
      <x:c r="D623" t="n">
        <x:v>1021804</x:v>
      </x:c>
      <x:c r="E623" t="n">
        <x:v>0.0268</x:v>
      </x:c>
      <x:c r="F623" t="n">
        <x:v>989</x:v>
      </x:c>
      <x:c r="G623" t="n">
        <x:v>1028</x:v>
      </x:c>
      <x:c r="H623" t="n">
        <x:v>39</x:v>
      </x:c>
      <x:c r="I623" t="n">
        <x:v>0.0394</x:v>
      </x:c>
      <x:c r="J623" t="str">
        <x:v>Medium</x:v>
      </x:c>
      <x:c r="K623" t="n">
        <x:v>50.1</x:v>
      </x:c>
      <x:c r="L623" t="n">
        <x:v>46.4</x:v>
      </x:c>
      <x:c r="M623" t="n">
        <x:v>55.9</x:v>
      </x:c>
      <x:c r="N623" t="str">
        <x:v>Most Likely</x:v>
      </x:c>
      <x:c r="O623" t="str">
        <x:v>Most Likely</x:v>
      </x:c>
    </x:row>
    <x:row r="624">
      <x:c r="A624" t="str">
        <x:v>PJT_623</x:v>
      </x:c>
      <x:c r="B624" t="n">
        <x:v>105089580</x:v>
      </x:c>
      <x:c r="C624" t="n">
        <x:v>120602739</x:v>
      </x:c>
      <x:c r="D624" t="n">
        <x:v>15513159</x:v>
      </x:c>
      <x:c r="E624" t="n">
        <x:v>0.1476</x:v>
      </x:c>
      <x:c r="F624" t="n">
        <x:v>1824</x:v>
      </x:c>
      <x:c r="G624" t="n">
        <x:v>2061</x:v>
      </x:c>
      <x:c r="H624" t="n">
        <x:v>237</x:v>
      </x:c>
      <x:c r="I624" t="n">
        <x:v>0.1299</x:v>
      </x:c>
      <x:c r="J624" t="str">
        <x:v>Medium</x:v>
      </x:c>
      <x:c r="K624" t="n">
        <x:v>64.8</x:v>
      </x:c>
      <x:c r="L624" t="n">
        <x:v>68.9</x:v>
      </x:c>
      <x:c r="M624" t="n">
        <x:v>64</x:v>
      </x:c>
      <x:c r="N624" t="str">
        <x:v>Pessimistic</x:v>
      </x:c>
      <x:c r="O624" t="str">
        <x:v>Pessimistic</x:v>
      </x:c>
    </x:row>
    <x:row r="625">
      <x:c r="A625" t="str">
        <x:v>PJT_624</x:v>
      </x:c>
      <x:c r="B625" t="n">
        <x:v>75295200</x:v>
      </x:c>
      <x:c r="C625" t="n">
        <x:v>80584039</x:v>
      </x:c>
      <x:c r="D625" t="n">
        <x:v>5288839</x:v>
      </x:c>
      <x:c r="E625" t="n">
        <x:v>0.0702</x:v>
      </x:c>
      <x:c r="F625" t="n">
        <x:v>1542</x:v>
      </x:c>
      <x:c r="G625" t="n">
        <x:v>1715</x:v>
      </x:c>
      <x:c r="H625" t="n">
        <x:v>173</x:v>
      </x:c>
      <x:c r="I625" t="n">
        <x:v>0.1122</x:v>
      </x:c>
      <x:c r="J625" t="str">
        <x:v>Medium</x:v>
      </x:c>
      <x:c r="K625" t="n">
        <x:v>59.4</x:v>
      </x:c>
      <x:c r="L625" t="n">
        <x:v>65.9</x:v>
      </x:c>
      <x:c r="M625" t="n">
        <x:v>62.8</x:v>
      </x:c>
      <x:c r="N625" t="str">
        <x:v>Most Likely</x:v>
      </x:c>
      <x:c r="O625" t="str">
        <x:v>Pessimistic</x:v>
      </x:c>
    </x:row>
    <x:row r="626">
      <x:c r="A626" t="str">
        <x:v>PJT_625</x:v>
      </x:c>
      <x:c r="B626" t="n">
        <x:v>39181940</x:v>
      </x:c>
      <x:c r="C626" t="n">
        <x:v>43042999</x:v>
      </x:c>
      <x:c r="D626" t="n">
        <x:v>3861059</x:v>
      </x:c>
      <x:c r="E626" t="n">
        <x:v>0.0985</x:v>
      </x:c>
      <x:c r="F626" t="n">
        <x:v>658</x:v>
      </x:c>
      <x:c r="G626" t="n">
        <x:v>636</x:v>
      </x:c>
      <x:c r="H626" t="n">
        <x:v>-22</x:v>
      </x:c>
      <x:c r="I626" t="n">
        <x:v>-0.0334</x:v>
      </x:c>
      <x:c r="J626" t="str">
        <x:v>Low</x:v>
      </x:c>
      <x:c r="K626" t="n">
        <x:v>43.8</x:v>
      </x:c>
      <x:c r="L626" t="n">
        <x:v>49.8</x:v>
      </x:c>
      <x:c r="M626" t="n">
        <x:v>44.9</x:v>
      </x:c>
      <x:c r="N626" t="str">
        <x:v>Most Likely</x:v>
      </x:c>
      <x:c r="O626" t="str">
        <x:v>Optimistic</x:v>
      </x:c>
    </x:row>
    <x:row r="627">
      <x:c r="A627" t="str">
        <x:v>PJT_626</x:v>
      </x:c>
      <x:c r="B627" t="n">
        <x:v>65158200</x:v>
      </x:c>
      <x:c r="C627" t="n">
        <x:v>73693875</x:v>
      </x:c>
      <x:c r="D627" t="n">
        <x:v>8535675</x:v>
      </x:c>
      <x:c r="E627" t="n">
        <x:v>0.131</x:v>
      </x:c>
      <x:c r="F627" t="n">
        <x:v>1348</x:v>
      </x:c>
      <x:c r="G627" t="n">
        <x:v>1367</x:v>
      </x:c>
      <x:c r="H627" t="n">
        <x:v>19</x:v>
      </x:c>
      <x:c r="I627" t="n">
        <x:v>0.0141</x:v>
      </x:c>
      <x:c r="J627" t="str">
        <x:v>Medium</x:v>
      </x:c>
      <x:c r="K627" t="n">
        <x:v>60.3</x:v>
      </x:c>
      <x:c r="L627" t="n">
        <x:v>67.6</x:v>
      </x:c>
      <x:c r="M627" t="n">
        <x:v>65.2</x:v>
      </x:c>
      <x:c r="N627" t="str">
        <x:v>Pessimistic</x:v>
      </x:c>
      <x:c r="O627" t="str">
        <x:v>Most Likely</x:v>
      </x:c>
    </x:row>
    <x:row r="628">
      <x:c r="A628" t="str">
        <x:v>PJT_627</x:v>
      </x:c>
      <x:c r="B628" t="n">
        <x:v>55723560</x:v>
      </x:c>
      <x:c r="C628" t="n">
        <x:v>57863648</x:v>
      </x:c>
      <x:c r="D628" t="n">
        <x:v>2140088</x:v>
      </x:c>
      <x:c r="E628" t="n">
        <x:v>0.0384</x:v>
      </x:c>
      <x:c r="F628" t="n">
        <x:v>1110</x:v>
      </x:c>
      <x:c r="G628" t="n">
        <x:v>1180</x:v>
      </x:c>
      <x:c r="H628" t="n">
        <x:v>70</x:v>
      </x:c>
      <x:c r="I628" t="n">
        <x:v>0.0631</x:v>
      </x:c>
      <x:c r="J628" t="str">
        <x:v>Medium</x:v>
      </x:c>
      <x:c r="K628" t="n">
        <x:v>50.3</x:v>
      </x:c>
      <x:c r="L628" t="n">
        <x:v>47.2</x:v>
      </x:c>
      <x:c r="M628" t="n">
        <x:v>51.9</x:v>
      </x:c>
      <x:c r="N628" t="str">
        <x:v>Most Likely</x:v>
      </x:c>
      <x:c r="O628" t="str">
        <x:v>Most Likely</x:v>
      </x:c>
    </x:row>
    <x:row r="629">
      <x:c r="A629" t="str">
        <x:v>PJT_628</x:v>
      </x:c>
      <x:c r="B629" t="n">
        <x:v>60107090</x:v>
      </x:c>
      <x:c r="C629" t="n">
        <x:v>62918741</x:v>
      </x:c>
      <x:c r="D629" t="n">
        <x:v>2811651</x:v>
      </x:c>
      <x:c r="E629" t="n">
        <x:v>0.0468</x:v>
      </x:c>
      <x:c r="F629" t="n">
        <x:v>896</x:v>
      </x:c>
      <x:c r="G629" t="n">
        <x:v>990</x:v>
      </x:c>
      <x:c r="H629" t="n">
        <x:v>94</x:v>
      </x:c>
      <x:c r="I629" t="n">
        <x:v>0.1049</x:v>
      </x:c>
      <x:c r="J629" t="str">
        <x:v>Medium</x:v>
      </x:c>
      <x:c r="K629" t="n">
        <x:v>51.2</x:v>
      </x:c>
      <x:c r="L629" t="n">
        <x:v>57.1</x:v>
      </x:c>
      <x:c r="M629" t="n">
        <x:v>56.4</x:v>
      </x:c>
      <x:c r="N629" t="str">
        <x:v>Most Likely</x:v>
      </x:c>
      <x:c r="O629" t="str">
        <x:v>Pessimistic</x:v>
      </x:c>
    </x:row>
    <x:row r="630">
      <x:c r="A630" t="str">
        <x:v>PJT_629</x:v>
      </x:c>
      <x:c r="B630" t="n">
        <x:v>103958760</x:v>
      </x:c>
      <x:c r="C630" t="n">
        <x:v>117531677</x:v>
      </x:c>
      <x:c r="D630" t="n">
        <x:v>13572917</x:v>
      </x:c>
      <x:c r="E630" t="n">
        <x:v>0.1306</x:v>
      </x:c>
      <x:c r="F630" t="n">
        <x:v>1801</x:v>
      </x:c>
      <x:c r="G630" t="n">
        <x:v>1953</x:v>
      </x:c>
      <x:c r="H630" t="n">
        <x:v>152</x:v>
      </x:c>
      <x:c r="I630" t="n">
        <x:v>0.0844</x:v>
      </x:c>
      <x:c r="J630" t="str">
        <x:v>Medium</x:v>
      </x:c>
      <x:c r="K630" t="n">
        <x:v>63.7</x:v>
      </x:c>
      <x:c r="L630" t="n">
        <x:v>67.5</x:v>
      </x:c>
      <x:c r="M630" t="n">
        <x:v>64.3</x:v>
      </x:c>
      <x:c r="N630" t="str">
        <x:v>Pessimistic</x:v>
      </x:c>
      <x:c r="O630" t="str">
        <x:v>Most Likely</x:v>
      </x:c>
    </x:row>
    <x:row r="631">
      <x:c r="A631" t="str">
        <x:v>PJT_630</x:v>
      </x:c>
      <x:c r="B631" t="n">
        <x:v>36445320</x:v>
      </x:c>
      <x:c r="C631" t="n">
        <x:v>37588073</x:v>
      </x:c>
      <x:c r="D631" t="n">
        <x:v>1142753</x:v>
      </x:c>
      <x:c r="E631" t="n">
        <x:v>0.0314</x:v>
      </x:c>
      <x:c r="F631" t="n">
        <x:v>700</x:v>
      </x:c>
      <x:c r="G631" t="n">
        <x:v>754</x:v>
      </x:c>
      <x:c r="H631" t="n">
        <x:v>54</x:v>
      </x:c>
      <x:c r="I631" t="n">
        <x:v>0.0771</x:v>
      </x:c>
      <x:c r="J631" t="str">
        <x:v>Low</x:v>
      </x:c>
      <x:c r="K631" t="n">
        <x:v>43</x:v>
      </x:c>
      <x:c r="L631" t="n">
        <x:v>49.3</x:v>
      </x:c>
      <x:c r="M631" t="n">
        <x:v>41.1</x:v>
      </x:c>
      <x:c r="N631" t="str">
        <x:v>Most Likely</x:v>
      </x:c>
      <x:c r="O631" t="str">
        <x:v>Most Likely</x:v>
      </x:c>
    </x:row>
    <x:row r="632">
      <x:c r="A632" t="str">
        <x:v>PJT_631</x:v>
      </x:c>
      <x:c r="B632" t="n">
        <x:v>36573120</x:v>
      </x:c>
      <x:c r="C632" t="n">
        <x:v>39203093</x:v>
      </x:c>
      <x:c r="D632" t="n">
        <x:v>2629973</x:v>
      </x:c>
      <x:c r="E632" t="n">
        <x:v>0.0719</x:v>
      </x:c>
      <x:c r="F632" t="n">
        <x:v>732</x:v>
      </x:c>
      <x:c r="G632" t="n">
        <x:v>831</x:v>
      </x:c>
      <x:c r="H632" t="n">
        <x:v>99</x:v>
      </x:c>
      <x:c r="I632" t="n">
        <x:v>0.1352</x:v>
      </x:c>
      <x:c r="J632" t="str">
        <x:v>Medium</x:v>
      </x:c>
      <x:c r="K632" t="n">
        <x:v>60.3</x:v>
      </x:c>
      <x:c r="L632" t="n">
        <x:v>59.5</x:v>
      </x:c>
      <x:c r="M632" t="n">
        <x:v>64.9</x:v>
      </x:c>
      <x:c r="N632" t="str">
        <x:v>Most Likely</x:v>
      </x:c>
      <x:c r="O632" t="str">
        <x:v>Pessimistic</x:v>
      </x:c>
    </x:row>
    <x:row r="633">
      <x:c r="A633" t="str">
        <x:v>PJT_632</x:v>
      </x:c>
      <x:c r="B633" t="n">
        <x:v>22955100</x:v>
      </x:c>
      <x:c r="C633" t="n">
        <x:v>23231357</x:v>
      </x:c>
      <x:c r="D633" t="n">
        <x:v>276257</x:v>
      </x:c>
      <x:c r="E633" t="n">
        <x:v>0.012</x:v>
      </x:c>
      <x:c r="F633" t="n">
        <x:v>385</x:v>
      </x:c>
      <x:c r="G633" t="n">
        <x:v>376</x:v>
      </x:c>
      <x:c r="H633" t="n">
        <x:v>-9</x:v>
      </x:c>
      <x:c r="I633" t="n">
        <x:v>-0.0234</x:v>
      </x:c>
      <x:c r="J633" t="str">
        <x:v>Low</x:v>
      </x:c>
      <x:c r="K633" t="n">
        <x:v>36.1</x:v>
      </x:c>
      <x:c r="L633" t="n">
        <x:v>42.1</x:v>
      </x:c>
      <x:c r="M633" t="n">
        <x:v>31.1</x:v>
      </x:c>
      <x:c r="N633" t="str">
        <x:v>Most Likely</x:v>
      </x:c>
      <x:c r="O633" t="str">
        <x:v>Optimistic</x:v>
      </x:c>
    </x:row>
    <x:row r="634">
      <x:c r="A634" t="str">
        <x:v>PJT_633</x:v>
      </x:c>
      <x:c r="B634" t="n">
        <x:v>41803800</x:v>
      </x:c>
      <x:c r="C634" t="n">
        <x:v>42579740</x:v>
      </x:c>
      <x:c r="D634" t="n">
        <x:v>775940</x:v>
      </x:c>
      <x:c r="E634" t="n">
        <x:v>0.0186</x:v>
      </x:c>
      <x:c r="F634" t="n">
        <x:v>812</x:v>
      </x:c>
      <x:c r="G634" t="n">
        <x:v>870</x:v>
      </x:c>
      <x:c r="H634" t="n">
        <x:v>58</x:v>
      </x:c>
      <x:c r="I634" t="n">
        <x:v>0.0714</x:v>
      </x:c>
      <x:c r="J634" t="str">
        <x:v>Medium</x:v>
      </x:c>
      <x:c r="K634" t="n">
        <x:v>46.2</x:v>
      </x:c>
      <x:c r="L634" t="n">
        <x:v>48.5</x:v>
      </x:c>
      <x:c r="M634" t="n">
        <x:v>49.1</x:v>
      </x:c>
      <x:c r="N634" t="str">
        <x:v>Most Likely</x:v>
      </x:c>
      <x:c r="O634" t="str">
        <x:v>Most Likely</x:v>
      </x:c>
    </x:row>
    <x:row r="635">
      <x:c r="A635" t="str">
        <x:v>PJT_634</x:v>
      </x:c>
      <x:c r="B635" t="n">
        <x:v>91272800</x:v>
      </x:c>
      <x:c r="C635" t="n">
        <x:v>101702058</x:v>
      </x:c>
      <x:c r="D635" t="n">
        <x:v>10429258</x:v>
      </x:c>
      <x:c r="E635" t="n">
        <x:v>0.1143</x:v>
      </x:c>
      <x:c r="F635" t="n">
        <x:v>1480</x:v>
      </x:c>
      <x:c r="G635" t="n">
        <x:v>1544</x:v>
      </x:c>
      <x:c r="H635" t="n">
        <x:v>64</x:v>
      </x:c>
      <x:c r="I635" t="n">
        <x:v>0.0432</x:v>
      </x:c>
      <x:c r="J635" t="str">
        <x:v>Medium</x:v>
      </x:c>
      <x:c r="K635" t="n">
        <x:v>65.1</x:v>
      </x:c>
      <x:c r="L635" t="n">
        <x:v>64.3</x:v>
      </x:c>
      <x:c r="M635" t="n">
        <x:v>59.7</x:v>
      </x:c>
      <x:c r="N635" t="str">
        <x:v>Pessimistic</x:v>
      </x:c>
      <x:c r="O635" t="str">
        <x:v>Most Likely</x:v>
      </x:c>
    </x:row>
    <x:row r="636">
      <x:c r="A636" t="str">
        <x:v>PJT_635</x:v>
      </x:c>
      <x:c r="B636" t="n">
        <x:v>37738080</x:v>
      </x:c>
      <x:c r="C636" t="n">
        <x:v>38096012</x:v>
      </x:c>
      <x:c r="D636" t="n">
        <x:v>357932</x:v>
      </x:c>
      <x:c r="E636" t="n">
        <x:v>0.0095</x:v>
      </x:c>
      <x:c r="F636" t="n">
        <x:v>646</x:v>
      </x:c>
      <x:c r="G636" t="n">
        <x:v>658</x:v>
      </x:c>
      <x:c r="H636" t="n">
        <x:v>12</x:v>
      </x:c>
      <x:c r="I636" t="n">
        <x:v>0.0186</x:v>
      </x:c>
      <x:c r="J636" t="str">
        <x:v>Medium</x:v>
      </x:c>
      <x:c r="K636" t="n">
        <x:v>49.6</x:v>
      </x:c>
      <x:c r="L636" t="n">
        <x:v>48.3</x:v>
      </x:c>
      <x:c r="M636" t="n">
        <x:v>43.1</x:v>
      </x:c>
      <x:c r="N636" t="str">
        <x:v>Most Likely</x:v>
      </x:c>
      <x:c r="O636" t="str">
        <x:v>Most Likely</x:v>
      </x:c>
    </x:row>
    <x:row r="637">
      <x:c r="A637" t="str">
        <x:v>PJT_636</x:v>
      </x:c>
      <x:c r="B637" t="n">
        <x:v>72525090</x:v>
      </x:c>
      <x:c r="C637" t="n">
        <x:v>81616191</x:v>
      </x:c>
      <x:c r="D637" t="n">
        <x:v>9091101</x:v>
      </x:c>
      <x:c r="E637" t="n">
        <x:v>0.1254</x:v>
      </x:c>
      <x:c r="F637" t="n">
        <x:v>1365</x:v>
      </x:c>
      <x:c r="G637" t="n">
        <x:v>1454</x:v>
      </x:c>
      <x:c r="H637" t="n">
        <x:v>89</x:v>
      </x:c>
      <x:c r="I637" t="n">
        <x:v>0.0652</x:v>
      </x:c>
      <x:c r="J637" t="str">
        <x:v>Medium</x:v>
      </x:c>
      <x:c r="K637" t="n">
        <x:v>57.1</x:v>
      </x:c>
      <x:c r="L637" t="n">
        <x:v>67.6</x:v>
      </x:c>
      <x:c r="M637" t="n">
        <x:v>60.3</x:v>
      </x:c>
      <x:c r="N637" t="str">
        <x:v>Pessimistic</x:v>
      </x:c>
      <x:c r="O637" t="str">
        <x:v>Most Likely</x:v>
      </x:c>
    </x:row>
    <x:row r="638">
      <x:c r="A638" t="str">
        <x:v>PJT_637</x:v>
      </x:c>
      <x:c r="B638" t="n">
        <x:v>28128930</x:v>
      </x:c>
      <x:c r="C638" t="n">
        <x:v>28190301</x:v>
      </x:c>
      <x:c r="D638" t="n">
        <x:v>61371</x:v>
      </x:c>
      <x:c r="E638" t="n">
        <x:v>0.0022</x:v>
      </x:c>
      <x:c r="F638" t="n">
        <x:v>525</x:v>
      </x:c>
      <x:c r="G638" t="n">
        <x:v>515</x:v>
      </x:c>
      <x:c r="H638" t="n">
        <x:v>-10</x:v>
      </x:c>
      <x:c r="I638" t="n">
        <x:v>-0.019</x:v>
      </x:c>
      <x:c r="J638" t="str">
        <x:v>Medium</x:v>
      </x:c>
      <x:c r="K638" t="n">
        <x:v>54.2</x:v>
      </x:c>
      <x:c r="L638" t="n">
        <x:v>48.2</x:v>
      </x:c>
      <x:c r="M638" t="n">
        <x:v>47.5</x:v>
      </x:c>
      <x:c r="N638" t="str">
        <x:v>Most Likely</x:v>
      </x:c>
      <x:c r="O638" t="str">
        <x:v>Optimistic</x:v>
      </x:c>
    </x:row>
    <x:row r="639">
      <x:c r="A639" t="str">
        <x:v>PJT_638</x:v>
      </x:c>
      <x:c r="B639" t="n">
        <x:v>99271060</x:v>
      </x:c>
      <x:c r="C639" t="n">
        <x:v>112155311</x:v>
      </x:c>
      <x:c r="D639" t="n">
        <x:v>12884251</x:v>
      </x:c>
      <x:c r="E639" t="n">
        <x:v>0.1298</x:v>
      </x:c>
      <x:c r="F639" t="n">
        <x:v>1492</x:v>
      </x:c>
      <x:c r="G639" t="n">
        <x:v>1544</x:v>
      </x:c>
      <x:c r="H639" t="n">
        <x:v>52</x:v>
      </x:c>
      <x:c r="I639" t="n">
        <x:v>0.0349</x:v>
      </x:c>
      <x:c r="J639" t="str">
        <x:v>Medium</x:v>
      </x:c>
      <x:c r="K639" t="n">
        <x:v>66.6</x:v>
      </x:c>
      <x:c r="L639" t="n">
        <x:v>74.5</x:v>
      </x:c>
      <x:c r="M639" t="n">
        <x:v>64.8</x:v>
      </x:c>
      <x:c r="N639" t="str">
        <x:v>Pessimistic</x:v>
      </x:c>
      <x:c r="O639" t="str">
        <x:v>Most Likely</x:v>
      </x:c>
    </x:row>
    <x:row r="640">
      <x:c r="A640" t="str">
        <x:v>PJT_639</x:v>
      </x:c>
      <x:c r="B640" t="n">
        <x:v>74811180</x:v>
      </x:c>
      <x:c r="C640" t="n">
        <x:v>79736080</x:v>
      </x:c>
      <x:c r="D640" t="n">
        <x:v>4924900</x:v>
      </x:c>
      <x:c r="E640" t="n">
        <x:v>0.0658</x:v>
      </x:c>
      <x:c r="F640" t="n">
        <x:v>1536</x:v>
      </x:c>
      <x:c r="G640" t="n">
        <x:v>1468</x:v>
      </x:c>
      <x:c r="H640" t="n">
        <x:v>-68</x:v>
      </x:c>
      <x:c r="I640" t="n">
        <x:v>-0.0443</x:v>
      </x:c>
      <x:c r="J640" t="str">
        <x:v>Medium</x:v>
      </x:c>
      <x:c r="K640" t="n">
        <x:v>45.7</x:v>
      </x:c>
      <x:c r="L640" t="n">
        <x:v>51.4</x:v>
      </x:c>
      <x:c r="M640" t="n">
        <x:v>48.6</x:v>
      </x:c>
      <x:c r="N640" t="str">
        <x:v>Most Likely</x:v>
      </x:c>
      <x:c r="O640" t="str">
        <x:v>Optimistic</x:v>
      </x:c>
    </x:row>
    <x:row r="641">
      <x:c r="A641" t="str">
        <x:v>PJT_640</x:v>
      </x:c>
      <x:c r="B641" t="n">
        <x:v>16230660</x:v>
      </x:c>
      <x:c r="C641" t="n">
        <x:v>15522788</x:v>
      </x:c>
      <x:c r="D641" t="n">
        <x:v>-707872</x:v>
      </x:c>
      <x:c r="E641" t="n">
        <x:v>-0.0436</x:v>
      </x:c>
      <x:c r="F641" t="n">
        <x:v>250</x:v>
      </x:c>
      <x:c r="G641" t="n">
        <x:v>260</x:v>
      </x:c>
      <x:c r="H641" t="n">
        <x:v>10</x:v>
      </x:c>
      <x:c r="I641" t="n">
        <x:v>0.04</x:v>
      </x:c>
      <x:c r="J641" t="str">
        <x:v>Low</x:v>
      </x:c>
      <x:c r="K641" t="n">
        <x:v>38</x:v>
      </x:c>
      <x:c r="L641" t="n">
        <x:v>35.1</x:v>
      </x:c>
      <x:c r="M641" t="n">
        <x:v>31.3</x:v>
      </x:c>
      <x:c r="N641" t="str">
        <x:v>Optimistic</x:v>
      </x:c>
      <x:c r="O641" t="str">
        <x:v>Most Likely</x:v>
      </x:c>
    </x:row>
    <x:row r="642">
      <x:c r="A642" t="str">
        <x:v>PJT_641</x:v>
      </x:c>
      <x:c r="B642" t="n">
        <x:v>94708180</x:v>
      </x:c>
      <x:c r="C642" t="n">
        <x:v>107753578</x:v>
      </x:c>
      <x:c r="D642" t="n">
        <x:v>13045398</x:v>
      </x:c>
      <x:c r="E642" t="n">
        <x:v>0.1377</x:v>
      </x:c>
      <x:c r="F642" t="n">
        <x:v>1937</x:v>
      </x:c>
      <x:c r="G642" t="n">
        <x:v>2082</x:v>
      </x:c>
      <x:c r="H642" t="n">
        <x:v>145</x:v>
      </x:c>
      <x:c r="I642" t="n">
        <x:v>0.0749</x:v>
      </x:c>
      <x:c r="J642" t="str">
        <x:v>High</x:v>
      </x:c>
      <x:c r="K642" t="n">
        <x:v>67.4</x:v>
      </x:c>
      <x:c r="L642" t="n">
        <x:v>72.7</x:v>
      </x:c>
      <x:c r="M642" t="n">
        <x:v>66.1</x:v>
      </x:c>
      <x:c r="N642" t="str">
        <x:v>Pessimistic</x:v>
      </x:c>
      <x:c r="O642" t="str">
        <x:v>Most Likely</x:v>
      </x:c>
    </x:row>
    <x:row r="643">
      <x:c r="A643" t="str">
        <x:v>PJT_642</x:v>
      </x:c>
      <x:c r="B643" t="n">
        <x:v>62859700</x:v>
      </x:c>
      <x:c r="C643" t="n">
        <x:v>65043489</x:v>
      </x:c>
      <x:c r="D643" t="n">
        <x:v>2183789</x:v>
      </x:c>
      <x:c r="E643" t="n">
        <x:v>0.0347</x:v>
      </x:c>
      <x:c r="F643" t="n">
        <x:v>1183</x:v>
      </x:c>
      <x:c r="G643" t="n">
        <x:v>1282</x:v>
      </x:c>
      <x:c r="H643" t="n">
        <x:v>99</x:v>
      </x:c>
      <x:c r="I643" t="n">
        <x:v>0.0837</x:v>
      </x:c>
      <x:c r="J643" t="str">
        <x:v>Medium</x:v>
      </x:c>
      <x:c r="K643" t="n">
        <x:v>54.3</x:v>
      </x:c>
      <x:c r="L643" t="n">
        <x:v>61.5</x:v>
      </x:c>
      <x:c r="M643" t="n">
        <x:v>54</x:v>
      </x:c>
      <x:c r="N643" t="str">
        <x:v>Most Likely</x:v>
      </x:c>
      <x:c r="O643" t="str">
        <x:v>Most Likely</x:v>
      </x:c>
    </x:row>
    <x:row r="644">
      <x:c r="A644" t="str">
        <x:v>PJT_643</x:v>
      </x:c>
      <x:c r="B644" t="n">
        <x:v>72446150</x:v>
      </x:c>
      <x:c r="C644" t="n">
        <x:v>74826950</x:v>
      </x:c>
      <x:c r="D644" t="n">
        <x:v>2380800</x:v>
      </x:c>
      <x:c r="E644" t="n">
        <x:v>0.0329</x:v>
      </x:c>
      <x:c r="F644" t="n">
        <x:v>1254</x:v>
      </x:c>
      <x:c r="G644" t="n">
        <x:v>1342</x:v>
      </x:c>
      <x:c r="H644" t="n">
        <x:v>88</x:v>
      </x:c>
      <x:c r="I644" t="n">
        <x:v>0.0702</x:v>
      </x:c>
      <x:c r="J644" t="str">
        <x:v>Medium</x:v>
      </x:c>
      <x:c r="K644" t="n">
        <x:v>51.4</x:v>
      </x:c>
      <x:c r="L644" t="n">
        <x:v>55.6</x:v>
      </x:c>
      <x:c r="M644" t="n">
        <x:v>57.8</x:v>
      </x:c>
      <x:c r="N644" t="str">
        <x:v>Most Likely</x:v>
      </x:c>
      <x:c r="O644" t="str">
        <x:v>Most Likely</x:v>
      </x:c>
    </x:row>
    <x:row r="645">
      <x:c r="A645" t="str">
        <x:v>PJT_644</x:v>
      </x:c>
      <x:c r="B645" t="n">
        <x:v>106988280</x:v>
      </x:c>
      <x:c r="C645" t="n">
        <x:v>113307640</x:v>
      </x:c>
      <x:c r="D645" t="n">
        <x:v>6319360</x:v>
      </x:c>
      <x:c r="E645" t="n">
        <x:v>0.0591</x:v>
      </x:c>
      <x:c r="F645" t="n">
        <x:v>2004</x:v>
      </x:c>
      <x:c r="G645" t="n">
        <x:v>2119</x:v>
      </x:c>
      <x:c r="H645" t="n">
        <x:v>115</x:v>
      </x:c>
      <x:c r="I645" t="n">
        <x:v>0.0574</x:v>
      </x:c>
      <x:c r="J645" t="str">
        <x:v>Medium</x:v>
      </x:c>
      <x:c r="K645" t="n">
        <x:v>60.1</x:v>
      </x:c>
      <x:c r="L645" t="n">
        <x:v>66.3</x:v>
      </x:c>
      <x:c r="M645" t="n">
        <x:v>58.5</x:v>
      </x:c>
      <x:c r="N645" t="str">
        <x:v>Most Likely</x:v>
      </x:c>
      <x:c r="O645" t="str">
        <x:v>Most Likely</x:v>
      </x:c>
    </x:row>
    <x:row r="646">
      <x:c r="A646" t="str">
        <x:v>PJT_645</x:v>
      </x:c>
      <x:c r="B646" t="n">
        <x:v>35406720</x:v>
      </x:c>
      <x:c r="C646" t="n">
        <x:v>36286664</x:v>
      </x:c>
      <x:c r="D646" t="n">
        <x:v>879944</x:v>
      </x:c>
      <x:c r="E646" t="n">
        <x:v>0.0249</x:v>
      </x:c>
      <x:c r="F646" t="n">
        <x:v>934</x:v>
      </x:c>
      <x:c r="G646" t="n">
        <x:v>955</x:v>
      </x:c>
      <x:c r="H646" t="n">
        <x:v>21</x:v>
      </x:c>
      <x:c r="I646" t="n">
        <x:v>0.0225</x:v>
      </x:c>
      <x:c r="J646" t="str">
        <x:v>Medium</x:v>
      </x:c>
      <x:c r="K646" t="n">
        <x:v>50.5</x:v>
      </x:c>
      <x:c r="L646" t="n">
        <x:v>48.5</x:v>
      </x:c>
      <x:c r="M646" t="n">
        <x:v>54</x:v>
      </x:c>
      <x:c r="N646" t="str">
        <x:v>Most Likely</x:v>
      </x:c>
      <x:c r="O646" t="str">
        <x:v>Most Likely</x:v>
      </x:c>
    </x:row>
    <x:row r="647">
      <x:c r="A647" t="str">
        <x:v>PJT_646</x:v>
      </x:c>
      <x:c r="B647" t="n">
        <x:v>89692780</x:v>
      </x:c>
      <x:c r="C647" t="n">
        <x:v>93892179</x:v>
      </x:c>
      <x:c r="D647" t="n">
        <x:v>4199399</x:v>
      </x:c>
      <x:c r="E647" t="n">
        <x:v>0.0468</x:v>
      </x:c>
      <x:c r="F647" t="n">
        <x:v>1678</x:v>
      </x:c>
      <x:c r="G647" t="n">
        <x:v>1858</x:v>
      </x:c>
      <x:c r="H647" t="n">
        <x:v>180</x:v>
      </x:c>
      <x:c r="I647" t="n">
        <x:v>0.1073</x:v>
      </x:c>
      <x:c r="J647" t="str">
        <x:v>Medium</x:v>
      </x:c>
      <x:c r="K647" t="n">
        <x:v>56.3</x:v>
      </x:c>
      <x:c r="L647" t="n">
        <x:v>61.4</x:v>
      </x:c>
      <x:c r="M647" t="n">
        <x:v>58.3</x:v>
      </x:c>
      <x:c r="N647" t="str">
        <x:v>Most Likely</x:v>
      </x:c>
      <x:c r="O647" t="str">
        <x:v>Pessimistic</x:v>
      </x:c>
    </x:row>
    <x:row r="648">
      <x:c r="A648" t="str">
        <x:v>PJT_647</x:v>
      </x:c>
      <x:c r="B648" t="n">
        <x:v>62810000</x:v>
      </x:c>
      <x:c r="C648" t="n">
        <x:v>65648602</x:v>
      </x:c>
      <x:c r="D648" t="n">
        <x:v>2838602</x:v>
      </x:c>
      <x:c r="E648" t="n">
        <x:v>0.0452</x:v>
      </x:c>
      <x:c r="F648" t="n">
        <x:v>1096</x:v>
      </x:c>
      <x:c r="G648" t="n">
        <x:v>1187</x:v>
      </x:c>
      <x:c r="H648" t="n">
        <x:v>91</x:v>
      </x:c>
      <x:c r="I648" t="n">
        <x:v>0.083</x:v>
      </x:c>
      <x:c r="J648" t="str">
        <x:v>Medium</x:v>
      </x:c>
      <x:c r="K648" t="n">
        <x:v>51.9</x:v>
      </x:c>
      <x:c r="L648" t="n">
        <x:v>60.2</x:v>
      </x:c>
      <x:c r="M648" t="n">
        <x:v>50.9</x:v>
      </x:c>
      <x:c r="N648" t="str">
        <x:v>Most Likely</x:v>
      </x:c>
      <x:c r="O648" t="str">
        <x:v>Most Likely</x:v>
      </x:c>
    </x:row>
    <x:row r="649">
      <x:c r="A649" t="str">
        <x:v>PJT_648</x:v>
      </x:c>
      <x:c r="B649" t="n">
        <x:v>67828640</x:v>
      </x:c>
      <x:c r="C649" t="n">
        <x:v>76164032</x:v>
      </x:c>
      <x:c r="D649" t="n">
        <x:v>8335392</x:v>
      </x:c>
      <x:c r="E649" t="n">
        <x:v>0.1229</x:v>
      </x:c>
      <x:c r="F649" t="n">
        <x:v>1315</x:v>
      </x:c>
      <x:c r="G649" t="n">
        <x:v>1586</x:v>
      </x:c>
      <x:c r="H649" t="n">
        <x:v>271</x:v>
      </x:c>
      <x:c r="I649" t="n">
        <x:v>0.2061</x:v>
      </x:c>
      <x:c r="J649" t="str">
        <x:v>High</x:v>
      </x:c>
      <x:c r="K649" t="n">
        <x:v>69.9</x:v>
      </x:c>
      <x:c r="L649" t="n">
        <x:v>72.2</x:v>
      </x:c>
      <x:c r="M649" t="n">
        <x:v>75.7</x:v>
      </x:c>
      <x:c r="N649" t="str">
        <x:v>Pessimistic</x:v>
      </x:c>
      <x:c r="O649" t="str">
        <x:v>Pessimistic</x:v>
      </x:c>
    </x:row>
    <x:row r="650">
      <x:c r="A650" t="str">
        <x:v>PJT_649</x:v>
      </x:c>
      <x:c r="B650" t="n">
        <x:v>15848360</x:v>
      </x:c>
      <x:c r="C650" t="n">
        <x:v>16103057</x:v>
      </x:c>
      <x:c r="D650" t="n">
        <x:v>254697</x:v>
      </x:c>
      <x:c r="E650" t="n">
        <x:v>0.0161</x:v>
      </x:c>
      <x:c r="F650" t="n">
        <x:v>265</x:v>
      </x:c>
      <x:c r="G650" t="n">
        <x:v>281</x:v>
      </x:c>
      <x:c r="H650" t="n">
        <x:v>16</x:v>
      </x:c>
      <x:c r="I650" t="n">
        <x:v>0.0604</x:v>
      </x:c>
      <x:c r="J650" t="str">
        <x:v>Low</x:v>
      </x:c>
      <x:c r="K650" t="n">
        <x:v>35.1</x:v>
      </x:c>
      <x:c r="L650" t="n">
        <x:v>37.9</x:v>
      </x:c>
      <x:c r="M650" t="n">
        <x:v>36.2</x:v>
      </x:c>
      <x:c r="N650" t="str">
        <x:v>Most Likely</x:v>
      </x:c>
      <x:c r="O650" t="str">
        <x:v>Most Likely</x:v>
      </x:c>
    </x:row>
    <x:row r="651">
      <x:c r="A651" t="str">
        <x:v>PJT_650</x:v>
      </x:c>
      <x:c r="B651" t="n">
        <x:v>12829560</x:v>
      </x:c>
      <x:c r="C651" t="n">
        <x:v>12066205</x:v>
      </x:c>
      <x:c r="D651" t="n">
        <x:v>-763355</x:v>
      </x:c>
      <x:c r="E651" t="n">
        <x:v>-0.0595</x:v>
      </x:c>
      <x:c r="F651" t="n">
        <x:v>208</x:v>
      </x:c>
      <x:c r="G651" t="n">
        <x:v>197</x:v>
      </x:c>
      <x:c r="H651" t="n">
        <x:v>-11</x:v>
      </x:c>
      <x:c r="I651" t="n">
        <x:v>-0.0529</x:v>
      </x:c>
      <x:c r="J651" t="str">
        <x:v>Low</x:v>
      </x:c>
      <x:c r="K651" t="n">
        <x:v>32.7</x:v>
      </x:c>
      <x:c r="L651" t="n">
        <x:v>34.6</x:v>
      </x:c>
      <x:c r="M651" t="n">
        <x:v>34.8</x:v>
      </x:c>
      <x:c r="N651" t="str">
        <x:v>Optimistic</x:v>
      </x:c>
      <x:c r="O651" t="str">
        <x:v>Optimistic</x:v>
      </x:c>
    </x:row>
    <x:row r="652">
      <x:c r="A652" t="str">
        <x:v>PJT_651</x:v>
      </x:c>
      <x:c r="B652" t="n">
        <x:v>63016800</x:v>
      </x:c>
      <x:c r="C652" t="n">
        <x:v>63131773</x:v>
      </x:c>
      <x:c r="D652" t="n">
        <x:v>114973</x:v>
      </x:c>
      <x:c r="E652" t="n">
        <x:v>0.0018</x:v>
      </x:c>
      <x:c r="F652" t="n">
        <x:v>1209</x:v>
      </x:c>
      <x:c r="G652" t="n">
        <x:v>1194</x:v>
      </x:c>
      <x:c r="H652" t="n">
        <x:v>-15</x:v>
      </x:c>
      <x:c r="I652" t="n">
        <x:v>-0.0124</x:v>
      </x:c>
      <x:c r="J652" t="str">
        <x:v>Medium</x:v>
      </x:c>
      <x:c r="K652" t="n">
        <x:v>46.3</x:v>
      </x:c>
      <x:c r="L652" t="n">
        <x:v>46.9</x:v>
      </x:c>
      <x:c r="M652" t="n">
        <x:v>47.6</x:v>
      </x:c>
      <x:c r="N652" t="str">
        <x:v>Most Likely</x:v>
      </x:c>
      <x:c r="O652" t="str">
        <x:v>Optimistic</x:v>
      </x:c>
    </x:row>
    <x:row r="653">
      <x:c r="A653" t="str">
        <x:v>PJT_652</x:v>
      </x:c>
      <x:c r="B653" t="n">
        <x:v>16434720</x:v>
      </x:c>
      <x:c r="C653" t="n">
        <x:v>15570757</x:v>
      </x:c>
      <x:c r="D653" t="n">
        <x:v>-863963</x:v>
      </x:c>
      <x:c r="E653" t="n">
        <x:v>-0.0526</x:v>
      </x:c>
      <x:c r="F653" t="n">
        <x:v>447</x:v>
      </x:c>
      <x:c r="G653" t="n">
        <x:v>452</x:v>
      </x:c>
      <x:c r="H653" t="n">
        <x:v>5</x:v>
      </x:c>
      <x:c r="I653" t="n">
        <x:v>0.0112</x:v>
      </x:c>
      <x:c r="J653" t="str">
        <x:v>Medium</x:v>
      </x:c>
      <x:c r="K653" t="n">
        <x:v>46.4</x:v>
      </x:c>
      <x:c r="L653" t="n">
        <x:v>37.8</x:v>
      </x:c>
      <x:c r="M653" t="n">
        <x:v>45.6</x:v>
      </x:c>
      <x:c r="N653" t="str">
        <x:v>Optimistic</x:v>
      </x:c>
      <x:c r="O653" t="str">
        <x:v>Most Likely</x:v>
      </x:c>
    </x:row>
    <x:row r="654">
      <x:c r="A654" t="str">
        <x:v>PJT_653</x:v>
      </x:c>
      <x:c r="B654" t="n">
        <x:v>30725760</x:v>
      </x:c>
      <x:c r="C654" t="n">
        <x:v>31590541</x:v>
      </x:c>
      <x:c r="D654" t="n">
        <x:v>864781</x:v>
      </x:c>
      <x:c r="E654" t="n">
        <x:v>0.0281</x:v>
      </x:c>
      <x:c r="F654" t="n">
        <x:v>607</x:v>
      </x:c>
      <x:c r="G654" t="n">
        <x:v>638</x:v>
      </x:c>
      <x:c r="H654" t="n">
        <x:v>31</x:v>
      </x:c>
      <x:c r="I654" t="n">
        <x:v>0.0511</x:v>
      </x:c>
      <x:c r="J654" t="str">
        <x:v>Medium</x:v>
      </x:c>
      <x:c r="K654" t="n">
        <x:v>56.6</x:v>
      </x:c>
      <x:c r="L654" t="n">
        <x:v>53.4</x:v>
      </x:c>
      <x:c r="M654" t="n">
        <x:v>61.8</x:v>
      </x:c>
      <x:c r="N654" t="str">
        <x:v>Most Likely</x:v>
      </x:c>
      <x:c r="O654" t="str">
        <x:v>Most Likely</x:v>
      </x:c>
    </x:row>
    <x:row r="655">
      <x:c r="A655" t="str">
        <x:v>PJT_654</x:v>
      </x:c>
      <x:c r="B655" t="n">
        <x:v>46119840</x:v>
      </x:c>
      <x:c r="C655" t="n">
        <x:v>48722255</x:v>
      </x:c>
      <x:c r="D655" t="n">
        <x:v>2602415</x:v>
      </x:c>
      <x:c r="E655" t="n">
        <x:v>0.0564</x:v>
      </x:c>
      <x:c r="F655" t="n">
        <x:v>716</x:v>
      </x:c>
      <x:c r="G655" t="n">
        <x:v>777</x:v>
      </x:c>
      <x:c r="H655" t="n">
        <x:v>61</x:v>
      </x:c>
      <x:c r="I655" t="n">
        <x:v>0.0852</x:v>
      </x:c>
      <x:c r="J655" t="str">
        <x:v>Low</x:v>
      </x:c>
      <x:c r="K655" t="n">
        <x:v>41.3</x:v>
      </x:c>
      <x:c r="L655" t="n">
        <x:v>49.3</x:v>
      </x:c>
      <x:c r="M655" t="n">
        <x:v>42.9</x:v>
      </x:c>
      <x:c r="N655" t="str">
        <x:v>Most Likely</x:v>
      </x:c>
      <x:c r="O655" t="str">
        <x:v>Most Likely</x:v>
      </x:c>
    </x:row>
    <x:row r="656">
      <x:c r="A656" t="str">
        <x:v>PJT_655</x:v>
      </x:c>
      <x:c r="B656" t="n">
        <x:v>74280850</x:v>
      </x:c>
      <x:c r="C656" t="n">
        <x:v>79264450</x:v>
      </x:c>
      <x:c r="D656" t="n">
        <x:v>4983600</x:v>
      </x:c>
      <x:c r="E656" t="n">
        <x:v>0.0671</x:v>
      </x:c>
      <x:c r="F656" t="n">
        <x:v>1404</x:v>
      </x:c>
      <x:c r="G656" t="n">
        <x:v>1455</x:v>
      </x:c>
      <x:c r="H656" t="n">
        <x:v>51</x:v>
      </x:c>
      <x:c r="I656" t="n">
        <x:v>0.0363</x:v>
      </x:c>
      <x:c r="J656" t="str">
        <x:v>Medium</x:v>
      </x:c>
      <x:c r="K656" t="n">
        <x:v>61.6</x:v>
      </x:c>
      <x:c r="L656" t="n">
        <x:v>60.5</x:v>
      </x:c>
      <x:c r="M656" t="n">
        <x:v>54.7</x:v>
      </x:c>
      <x:c r="N656" t="str">
        <x:v>Most Likely</x:v>
      </x:c>
      <x:c r="O656" t="str">
        <x:v>Most Likely</x:v>
      </x:c>
    </x:row>
    <x:row r="657">
      <x:c r="A657" t="str">
        <x:v>PJT_656</x:v>
      </x:c>
      <x:c r="B657" t="n">
        <x:v>42333700</x:v>
      </x:c>
      <x:c r="C657" t="n">
        <x:v>42330258</x:v>
      </x:c>
      <x:c r="D657" t="n">
        <x:v>-3442</x:v>
      </x:c>
      <x:c r="E657" t="n">
        <x:v>-0.0001</x:v>
      </x:c>
      <x:c r="F657" t="n">
        <x:v>874</x:v>
      </x:c>
      <x:c r="G657" t="n">
        <x:v>956</x:v>
      </x:c>
      <x:c r="H657" t="n">
        <x:v>82</x:v>
      </x:c>
      <x:c r="I657" t="n">
        <x:v>0.0938</x:v>
      </x:c>
      <x:c r="J657" t="str">
        <x:v>Medium</x:v>
      </x:c>
      <x:c r="K657" t="n">
        <x:v>56.1</x:v>
      </x:c>
      <x:c r="L657" t="n">
        <x:v>59.1</x:v>
      </x:c>
      <x:c r="M657" t="n">
        <x:v>59</x:v>
      </x:c>
      <x:c r="N657" t="str">
        <x:v>Optimistic</x:v>
      </x:c>
      <x:c r="O657" t="str">
        <x:v>Most Likely</x:v>
      </x:c>
    </x:row>
    <x:row r="658">
      <x:c r="A658" t="str">
        <x:v>PJT_657</x:v>
      </x:c>
      <x:c r="B658" t="n">
        <x:v>19559040</x:v>
      </x:c>
      <x:c r="C658" t="n">
        <x:v>18844932</x:v>
      </x:c>
      <x:c r="D658" t="n">
        <x:v>-714108</x:v>
      </x:c>
      <x:c r="E658" t="n">
        <x:v>-0.0365</x:v>
      </x:c>
      <x:c r="F658" t="n">
        <x:v>529</x:v>
      </x:c>
      <x:c r="G658" t="n">
        <x:v>540</x:v>
      </x:c>
      <x:c r="H658" t="n">
        <x:v>11</x:v>
      </x:c>
      <x:c r="I658" t="n">
        <x:v>0.0208</x:v>
      </x:c>
      <x:c r="J658" t="str">
        <x:v>Low</x:v>
      </x:c>
      <x:c r="K658" t="n">
        <x:v>39.4</x:v>
      </x:c>
      <x:c r="L658" t="n">
        <x:v>44.7</x:v>
      </x:c>
      <x:c r="M658" t="n">
        <x:v>39</x:v>
      </x:c>
      <x:c r="N658" t="str">
        <x:v>Optimistic</x:v>
      </x:c>
      <x:c r="O658" t="str">
        <x:v>Most Likely</x:v>
      </x:c>
    </x:row>
    <x:row r="659">
      <x:c r="A659" t="str">
        <x:v>PJT_658</x:v>
      </x:c>
      <x:c r="B659" t="n">
        <x:v>57462460</x:v>
      </x:c>
      <x:c r="C659" t="n">
        <x:v>58942208</x:v>
      </x:c>
      <x:c r="D659" t="n">
        <x:v>1479748</x:v>
      </x:c>
      <x:c r="E659" t="n">
        <x:v>0.0258</x:v>
      </x:c>
      <x:c r="F659" t="n">
        <x:v>1074</x:v>
      </x:c>
      <x:c r="G659" t="n">
        <x:v>1070</x:v>
      </x:c>
      <x:c r="H659" t="n">
        <x:v>-4</x:v>
      </x:c>
      <x:c r="I659" t="n">
        <x:v>-0.0037</x:v>
      </x:c>
      <x:c r="J659" t="str">
        <x:v>Medium</x:v>
      </x:c>
      <x:c r="K659" t="n">
        <x:v>52.5</x:v>
      </x:c>
      <x:c r="L659" t="n">
        <x:v>51.7</x:v>
      </x:c>
      <x:c r="M659" t="n">
        <x:v>49.5</x:v>
      </x:c>
      <x:c r="N659" t="str">
        <x:v>Most Likely</x:v>
      </x:c>
      <x:c r="O659" t="str">
        <x:v>Optimistic</x:v>
      </x:c>
    </x:row>
    <x:row r="660">
      <x:c r="A660" t="str">
        <x:v>PJT_659</x:v>
      </x:c>
      <x:c r="B660" t="n">
        <x:v>9988160</x:v>
      </x:c>
      <x:c r="C660" t="n">
        <x:v>9461854</x:v>
      </x:c>
      <x:c r="D660" t="n">
        <x:v>-526306</x:v>
      </x:c>
      <x:c r="E660" t="n">
        <x:v>-0.0527</x:v>
      </x:c>
      <x:c r="F660" t="n">
        <x:v>205</x:v>
      </x:c>
      <x:c r="G660" t="n">
        <x:v>195</x:v>
      </x:c>
      <x:c r="H660" t="n">
        <x:v>-10</x:v>
      </x:c>
      <x:c r="I660" t="n">
        <x:v>-0.0488</x:v>
      </x:c>
      <x:c r="J660" t="str">
        <x:v>Low</x:v>
      </x:c>
      <x:c r="K660" t="n">
        <x:v>29.4</x:v>
      </x:c>
      <x:c r="L660" t="n">
        <x:v>27.7</x:v>
      </x:c>
      <x:c r="M660" t="n">
        <x:v>27.6</x:v>
      </x:c>
      <x:c r="N660" t="str">
        <x:v>Optimistic</x:v>
      </x:c>
      <x:c r="O660" t="str">
        <x:v>Optimistic</x:v>
      </x:c>
    </x:row>
    <x:row r="661">
      <x:c r="A661" t="str">
        <x:v>PJT_660</x:v>
      </x:c>
      <x:c r="B661" t="n">
        <x:v>33594860</x:v>
      </x:c>
      <x:c r="C661" t="n">
        <x:v>37098010</x:v>
      </x:c>
      <x:c r="D661" t="n">
        <x:v>3503150</x:v>
      </x:c>
      <x:c r="E661" t="n">
        <x:v>0.1043</x:v>
      </x:c>
      <x:c r="F661" t="n">
        <x:v>872</x:v>
      </x:c>
      <x:c r="G661" t="n">
        <x:v>916</x:v>
      </x:c>
      <x:c r="H661" t="n">
        <x:v>44</x:v>
      </x:c>
      <x:c r="I661" t="n">
        <x:v>0.0505</x:v>
      </x:c>
      <x:c r="J661" t="str">
        <x:v>Medium</x:v>
      </x:c>
      <x:c r="K661" t="n">
        <x:v>52.9</x:v>
      </x:c>
      <x:c r="L661" t="n">
        <x:v>53.6</x:v>
      </x:c>
      <x:c r="M661" t="n">
        <x:v>50.7</x:v>
      </x:c>
      <x:c r="N661" t="str">
        <x:v>Pessimistic</x:v>
      </x:c>
      <x:c r="O661" t="str">
        <x:v>Most Likely</x:v>
      </x:c>
    </x:row>
    <x:row r="662">
      <x:c r="A662" t="str">
        <x:v>PJT_661</x:v>
      </x:c>
      <x:c r="B662" t="n">
        <x:v>49346800</x:v>
      </x:c>
      <x:c r="C662" t="n">
        <x:v>53737880</x:v>
      </x:c>
      <x:c r="D662" t="n">
        <x:v>4391080</x:v>
      </x:c>
      <x:c r="E662" t="n">
        <x:v>0.089</x:v>
      </x:c>
      <x:c r="F662" t="n">
        <x:v>1079</x:v>
      </x:c>
      <x:c r="G662" t="n">
        <x:v>1093</x:v>
      </x:c>
      <x:c r="H662" t="n">
        <x:v>14</x:v>
      </x:c>
      <x:c r="I662" t="n">
        <x:v>0.013</x:v>
      </x:c>
      <x:c r="J662" t="str">
        <x:v>Medium</x:v>
      </x:c>
      <x:c r="K662" t="n">
        <x:v>55.4</x:v>
      </x:c>
      <x:c r="L662" t="n">
        <x:v>56.6</x:v>
      </x:c>
      <x:c r="M662" t="n">
        <x:v>49.2</x:v>
      </x:c>
      <x:c r="N662" t="str">
        <x:v>Most Likely</x:v>
      </x:c>
      <x:c r="O662" t="str">
        <x:v>Most Likely</x:v>
      </x:c>
    </x:row>
    <x:row r="663">
      <x:c r="A663" t="str">
        <x:v>PJT_662</x:v>
      </x:c>
      <x:c r="B663" t="n">
        <x:v>29398680</x:v>
      </x:c>
      <x:c r="C663" t="n">
        <x:v>29322831</x:v>
      </x:c>
      <x:c r="D663" t="n">
        <x:v>-75849</x:v>
      </x:c>
      <x:c r="E663" t="n">
        <x:v>-0.0026</x:v>
      </x:c>
      <x:c r="F663" t="n">
        <x:v>710</x:v>
      </x:c>
      <x:c r="G663" t="n">
        <x:v>697</x:v>
      </x:c>
      <x:c r="H663" t="n">
        <x:v>-13</x:v>
      </x:c>
      <x:c r="I663" t="n">
        <x:v>-0.0183</x:v>
      </x:c>
      <x:c r="J663" t="str">
        <x:v>Low</x:v>
      </x:c>
      <x:c r="K663" t="n">
        <x:v>41.9</x:v>
      </x:c>
      <x:c r="L663" t="n">
        <x:v>42.4</x:v>
      </x:c>
      <x:c r="M663" t="n">
        <x:v>38.7</x:v>
      </x:c>
      <x:c r="N663" t="str">
        <x:v>Optimistic</x:v>
      </x:c>
      <x:c r="O663" t="str">
        <x:v>Optimistic</x:v>
      </x:c>
    </x:row>
    <x:row r="664">
      <x:c r="A664" t="str">
        <x:v>PJT_663</x:v>
      </x:c>
      <x:c r="B664" t="n">
        <x:v>50784340</x:v>
      </x:c>
      <x:c r="C664" t="n">
        <x:v>54495938</x:v>
      </x:c>
      <x:c r="D664" t="n">
        <x:v>3711598</x:v>
      </x:c>
      <x:c r="E664" t="n">
        <x:v>0.0731</x:v>
      </x:c>
      <x:c r="F664" t="n">
        <x:v>842</x:v>
      </x:c>
      <x:c r="G664" t="n">
        <x:v>876</x:v>
      </x:c>
      <x:c r="H664" t="n">
        <x:v>34</x:v>
      </x:c>
      <x:c r="I664" t="n">
        <x:v>0.0404</x:v>
      </x:c>
      <x:c r="J664" t="str">
        <x:v>Medium</x:v>
      </x:c>
      <x:c r="K664" t="n">
        <x:v>46.5</x:v>
      </x:c>
      <x:c r="L664" t="n">
        <x:v>46.9</x:v>
      </x:c>
      <x:c r="M664" t="n">
        <x:v>46.9</x:v>
      </x:c>
      <x:c r="N664" t="str">
        <x:v>Most Likely</x:v>
      </x:c>
      <x:c r="O664" t="str">
        <x:v>Most Likely</x:v>
      </x:c>
    </x:row>
    <x:row r="665">
      <x:c r="A665" t="str">
        <x:v>PJT_664</x:v>
      </x:c>
      <x:c r="B665" t="n">
        <x:v>28530780</x:v>
      </x:c>
      <x:c r="C665" t="n">
        <x:v>28095041</x:v>
      </x:c>
      <x:c r="D665" t="n">
        <x:v>-435739</x:v>
      </x:c>
      <x:c r="E665" t="n">
        <x:v>-0.0153</x:v>
      </x:c>
      <x:c r="F665" t="n">
        <x:v>692</x:v>
      </x:c>
      <x:c r="G665" t="n">
        <x:v>678</x:v>
      </x:c>
      <x:c r="H665" t="n">
        <x:v>-14</x:v>
      </x:c>
      <x:c r="I665" t="n">
        <x:v>-0.0202</x:v>
      </x:c>
      <x:c r="J665" t="str">
        <x:v>Medium</x:v>
      </x:c>
      <x:c r="K665" t="n">
        <x:v>50.9</x:v>
      </x:c>
      <x:c r="L665" t="n">
        <x:v>46.3</x:v>
      </x:c>
      <x:c r="M665" t="n">
        <x:v>44.4</x:v>
      </x:c>
      <x:c r="N665" t="str">
        <x:v>Optimistic</x:v>
      </x:c>
      <x:c r="O665" t="str">
        <x:v>Optimistic</x:v>
      </x:c>
    </x:row>
    <x:row r="666">
      <x:c r="A666" t="str">
        <x:v>PJT_665</x:v>
      </x:c>
      <x:c r="B666" t="n">
        <x:v>30189370</x:v>
      </x:c>
      <x:c r="C666" t="n">
        <x:v>31936191</x:v>
      </x:c>
      <x:c r="D666" t="n">
        <x:v>1746821</x:v>
      </x:c>
      <x:c r="E666" t="n">
        <x:v>0.0579</x:v>
      </x:c>
      <x:c r="F666" t="n">
        <x:v>753</x:v>
      </x:c>
      <x:c r="G666" t="n">
        <x:v>789</x:v>
      </x:c>
      <x:c r="H666" t="n">
        <x:v>36</x:v>
      </x:c>
      <x:c r="I666" t="n">
        <x:v>0.0478</x:v>
      </x:c>
      <x:c r="J666" t="str">
        <x:v>Medium</x:v>
      </x:c>
      <x:c r="K666" t="n">
        <x:v>47.3</x:v>
      </x:c>
      <x:c r="L666" t="n">
        <x:v>46</x:v>
      </x:c>
      <x:c r="M666" t="n">
        <x:v>45.1</x:v>
      </x:c>
      <x:c r="N666" t="str">
        <x:v>Most Likely</x:v>
      </x:c>
      <x:c r="O666" t="str">
        <x:v>Most Likely</x:v>
      </x:c>
    </x:row>
    <x:row r="667">
      <x:c r="A667" t="str">
        <x:v>PJT_666</x:v>
      </x:c>
      <x:c r="B667" t="n">
        <x:v>14786750</x:v>
      </x:c>
      <x:c r="C667" t="n">
        <x:v>15079132</x:v>
      </x:c>
      <x:c r="D667" t="n">
        <x:v>292382</x:v>
      </x:c>
      <x:c r="E667" t="n">
        <x:v>0.0198</x:v>
      </x:c>
      <x:c r="F667" t="n">
        <x:v>332</x:v>
      </x:c>
      <x:c r="G667" t="n">
        <x:v>334</x:v>
      </x:c>
      <x:c r="H667" t="n">
        <x:v>2</x:v>
      </x:c>
      <x:c r="I667" t="n">
        <x:v>0.006</x:v>
      </x:c>
      <x:c r="J667" t="str">
        <x:v>Low</x:v>
      </x:c>
      <x:c r="K667" t="n">
        <x:v>28.9</x:v>
      </x:c>
      <x:c r="L667" t="n">
        <x:v>30</x:v>
      </x:c>
      <x:c r="M667" t="n">
        <x:v>31</x:v>
      </x:c>
      <x:c r="N667" t="str">
        <x:v>Most Likely</x:v>
      </x:c>
      <x:c r="O667" t="str">
        <x:v>Most Likely</x:v>
      </x:c>
    </x:row>
    <x:row r="668">
      <x:c r="A668" t="str">
        <x:v>PJT_667</x:v>
      </x:c>
      <x:c r="B668" t="n">
        <x:v>20628840</x:v>
      </x:c>
      <x:c r="C668" t="n">
        <x:v>21354281</x:v>
      </x:c>
      <x:c r="D668" t="n">
        <x:v>725441</x:v>
      </x:c>
      <x:c r="E668" t="n">
        <x:v>0.0352</x:v>
      </x:c>
      <x:c r="F668" t="n">
        <x:v>468</x:v>
      </x:c>
      <x:c r="G668" t="n">
        <x:v>484</x:v>
      </x:c>
      <x:c r="H668" t="n">
        <x:v>16</x:v>
      </x:c>
      <x:c r="I668" t="n">
        <x:v>0.0342</x:v>
      </x:c>
      <x:c r="J668" t="str">
        <x:v>Low</x:v>
      </x:c>
      <x:c r="K668" t="n">
        <x:v>38.4</x:v>
      </x:c>
      <x:c r="L668" t="n">
        <x:v>45.9</x:v>
      </x:c>
      <x:c r="M668" t="n">
        <x:v>36.7</x:v>
      </x:c>
      <x:c r="N668" t="str">
        <x:v>Most Likely</x:v>
      </x:c>
      <x:c r="O668" t="str">
        <x:v>Most Likely</x:v>
      </x:c>
    </x:row>
    <x:row r="669">
      <x:c r="A669" t="str">
        <x:v>PJT_668</x:v>
      </x:c>
      <x:c r="B669" t="n">
        <x:v>59302040</x:v>
      </x:c>
      <x:c r="C669" t="n">
        <x:v>62721429</x:v>
      </x:c>
      <x:c r="D669" t="n">
        <x:v>3419389</x:v>
      </x:c>
      <x:c r="E669" t="n">
        <x:v>0.0577</x:v>
      </x:c>
      <x:c r="F669" t="n">
        <x:v>1099</x:v>
      </x:c>
      <x:c r="G669" t="n">
        <x:v>1140</x:v>
      </x:c>
      <x:c r="H669" t="n">
        <x:v>41</x:v>
      </x:c>
      <x:c r="I669" t="n">
        <x:v>0.0373</x:v>
      </x:c>
      <x:c r="J669" t="str">
        <x:v>Medium</x:v>
      </x:c>
      <x:c r="K669" t="n">
        <x:v>47.9</x:v>
      </x:c>
      <x:c r="L669" t="n">
        <x:v>55.4</x:v>
      </x:c>
      <x:c r="M669" t="n">
        <x:v>48.9</x:v>
      </x:c>
      <x:c r="N669" t="str">
        <x:v>Most Likely</x:v>
      </x:c>
      <x:c r="O669" t="str">
        <x:v>Most Likely</x:v>
      </x:c>
    </x:row>
    <x:row r="670">
      <x:c r="A670" t="str">
        <x:v>PJT_669</x:v>
      </x:c>
      <x:c r="B670" t="n">
        <x:v>11655250</x:v>
      </x:c>
      <x:c r="C670" t="n">
        <x:v>12249070</x:v>
      </x:c>
      <x:c r="D670" t="n">
        <x:v>593820</x:v>
      </x:c>
      <x:c r="E670" t="n">
        <x:v>0.0509</x:v>
      </x:c>
      <x:c r="F670" t="n">
        <x:v>232</x:v>
      </x:c>
      <x:c r="G670" t="n">
        <x:v>227</x:v>
      </x:c>
      <x:c r="H670" t="n">
        <x:v>-5</x:v>
      </x:c>
      <x:c r="I670" t="n">
        <x:v>-0.0216</x:v>
      </x:c>
      <x:c r="J670" t="str">
        <x:v>Low</x:v>
      </x:c>
      <x:c r="K670" t="n">
        <x:v>37.3</x:v>
      </x:c>
      <x:c r="L670" t="n">
        <x:v>38.2</x:v>
      </x:c>
      <x:c r="M670" t="n">
        <x:v>34.1</x:v>
      </x:c>
      <x:c r="N670" t="str">
        <x:v>Most Likely</x:v>
      </x:c>
      <x:c r="O670" t="str">
        <x:v>Optimistic</x:v>
      </x:c>
    </x:row>
    <x:row r="671">
      <x:c r="A671" t="str">
        <x:v>PJT_670</x:v>
      </x:c>
      <x:c r="B671" t="n">
        <x:v>60545160</x:v>
      </x:c>
      <x:c r="C671" t="n">
        <x:v>63692829</x:v>
      </x:c>
      <x:c r="D671" t="n">
        <x:v>3147669</x:v>
      </x:c>
      <x:c r="E671" t="n">
        <x:v>0.052</x:v>
      </x:c>
      <x:c r="F671" t="n">
        <x:v>1076</x:v>
      </x:c>
      <x:c r="G671" t="n">
        <x:v>1153</x:v>
      </x:c>
      <x:c r="H671" t="n">
        <x:v>77</x:v>
      </x:c>
      <x:c r="I671" t="n">
        <x:v>0.0716</x:v>
      </x:c>
      <x:c r="J671" t="str">
        <x:v>Medium</x:v>
      </x:c>
      <x:c r="K671" t="n">
        <x:v>58.2</x:v>
      </x:c>
      <x:c r="L671" t="n">
        <x:v>59.2</x:v>
      </x:c>
      <x:c r="M671" t="n">
        <x:v>56.9</x:v>
      </x:c>
      <x:c r="N671" t="str">
        <x:v>Most Likely</x:v>
      </x:c>
      <x:c r="O671" t="str">
        <x:v>Most Likely</x:v>
      </x:c>
    </x:row>
    <x:row r="672">
      <x:c r="A672" t="str">
        <x:v>PJT_671</x:v>
      </x:c>
      <x:c r="B672" t="n">
        <x:v>47601840</x:v>
      </x:c>
      <x:c r="C672" t="n">
        <x:v>49392020</x:v>
      </x:c>
      <x:c r="D672" t="n">
        <x:v>1790180</x:v>
      </x:c>
      <x:c r="E672" t="n">
        <x:v>0.0376</x:v>
      </x:c>
      <x:c r="F672" t="n">
        <x:v>723</x:v>
      </x:c>
      <x:c r="G672" t="n">
        <x:v>736</x:v>
      </x:c>
      <x:c r="H672" t="n">
        <x:v>13</x:v>
      </x:c>
      <x:c r="I672" t="n">
        <x:v>0.018</x:v>
      </x:c>
      <x:c r="J672" t="str">
        <x:v>Low</x:v>
      </x:c>
      <x:c r="K672" t="n">
        <x:v>38.1</x:v>
      </x:c>
      <x:c r="L672" t="n">
        <x:v>38.7</x:v>
      </x:c>
      <x:c r="M672" t="n">
        <x:v>42.5</x:v>
      </x:c>
      <x:c r="N672" t="str">
        <x:v>Most Likely</x:v>
      </x:c>
      <x:c r="O672" t="str">
        <x:v>Most Likely</x:v>
      </x:c>
    </x:row>
    <x:row r="673">
      <x:c r="A673" t="str">
        <x:v>PJT_672</x:v>
      </x:c>
      <x:c r="B673" t="n">
        <x:v>18725520</x:v>
      </x:c>
      <x:c r="C673" t="n">
        <x:v>19142774</x:v>
      </x:c>
      <x:c r="D673" t="n">
        <x:v>417254</x:v>
      </x:c>
      <x:c r="E673" t="n">
        <x:v>0.0223</x:v>
      </x:c>
      <x:c r="F673" t="n">
        <x:v>459</x:v>
      </x:c>
      <x:c r="G673" t="n">
        <x:v>425</x:v>
      </x:c>
      <x:c r="H673" t="n">
        <x:v>-34</x:v>
      </x:c>
      <x:c r="I673" t="n">
        <x:v>-0.0741</x:v>
      </x:c>
      <x:c r="J673" t="str">
        <x:v>Low</x:v>
      </x:c>
      <x:c r="K673" t="n">
        <x:v>31.1</x:v>
      </x:c>
      <x:c r="L673" t="n">
        <x:v>32.6</x:v>
      </x:c>
      <x:c r="M673" t="n">
        <x:v>27.5</x:v>
      </x:c>
      <x:c r="N673" t="str">
        <x:v>Most Likely</x:v>
      </x:c>
      <x:c r="O673" t="str">
        <x:v>Optimistic</x:v>
      </x:c>
    </x:row>
    <x:row r="674">
      <x:c r="A674" t="str">
        <x:v>PJT_673</x:v>
      </x:c>
      <x:c r="B674" t="n">
        <x:v>86546040</x:v>
      </x:c>
      <x:c r="C674" t="n">
        <x:v>88970792</x:v>
      </x:c>
      <x:c r="D674" t="n">
        <x:v>2424752</x:v>
      </x:c>
      <x:c r="E674" t="n">
        <x:v>0.028</x:v>
      </x:c>
      <x:c r="F674" t="n">
        <x:v>1550</x:v>
      </x:c>
      <x:c r="G674" t="n">
        <x:v>1604</x:v>
      </x:c>
      <x:c r="H674" t="n">
        <x:v>54</x:v>
      </x:c>
      <x:c r="I674" t="n">
        <x:v>0.0348</x:v>
      </x:c>
      <x:c r="J674" t="str">
        <x:v>Medium</x:v>
      </x:c>
      <x:c r="K674" t="n">
        <x:v>49.2</x:v>
      </x:c>
      <x:c r="L674" t="n">
        <x:v>49.8</x:v>
      </x:c>
      <x:c r="M674" t="n">
        <x:v>43.9</x:v>
      </x:c>
      <x:c r="N674" t="str">
        <x:v>Most Likely</x:v>
      </x:c>
      <x:c r="O674" t="str">
        <x:v>Most Likely</x:v>
      </x:c>
    </x:row>
    <x:row r="675">
      <x:c r="A675" t="str">
        <x:v>PJT_674</x:v>
      </x:c>
      <x:c r="B675" t="n">
        <x:v>32022900</x:v>
      </x:c>
      <x:c r="C675" t="n">
        <x:v>31536617</x:v>
      </x:c>
      <x:c r="D675" t="n">
        <x:v>-486283</x:v>
      </x:c>
      <x:c r="E675" t="n">
        <x:v>-0.0152</x:v>
      </x:c>
      <x:c r="F675" t="n">
        <x:v>703</x:v>
      </x:c>
      <x:c r="G675" t="n">
        <x:v>759</x:v>
      </x:c>
      <x:c r="H675" t="n">
        <x:v>56</x:v>
      </x:c>
      <x:c r="I675" t="n">
        <x:v>0.0797</x:v>
      </x:c>
      <x:c r="J675" t="str">
        <x:v>Medium</x:v>
      </x:c>
      <x:c r="K675" t="n">
        <x:v>47.2</x:v>
      </x:c>
      <x:c r="L675" t="n">
        <x:v>51.3</x:v>
      </x:c>
      <x:c r="M675" t="n">
        <x:v>47</x:v>
      </x:c>
      <x:c r="N675" t="str">
        <x:v>Optimistic</x:v>
      </x:c>
      <x:c r="O675" t="str">
        <x:v>Most Likely</x:v>
      </x:c>
    </x:row>
    <x:row r="676">
      <x:c r="A676" t="str">
        <x:v>PJT_675</x:v>
      </x:c>
      <x:c r="B676" t="n">
        <x:v>51538560</x:v>
      </x:c>
      <x:c r="C676" t="n">
        <x:v>55440862</x:v>
      </x:c>
      <x:c r="D676" t="n">
        <x:v>3902302</x:v>
      </x:c>
      <x:c r="E676" t="n">
        <x:v>0.0757</x:v>
      </x:c>
      <x:c r="F676" t="n">
        <x:v>744</x:v>
      </x:c>
      <x:c r="G676" t="n">
        <x:v>834</x:v>
      </x:c>
      <x:c r="H676" t="n">
        <x:v>90</x:v>
      </x:c>
      <x:c r="I676" t="n">
        <x:v>0.121</x:v>
      </x:c>
      <x:c r="J676" t="str">
        <x:v>Medium</x:v>
      </x:c>
      <x:c r="K676" t="n">
        <x:v>57.3</x:v>
      </x:c>
      <x:c r="L676" t="n">
        <x:v>61.2</x:v>
      </x:c>
      <x:c r="M676" t="n">
        <x:v>57.1</x:v>
      </x:c>
      <x:c r="N676" t="str">
        <x:v>Most Likely</x:v>
      </x:c>
      <x:c r="O676" t="str">
        <x:v>Pessimistic</x:v>
      </x:c>
    </x:row>
    <x:row r="677">
      <x:c r="A677" t="str">
        <x:v>PJT_676</x:v>
      </x:c>
      <x:c r="B677" t="n">
        <x:v>47291750</x:v>
      </x:c>
      <x:c r="C677" t="n">
        <x:v>47761072</x:v>
      </x:c>
      <x:c r="D677" t="n">
        <x:v>469322</x:v>
      </x:c>
      <x:c r="E677" t="n">
        <x:v>0.0099</x:v>
      </x:c>
      <x:c r="F677" t="n">
        <x:v>825</x:v>
      </x:c>
      <x:c r="G677" t="n">
        <x:v>927</x:v>
      </x:c>
      <x:c r="H677" t="n">
        <x:v>102</x:v>
      </x:c>
      <x:c r="I677" t="n">
        <x:v>0.1236</x:v>
      </x:c>
      <x:c r="J677" t="str">
        <x:v>Medium</x:v>
      </x:c>
      <x:c r="K677" t="n">
        <x:v>48.4</x:v>
      </x:c>
      <x:c r="L677" t="n">
        <x:v>46.3</x:v>
      </x:c>
      <x:c r="M677" t="n">
        <x:v>52.3</x:v>
      </x:c>
      <x:c r="N677" t="str">
        <x:v>Most Likely</x:v>
      </x:c>
      <x:c r="O677" t="str">
        <x:v>Pessimistic</x:v>
      </x:c>
    </x:row>
    <x:row r="678">
      <x:c r="A678" t="str">
        <x:v>PJT_677</x:v>
      </x:c>
      <x:c r="B678" t="n">
        <x:v>77155200</x:v>
      </x:c>
      <x:c r="C678" t="n">
        <x:v>81344865</x:v>
      </x:c>
      <x:c r="D678" t="n">
        <x:v>4189665</x:v>
      </x:c>
      <x:c r="E678" t="n">
        <x:v>0.0543</x:v>
      </x:c>
      <x:c r="F678" t="n">
        <x:v>1444</x:v>
      </x:c>
      <x:c r="G678" t="n">
        <x:v>1529</x:v>
      </x:c>
      <x:c r="H678" t="n">
        <x:v>85</x:v>
      </x:c>
      <x:c r="I678" t="n">
        <x:v>0.0589</x:v>
      </x:c>
      <x:c r="J678" t="str">
        <x:v>Medium</x:v>
      </x:c>
      <x:c r="K678" t="n">
        <x:v>54.8</x:v>
      </x:c>
      <x:c r="L678" t="n">
        <x:v>60.2</x:v>
      </x:c>
      <x:c r="M678" t="n">
        <x:v>52.6</x:v>
      </x:c>
      <x:c r="N678" t="str">
        <x:v>Most Likely</x:v>
      </x:c>
      <x:c r="O678" t="str">
        <x:v>Most Likely</x:v>
      </x:c>
    </x:row>
    <x:row r="679">
      <x:c r="A679" t="str">
        <x:v>PJT_678</x:v>
      </x:c>
      <x:c r="B679" t="n">
        <x:v>26004810</x:v>
      </x:c>
      <x:c r="C679" t="n">
        <x:v>26748691</x:v>
      </x:c>
      <x:c r="D679" t="n">
        <x:v>743881</x:v>
      </x:c>
      <x:c r="E679" t="n">
        <x:v>0.0286</x:v>
      </x:c>
      <x:c r="F679" t="n">
        <x:v>533</x:v>
      </x:c>
      <x:c r="G679" t="n">
        <x:v>556</x:v>
      </x:c>
      <x:c r="H679" t="n">
        <x:v>23</x:v>
      </x:c>
      <x:c r="I679" t="n">
        <x:v>0.0432</x:v>
      </x:c>
      <x:c r="J679" t="str">
        <x:v>Low</x:v>
      </x:c>
      <x:c r="K679" t="n">
        <x:v>43.6</x:v>
      </x:c>
      <x:c r="L679" t="n">
        <x:v>38.8</x:v>
      </x:c>
      <x:c r="M679" t="n">
        <x:v>40.3</x:v>
      </x:c>
      <x:c r="N679" t="str">
        <x:v>Most Likely</x:v>
      </x:c>
      <x:c r="O679" t="str">
        <x:v>Most Likely</x:v>
      </x:c>
    </x:row>
    <x:row r="680">
      <x:c r="A680" t="str">
        <x:v>PJT_679</x:v>
      </x:c>
      <x:c r="B680" t="n">
        <x:v>25977060</x:v>
      </x:c>
      <x:c r="C680" t="n">
        <x:v>26277114</x:v>
      </x:c>
      <x:c r="D680" t="n">
        <x:v>300054</x:v>
      </x:c>
      <x:c r="E680" t="n">
        <x:v>0.0116</x:v>
      </x:c>
      <x:c r="F680" t="n">
        <x:v>553</x:v>
      </x:c>
      <x:c r="G680" t="n">
        <x:v>535</x:v>
      </x:c>
      <x:c r="H680" t="n">
        <x:v>-18</x:v>
      </x:c>
      <x:c r="I680" t="n">
        <x:v>-0.0325</x:v>
      </x:c>
      <x:c r="J680" t="str">
        <x:v>Medium</x:v>
      </x:c>
      <x:c r="K680" t="n">
        <x:v>49.1</x:v>
      </x:c>
      <x:c r="L680" t="n">
        <x:v>47.8</x:v>
      </x:c>
      <x:c r="M680" t="n">
        <x:v>40.3</x:v>
      </x:c>
      <x:c r="N680" t="str">
        <x:v>Most Likely</x:v>
      </x:c>
      <x:c r="O680" t="str">
        <x:v>Optimistic</x:v>
      </x:c>
    </x:row>
    <x:row r="681">
      <x:c r="A681" t="str">
        <x:v>PJT_680</x:v>
      </x:c>
      <x:c r="B681" t="n">
        <x:v>29260800</x:v>
      </x:c>
      <x:c r="C681" t="n">
        <x:v>29272083</x:v>
      </x:c>
      <x:c r="D681" t="n">
        <x:v>11283</x:v>
      </x:c>
      <x:c r="E681" t="n">
        <x:v>0.0004</x:v>
      </x:c>
      <x:c r="F681" t="n">
        <x:v>833</x:v>
      </x:c>
      <x:c r="G681" t="n">
        <x:v>871</x:v>
      </x:c>
      <x:c r="H681" t="n">
        <x:v>38</x:v>
      </x:c>
      <x:c r="I681" t="n">
        <x:v>0.0456</x:v>
      </x:c>
      <x:c r="J681" t="str">
        <x:v>Low</x:v>
      </x:c>
      <x:c r="K681" t="n">
        <x:v>44.1</x:v>
      </x:c>
      <x:c r="L681" t="n">
        <x:v>46.7</x:v>
      </x:c>
      <x:c r="M681" t="n">
        <x:v>46.9</x:v>
      </x:c>
      <x:c r="N681" t="str">
        <x:v>Most Likely</x:v>
      </x:c>
      <x:c r="O681" t="str">
        <x:v>Most Likely</x:v>
      </x:c>
    </x:row>
    <x:row r="682">
      <x:c r="A682" t="str">
        <x:v>PJT_681</x:v>
      </x:c>
      <x:c r="B682" t="n">
        <x:v>48806710</x:v>
      </x:c>
      <x:c r="C682" t="n">
        <x:v>54263113</x:v>
      </x:c>
      <x:c r="D682" t="n">
        <x:v>5456403</x:v>
      </x:c>
      <x:c r="E682" t="n">
        <x:v>0.1118</x:v>
      </x:c>
      <x:c r="F682" t="n">
        <x:v>927</x:v>
      </x:c>
      <x:c r="G682" t="n">
        <x:v>1022</x:v>
      </x:c>
      <x:c r="H682" t="n">
        <x:v>95</x:v>
      </x:c>
      <x:c r="I682" t="n">
        <x:v>0.1025</x:v>
      </x:c>
      <x:c r="J682" t="str">
        <x:v>Medium</x:v>
      </x:c>
      <x:c r="K682" t="n">
        <x:v>53</x:v>
      </x:c>
      <x:c r="L682" t="n">
        <x:v>57.6</x:v>
      </x:c>
      <x:c r="M682" t="n">
        <x:v>56.4</x:v>
      </x:c>
      <x:c r="N682" t="str">
        <x:v>Pessimistic</x:v>
      </x:c>
      <x:c r="O682" t="str">
        <x:v>Pessimistic</x:v>
      </x:c>
    </x:row>
    <x:row r="683">
      <x:c r="A683" t="str">
        <x:v>PJT_682</x:v>
      </x:c>
      <x:c r="B683" t="n">
        <x:v>14658000</x:v>
      </x:c>
      <x:c r="C683" t="n">
        <x:v>14450181</x:v>
      </x:c>
      <x:c r="D683" t="n">
        <x:v>-207819</x:v>
      </x:c>
      <x:c r="E683" t="n">
        <x:v>-0.0142</x:v>
      </x:c>
      <x:c r="F683" t="n">
        <x:v>228</x:v>
      </x:c>
      <x:c r="G683" t="n">
        <x:v>229</x:v>
      </x:c>
      <x:c r="H683" t="n">
        <x:v>1</x:v>
      </x:c>
      <x:c r="I683" t="n">
        <x:v>0.0044</x:v>
      </x:c>
      <x:c r="J683" t="str">
        <x:v>Low</x:v>
      </x:c>
      <x:c r="K683" t="n">
        <x:v>28.4</x:v>
      </x:c>
      <x:c r="L683" t="n">
        <x:v>23.8</x:v>
      </x:c>
      <x:c r="M683" t="n">
        <x:v>26.8</x:v>
      </x:c>
      <x:c r="N683" t="str">
        <x:v>Optimistic</x:v>
      </x:c>
      <x:c r="O683" t="str">
        <x:v>Most Likely</x:v>
      </x:c>
    </x:row>
    <x:row r="684">
      <x:c r="A684" t="str">
        <x:v>PJT_683</x:v>
      </x:c>
      <x:c r="B684" t="n">
        <x:v>50448700</x:v>
      </x:c>
      <x:c r="C684" t="n">
        <x:v>55964685</x:v>
      </x:c>
      <x:c r="D684" t="n">
        <x:v>5515985</x:v>
      </x:c>
      <x:c r="E684" t="n">
        <x:v>0.1093</x:v>
      </x:c>
      <x:c r="F684" t="n">
        <x:v>1046</x:v>
      </x:c>
      <x:c r="G684" t="n">
        <x:v>1078</x:v>
      </x:c>
      <x:c r="H684" t="n">
        <x:v>32</x:v>
      </x:c>
      <x:c r="I684" t="n">
        <x:v>0.0306</x:v>
      </x:c>
      <x:c r="J684" t="str">
        <x:v>Medium</x:v>
      </x:c>
      <x:c r="K684" t="n">
        <x:v>57.6</x:v>
      </x:c>
      <x:c r="L684" t="n">
        <x:v>59.5</x:v>
      </x:c>
      <x:c r="M684" t="n">
        <x:v>51</x:v>
      </x:c>
      <x:c r="N684" t="str">
        <x:v>Pessimistic</x:v>
      </x:c>
      <x:c r="O684" t="str">
        <x:v>Most Likely</x:v>
      </x:c>
    </x:row>
    <x:row r="685">
      <x:c r="A685" t="str">
        <x:v>PJT_684</x:v>
      </x:c>
      <x:c r="B685" t="n">
        <x:v>45407140</x:v>
      </x:c>
      <x:c r="C685" t="n">
        <x:v>49770968</x:v>
      </x:c>
      <x:c r="D685" t="n">
        <x:v>4363828</x:v>
      </x:c>
      <x:c r="E685" t="n">
        <x:v>0.0961</x:v>
      </x:c>
      <x:c r="F685" t="n">
        <x:v>731</x:v>
      </x:c>
      <x:c r="G685" t="n">
        <x:v>743</x:v>
      </x:c>
      <x:c r="H685" t="n">
        <x:v>12</x:v>
      </x:c>
      <x:c r="I685" t="n">
        <x:v>0.0164</x:v>
      </x:c>
      <x:c r="J685" t="str">
        <x:v>Medium</x:v>
      </x:c>
      <x:c r="K685" t="n">
        <x:v>58.3</x:v>
      </x:c>
      <x:c r="L685" t="n">
        <x:v>60.4</x:v>
      </x:c>
      <x:c r="M685" t="n">
        <x:v>58.4</x:v>
      </x:c>
      <x:c r="N685" t="str">
        <x:v>Most Likely</x:v>
      </x:c>
      <x:c r="O685" t="str">
        <x:v>Most Likely</x:v>
      </x:c>
    </x:row>
    <x:row r="686">
      <x:c r="A686" t="str">
        <x:v>PJT_685</x:v>
      </x:c>
      <x:c r="B686" t="n">
        <x:v>88090000</x:v>
      </x:c>
      <x:c r="C686" t="n">
        <x:v>94896884</x:v>
      </x:c>
      <x:c r="D686" t="n">
        <x:v>6806884</x:v>
      </x:c>
      <x:c r="E686" t="n">
        <x:v>0.0773</x:v>
      </x:c>
      <x:c r="F686" t="n">
        <x:v>1777</x:v>
      </x:c>
      <x:c r="G686" t="n">
        <x:v>1994</x:v>
      </x:c>
      <x:c r="H686" t="n">
        <x:v>217</x:v>
      </x:c>
      <x:c r="I686" t="n">
        <x:v>0.1221</x:v>
      </x:c>
      <x:c r="J686" t="str">
        <x:v>High</x:v>
      </x:c>
      <x:c r="K686" t="n">
        <x:v>70.5</x:v>
      </x:c>
      <x:c r="L686" t="n">
        <x:v>68.1</x:v>
      </x:c>
      <x:c r="M686" t="n">
        <x:v>73.6</x:v>
      </x:c>
      <x:c r="N686" t="str">
        <x:v>Most Likely</x:v>
      </x:c>
      <x:c r="O686" t="str">
        <x:v>Pessimistic</x:v>
      </x:c>
    </x:row>
    <x:row r="687">
      <x:c r="A687" t="str">
        <x:v>PJT_686</x:v>
      </x:c>
      <x:c r="B687" t="n">
        <x:v>33440000</x:v>
      </x:c>
      <x:c r="C687" t="n">
        <x:v>36638697</x:v>
      </x:c>
      <x:c r="D687" t="n">
        <x:v>3198697</x:v>
      </x:c>
      <x:c r="E687" t="n">
        <x:v>0.0957</x:v>
      </x:c>
      <x:c r="F687" t="n">
        <x:v>607</x:v>
      </x:c>
      <x:c r="G687" t="n">
        <x:v>626</x:v>
      </x:c>
      <x:c r="H687" t="n">
        <x:v>19</x:v>
      </x:c>
      <x:c r="I687" t="n">
        <x:v>0.0313</x:v>
      </x:c>
      <x:c r="J687" t="str">
        <x:v>Low</x:v>
      </x:c>
      <x:c r="K687" t="n">
        <x:v>42.9</x:v>
      </x:c>
      <x:c r="L687" t="n">
        <x:v>50.8</x:v>
      </x:c>
      <x:c r="M687" t="n">
        <x:v>45.7</x:v>
      </x:c>
      <x:c r="N687" t="str">
        <x:v>Most Likely</x:v>
      </x:c>
      <x:c r="O687" t="str">
        <x:v>Most Likely</x:v>
      </x:c>
    </x:row>
    <x:row r="688">
      <x:c r="A688" t="str">
        <x:v>PJT_687</x:v>
      </x:c>
      <x:c r="B688" t="n">
        <x:v>13413400</x:v>
      </x:c>
      <x:c r="C688" t="n">
        <x:v>12456431</x:v>
      </x:c>
      <x:c r="D688" t="n">
        <x:v>-956969</x:v>
      </x:c>
      <x:c r="E688" t="n">
        <x:v>-0.0713</x:v>
      </x:c>
      <x:c r="F688" t="n">
        <x:v>230</x:v>
      </x:c>
      <x:c r="G688" t="n">
        <x:v>227</x:v>
      </x:c>
      <x:c r="H688" t="n">
        <x:v>-3</x:v>
      </x:c>
      <x:c r="I688" t="n">
        <x:v>-0.013</x:v>
      </x:c>
      <x:c r="J688" t="str">
        <x:v>Low</x:v>
      </x:c>
      <x:c r="K688" t="n">
        <x:v>33.1</x:v>
      </x:c>
      <x:c r="L688" t="n">
        <x:v>35.1</x:v>
      </x:c>
      <x:c r="M688" t="n">
        <x:v>30.9</x:v>
      </x:c>
      <x:c r="N688" t="str">
        <x:v>Optimistic</x:v>
      </x:c>
      <x:c r="O688" t="str">
        <x:v>Optimistic</x:v>
      </x:c>
    </x:row>
    <x:row r="689">
      <x:c r="A689" t="str">
        <x:v>PJT_688</x:v>
      </x:c>
      <x:c r="B689" t="n">
        <x:v>23404800</x:v>
      </x:c>
      <x:c r="C689" t="n">
        <x:v>23857096</x:v>
      </x:c>
      <x:c r="D689" t="n">
        <x:v>452296</x:v>
      </x:c>
      <x:c r="E689" t="n">
        <x:v>0.0193</x:v>
      </x:c>
      <x:c r="F689" t="n">
        <x:v>536</x:v>
      </x:c>
      <x:c r="G689" t="n">
        <x:v>574</x:v>
      </x:c>
      <x:c r="H689" t="n">
        <x:v>38</x:v>
      </x:c>
      <x:c r="I689" t="n">
        <x:v>0.0709</x:v>
      </x:c>
      <x:c r="J689" t="str">
        <x:v>Low</x:v>
      </x:c>
      <x:c r="K689" t="n">
        <x:v>42.6</x:v>
      </x:c>
      <x:c r="L689" t="n">
        <x:v>41.7</x:v>
      </x:c>
      <x:c r="M689" t="n">
        <x:v>39.5</x:v>
      </x:c>
      <x:c r="N689" t="str">
        <x:v>Most Likely</x:v>
      </x:c>
      <x:c r="O689" t="str">
        <x:v>Most Likely</x:v>
      </x:c>
    </x:row>
    <x:row r="690">
      <x:c r="A690" t="str">
        <x:v>PJT_689</x:v>
      </x:c>
      <x:c r="B690" t="n">
        <x:v>43458800</x:v>
      </x:c>
      <x:c r="C690" t="n">
        <x:v>47075667</x:v>
      </x:c>
      <x:c r="D690" t="n">
        <x:v>3616867</x:v>
      </x:c>
      <x:c r="E690" t="n">
        <x:v>0.0832</x:v>
      </x:c>
      <x:c r="F690" t="n">
        <x:v>898</x:v>
      </x:c>
      <x:c r="G690" t="n">
        <x:v>932</x:v>
      </x:c>
      <x:c r="H690" t="n">
        <x:v>34</x:v>
      </x:c>
      <x:c r="I690" t="n">
        <x:v>0.0379</x:v>
      </x:c>
      <x:c r="J690" t="str">
        <x:v>Medium</x:v>
      </x:c>
      <x:c r="K690" t="n">
        <x:v>47.9</x:v>
      </x:c>
      <x:c r="L690" t="n">
        <x:v>53.8</x:v>
      </x:c>
      <x:c r="M690" t="n">
        <x:v>44.6</x:v>
      </x:c>
      <x:c r="N690" t="str">
        <x:v>Most Likely</x:v>
      </x:c>
      <x:c r="O690" t="str">
        <x:v>Most Likely</x:v>
      </x:c>
    </x:row>
    <x:row r="691">
      <x:c r="A691" t="str">
        <x:v>PJT_690</x:v>
      </x:c>
      <x:c r="B691" t="n">
        <x:v>11441440</x:v>
      </x:c>
      <x:c r="C691" t="n">
        <x:v>11905279</x:v>
      </x:c>
      <x:c r="D691" t="n">
        <x:v>463839</x:v>
      </x:c>
      <x:c r="E691" t="n">
        <x:v>0.0405</x:v>
      </x:c>
      <x:c r="F691" t="n">
        <x:v>195</x:v>
      </x:c>
      <x:c r="G691" t="n">
        <x:v>193</x:v>
      </x:c>
      <x:c r="H691" t="n">
        <x:v>-2</x:v>
      </x:c>
      <x:c r="I691" t="n">
        <x:v>-0.0103</x:v>
      </x:c>
      <x:c r="J691" t="str">
        <x:v>Low</x:v>
      </x:c>
      <x:c r="K691" t="n">
        <x:v>31.8</x:v>
      </x:c>
      <x:c r="L691" t="n">
        <x:v>27.2</x:v>
      </x:c>
      <x:c r="M691" t="n">
        <x:v>29.4</x:v>
      </x:c>
      <x:c r="N691" t="str">
        <x:v>Most Likely</x:v>
      </x:c>
      <x:c r="O691" t="str">
        <x:v>Optimistic</x:v>
      </x:c>
    </x:row>
    <x:row r="692">
      <x:c r="A692" t="str">
        <x:v>PJT_691</x:v>
      </x:c>
      <x:c r="B692" t="n">
        <x:v>37263520</x:v>
      </x:c>
      <x:c r="C692" t="n">
        <x:v>39113013</x:v>
      </x:c>
      <x:c r="D692" t="n">
        <x:v>1849493</x:v>
      </x:c>
      <x:c r="E692" t="n">
        <x:v>0.0496</x:v>
      </x:c>
      <x:c r="F692" t="n">
        <x:v>682</x:v>
      </x:c>
      <x:c r="G692" t="n">
        <x:v>755</x:v>
      </x:c>
      <x:c r="H692" t="n">
        <x:v>73</x:v>
      </x:c>
      <x:c r="I692" t="n">
        <x:v>0.107</x:v>
      </x:c>
      <x:c r="J692" t="str">
        <x:v>Medium</x:v>
      </x:c>
      <x:c r="K692" t="n">
        <x:v>51.6</x:v>
      </x:c>
      <x:c r="L692" t="n">
        <x:v>53.5</x:v>
      </x:c>
      <x:c r="M692" t="n">
        <x:v>50.1</x:v>
      </x:c>
      <x:c r="N692" t="str">
        <x:v>Most Likely</x:v>
      </x:c>
      <x:c r="O692" t="str">
        <x:v>Pessimistic</x:v>
      </x:c>
    </x:row>
    <x:row r="693">
      <x:c r="A693" t="str">
        <x:v>PJT_692</x:v>
      </x:c>
      <x:c r="B693" t="n">
        <x:v>32090450</x:v>
      </x:c>
      <x:c r="C693" t="n">
        <x:v>32714919</x:v>
      </x:c>
      <x:c r="D693" t="n">
        <x:v>624469</x:v>
      </x:c>
      <x:c r="E693" t="n">
        <x:v>0.0195</x:v>
      </x:c>
      <x:c r="F693" t="n">
        <x:v>945</x:v>
      </x:c>
      <x:c r="G693" t="n">
        <x:v>1016</x:v>
      </x:c>
      <x:c r="H693" t="n">
        <x:v>71</x:v>
      </x:c>
      <x:c r="I693" t="n">
        <x:v>0.0751</x:v>
      </x:c>
      <x:c r="J693" t="str">
        <x:v>Medium</x:v>
      </x:c>
      <x:c r="K693" t="n">
        <x:v>46.6</x:v>
      </x:c>
      <x:c r="L693" t="n">
        <x:v>47</x:v>
      </x:c>
      <x:c r="M693" t="n">
        <x:v>53.8</x:v>
      </x:c>
      <x:c r="N693" t="str">
        <x:v>Most Likely</x:v>
      </x:c>
      <x:c r="O693" t="str">
        <x:v>Most Likely</x:v>
      </x:c>
    </x:row>
    <x:row r="694">
      <x:c r="A694" t="str">
        <x:v>PJT_693</x:v>
      </x:c>
      <x:c r="B694" t="n">
        <x:v>80871840</x:v>
      </x:c>
      <x:c r="C694" t="n">
        <x:v>84257187</x:v>
      </x:c>
      <x:c r="D694" t="n">
        <x:v>3385347</x:v>
      </x:c>
      <x:c r="E694" t="n">
        <x:v>0.0419</x:v>
      </x:c>
      <x:c r="F694" t="n">
        <x:v>1473</x:v>
      </x:c>
      <x:c r="G694" t="n">
        <x:v>1584</x:v>
      </x:c>
      <x:c r="H694" t="n">
        <x:v>111</x:v>
      </x:c>
      <x:c r="I694" t="n">
        <x:v>0.0754</x:v>
      </x:c>
      <x:c r="J694" t="str">
        <x:v>Medium</x:v>
      </x:c>
      <x:c r="K694" t="n">
        <x:v>58.4</x:v>
      </x:c>
      <x:c r="L694" t="n">
        <x:v>60.2</x:v>
      </x:c>
      <x:c r="M694" t="n">
        <x:v>55.7</x:v>
      </x:c>
      <x:c r="N694" t="str">
        <x:v>Most Likely</x:v>
      </x:c>
      <x:c r="O694" t="str">
        <x:v>Most Likely</x:v>
      </x:c>
    </x:row>
    <x:row r="695">
      <x:c r="A695" t="str">
        <x:v>PJT_694</x:v>
      </x:c>
      <x:c r="B695" t="n">
        <x:v>56032060</x:v>
      </x:c>
      <x:c r="C695" t="n">
        <x:v>60341372</x:v>
      </x:c>
      <x:c r="D695" t="n">
        <x:v>4309312</x:v>
      </x:c>
      <x:c r="E695" t="n">
        <x:v>0.0769</x:v>
      </x:c>
      <x:c r="F695" t="n">
        <x:v>1155</x:v>
      </x:c>
      <x:c r="G695" t="n">
        <x:v>1178</x:v>
      </x:c>
      <x:c r="H695" t="n">
        <x:v>23</x:v>
      </x:c>
      <x:c r="I695" t="n">
        <x:v>0.0199</x:v>
      </x:c>
      <x:c r="J695" t="str">
        <x:v>Medium</x:v>
      </x:c>
      <x:c r="K695" t="n">
        <x:v>53.5</x:v>
      </x:c>
      <x:c r="L695" t="n">
        <x:v>57.5</x:v>
      </x:c>
      <x:c r="M695" t="n">
        <x:v>57</x:v>
      </x:c>
      <x:c r="N695" t="str">
        <x:v>Most Likely</x:v>
      </x:c>
      <x:c r="O695" t="str">
        <x:v>Most Likely</x:v>
      </x:c>
    </x:row>
    <x:row r="696">
      <x:c r="A696" t="str">
        <x:v>PJT_695</x:v>
      </x:c>
      <x:c r="B696" t="n">
        <x:v>35316810</x:v>
      </x:c>
      <x:c r="C696" t="n">
        <x:v>36201844</x:v>
      </x:c>
      <x:c r="D696" t="n">
        <x:v>885034</x:v>
      </x:c>
      <x:c r="E696" t="n">
        <x:v>0.0251</x:v>
      </x:c>
      <x:c r="F696" t="n">
        <x:v>699</x:v>
      </x:c>
      <x:c r="G696" t="n">
        <x:v>708</x:v>
      </x:c>
      <x:c r="H696" t="n">
        <x:v>9</x:v>
      </x:c>
      <x:c r="I696" t="n">
        <x:v>0.0129</x:v>
      </x:c>
      <x:c r="J696" t="str">
        <x:v>Low</x:v>
      </x:c>
      <x:c r="K696" t="n">
        <x:v>42.6</x:v>
      </x:c>
      <x:c r="L696" t="n">
        <x:v>43.6</x:v>
      </x:c>
      <x:c r="M696" t="n">
        <x:v>46.4</x:v>
      </x:c>
      <x:c r="N696" t="str">
        <x:v>Most Likely</x:v>
      </x:c>
      <x:c r="O696" t="str">
        <x:v>Most Likely</x:v>
      </x:c>
    </x:row>
    <x:row r="697">
      <x:c r="A697" t="str">
        <x:v>PJT_696</x:v>
      </x:c>
      <x:c r="B697" t="n">
        <x:v>11092200</x:v>
      </x:c>
      <x:c r="C697" t="n">
        <x:v>11535934</x:v>
      </x:c>
      <x:c r="D697" t="n">
        <x:v>443734</x:v>
      </x:c>
      <x:c r="E697" t="n">
        <x:v>0.04</x:v>
      </x:c>
      <x:c r="F697" t="n">
        <x:v>193</x:v>
      </x:c>
      <x:c r="G697" t="n">
        <x:v>190</x:v>
      </x:c>
      <x:c r="H697" t="n">
        <x:v>-3</x:v>
      </x:c>
      <x:c r="I697" t="n">
        <x:v>-0.0155</x:v>
      </x:c>
      <x:c r="J697" t="str">
        <x:v>Low</x:v>
      </x:c>
      <x:c r="K697" t="n">
        <x:v>43</x:v>
      </x:c>
      <x:c r="L697" t="n">
        <x:v>35</x:v>
      </x:c>
      <x:c r="M697" t="n">
        <x:v>36.3</x:v>
      </x:c>
      <x:c r="N697" t="str">
        <x:v>Most Likely</x:v>
      </x:c>
      <x:c r="O697" t="str">
        <x:v>Optimistic</x:v>
      </x:c>
    </x:row>
    <x:row r="698">
      <x:c r="A698" t="str">
        <x:v>PJT_697</x:v>
      </x:c>
      <x:c r="B698" t="n">
        <x:v>19638150</x:v>
      </x:c>
      <x:c r="C698" t="n">
        <x:v>19773838</x:v>
      </x:c>
      <x:c r="D698" t="n">
        <x:v>135688</x:v>
      </x:c>
      <x:c r="E698" t="n">
        <x:v>0.0069</x:v>
      </x:c>
      <x:c r="F698" t="n">
        <x:v>343</x:v>
      </x:c>
      <x:c r="G698" t="n">
        <x:v>348</x:v>
      </x:c>
      <x:c r="H698" t="n">
        <x:v>5</x:v>
      </x:c>
      <x:c r="I698" t="n">
        <x:v>0.0146</x:v>
      </x:c>
      <x:c r="J698" t="str">
        <x:v>Low</x:v>
      </x:c>
      <x:c r="K698" t="n">
        <x:v>36</x:v>
      </x:c>
      <x:c r="L698" t="n">
        <x:v>38</x:v>
      </x:c>
      <x:c r="M698" t="n">
        <x:v>37.8</x:v>
      </x:c>
      <x:c r="N698" t="str">
        <x:v>Most Likely</x:v>
      </x:c>
      <x:c r="O698" t="str">
        <x:v>Most Likely</x:v>
      </x:c>
    </x:row>
    <x:row r="699">
      <x:c r="A699" t="str">
        <x:v>PJT_698</x:v>
      </x:c>
      <x:c r="B699" t="n">
        <x:v>25680880</x:v>
      </x:c>
      <x:c r="C699" t="n">
        <x:v>26481087</x:v>
      </x:c>
      <x:c r="D699" t="n">
        <x:v>800207</x:v>
      </x:c>
      <x:c r="E699" t="n">
        <x:v>0.0312</x:v>
      </x:c>
      <x:c r="F699" t="n">
        <x:v>691</x:v>
      </x:c>
      <x:c r="G699" t="n">
        <x:v>737</x:v>
      </x:c>
      <x:c r="H699" t="n">
        <x:v>46</x:v>
      </x:c>
      <x:c r="I699" t="n">
        <x:v>0.0666</x:v>
      </x:c>
      <x:c r="J699" t="str">
        <x:v>Medium</x:v>
      </x:c>
      <x:c r="K699" t="n">
        <x:v>49.8</x:v>
      </x:c>
      <x:c r="L699" t="n">
        <x:v>49.5</x:v>
      </x:c>
      <x:c r="M699" t="n">
        <x:v>54.3</x:v>
      </x:c>
      <x:c r="N699" t="str">
        <x:v>Most Likely</x:v>
      </x:c>
      <x:c r="O699" t="str">
        <x:v>Most Likely</x:v>
      </x:c>
    </x:row>
    <x:row r="700">
      <x:c r="A700" t="str">
        <x:v>PJT_699</x:v>
      </x:c>
      <x:c r="B700" t="n">
        <x:v>48266400</x:v>
      </x:c>
      <x:c r="C700" t="n">
        <x:v>51405620</x:v>
      </x:c>
      <x:c r="D700" t="n">
        <x:v>3139220</x:v>
      </x:c>
      <x:c r="E700" t="n">
        <x:v>0.065</x:v>
      </x:c>
      <x:c r="F700" t="n">
        <x:v>875</x:v>
      </x:c>
      <x:c r="G700" t="n">
        <x:v>974</x:v>
      </x:c>
      <x:c r="H700" t="n">
        <x:v>99</x:v>
      </x:c>
      <x:c r="I700" t="n">
        <x:v>0.1131</x:v>
      </x:c>
      <x:c r="J700" t="str">
        <x:v>Medium</x:v>
      </x:c>
      <x:c r="K700" t="n">
        <x:v>48.4</x:v>
      </x:c>
      <x:c r="L700" t="n">
        <x:v>50.8</x:v>
      </x:c>
      <x:c r="M700" t="n">
        <x:v>41.5</x:v>
      </x:c>
      <x:c r="N700" t="str">
        <x:v>Most Likely</x:v>
      </x:c>
      <x:c r="O700" t="str">
        <x:v>Pessimistic</x:v>
      </x:c>
    </x:row>
    <x:row r="701">
      <x:c r="A701" t="str">
        <x:v>PJT_700</x:v>
      </x:c>
      <x:c r="B701" t="n">
        <x:v>14210980</x:v>
      </x:c>
      <x:c r="C701" t="n">
        <x:v>14550926</x:v>
      </x:c>
      <x:c r="D701" t="n">
        <x:v>339946</x:v>
      </x:c>
      <x:c r="E701" t="n">
        <x:v>0.0239</x:v>
      </x:c>
      <x:c r="F701" t="n">
        <x:v>242</x:v>
      </x:c>
      <x:c r="G701" t="n">
        <x:v>239</x:v>
      </x:c>
      <x:c r="H701" t="n">
        <x:v>-3</x:v>
      </x:c>
      <x:c r="I701" t="n">
        <x:v>-0.0124</x:v>
      </x:c>
      <x:c r="J701" t="str">
        <x:v>Low</x:v>
      </x:c>
      <x:c r="K701" t="n">
        <x:v>29.1</x:v>
      </x:c>
      <x:c r="L701" t="n">
        <x:v>30.6</x:v>
      </x:c>
      <x:c r="M701" t="n">
        <x:v>29.4</x:v>
      </x:c>
      <x:c r="N701" t="str">
        <x:v>Most Likely</x:v>
      </x:c>
      <x:c r="O701" t="str">
        <x:v>Optimistic</x:v>
      </x:c>
    </x:row>
    <x:row r="702">
      <x:c r="A702" t="str">
        <x:v>PJT_701</x:v>
      </x:c>
      <x:c r="B702" t="n">
        <x:v>41750870</x:v>
      </x:c>
      <x:c r="C702" t="n">
        <x:v>44052407</x:v>
      </x:c>
      <x:c r="D702" t="n">
        <x:v>2301537</x:v>
      </x:c>
      <x:c r="E702" t="n">
        <x:v>0.0551</x:v>
      </x:c>
      <x:c r="F702" t="n">
        <x:v>726</x:v>
      </x:c>
      <x:c r="G702" t="n">
        <x:v>784</x:v>
      </x:c>
      <x:c r="H702" t="n">
        <x:v>58</x:v>
      </x:c>
      <x:c r="I702" t="n">
        <x:v>0.0799</x:v>
      </x:c>
      <x:c r="J702" t="str">
        <x:v>Medium</x:v>
      </x:c>
      <x:c r="K702" t="n">
        <x:v>51.3</x:v>
      </x:c>
      <x:c r="L702" t="n">
        <x:v>48.4</x:v>
      </x:c>
      <x:c r="M702" t="n">
        <x:v>50.8</x:v>
      </x:c>
      <x:c r="N702" t="str">
        <x:v>Most Likely</x:v>
      </x:c>
      <x:c r="O702" t="str">
        <x:v>Most Likely</x:v>
      </x:c>
    </x:row>
    <x:row r="703">
      <x:c r="A703" t="str">
        <x:v>PJT_702</x:v>
      </x:c>
      <x:c r="B703" t="n">
        <x:v>26048400</x:v>
      </x:c>
      <x:c r="C703" t="n">
        <x:v>27417301</x:v>
      </x:c>
      <x:c r="D703" t="n">
        <x:v>1368901</x:v>
      </x:c>
      <x:c r="E703" t="n">
        <x:v>0.0526</x:v>
      </x:c>
      <x:c r="F703" t="n">
        <x:v>570</x:v>
      </x:c>
      <x:c r="G703" t="n">
        <x:v>579</x:v>
      </x:c>
      <x:c r="H703" t="n">
        <x:v>9</x:v>
      </x:c>
      <x:c r="I703" t="n">
        <x:v>0.0158</x:v>
      </x:c>
      <x:c r="J703" t="str">
        <x:v>Medium</x:v>
      </x:c>
      <x:c r="K703" t="n">
        <x:v>51.8</x:v>
      </x:c>
      <x:c r="L703" t="n">
        <x:v>55.8</x:v>
      </x:c>
      <x:c r="M703" t="n">
        <x:v>49.6</x:v>
      </x:c>
      <x:c r="N703" t="str">
        <x:v>Most Likely</x:v>
      </x:c>
      <x:c r="O703" t="str">
        <x:v>Most Likely</x:v>
      </x:c>
    </x:row>
    <x:row r="704">
      <x:c r="A704" t="str">
        <x:v>PJT_703</x:v>
      </x:c>
      <x:c r="B704" t="n">
        <x:v>71839760</x:v>
      </x:c>
      <x:c r="C704" t="n">
        <x:v>73651937</x:v>
      </x:c>
      <x:c r="D704" t="n">
        <x:v>1812177</x:v>
      </x:c>
      <x:c r="E704" t="n">
        <x:v>0.0252</x:v>
      </x:c>
      <x:c r="F704" t="n">
        <x:v>1402</x:v>
      </x:c>
      <x:c r="G704" t="n">
        <x:v>1483</x:v>
      </x:c>
      <x:c r="H704" t="n">
        <x:v>81</x:v>
      </x:c>
      <x:c r="I704" t="n">
        <x:v>0.0578</x:v>
      </x:c>
      <x:c r="J704" t="str">
        <x:v>Medium</x:v>
      </x:c>
      <x:c r="K704" t="n">
        <x:v>61.7</x:v>
      </x:c>
      <x:c r="L704" t="n">
        <x:v>61</x:v>
      </x:c>
      <x:c r="M704" t="n">
        <x:v>58.5</x:v>
      </x:c>
      <x:c r="N704" t="str">
        <x:v>Most Likely</x:v>
      </x:c>
      <x:c r="O704" t="str">
        <x:v>Most Likely</x:v>
      </x:c>
    </x:row>
    <x:row r="705">
      <x:c r="A705" t="str">
        <x:v>PJT_704</x:v>
      </x:c>
      <x:c r="B705" t="n">
        <x:v>15183120</x:v>
      </x:c>
      <x:c r="C705" t="n">
        <x:v>16525732</x:v>
      </x:c>
      <x:c r="D705" t="n">
        <x:v>1342612</x:v>
      </x:c>
      <x:c r="E705" t="n">
        <x:v>0.0884</x:v>
      </x:c>
      <x:c r="F705" t="n">
        <x:v>435</x:v>
      </x:c>
      <x:c r="G705" t="n">
        <x:v>473</x:v>
      </x:c>
      <x:c r="H705" t="n">
        <x:v>38</x:v>
      </x:c>
      <x:c r="I705" t="n">
        <x:v>0.0874</x:v>
      </x:c>
      <x:c r="J705" t="str">
        <x:v>Medium</x:v>
      </x:c>
      <x:c r="K705" t="n">
        <x:v>50.2</x:v>
      </x:c>
      <x:c r="L705" t="n">
        <x:v>50.3</x:v>
      </x:c>
      <x:c r="M705" t="n">
        <x:v>51.3</x:v>
      </x:c>
      <x:c r="N705" t="str">
        <x:v>Most Likely</x:v>
      </x:c>
      <x:c r="O705" t="str">
        <x:v>Most Likely</x:v>
      </x:c>
    </x:row>
    <x:row r="706">
      <x:c r="A706" t="str">
        <x:v>PJT_705</x:v>
      </x:c>
      <x:c r="B706" t="n">
        <x:v>80636100</x:v>
      </x:c>
      <x:c r="C706" t="n">
        <x:v>84546317</x:v>
      </x:c>
      <x:c r="D706" t="n">
        <x:v>3910217</x:v>
      </x:c>
      <x:c r="E706" t="n">
        <x:v>0.0485</x:v>
      </x:c>
      <x:c r="F706" t="n">
        <x:v>1225</x:v>
      </x:c>
      <x:c r="G706" t="n">
        <x:v>1263</x:v>
      </x:c>
      <x:c r="H706" t="n">
        <x:v>38</x:v>
      </x:c>
      <x:c r="I706" t="n">
        <x:v>0.031</x:v>
      </x:c>
      <x:c r="J706" t="str">
        <x:v>Medium</x:v>
      </x:c>
      <x:c r="K706" t="n">
        <x:v>54.1</x:v>
      </x:c>
      <x:c r="L706" t="n">
        <x:v>59.9</x:v>
      </x:c>
      <x:c r="M706" t="n">
        <x:v>51.3</x:v>
      </x:c>
      <x:c r="N706" t="str">
        <x:v>Most Likely</x:v>
      </x:c>
      <x:c r="O706" t="str">
        <x:v>Most Likely</x:v>
      </x:c>
    </x:row>
    <x:row r="707">
      <x:c r="A707" t="str">
        <x:v>PJT_706</x:v>
      </x:c>
      <x:c r="B707" t="n">
        <x:v>23606000</x:v>
      </x:c>
      <x:c r="C707" t="n">
        <x:v>24546182</x:v>
      </x:c>
      <x:c r="D707" t="n">
        <x:v>940182</x:v>
      </x:c>
      <x:c r="E707" t="n">
        <x:v>0.0398</x:v>
      </x:c>
      <x:c r="F707" t="n">
        <x:v>412</x:v>
      </x:c>
      <x:c r="G707" t="n">
        <x:v>438</x:v>
      </x:c>
      <x:c r="H707" t="n">
        <x:v>26</x:v>
      </x:c>
      <x:c r="I707" t="n">
        <x:v>0.0631</x:v>
      </x:c>
      <x:c r="J707" t="str">
        <x:v>Low</x:v>
      </x:c>
      <x:c r="K707" t="n">
        <x:v>40</x:v>
      </x:c>
      <x:c r="L707" t="n">
        <x:v>38.4</x:v>
      </x:c>
      <x:c r="M707" t="n">
        <x:v>34.8</x:v>
      </x:c>
      <x:c r="N707" t="str">
        <x:v>Most Likely</x:v>
      </x:c>
      <x:c r="O707" t="str">
        <x:v>Most Likely</x:v>
      </x:c>
    </x:row>
    <x:row r="708">
      <x:c r="A708" t="str">
        <x:v>PJT_707</x:v>
      </x:c>
      <x:c r="B708" t="n">
        <x:v>25802000</x:v>
      </x:c>
      <x:c r="C708" t="n">
        <x:v>28051438</x:v>
      </x:c>
      <x:c r="D708" t="n">
        <x:v>2249438</x:v>
      </x:c>
      <x:c r="E708" t="n">
        <x:v>0.0872</x:v>
      </x:c>
      <x:c r="F708" t="n">
        <x:v>455</x:v>
      </x:c>
      <x:c r="G708" t="n">
        <x:v>458</x:v>
      </x:c>
      <x:c r="H708" t="n">
        <x:v>3</x:v>
      </x:c>
      <x:c r="I708" t="n">
        <x:v>0.0066</x:v>
      </x:c>
      <x:c r="J708" t="str">
        <x:v>Medium</x:v>
      </x:c>
      <x:c r="K708" t="n">
        <x:v>52.2</x:v>
      </x:c>
      <x:c r="L708" t="n">
        <x:v>52.8</x:v>
      </x:c>
      <x:c r="M708" t="n">
        <x:v>48.1</x:v>
      </x:c>
      <x:c r="N708" t="str">
        <x:v>Most Likely</x:v>
      </x:c>
      <x:c r="O708" t="str">
        <x:v>Most Likely</x:v>
      </x:c>
    </x:row>
    <x:row r="709">
      <x:c r="A709" t="str">
        <x:v>PJT_708</x:v>
      </x:c>
      <x:c r="B709" t="n">
        <x:v>60468280</x:v>
      </x:c>
      <x:c r="C709" t="n">
        <x:v>66495619</x:v>
      </x:c>
      <x:c r="D709" t="n">
        <x:v>6027339</x:v>
      </x:c>
      <x:c r="E709" t="n">
        <x:v>0.0997</x:v>
      </x:c>
      <x:c r="F709" t="n">
        <x:v>1134</x:v>
      </x:c>
      <x:c r="G709" t="n">
        <x:v>1275</x:v>
      </x:c>
      <x:c r="H709" t="n">
        <x:v>141</x:v>
      </x:c>
      <x:c r="I709" t="n">
        <x:v>0.1243</x:v>
      </x:c>
      <x:c r="J709" t="str">
        <x:v>Medium</x:v>
      </x:c>
      <x:c r="K709" t="n">
        <x:v>58.5</x:v>
      </x:c>
      <x:c r="L709" t="n">
        <x:v>61.1</x:v>
      </x:c>
      <x:c r="M709" t="n">
        <x:v>59.1</x:v>
      </x:c>
      <x:c r="N709" t="str">
        <x:v>Most Likely</x:v>
      </x:c>
      <x:c r="O709" t="str">
        <x:v>Pessimistic</x:v>
      </x:c>
    </x:row>
    <x:row r="710">
      <x:c r="A710" t="str">
        <x:v>PJT_709</x:v>
      </x:c>
      <x:c r="B710" t="n">
        <x:v>22872320</x:v>
      </x:c>
      <x:c r="C710" t="n">
        <x:v>24620152</x:v>
      </x:c>
      <x:c r="D710" t="n">
        <x:v>1747832</x:v>
      </x:c>
      <x:c r="E710" t="n">
        <x:v>0.0764</x:v>
      </x:c>
      <x:c r="F710" t="n">
        <x:v>509</x:v>
      </x:c>
      <x:c r="G710" t="n">
        <x:v>525</x:v>
      </x:c>
      <x:c r="H710" t="n">
        <x:v>16</x:v>
      </x:c>
      <x:c r="I710" t="n">
        <x:v>0.0314</x:v>
      </x:c>
      <x:c r="J710" t="str">
        <x:v>Medium</x:v>
      </x:c>
      <x:c r="K710" t="n">
        <x:v>52.9</x:v>
      </x:c>
      <x:c r="L710" t="n">
        <x:v>51.9</x:v>
      </x:c>
      <x:c r="M710" t="n">
        <x:v>46.2</x:v>
      </x:c>
      <x:c r="N710" t="str">
        <x:v>Most Likely</x:v>
      </x:c>
      <x:c r="O710" t="str">
        <x:v>Most Likely</x:v>
      </x:c>
    </x:row>
    <x:row r="711">
      <x:c r="A711" t="str">
        <x:v>PJT_710</x:v>
      </x:c>
      <x:c r="B711" t="n">
        <x:v>94751370</x:v>
      </x:c>
      <x:c r="C711" t="n">
        <x:v>101909618</x:v>
      </x:c>
      <x:c r="D711" t="n">
        <x:v>7158248</x:v>
      </x:c>
      <x:c r="E711" t="n">
        <x:v>0.0755</x:v>
      </x:c>
      <x:c r="F711" t="n">
        <x:v>1616</x:v>
      </x:c>
      <x:c r="G711" t="n">
        <x:v>1753</x:v>
      </x:c>
      <x:c r="H711" t="n">
        <x:v>137</x:v>
      </x:c>
      <x:c r="I711" t="n">
        <x:v>0.0848</x:v>
      </x:c>
      <x:c r="J711" t="str">
        <x:v>Medium</x:v>
      </x:c>
      <x:c r="K711" t="n">
        <x:v>58.1</x:v>
      </x:c>
      <x:c r="L711" t="n">
        <x:v>57.5</x:v>
      </x:c>
      <x:c r="M711" t="n">
        <x:v>55.7</x:v>
      </x:c>
      <x:c r="N711" t="str">
        <x:v>Most Likely</x:v>
      </x:c>
      <x:c r="O711" t="str">
        <x:v>Most Likely</x:v>
      </x:c>
    </x:row>
    <x:row r="712">
      <x:c r="A712" t="str">
        <x:v>PJT_711</x:v>
      </x:c>
      <x:c r="B712" t="n">
        <x:v>83343360</x:v>
      </x:c>
      <x:c r="C712" t="n">
        <x:v>88812071</x:v>
      </x:c>
      <x:c r="D712" t="n">
        <x:v>5468711</x:v>
      </x:c>
      <x:c r="E712" t="n">
        <x:v>0.0656</x:v>
      </x:c>
      <x:c r="F712" t="n">
        <x:v>1573</x:v>
      </x:c>
      <x:c r="G712" t="n">
        <x:v>1702</x:v>
      </x:c>
      <x:c r="H712" t="n">
        <x:v>129</x:v>
      </x:c>
      <x:c r="I712" t="n">
        <x:v>0.082</x:v>
      </x:c>
      <x:c r="J712" t="str">
        <x:v>Medium</x:v>
      </x:c>
      <x:c r="K712" t="n">
        <x:v>54.5</x:v>
      </x:c>
      <x:c r="L712" t="n">
        <x:v>52.7</x:v>
      </x:c>
      <x:c r="M712" t="n">
        <x:v>57.4</x:v>
      </x:c>
      <x:c r="N712" t="str">
        <x:v>Most Likely</x:v>
      </x:c>
      <x:c r="O712" t="str">
        <x:v>Most Likely</x:v>
      </x:c>
    </x:row>
    <x:row r="713">
      <x:c r="A713" t="str">
        <x:v>PJT_712</x:v>
      </x:c>
      <x:c r="B713" t="n">
        <x:v>55799700</x:v>
      </x:c>
      <x:c r="C713" t="n">
        <x:v>56931245</x:v>
      </x:c>
      <x:c r="D713" t="n">
        <x:v>1131545</x:v>
      </x:c>
      <x:c r="E713" t="n">
        <x:v>0.0203</x:v>
      </x:c>
      <x:c r="F713" t="n">
        <x:v>1133</x:v>
      </x:c>
      <x:c r="G713" t="n">
        <x:v>1177</x:v>
      </x:c>
      <x:c r="H713" t="n">
        <x:v>44</x:v>
      </x:c>
      <x:c r="I713" t="n">
        <x:v>0.0388</x:v>
      </x:c>
      <x:c r="J713" t="str">
        <x:v>Low</x:v>
      </x:c>
      <x:c r="K713" t="n">
        <x:v>44.9</x:v>
      </x:c>
      <x:c r="L713" t="n">
        <x:v>45.6</x:v>
      </x:c>
      <x:c r="M713" t="n">
        <x:v>50.9</x:v>
      </x:c>
      <x:c r="N713" t="str">
        <x:v>Most Likely</x:v>
      </x:c>
      <x:c r="O713" t="str">
        <x:v>Most Likely</x:v>
      </x:c>
    </x:row>
    <x:row r="714">
      <x:c r="A714" t="str">
        <x:v>PJT_713</x:v>
      </x:c>
      <x:c r="B714" t="n">
        <x:v>23126740</x:v>
      </x:c>
      <x:c r="C714" t="n">
        <x:v>24631327</x:v>
      </x:c>
      <x:c r="D714" t="n">
        <x:v>1504587</x:v>
      </x:c>
      <x:c r="E714" t="n">
        <x:v>0.0651</x:v>
      </x:c>
      <x:c r="F714" t="n">
        <x:v>523</x:v>
      </x:c>
      <x:c r="G714" t="n">
        <x:v>548</x:v>
      </x:c>
      <x:c r="H714" t="n">
        <x:v>25</x:v>
      </x:c>
      <x:c r="I714" t="n">
        <x:v>0.0478</x:v>
      </x:c>
      <x:c r="J714" t="str">
        <x:v>Medium</x:v>
      </x:c>
      <x:c r="K714" t="n">
        <x:v>51.5</x:v>
      </x:c>
      <x:c r="L714" t="n">
        <x:v>48.6</x:v>
      </x:c>
      <x:c r="M714" t="n">
        <x:v>48.1</x:v>
      </x:c>
      <x:c r="N714" t="str">
        <x:v>Most Likely</x:v>
      </x:c>
      <x:c r="O714" t="str">
        <x:v>Most Likely</x:v>
      </x:c>
    </x:row>
    <x:row r="715">
      <x:c r="A715" t="str">
        <x:v>PJT_714</x:v>
      </x:c>
      <x:c r="B715" t="n">
        <x:v>15733500</x:v>
      </x:c>
      <x:c r="C715" t="n">
        <x:v>15350912</x:v>
      </x:c>
      <x:c r="D715" t="n">
        <x:v>-382588</x:v>
      </x:c>
      <x:c r="E715" t="n">
        <x:v>-0.0243</x:v>
      </x:c>
      <x:c r="F715" t="n">
        <x:v>421</x:v>
      </x:c>
      <x:c r="G715" t="n">
        <x:v>392</x:v>
      </x:c>
      <x:c r="H715" t="n">
        <x:v>-29</x:v>
      </x:c>
      <x:c r="I715" t="n">
        <x:v>-0.0689</x:v>
      </x:c>
      <x:c r="J715" t="str">
        <x:v>Low</x:v>
      </x:c>
      <x:c r="K715" t="n">
        <x:v>34.1</x:v>
      </x:c>
      <x:c r="L715" t="n">
        <x:v>36.5</x:v>
      </x:c>
      <x:c r="M715" t="n">
        <x:v>28.3</x:v>
      </x:c>
      <x:c r="N715" t="str">
        <x:v>Optimistic</x:v>
      </x:c>
      <x:c r="O715" t="str">
        <x:v>Optimistic</x:v>
      </x:c>
    </x:row>
    <x:row r="716">
      <x:c r="A716" t="str">
        <x:v>PJT_715</x:v>
      </x:c>
      <x:c r="B716" t="n">
        <x:v>75372560</x:v>
      </x:c>
      <x:c r="C716" t="n">
        <x:v>80430248</x:v>
      </x:c>
      <x:c r="D716" t="n">
        <x:v>5057688</x:v>
      </x:c>
      <x:c r="E716" t="n">
        <x:v>0.0671</x:v>
      </x:c>
      <x:c r="F716" t="n">
        <x:v>1398</x:v>
      </x:c>
      <x:c r="G716" t="n">
        <x:v>1537</x:v>
      </x:c>
      <x:c r="H716" t="n">
        <x:v>139</x:v>
      </x:c>
      <x:c r="I716" t="n">
        <x:v>0.0994</x:v>
      </x:c>
      <x:c r="J716" t="str">
        <x:v>Medium</x:v>
      </x:c>
      <x:c r="K716" t="n">
        <x:v>60.7</x:v>
      </x:c>
      <x:c r="L716" t="n">
        <x:v>59</x:v>
      </x:c>
      <x:c r="M716" t="n">
        <x:v>56</x:v>
      </x:c>
      <x:c r="N716" t="str">
        <x:v>Most Likely</x:v>
      </x:c>
      <x:c r="O716" t="str">
        <x:v>Most Likely</x:v>
      </x:c>
    </x:row>
    <x:row r="717">
      <x:c r="A717" t="str">
        <x:v>PJT_716</x:v>
      </x:c>
      <x:c r="B717" t="n">
        <x:v>43668000</x:v>
      </x:c>
      <x:c r="C717" t="n">
        <x:v>46022027</x:v>
      </x:c>
      <x:c r="D717" t="n">
        <x:v>2354027</x:v>
      </x:c>
      <x:c r="E717" t="n">
        <x:v>0.0539</x:v>
      </x:c>
      <x:c r="F717" t="n">
        <x:v>846</x:v>
      </x:c>
      <x:c r="G717" t="n">
        <x:v>929</x:v>
      </x:c>
      <x:c r="H717" t="n">
        <x:v>83</x:v>
      </x:c>
      <x:c r="I717" t="n">
        <x:v>0.0981</x:v>
      </x:c>
      <x:c r="J717" t="str">
        <x:v>Medium</x:v>
      </x:c>
      <x:c r="K717" t="n">
        <x:v>54.3</x:v>
      </x:c>
      <x:c r="L717" t="n">
        <x:v>52.9</x:v>
      </x:c>
      <x:c r="M717" t="n">
        <x:v>56.7</x:v>
      </x:c>
      <x:c r="N717" t="str">
        <x:v>Most Likely</x:v>
      </x:c>
      <x:c r="O717" t="str">
        <x:v>Most Likely</x:v>
      </x:c>
    </x:row>
    <x:row r="718">
      <x:c r="A718" t="str">
        <x:v>PJT_717</x:v>
      </x:c>
      <x:c r="B718" t="n">
        <x:v>33479160</x:v>
      </x:c>
      <x:c r="C718" t="n">
        <x:v>35551356</x:v>
      </x:c>
      <x:c r="D718" t="n">
        <x:v>2072196</x:v>
      </x:c>
      <x:c r="E718" t="n">
        <x:v>0.0619</x:v>
      </x:c>
      <x:c r="F718" t="n">
        <x:v>776</x:v>
      </x:c>
      <x:c r="G718" t="n">
        <x:v>798</x:v>
      </x:c>
      <x:c r="H718" t="n">
        <x:v>22</x:v>
      </x:c>
      <x:c r="I718" t="n">
        <x:v>0.0284</x:v>
      </x:c>
      <x:c r="J718" t="str">
        <x:v>Medium</x:v>
      </x:c>
      <x:c r="K718" t="n">
        <x:v>49.8</x:v>
      </x:c>
      <x:c r="L718" t="n">
        <x:v>51.2</x:v>
      </x:c>
      <x:c r="M718" t="n">
        <x:v>50.5</x:v>
      </x:c>
      <x:c r="N718" t="str">
        <x:v>Most Likely</x:v>
      </x:c>
      <x:c r="O718" t="str">
        <x:v>Most Likely</x:v>
      </x:c>
    </x:row>
    <x:row r="719">
      <x:c r="A719" t="str">
        <x:v>PJT_718</x:v>
      </x:c>
      <x:c r="B719" t="n">
        <x:v>81430120</x:v>
      </x:c>
      <x:c r="C719" t="n">
        <x:v>95339220</x:v>
      </x:c>
      <x:c r="D719" t="n">
        <x:v>13909100</x:v>
      </x:c>
      <x:c r="E719" t="n">
        <x:v>0.1708</x:v>
      </x:c>
      <x:c r="F719" t="n">
        <x:v>1605</x:v>
      </x:c>
      <x:c r="G719" t="n">
        <x:v>1722</x:v>
      </x:c>
      <x:c r="H719" t="n">
        <x:v>117</x:v>
      </x:c>
      <x:c r="I719" t="n">
        <x:v>0.0729</x:v>
      </x:c>
      <x:c r="J719" t="str">
        <x:v>Medium</x:v>
      </x:c>
      <x:c r="K719" t="n">
        <x:v>65.9</x:v>
      </x:c>
      <x:c r="L719" t="n">
        <x:v>68.9</x:v>
      </x:c>
      <x:c r="M719" t="n">
        <x:v>64.4</x:v>
      </x:c>
      <x:c r="N719" t="str">
        <x:v>Pessimistic</x:v>
      </x:c>
      <x:c r="O719" t="str">
        <x:v>Most Likely</x:v>
      </x:c>
    </x:row>
    <x:row r="720">
      <x:c r="A720" t="str">
        <x:v>PJT_719</x:v>
      </x:c>
      <x:c r="B720" t="n">
        <x:v>12746190</x:v>
      </x:c>
      <x:c r="C720" t="n">
        <x:v>13509811</x:v>
      </x:c>
      <x:c r="D720" t="n">
        <x:v>763621</x:v>
      </x:c>
      <x:c r="E720" t="n">
        <x:v>0.0599</x:v>
      </x:c>
      <x:c r="F720" t="n">
        <x:v>247</x:v>
      </x:c>
      <x:c r="G720" t="n">
        <x:v>229</x:v>
      </x:c>
      <x:c r="H720" t="n">
        <x:v>-18</x:v>
      </x:c>
      <x:c r="I720" t="n">
        <x:v>-0.0729</x:v>
      </x:c>
      <x:c r="J720" t="str">
        <x:v>Low</x:v>
      </x:c>
      <x:c r="K720" t="n">
        <x:v>35.4</x:v>
      </x:c>
      <x:c r="L720" t="n">
        <x:v>28.3</x:v>
      </x:c>
      <x:c r="M720" t="n">
        <x:v>29.6</x:v>
      </x:c>
      <x:c r="N720" t="str">
        <x:v>Most Likely</x:v>
      </x:c>
      <x:c r="O720" t="str">
        <x:v>Optimistic</x:v>
      </x:c>
    </x:row>
    <x:row r="721">
      <x:c r="A721" t="str">
        <x:v>PJT_720</x:v>
      </x:c>
      <x:c r="B721" t="n">
        <x:v>30338820</x:v>
      </x:c>
      <x:c r="C721" t="n">
        <x:v>30793258</x:v>
      </x:c>
      <x:c r="D721" t="n">
        <x:v>454438</x:v>
      </x:c>
      <x:c r="E721" t="n">
        <x:v>0.015</x:v>
      </x:c>
      <x:c r="F721" t="n">
        <x:v>463</x:v>
      </x:c>
      <x:c r="G721" t="n">
        <x:v>486</x:v>
      </x:c>
      <x:c r="H721" t="n">
        <x:v>23</x:v>
      </x:c>
      <x:c r="I721" t="n">
        <x:v>0.0497</x:v>
      </x:c>
      <x:c r="J721" t="str">
        <x:v>Low</x:v>
      </x:c>
      <x:c r="K721" t="n">
        <x:v>44.8</x:v>
      </x:c>
      <x:c r="L721" t="n">
        <x:v>52.5</x:v>
      </x:c>
      <x:c r="M721" t="n">
        <x:v>44</x:v>
      </x:c>
      <x:c r="N721" t="str">
        <x:v>Most Likely</x:v>
      </x:c>
      <x:c r="O721" t="str">
        <x:v>Most Likely</x:v>
      </x:c>
    </x:row>
    <x:row r="722">
      <x:c r="A722" t="str">
        <x:v>PJT_721</x:v>
      </x:c>
      <x:c r="B722" t="n">
        <x:v>15226000</x:v>
      </x:c>
      <x:c r="C722" t="n">
        <x:v>14251808</x:v>
      </x:c>
      <x:c r="D722" t="n">
        <x:v>-974192</x:v>
      </x:c>
      <x:c r="E722" t="n">
        <x:v>-0.064</x:v>
      </x:c>
      <x:c r="F722" t="n">
        <x:v>398</x:v>
      </x:c>
      <x:c r="G722" t="n">
        <x:v>378</x:v>
      </x:c>
      <x:c r="H722" t="n">
        <x:v>-20</x:v>
      </x:c>
      <x:c r="I722" t="n">
        <x:v>-0.0503</x:v>
      </x:c>
      <x:c r="J722" t="str">
        <x:v>Low</x:v>
      </x:c>
      <x:c r="K722" t="n">
        <x:v>28.3</x:v>
      </x:c>
      <x:c r="L722" t="n">
        <x:v>31.9</x:v>
      </x:c>
      <x:c r="M722" t="n">
        <x:v>34.8</x:v>
      </x:c>
      <x:c r="N722" t="str">
        <x:v>Optimistic</x:v>
      </x:c>
      <x:c r="O722" t="str">
        <x:v>Optimistic</x:v>
      </x:c>
    </x:row>
    <x:row r="723">
      <x:c r="A723" t="str">
        <x:v>PJT_722</x:v>
      </x:c>
      <x:c r="B723" t="n">
        <x:v>52792250</x:v>
      </x:c>
      <x:c r="C723" t="n">
        <x:v>55639314</x:v>
      </x:c>
      <x:c r="D723" t="n">
        <x:v>2847064</x:v>
      </x:c>
      <x:c r="E723" t="n">
        <x:v>0.0539</x:v>
      </x:c>
      <x:c r="F723" t="n">
        <x:v>993</x:v>
      </x:c>
      <x:c r="G723" t="n">
        <x:v>1094</x:v>
      </x:c>
      <x:c r="H723" t="n">
        <x:v>101</x:v>
      </x:c>
      <x:c r="I723" t="n">
        <x:v>0.1017</x:v>
      </x:c>
      <x:c r="J723" t="str">
        <x:v>Low</x:v>
      </x:c>
      <x:c r="K723" t="n">
        <x:v>41.9</x:v>
      </x:c>
      <x:c r="L723" t="n">
        <x:v>47.9</x:v>
      </x:c>
      <x:c r="M723" t="n">
        <x:v>44.7</x:v>
      </x:c>
      <x:c r="N723" t="str">
        <x:v>Most Likely</x:v>
      </x:c>
      <x:c r="O723" t="str">
        <x:v>Pessimistic</x:v>
      </x:c>
    </x:row>
    <x:row r="724">
      <x:c r="A724" t="str">
        <x:v>PJT_723</x:v>
      </x:c>
      <x:c r="B724" t="n">
        <x:v>49675220</x:v>
      </x:c>
      <x:c r="C724" t="n">
        <x:v>49847818</x:v>
      </x:c>
      <x:c r="D724" t="n">
        <x:v>172598</x:v>
      </x:c>
      <x:c r="E724" t="n">
        <x:v>0.0035</x:v>
      </x:c>
      <x:c r="F724" t="n">
        <x:v>880</x:v>
      </x:c>
      <x:c r="G724" t="n">
        <x:v>896</x:v>
      </x:c>
      <x:c r="H724" t="n">
        <x:v>16</x:v>
      </x:c>
      <x:c r="I724" t="n">
        <x:v>0.0182</x:v>
      </x:c>
      <x:c r="J724" t="str">
        <x:v>Medium</x:v>
      </x:c>
      <x:c r="K724" t="n">
        <x:v>45.4</x:v>
      </x:c>
      <x:c r="L724" t="n">
        <x:v>48.4</x:v>
      </x:c>
      <x:c r="M724" t="n">
        <x:v>42.6</x:v>
      </x:c>
      <x:c r="N724" t="str">
        <x:v>Most Likely</x:v>
      </x:c>
      <x:c r="O724" t="str">
        <x:v>Most Likely</x:v>
      </x:c>
    </x:row>
    <x:row r="725">
      <x:c r="A725" t="str">
        <x:v>PJT_724</x:v>
      </x:c>
      <x:c r="B725" t="n">
        <x:v>65028660</x:v>
      </x:c>
      <x:c r="C725" t="n">
        <x:v>74304703</x:v>
      </x:c>
      <x:c r="D725" t="n">
        <x:v>9276043</x:v>
      </x:c>
      <x:c r="E725" t="n">
        <x:v>0.1426</x:v>
      </x:c>
      <x:c r="F725" t="n">
        <x:v>1272</x:v>
      </x:c>
      <x:c r="G725" t="n">
        <x:v>1393</x:v>
      </x:c>
      <x:c r="H725" t="n">
        <x:v>121</x:v>
      </x:c>
      <x:c r="I725" t="n">
        <x:v>0.0951</x:v>
      </x:c>
      <x:c r="J725" t="str">
        <x:v>Medium</x:v>
      </x:c>
      <x:c r="K725" t="n">
        <x:v>63</x:v>
      </x:c>
      <x:c r="L725" t="n">
        <x:v>67.8</x:v>
      </x:c>
      <x:c r="M725" t="n">
        <x:v>66.2</x:v>
      </x:c>
      <x:c r="N725" t="str">
        <x:v>Pessimistic</x:v>
      </x:c>
      <x:c r="O725" t="str">
        <x:v>Most Likely</x:v>
      </x:c>
    </x:row>
    <x:row r="726">
      <x:c r="A726" t="str">
        <x:v>PJT_725</x:v>
      </x:c>
      <x:c r="B726" t="n">
        <x:v>77533100</x:v>
      </x:c>
      <x:c r="C726" t="n">
        <x:v>80579271</x:v>
      </x:c>
      <x:c r="D726" t="n">
        <x:v>3046171</x:v>
      </x:c>
      <x:c r="E726" t="n">
        <x:v>0.0393</x:v>
      </x:c>
      <x:c r="F726" t="n">
        <x:v>1485</x:v>
      </x:c>
      <x:c r="G726" t="n">
        <x:v>1722</x:v>
      </x:c>
      <x:c r="H726" t="n">
        <x:v>237</x:v>
      </x:c>
      <x:c r="I726" t="n">
        <x:v>0.1596</x:v>
      </x:c>
      <x:c r="J726" t="str">
        <x:v>Medium</x:v>
      </x:c>
      <x:c r="K726" t="n">
        <x:v>66</x:v>
      </x:c>
      <x:c r="L726" t="n">
        <x:v>62.6</x:v>
      </x:c>
      <x:c r="M726" t="n">
        <x:v>62.1</x:v>
      </x:c>
      <x:c r="N726" t="str">
        <x:v>Most Likely</x:v>
      </x:c>
      <x:c r="O726" t="str">
        <x:v>Pessimistic</x:v>
      </x:c>
    </x:row>
    <x:row r="727">
      <x:c r="A727" t="str">
        <x:v>PJT_726</x:v>
      </x:c>
      <x:c r="B727" t="n">
        <x:v>8514140</x:v>
      </x:c>
      <x:c r="C727" t="n">
        <x:v>8063165</x:v>
      </x:c>
      <x:c r="D727" t="n">
        <x:v>-450975</x:v>
      </x:c>
      <x:c r="E727" t="n">
        <x:v>-0.053</x:v>
      </x:c>
      <x:c r="F727" t="n">
        <x:v>180</x:v>
      </x:c>
      <x:c r="G727" t="n">
        <x:v>173</x:v>
      </x:c>
      <x:c r="H727" t="n">
        <x:v>-7</x:v>
      </x:c>
      <x:c r="I727" t="n">
        <x:v>-0.0389</x:v>
      </x:c>
      <x:c r="J727" t="str">
        <x:v>Low</x:v>
      </x:c>
      <x:c r="K727" t="n">
        <x:v>24</x:v>
      </x:c>
      <x:c r="L727" t="n">
        <x:v>24.2</x:v>
      </x:c>
      <x:c r="M727" t="n">
        <x:v>26.8</x:v>
      </x:c>
      <x:c r="N727" t="str">
        <x:v>Optimistic</x:v>
      </x:c>
      <x:c r="O727" t="str">
        <x:v>Optimistic</x:v>
      </x:c>
    </x:row>
    <x:row r="728">
      <x:c r="A728" t="str">
        <x:v>PJT_727</x:v>
      </x:c>
      <x:c r="B728" t="n">
        <x:v>70805020</x:v>
      </x:c>
      <x:c r="C728" t="n">
        <x:v>76487385</x:v>
      </x:c>
      <x:c r="D728" t="n">
        <x:v>5682365</x:v>
      </x:c>
      <x:c r="E728" t="n">
        <x:v>0.0803</x:v>
      </x:c>
      <x:c r="F728" t="n">
        <x:v>1274</x:v>
      </x:c>
      <x:c r="G728" t="n">
        <x:v>1363</x:v>
      </x:c>
      <x:c r="H728" t="n">
        <x:v>89</x:v>
      </x:c>
      <x:c r="I728" t="n">
        <x:v>0.0699</x:v>
      </x:c>
      <x:c r="J728" t="str">
        <x:v>Medium</x:v>
      </x:c>
      <x:c r="K728" t="n">
        <x:v>49.1</x:v>
      </x:c>
      <x:c r="L728" t="n">
        <x:v>51.3</x:v>
      </x:c>
      <x:c r="M728" t="n">
        <x:v>51.6</x:v>
      </x:c>
      <x:c r="N728" t="str">
        <x:v>Most Likely</x:v>
      </x:c>
      <x:c r="O728" t="str">
        <x:v>Most Likely</x:v>
      </x:c>
    </x:row>
    <x:row r="729">
      <x:c r="A729" t="str">
        <x:v>PJT_728</x:v>
      </x:c>
      <x:c r="B729" t="n">
        <x:v>10138800</x:v>
      </x:c>
      <x:c r="C729" t="n">
        <x:v>10025799</x:v>
      </x:c>
      <x:c r="D729" t="n">
        <x:v>-113001</x:v>
      </x:c>
      <x:c r="E729" t="n">
        <x:v>-0.0111</x:v>
      </x:c>
      <x:c r="F729" t="n">
        <x:v>207</x:v>
      </x:c>
      <x:c r="G729" t="n">
        <x:v>194</x:v>
      </x:c>
      <x:c r="H729" t="n">
        <x:v>-13</x:v>
      </x:c>
      <x:c r="I729" t="n">
        <x:v>-0.0628</x:v>
      </x:c>
      <x:c r="J729" t="str">
        <x:v>Low</x:v>
      </x:c>
      <x:c r="K729" t="n">
        <x:v>27.4</x:v>
      </x:c>
      <x:c r="L729" t="n">
        <x:v>29.4</x:v>
      </x:c>
      <x:c r="M729" t="n">
        <x:v>24.9</x:v>
      </x:c>
      <x:c r="N729" t="str">
        <x:v>Optimistic</x:v>
      </x:c>
      <x:c r="O729" t="str">
        <x:v>Optimistic</x:v>
      </x:c>
    </x:row>
    <x:row r="730">
      <x:c r="A730" t="str">
        <x:v>PJT_729</x:v>
      </x:c>
      <x:c r="B730" t="n">
        <x:v>38649600</x:v>
      </x:c>
      <x:c r="C730" t="n">
        <x:v>38293651</x:v>
      </x:c>
      <x:c r="D730" t="n">
        <x:v>-355949</x:v>
      </x:c>
      <x:c r="E730" t="n">
        <x:v>-0.0092</x:v>
      </x:c>
      <x:c r="F730" t="n">
        <x:v>585</x:v>
      </x:c>
      <x:c r="G730" t="n">
        <x:v>598</x:v>
      </x:c>
      <x:c r="H730" t="n">
        <x:v>13</x:v>
      </x:c>
      <x:c r="I730" t="n">
        <x:v>0.0222</x:v>
      </x:c>
      <x:c r="J730" t="str">
        <x:v>Low</x:v>
      </x:c>
      <x:c r="K730" t="n">
        <x:v>40.2</x:v>
      </x:c>
      <x:c r="L730" t="n">
        <x:v>48.9</x:v>
      </x:c>
      <x:c r="M730" t="n">
        <x:v>45.5</x:v>
      </x:c>
      <x:c r="N730" t="str">
        <x:v>Optimistic</x:v>
      </x:c>
      <x:c r="O730" t="str">
        <x:v>Most Likely</x:v>
      </x:c>
    </x:row>
    <x:row r="731">
      <x:c r="A731" t="str">
        <x:v>PJT_730</x:v>
      </x:c>
      <x:c r="B731" t="n">
        <x:v>11001380</x:v>
      </x:c>
      <x:c r="C731" t="n">
        <x:v>10944375</x:v>
      </x:c>
      <x:c r="D731" t="n">
        <x:v>-57005</x:v>
      </x:c>
      <x:c r="E731" t="n">
        <x:v>-0.0052</x:v>
      </x:c>
      <x:c r="F731" t="n">
        <x:v>186</x:v>
      </x:c>
      <x:c r="G731" t="n">
        <x:v>187</x:v>
      </x:c>
      <x:c r="H731" t="n">
        <x:v>1</x:v>
      </x:c>
      <x:c r="I731" t="n">
        <x:v>0.0054</x:v>
      </x:c>
      <x:c r="J731" t="str">
        <x:v>Low</x:v>
      </x:c>
      <x:c r="K731" t="n">
        <x:v>26.3</x:v>
      </x:c>
      <x:c r="L731" t="n">
        <x:v>27.8</x:v>
      </x:c>
      <x:c r="M731" t="n">
        <x:v>26.2</x:v>
      </x:c>
      <x:c r="N731" t="str">
        <x:v>Optimistic</x:v>
      </x:c>
      <x:c r="O731" t="str">
        <x:v>Most Likely</x:v>
      </x:c>
    </x:row>
    <x:row r="732">
      <x:c r="A732" t="str">
        <x:v>PJT_731</x:v>
      </x:c>
      <x:c r="B732" t="n">
        <x:v>46868480</x:v>
      </x:c>
      <x:c r="C732" t="n">
        <x:v>47715339</x:v>
      </x:c>
      <x:c r="D732" t="n">
        <x:v>846859</x:v>
      </x:c>
      <x:c r="E732" t="n">
        <x:v>0.0181</x:v>
      </x:c>
      <x:c r="F732" t="n">
        <x:v>686</x:v>
      </x:c>
      <x:c r="G732" t="n">
        <x:v>734</x:v>
      </x:c>
      <x:c r="H732" t="n">
        <x:v>48</x:v>
      </x:c>
      <x:c r="I732" t="n">
        <x:v>0.07</x:v>
      </x:c>
      <x:c r="J732" t="str">
        <x:v>Medium</x:v>
      </x:c>
      <x:c r="K732" t="n">
        <x:v>49.9</x:v>
      </x:c>
      <x:c r="L732" t="n">
        <x:v>54</x:v>
      </x:c>
      <x:c r="M732" t="n">
        <x:v>54.1</x:v>
      </x:c>
      <x:c r="N732" t="str">
        <x:v>Most Likely</x:v>
      </x:c>
      <x:c r="O732" t="str">
        <x:v>Most Likely</x:v>
      </x:c>
    </x:row>
    <x:row r="733">
      <x:c r="A733" t="str">
        <x:v>PJT_732</x:v>
      </x:c>
      <x:c r="B733" t="n">
        <x:v>55582920</x:v>
      </x:c>
      <x:c r="C733" t="n">
        <x:v>60167731</x:v>
      </x:c>
      <x:c r="D733" t="n">
        <x:v>4584811</x:v>
      </x:c>
      <x:c r="E733" t="n">
        <x:v>0.0825</x:v>
      </x:c>
      <x:c r="F733" t="n">
        <x:v>901</x:v>
      </x:c>
      <x:c r="G733" t="n">
        <x:v>927</x:v>
      </x:c>
      <x:c r="H733" t="n">
        <x:v>26</x:v>
      </x:c>
      <x:c r="I733" t="n">
        <x:v>0.0289</x:v>
      </x:c>
      <x:c r="J733" t="str">
        <x:v>Medium</x:v>
      </x:c>
      <x:c r="K733" t="n">
        <x:v>47.8</x:v>
      </x:c>
      <x:c r="L733" t="n">
        <x:v>53.3</x:v>
      </x:c>
      <x:c r="M733" t="n">
        <x:v>43.8</x:v>
      </x:c>
      <x:c r="N733" t="str">
        <x:v>Most Likely</x:v>
      </x:c>
      <x:c r="O733" t="str">
        <x:v>Most Likely</x:v>
      </x:c>
    </x:row>
    <x:row r="734">
      <x:c r="A734" t="str">
        <x:v>PJT_733</x:v>
      </x:c>
      <x:c r="B734" t="n">
        <x:v>82201240</x:v>
      </x:c>
      <x:c r="C734" t="n">
        <x:v>86205100</x:v>
      </x:c>
      <x:c r="D734" t="n">
        <x:v>4003860</x:v>
      </x:c>
      <x:c r="E734" t="n">
        <x:v>0.0487</x:v>
      </x:c>
      <x:c r="F734" t="n">
        <x:v>1406</x:v>
      </x:c>
      <x:c r="G734" t="n">
        <x:v>1607</x:v>
      </x:c>
      <x:c r="H734" t="n">
        <x:v>201</x:v>
      </x:c>
      <x:c r="I734" t="n">
        <x:v>0.143</x:v>
      </x:c>
      <x:c r="J734" t="str">
        <x:v>Medium</x:v>
      </x:c>
      <x:c r="K734" t="n">
        <x:v>56.7</x:v>
      </x:c>
      <x:c r="L734" t="n">
        <x:v>62</x:v>
      </x:c>
      <x:c r="M734" t="n">
        <x:v>63.1</x:v>
      </x:c>
      <x:c r="N734" t="str">
        <x:v>Most Likely</x:v>
      </x:c>
      <x:c r="O734" t="str">
        <x:v>Pessimistic</x:v>
      </x:c>
    </x:row>
    <x:row r="735">
      <x:c r="A735" t="str">
        <x:v>PJT_734</x:v>
      </x:c>
      <x:c r="B735" t="n">
        <x:v>24256960</x:v>
      </x:c>
      <x:c r="C735" t="n">
        <x:v>24998469</x:v>
      </x:c>
      <x:c r="D735" t="n">
        <x:v>741509</x:v>
      </x:c>
      <x:c r="E735" t="n">
        <x:v>0.0306</x:v>
      </x:c>
      <x:c r="F735" t="n">
        <x:v>622</x:v>
      </x:c>
      <x:c r="G735" t="n">
        <x:v>662</x:v>
      </x:c>
      <x:c r="H735" t="n">
        <x:v>40</x:v>
      </x:c>
      <x:c r="I735" t="n">
        <x:v>0.0643</x:v>
      </x:c>
      <x:c r="J735" t="str">
        <x:v>Medium</x:v>
      </x:c>
      <x:c r="K735" t="n">
        <x:v>52</x:v>
      </x:c>
      <x:c r="L735" t="n">
        <x:v>52.9</x:v>
      </x:c>
      <x:c r="M735" t="n">
        <x:v>51.5</x:v>
      </x:c>
      <x:c r="N735" t="str">
        <x:v>Most Likely</x:v>
      </x:c>
      <x:c r="O735" t="str">
        <x:v>Most Likely</x:v>
      </x:c>
    </x:row>
    <x:row r="736">
      <x:c r="A736" t="str">
        <x:v>PJT_735</x:v>
      </x:c>
      <x:c r="B736" t="n">
        <x:v>27447040</x:v>
      </x:c>
      <x:c r="C736" t="n">
        <x:v>29749880</x:v>
      </x:c>
      <x:c r="D736" t="n">
        <x:v>2302840</x:v>
      </x:c>
      <x:c r="E736" t="n">
        <x:v>0.0839</x:v>
      </x:c>
      <x:c r="F736" t="n">
        <x:v>563</x:v>
      </x:c>
      <x:c r="G736" t="n">
        <x:v>593</x:v>
      </x:c>
      <x:c r="H736" t="n">
        <x:v>30</x:v>
      </x:c>
      <x:c r="I736" t="n">
        <x:v>0.0533</x:v>
      </x:c>
      <x:c r="J736" t="str">
        <x:v>Low</x:v>
      </x:c>
      <x:c r="K736" t="n">
        <x:v>43.3</x:v>
      </x:c>
      <x:c r="L736" t="n">
        <x:v>43.5</x:v>
      </x:c>
      <x:c r="M736" t="n">
        <x:v>48.2</x:v>
      </x:c>
      <x:c r="N736" t="str">
        <x:v>Most Likely</x:v>
      </x:c>
      <x:c r="O736" t="str">
        <x:v>Most Likely</x:v>
      </x:c>
    </x:row>
    <x:row r="737">
      <x:c r="A737" t="str">
        <x:v>PJT_736</x:v>
      </x:c>
      <x:c r="B737" t="n">
        <x:v>63929680</x:v>
      </x:c>
      <x:c r="C737" t="n">
        <x:v>64772530</x:v>
      </x:c>
      <x:c r="D737" t="n">
        <x:v>842850</x:v>
      </x:c>
      <x:c r="E737" t="n">
        <x:v>0.0132</x:v>
      </x:c>
      <x:c r="F737" t="n">
        <x:v>1109</x:v>
      </x:c>
      <x:c r="G737" t="n">
        <x:v>1091</x:v>
      </x:c>
      <x:c r="H737" t="n">
        <x:v>-18</x:v>
      </x:c>
      <x:c r="I737" t="n">
        <x:v>-0.0162</x:v>
      </x:c>
      <x:c r="J737" t="str">
        <x:v>Low</x:v>
      </x:c>
      <x:c r="K737" t="n">
        <x:v>37.7</x:v>
      </x:c>
      <x:c r="L737" t="n">
        <x:v>43.1</x:v>
      </x:c>
      <x:c r="M737" t="n">
        <x:v>37.6</x:v>
      </x:c>
      <x:c r="N737" t="str">
        <x:v>Most Likely</x:v>
      </x:c>
      <x:c r="O737" t="str">
        <x:v>Optimistic</x:v>
      </x:c>
    </x:row>
    <x:row r="738">
      <x:c r="A738" t="str">
        <x:v>PJT_737</x:v>
      </x:c>
      <x:c r="B738" t="n">
        <x:v>22740960</x:v>
      </x:c>
      <x:c r="C738" t="n">
        <x:v>23760845</x:v>
      </x:c>
      <x:c r="D738" t="n">
        <x:v>1019885</x:v>
      </x:c>
      <x:c r="E738" t="n">
        <x:v>0.0448</x:v>
      </x:c>
      <x:c r="F738" t="n">
        <x:v>526</x:v>
      </x:c>
      <x:c r="G738" t="n">
        <x:v>529</x:v>
      </x:c>
      <x:c r="H738" t="n">
        <x:v>3</x:v>
      </x:c>
      <x:c r="I738" t="n">
        <x:v>0.0057</x:v>
      </x:c>
      <x:c r="J738" t="str">
        <x:v>Medium</x:v>
      </x:c>
      <x:c r="K738" t="n">
        <x:v>48.4</x:v>
      </x:c>
      <x:c r="L738" t="n">
        <x:v>48.6</x:v>
      </x:c>
      <x:c r="M738" t="n">
        <x:v>46.8</x:v>
      </x:c>
      <x:c r="N738" t="str">
        <x:v>Most Likely</x:v>
      </x:c>
      <x:c r="O738" t="str">
        <x:v>Most Likely</x:v>
      </x:c>
    </x:row>
    <x:row r="739">
      <x:c r="A739" t="str">
        <x:v>PJT_738</x:v>
      </x:c>
      <x:c r="B739" t="n">
        <x:v>16714880</x:v>
      </x:c>
      <x:c r="C739" t="n">
        <x:v>16460202</x:v>
      </x:c>
      <x:c r="D739" t="n">
        <x:v>-254678</x:v>
      </x:c>
      <x:c r="E739" t="n">
        <x:v>-0.0152</x:v>
      </x:c>
      <x:c r="F739" t="n">
        <x:v>400</x:v>
      </x:c>
      <x:c r="G739" t="n">
        <x:v>365</x:v>
      </x:c>
      <x:c r="H739" t="n">
        <x:v>-35</x:v>
      </x:c>
      <x:c r="I739" t="n">
        <x:v>-0.0875</x:v>
      </x:c>
      <x:c r="J739" t="str">
        <x:v>Low</x:v>
      </x:c>
      <x:c r="K739" t="n">
        <x:v>40.2</x:v>
      </x:c>
      <x:c r="L739" t="n">
        <x:v>39.2</x:v>
      </x:c>
      <x:c r="M739" t="n">
        <x:v>37.6</x:v>
      </x:c>
      <x:c r="N739" t="str">
        <x:v>Optimistic</x:v>
      </x:c>
      <x:c r="O739" t="str">
        <x:v>Optimistic</x:v>
      </x:c>
    </x:row>
    <x:row r="740">
      <x:c r="A740" t="str">
        <x:v>PJT_739</x:v>
      </x:c>
      <x:c r="B740" t="n">
        <x:v>17697040</x:v>
      </x:c>
      <x:c r="C740" t="n">
        <x:v>17921328</x:v>
      </x:c>
      <x:c r="D740" t="n">
        <x:v>224288</x:v>
      </x:c>
      <x:c r="E740" t="n">
        <x:v>0.0127</x:v>
      </x:c>
      <x:c r="F740" t="n">
        <x:v>409</x:v>
      </x:c>
      <x:c r="G740" t="n">
        <x:v>387</x:v>
      </x:c>
      <x:c r="H740" t="n">
        <x:v>-22</x:v>
      </x:c>
      <x:c r="I740" t="n">
        <x:v>-0.0538</x:v>
      </x:c>
      <x:c r="J740" t="str">
        <x:v>Low</x:v>
      </x:c>
      <x:c r="K740" t="n">
        <x:v>30.2</x:v>
      </x:c>
      <x:c r="L740" t="n">
        <x:v>28.9</x:v>
      </x:c>
      <x:c r="M740" t="n">
        <x:v>28.3</x:v>
      </x:c>
      <x:c r="N740" t="str">
        <x:v>Most Likely</x:v>
      </x:c>
      <x:c r="O740" t="str">
        <x:v>Optimistic</x:v>
      </x:c>
    </x:row>
    <x:row r="741">
      <x:c r="A741" t="str">
        <x:v>PJT_740</x:v>
      </x:c>
      <x:c r="B741" t="n">
        <x:v>26877200</x:v>
      </x:c>
      <x:c r="C741" t="n">
        <x:v>26286504</x:v>
      </x:c>
      <x:c r="D741" t="n">
        <x:v>-590696</x:v>
      </x:c>
      <x:c r="E741" t="n">
        <x:v>-0.022</x:v>
      </x:c>
      <x:c r="F741" t="n">
        <x:v>627</x:v>
      </x:c>
      <x:c r="G741" t="n">
        <x:v>593</x:v>
      </x:c>
      <x:c r="H741" t="n">
        <x:v>-34</x:v>
      </x:c>
      <x:c r="I741" t="n">
        <x:v>-0.0542</x:v>
      </x:c>
      <x:c r="J741" t="str">
        <x:v>Low</x:v>
      </x:c>
      <x:c r="K741" t="n">
        <x:v>40.8</x:v>
      </x:c>
      <x:c r="L741" t="n">
        <x:v>36.3</x:v>
      </x:c>
      <x:c r="M741" t="n">
        <x:v>36.1</x:v>
      </x:c>
      <x:c r="N741" t="str">
        <x:v>Optimistic</x:v>
      </x:c>
      <x:c r="O741" t="str">
        <x:v>Optimistic</x:v>
      </x:c>
    </x:row>
    <x:row r="742">
      <x:c r="A742" t="str">
        <x:v>PJT_741</x:v>
      </x:c>
      <x:c r="B742" t="n">
        <x:v>10364050</x:v>
      </x:c>
      <x:c r="C742" t="n">
        <x:v>9939697</x:v>
      </x:c>
      <x:c r="D742" t="n">
        <x:v>-424353</x:v>
      </x:c>
      <x:c r="E742" t="n">
        <x:v>-0.0409</x:v>
      </x:c>
      <x:c r="F742" t="n">
        <x:v>227</x:v>
      </x:c>
      <x:c r="G742" t="n">
        <x:v>237</x:v>
      </x:c>
      <x:c r="H742" t="n">
        <x:v>10</x:v>
      </x:c>
      <x:c r="I742" t="n">
        <x:v>0.0441</x:v>
      </x:c>
      <x:c r="J742" t="str">
        <x:v>Low</x:v>
      </x:c>
      <x:c r="K742" t="n">
        <x:v>30.9</x:v>
      </x:c>
      <x:c r="L742" t="n">
        <x:v>35.5</x:v>
      </x:c>
      <x:c r="M742" t="n">
        <x:v>36.4</x:v>
      </x:c>
      <x:c r="N742" t="str">
        <x:v>Optimistic</x:v>
      </x:c>
      <x:c r="O742" t="str">
        <x:v>Most Likely</x:v>
      </x:c>
    </x:row>
    <x:row r="743">
      <x:c r="A743" t="str">
        <x:v>PJT_742</x:v>
      </x:c>
      <x:c r="B743" t="n">
        <x:v>48867000</x:v>
      </x:c>
      <x:c r="C743" t="n">
        <x:v>52117160</x:v>
      </x:c>
      <x:c r="D743" t="n">
        <x:v>3250160</x:v>
      </x:c>
      <x:c r="E743" t="n">
        <x:v>0.0665</x:v>
      </x:c>
      <x:c r="F743" t="n">
        <x:v>1079</x:v>
      </x:c>
      <x:c r="G743" t="n">
        <x:v>1176</x:v>
      </x:c>
      <x:c r="H743" t="n">
        <x:v>97</x:v>
      </x:c>
      <x:c r="I743" t="n">
        <x:v>0.0899</x:v>
      </x:c>
      <x:c r="J743" t="str">
        <x:v>Medium</x:v>
      </x:c>
      <x:c r="K743" t="n">
        <x:v>51.1</x:v>
      </x:c>
      <x:c r="L743" t="n">
        <x:v>50.9</x:v>
      </x:c>
      <x:c r="M743" t="n">
        <x:v>55.6</x:v>
      </x:c>
      <x:c r="N743" t="str">
        <x:v>Most Likely</x:v>
      </x:c>
      <x:c r="O743" t="str">
        <x:v>Most Likely</x:v>
      </x:c>
    </x:row>
    <x:row r="744">
      <x:c r="A744" t="str">
        <x:v>PJT_743</x:v>
      </x:c>
      <x:c r="B744" t="n">
        <x:v>23755020</x:v>
      </x:c>
      <x:c r="C744" t="n">
        <x:v>21494318</x:v>
      </x:c>
      <x:c r="D744" t="n">
        <x:v>-2260702</x:v>
      </x:c>
      <x:c r="E744" t="n">
        <x:v>-0.0952</x:v>
      </x:c>
      <x:c r="F744" t="n">
        <x:v>588</x:v>
      </x:c>
      <x:c r="G744" t="n">
        <x:v>575</x:v>
      </x:c>
      <x:c r="H744" t="n">
        <x:v>-13</x:v>
      </x:c>
      <x:c r="I744" t="n">
        <x:v>-0.0221</x:v>
      </x:c>
      <x:c r="J744" t="str">
        <x:v>Low</x:v>
      </x:c>
      <x:c r="K744" t="n">
        <x:v>36.7</x:v>
      </x:c>
      <x:c r="L744" t="n">
        <x:v>32</x:v>
      </x:c>
      <x:c r="M744" t="n">
        <x:v>34.9</x:v>
      </x:c>
      <x:c r="N744" t="str">
        <x:v>Optimistic</x:v>
      </x:c>
      <x:c r="O744" t="str">
        <x:v>Optimistic</x:v>
      </x:c>
    </x:row>
    <x:row r="745">
      <x:c r="A745" t="str">
        <x:v>PJT_744</x:v>
      </x:c>
      <x:c r="B745" t="n">
        <x:v>19434240</x:v>
      </x:c>
      <x:c r="C745" t="n">
        <x:v>20852159</x:v>
      </x:c>
      <x:c r="D745" t="n">
        <x:v>1417919</x:v>
      </x:c>
      <x:c r="E745" t="n">
        <x:v>0.073</x:v>
      </x:c>
      <x:c r="F745" t="n">
        <x:v>465</x:v>
      </x:c>
      <x:c r="G745" t="n">
        <x:v>487</x:v>
      </x:c>
      <x:c r="H745" t="n">
        <x:v>22</x:v>
      </x:c>
      <x:c r="I745" t="n">
        <x:v>0.0473</x:v>
      </x:c>
      <x:c r="J745" t="str">
        <x:v>Medium</x:v>
      </x:c>
      <x:c r="K745" t="n">
        <x:v>52</x:v>
      </x:c>
      <x:c r="L745" t="n">
        <x:v>50.7</x:v>
      </x:c>
      <x:c r="M745" t="n">
        <x:v>50.6</x:v>
      </x:c>
      <x:c r="N745" t="str">
        <x:v>Most Likely</x:v>
      </x:c>
      <x:c r="O745" t="str">
        <x:v>Most Likely</x:v>
      </x:c>
    </x:row>
    <x:row r="746">
      <x:c r="A746" t="str">
        <x:v>PJT_745</x:v>
      </x:c>
      <x:c r="B746" t="n">
        <x:v>26088400</x:v>
      </x:c>
      <x:c r="C746" t="n">
        <x:v>26697007</x:v>
      </x:c>
      <x:c r="D746" t="n">
        <x:v>608607</x:v>
      </x:c>
      <x:c r="E746" t="n">
        <x:v>0.0233</x:v>
      </x:c>
      <x:c r="F746" t="n">
        <x:v>664</x:v>
      </x:c>
      <x:c r="G746" t="n">
        <x:v>726</x:v>
      </x:c>
      <x:c r="H746" t="n">
        <x:v>62</x:v>
      </x:c>
      <x:c r="I746" t="n">
        <x:v>0.0934</x:v>
      </x:c>
      <x:c r="J746" t="str">
        <x:v>Medium</x:v>
      </x:c>
      <x:c r="K746" t="n">
        <x:v>52.1</x:v>
      </x:c>
      <x:c r="L746" t="n">
        <x:v>47.3</x:v>
      </x:c>
      <x:c r="M746" t="n">
        <x:v>46.2</x:v>
      </x:c>
      <x:c r="N746" t="str">
        <x:v>Most Likely</x:v>
      </x:c>
      <x:c r="O746" t="str">
        <x:v>Most Likely</x:v>
      </x:c>
    </x:row>
    <x:row r="747">
      <x:c r="A747" t="str">
        <x:v>PJT_746</x:v>
      </x:c>
      <x:c r="B747" t="n">
        <x:v>76456800</x:v>
      </x:c>
      <x:c r="C747" t="n">
        <x:v>82088474</x:v>
      </x:c>
      <x:c r="D747" t="n">
        <x:v>5631674</x:v>
      </x:c>
      <x:c r="E747" t="n">
        <x:v>0.0737</x:v>
      </x:c>
      <x:c r="F747" t="n">
        <x:v>1494</x:v>
      </x:c>
      <x:c r="G747" t="n">
        <x:v>1656</x:v>
      </x:c>
      <x:c r="H747" t="n">
        <x:v>162</x:v>
      </x:c>
      <x:c r="I747" t="n">
        <x:v>0.1084</x:v>
      </x:c>
      <x:c r="J747" t="str">
        <x:v>High</x:v>
      </x:c>
      <x:c r="K747" t="n">
        <x:v>69.5</x:v>
      </x:c>
      <x:c r="L747" t="n">
        <x:v>63.8</x:v>
      </x:c>
      <x:c r="M747" t="n">
        <x:v>69.1</x:v>
      </x:c>
      <x:c r="N747" t="str">
        <x:v>Most Likely</x:v>
      </x:c>
      <x:c r="O747" t="str">
        <x:v>Pessimistic</x:v>
      </x:c>
    </x:row>
    <x:row r="748">
      <x:c r="A748" t="str">
        <x:v>PJT_747</x:v>
      </x:c>
      <x:c r="B748" t="n">
        <x:v>50927160</x:v>
      </x:c>
      <x:c r="C748" t="n">
        <x:v>56283402</x:v>
      </x:c>
      <x:c r="D748" t="n">
        <x:v>5356242</x:v>
      </x:c>
      <x:c r="E748" t="n">
        <x:v>0.1052</x:v>
      </x:c>
      <x:c r="F748" t="n">
        <x:v>756</x:v>
      </x:c>
      <x:c r="G748" t="n">
        <x:v>812</x:v>
      </x:c>
      <x:c r="H748" t="n">
        <x:v>56</x:v>
      </x:c>
      <x:c r="I748" t="n">
        <x:v>0.0741</x:v>
      </x:c>
      <x:c r="J748" t="str">
        <x:v>Medium</x:v>
      </x:c>
      <x:c r="K748" t="n">
        <x:v>51.7</x:v>
      </x:c>
      <x:c r="L748" t="n">
        <x:v>53.2</x:v>
      </x:c>
      <x:c r="M748" t="n">
        <x:v>50.9</x:v>
      </x:c>
      <x:c r="N748" t="str">
        <x:v>Pessimistic</x:v>
      </x:c>
      <x:c r="O748" t="str">
        <x:v>Most Likely</x:v>
      </x:c>
    </x:row>
    <x:row r="749">
      <x:c r="A749" t="str">
        <x:v>PJT_748</x:v>
      </x:c>
      <x:c r="B749" t="n">
        <x:v>79016400</x:v>
      </x:c>
      <x:c r="C749" t="n">
        <x:v>86923475</x:v>
      </x:c>
      <x:c r="D749" t="n">
        <x:v>7907075</x:v>
      </x:c>
      <x:c r="E749" t="n">
        <x:v>0.1001</x:v>
      </x:c>
      <x:c r="F749" t="n">
        <x:v>1393</x:v>
      </x:c>
      <x:c r="G749" t="n">
        <x:v>1409</x:v>
      </x:c>
      <x:c r="H749" t="n">
        <x:v>16</x:v>
      </x:c>
      <x:c r="I749" t="n">
        <x:v>0.0115</x:v>
      </x:c>
      <x:c r="J749" t="str">
        <x:v>Medium</x:v>
      </x:c>
      <x:c r="K749" t="n">
        <x:v>54.7</x:v>
      </x:c>
      <x:c r="L749" t="n">
        <x:v>62.5</x:v>
      </x:c>
      <x:c r="M749" t="n">
        <x:v>53.1</x:v>
      </x:c>
      <x:c r="N749" t="str">
        <x:v>Pessimistic</x:v>
      </x:c>
      <x:c r="O749" t="str">
        <x:v>Most Likely</x:v>
      </x:c>
    </x:row>
    <x:row r="750">
      <x:c r="A750" t="str">
        <x:v>PJT_749</x:v>
      </x:c>
      <x:c r="B750" t="n">
        <x:v>66435590</x:v>
      </x:c>
      <x:c r="C750" t="n">
        <x:v>73287221</x:v>
      </x:c>
      <x:c r="D750" t="n">
        <x:v>6851631</x:v>
      </x:c>
      <x:c r="E750" t="n">
        <x:v>0.1031</x:v>
      </x:c>
      <x:c r="F750" t="n">
        <x:v>1165</x:v>
      </x:c>
      <x:c r="G750" t="n">
        <x:v>1379</x:v>
      </x:c>
      <x:c r="H750" t="n">
        <x:v>214</x:v>
      </x:c>
      <x:c r="I750" t="n">
        <x:v>0.1837</x:v>
      </x:c>
      <x:c r="J750" t="str">
        <x:v>Medium</x:v>
      </x:c>
      <x:c r="K750" t="n">
        <x:v>62.9</x:v>
      </x:c>
      <x:c r="L750" t="n">
        <x:v>59.7</x:v>
      </x:c>
      <x:c r="M750" t="n">
        <x:v>67.7</x:v>
      </x:c>
      <x:c r="N750" t="str">
        <x:v>Pessimistic</x:v>
      </x:c>
      <x:c r="O750" t="str">
        <x:v>Pessimistic</x:v>
      </x:c>
    </x:row>
    <x:row r="751">
      <x:c r="A751" t="str">
        <x:v>PJT_750</x:v>
      </x:c>
      <x:c r="B751" t="n">
        <x:v>41639760</x:v>
      </x:c>
      <x:c r="C751" t="n">
        <x:v>42242984</x:v>
      </x:c>
      <x:c r="D751" t="n">
        <x:v>603224</x:v>
      </x:c>
      <x:c r="E751" t="n">
        <x:v>0.0145</x:v>
      </x:c>
      <x:c r="F751" t="n">
        <x:v>834</x:v>
      </x:c>
      <x:c r="G751" t="n">
        <x:v>867</x:v>
      </x:c>
      <x:c r="H751" t="n">
        <x:v>33</x:v>
      </x:c>
      <x:c r="I751" t="n">
        <x:v>0.0396</x:v>
      </x:c>
      <x:c r="J751" t="str">
        <x:v>Low</x:v>
      </x:c>
      <x:c r="K751" t="n">
        <x:v>43.7</x:v>
      </x:c>
      <x:c r="L751" t="n">
        <x:v>42.3</x:v>
      </x:c>
      <x:c r="M751" t="n">
        <x:v>43.2</x:v>
      </x:c>
      <x:c r="N751" t="str">
        <x:v>Most Likely</x:v>
      </x:c>
      <x:c r="O751" t="str">
        <x:v>Most Likely</x:v>
      </x:c>
    </x:row>
    <x:row r="752">
      <x:c r="A752" t="str">
        <x:v>PJT_751</x:v>
      </x:c>
      <x:c r="B752" t="n">
        <x:v>44379070</x:v>
      </x:c>
      <x:c r="C752" t="n">
        <x:v>47487711</x:v>
      </x:c>
      <x:c r="D752" t="n">
        <x:v>3108641</x:v>
      </x:c>
      <x:c r="E752" t="n">
        <x:v>0.07</x:v>
      </x:c>
      <x:c r="F752" t="n">
        <x:v>910</x:v>
      </x:c>
      <x:c r="G752" t="n">
        <x:v>994</x:v>
      </x:c>
      <x:c r="H752" t="n">
        <x:v>84</x:v>
      </x:c>
      <x:c r="I752" t="n">
        <x:v>0.0923</x:v>
      </x:c>
      <x:c r="J752" t="str">
        <x:v>High</x:v>
      </x:c>
      <x:c r="K752" t="n">
        <x:v>68.8</x:v>
      </x:c>
      <x:c r="L752" t="n">
        <x:v>61.2</x:v>
      </x:c>
      <x:c r="M752" t="n">
        <x:v>66.5</x:v>
      </x:c>
      <x:c r="N752" t="str">
        <x:v>Most Likely</x:v>
      </x:c>
      <x:c r="O752" t="str">
        <x:v>Most Likely</x:v>
      </x:c>
    </x:row>
    <x:row r="753">
      <x:c r="A753" t="str">
        <x:v>PJT_752</x:v>
      </x:c>
      <x:c r="B753" t="n">
        <x:v>42892200</x:v>
      </x:c>
      <x:c r="C753" t="n">
        <x:v>45974533</x:v>
      </x:c>
      <x:c r="D753" t="n">
        <x:v>3082333</x:v>
      </x:c>
      <x:c r="E753" t="n">
        <x:v>0.0719</x:v>
      </x:c>
      <x:c r="F753" t="n">
        <x:v>813</x:v>
      </x:c>
      <x:c r="G753" t="n">
        <x:v>837</x:v>
      </x:c>
      <x:c r="H753" t="n">
        <x:v>24</x:v>
      </x:c>
      <x:c r="I753" t="n">
        <x:v>0.0295</x:v>
      </x:c>
      <x:c r="J753" t="str">
        <x:v>Medium</x:v>
      </x:c>
      <x:c r="K753" t="n">
        <x:v>49.5</x:v>
      </x:c>
      <x:c r="L753" t="n">
        <x:v>52</x:v>
      </x:c>
      <x:c r="M753" t="n">
        <x:v>47.6</x:v>
      </x:c>
      <x:c r="N753" t="str">
        <x:v>Most Likely</x:v>
      </x:c>
      <x:c r="O753" t="str">
        <x:v>Most Likely</x:v>
      </x:c>
    </x:row>
    <x:row r="754">
      <x:c r="A754" t="str">
        <x:v>PJT_753</x:v>
      </x:c>
      <x:c r="B754" t="n">
        <x:v>44536800</x:v>
      </x:c>
      <x:c r="C754" t="n">
        <x:v>45072831</x:v>
      </x:c>
      <x:c r="D754" t="n">
        <x:v>536031</x:v>
      </x:c>
      <x:c r="E754" t="n">
        <x:v>0.012</x:v>
      </x:c>
      <x:c r="F754" t="n">
        <x:v>817</x:v>
      </x:c>
      <x:c r="G754" t="n">
        <x:v>889</x:v>
      </x:c>
      <x:c r="H754" t="n">
        <x:v>72</x:v>
      </x:c>
      <x:c r="I754" t="n">
        <x:v>0.0881</x:v>
      </x:c>
      <x:c r="J754" t="str">
        <x:v>Medium</x:v>
      </x:c>
      <x:c r="K754" t="n">
        <x:v>45.9</x:v>
      </x:c>
      <x:c r="L754" t="n">
        <x:v>47</x:v>
      </x:c>
      <x:c r="M754" t="n">
        <x:v>45.4</x:v>
      </x:c>
      <x:c r="N754" t="str">
        <x:v>Most Likely</x:v>
      </x:c>
      <x:c r="O754" t="str">
        <x:v>Most Likely</x:v>
      </x:c>
    </x:row>
    <x:row r="755">
      <x:c r="A755" t="str">
        <x:v>PJT_754</x:v>
      </x:c>
      <x:c r="B755" t="n">
        <x:v>11536040</x:v>
      </x:c>
      <x:c r="C755" t="n">
        <x:v>11093389</x:v>
      </x:c>
      <x:c r="D755" t="n">
        <x:v>-442651</x:v>
      </x:c>
      <x:c r="E755" t="n">
        <x:v>-0.0384</x:v>
      </x:c>
      <x:c r="F755" t="n">
        <x:v>215</x:v>
      </x:c>
      <x:c r="G755" t="n">
        <x:v>216</x:v>
      </x:c>
      <x:c r="H755" t="n">
        <x:v>1</x:v>
      </x:c>
      <x:c r="I755" t="n">
        <x:v>0.0047</x:v>
      </x:c>
      <x:c r="J755" t="str">
        <x:v>Low</x:v>
      </x:c>
      <x:c r="K755" t="n">
        <x:v>31.8</x:v>
      </x:c>
      <x:c r="L755" t="n">
        <x:v>35.5</x:v>
      </x:c>
      <x:c r="M755" t="n">
        <x:v>35.4</x:v>
      </x:c>
      <x:c r="N755" t="str">
        <x:v>Optimistic</x:v>
      </x:c>
      <x:c r="O755" t="str">
        <x:v>Most Likely</x:v>
      </x:c>
    </x:row>
    <x:row r="756">
      <x:c r="A756" t="str">
        <x:v>PJT_755</x:v>
      </x:c>
      <x:c r="B756" t="n">
        <x:v>29036610</x:v>
      </x:c>
      <x:c r="C756" t="n">
        <x:v>32650989</x:v>
      </x:c>
      <x:c r="D756" t="n">
        <x:v>3614379</x:v>
      </x:c>
      <x:c r="E756" t="n">
        <x:v>0.1245</x:v>
      </x:c>
      <x:c r="F756" t="n">
        <x:v>776</x:v>
      </x:c>
      <x:c r="G756" t="n">
        <x:v>863</x:v>
      </x:c>
      <x:c r="H756" t="n">
        <x:v>87</x:v>
      </x:c>
      <x:c r="I756" t="n">
        <x:v>0.1121</x:v>
      </x:c>
      <x:c r="J756" t="str">
        <x:v>Medium</x:v>
      </x:c>
      <x:c r="K756" t="n">
        <x:v>49.2</x:v>
      </x:c>
      <x:c r="L756" t="n">
        <x:v>50.6</x:v>
      </x:c>
      <x:c r="M756" t="n">
        <x:v>51.7</x:v>
      </x:c>
      <x:c r="N756" t="str">
        <x:v>Pessimistic</x:v>
      </x:c>
      <x:c r="O756" t="str">
        <x:v>Pessimistic</x:v>
      </x:c>
    </x:row>
    <x:row r="757">
      <x:c r="A757" t="str">
        <x:v>PJT_756</x:v>
      </x:c>
      <x:c r="B757" t="n">
        <x:v>78954400</x:v>
      </x:c>
      <x:c r="C757" t="n">
        <x:v>76471701</x:v>
      </x:c>
      <x:c r="D757" t="n">
        <x:v>-2482699</x:v>
      </x:c>
      <x:c r="E757" t="n">
        <x:v>-0.0314</x:v>
      </x:c>
      <x:c r="F757" t="n">
        <x:v>1383</x:v>
      </x:c>
      <x:c r="G757" t="n">
        <x:v>1485</x:v>
      </x:c>
      <x:c r="H757" t="n">
        <x:v>102</x:v>
      </x:c>
      <x:c r="I757" t="n">
        <x:v>0.0738</x:v>
      </x:c>
      <x:c r="J757" t="str">
        <x:v>Medium</x:v>
      </x:c>
      <x:c r="K757" t="n">
        <x:v>55.6</x:v>
      </x:c>
      <x:c r="L757" t="n">
        <x:v>59.4</x:v>
      </x:c>
      <x:c r="M757" t="n">
        <x:v>59.6</x:v>
      </x:c>
      <x:c r="N757" t="str">
        <x:v>Optimistic</x:v>
      </x:c>
      <x:c r="O757" t="str">
        <x:v>Most Likely</x:v>
      </x:c>
    </x:row>
    <x:row r="758">
      <x:c r="A758" t="str">
        <x:v>PJT_757</x:v>
      </x:c>
      <x:c r="B758" t="n">
        <x:v>16653150</x:v>
      </x:c>
      <x:c r="C758" t="n">
        <x:v>16622883</x:v>
      </x:c>
      <x:c r="D758" t="n">
        <x:v>-30267</x:v>
      </x:c>
      <x:c r="E758" t="n">
        <x:v>-0.0018</x:v>
      </x:c>
      <x:c r="F758" t="n">
        <x:v>425</x:v>
      </x:c>
      <x:c r="G758" t="n">
        <x:v>447</x:v>
      </x:c>
      <x:c r="H758" t="n">
        <x:v>22</x:v>
      </x:c>
      <x:c r="I758" t="n">
        <x:v>0.0518</x:v>
      </x:c>
      <x:c r="J758" t="str">
        <x:v>Medium</x:v>
      </x:c>
      <x:c r="K758" t="n">
        <x:v>47.4</x:v>
      </x:c>
      <x:c r="L758" t="n">
        <x:v>42.5</x:v>
      </x:c>
      <x:c r="M758" t="n">
        <x:v>46.9</x:v>
      </x:c>
      <x:c r="N758" t="str">
        <x:v>Optimistic</x:v>
      </x:c>
      <x:c r="O758" t="str">
        <x:v>Most Likely</x:v>
      </x:c>
    </x:row>
    <x:row r="759">
      <x:c r="A759" t="str">
        <x:v>PJT_758</x:v>
      </x:c>
      <x:c r="B759" t="n">
        <x:v>65823670</x:v>
      </x:c>
      <x:c r="C759" t="n">
        <x:v>65758401</x:v>
      </x:c>
      <x:c r="D759" t="n">
        <x:v>-65269</x:v>
      </x:c>
      <x:c r="E759" t="n">
        <x:v>-0.001</x:v>
      </x:c>
      <x:c r="F759" t="n">
        <x:v>996</x:v>
      </x:c>
      <x:c r="G759" t="n">
        <x:v>1065</x:v>
      </x:c>
      <x:c r="H759" t="n">
        <x:v>69</x:v>
      </x:c>
      <x:c r="I759" t="n">
        <x:v>0.0693</x:v>
      </x:c>
      <x:c r="J759" t="str">
        <x:v>Medium</x:v>
      </x:c>
      <x:c r="K759" t="n">
        <x:v>55.6</x:v>
      </x:c>
      <x:c r="L759" t="n">
        <x:v>58.2</x:v>
      </x:c>
      <x:c r="M759" t="n">
        <x:v>54.8</x:v>
      </x:c>
      <x:c r="N759" t="str">
        <x:v>Optimistic</x:v>
      </x:c>
      <x:c r="O759" t="str">
        <x:v>Most Likely</x:v>
      </x:c>
    </x:row>
    <x:row r="760">
      <x:c r="A760" t="str">
        <x:v>PJT_759</x:v>
      </x:c>
      <x:c r="B760" t="n">
        <x:v>62904450</x:v>
      </x:c>
      <x:c r="C760" t="n">
        <x:v>65501968</x:v>
      </x:c>
      <x:c r="D760" t="n">
        <x:v>2597518</x:v>
      </x:c>
      <x:c r="E760" t="n">
        <x:v>0.0413</x:v>
      </x:c>
      <x:c r="F760" t="n">
        <x:v>1076</x:v>
      </x:c>
      <x:c r="G760" t="n">
        <x:v>1127</x:v>
      </x:c>
      <x:c r="H760" t="n">
        <x:v>51</x:v>
      </x:c>
      <x:c r="I760" t="n">
        <x:v>0.0474</x:v>
      </x:c>
      <x:c r="J760" t="str">
        <x:v>Medium</x:v>
      </x:c>
      <x:c r="K760" t="n">
        <x:v>48.5</x:v>
      </x:c>
      <x:c r="L760" t="n">
        <x:v>49.3</x:v>
      </x:c>
      <x:c r="M760" t="n">
        <x:v>50.8</x:v>
      </x:c>
      <x:c r="N760" t="str">
        <x:v>Most Likely</x:v>
      </x:c>
      <x:c r="O760" t="str">
        <x:v>Most Likely</x:v>
      </x:c>
    </x:row>
    <x:row r="761">
      <x:c r="A761" t="str">
        <x:v>PJT_760</x:v>
      </x:c>
      <x:c r="B761" t="n">
        <x:v>5706240</x:v>
      </x:c>
      <x:c r="C761" t="n">
        <x:v>5680498</x:v>
      </x:c>
      <x:c r="D761" t="n">
        <x:v>-25742</x:v>
      </x:c>
      <x:c r="E761" t="n">
        <x:v>-0.0045</x:v>
      </x:c>
      <x:c r="F761" t="n">
        <x:v>180</x:v>
      </x:c>
      <x:c r="G761" t="n">
        <x:v>181</x:v>
      </x:c>
      <x:c r="H761" t="n">
        <x:v>1</x:v>
      </x:c>
      <x:c r="I761" t="n">
        <x:v>0.0056</x:v>
      </x:c>
      <x:c r="J761" t="str">
        <x:v>Low</x:v>
      </x:c>
      <x:c r="K761" t="n">
        <x:v>29.5</x:v>
      </x:c>
      <x:c r="L761" t="n">
        <x:v>25.2</x:v>
      </x:c>
      <x:c r="M761" t="n">
        <x:v>30.7</x:v>
      </x:c>
      <x:c r="N761" t="str">
        <x:v>Optimistic</x:v>
      </x:c>
      <x:c r="O761" t="str">
        <x:v>Most Likely</x:v>
      </x:c>
    </x:row>
    <x:row r="762">
      <x:c r="A762" t="str">
        <x:v>PJT_761</x:v>
      </x:c>
      <x:c r="B762" t="n">
        <x:v>24432960</x:v>
      </x:c>
      <x:c r="C762" t="n">
        <x:v>24283515</x:v>
      </x:c>
      <x:c r="D762" t="n">
        <x:v>-149445</x:v>
      </x:c>
      <x:c r="E762" t="n">
        <x:v>-0.0061</x:v>
      </x:c>
      <x:c r="F762" t="n">
        <x:v>686</x:v>
      </x:c>
      <x:c r="G762" t="n">
        <x:v>721</x:v>
      </x:c>
      <x:c r="H762" t="n">
        <x:v>35</x:v>
      </x:c>
      <x:c r="I762" t="n">
        <x:v>0.051</x:v>
      </x:c>
      <x:c r="J762" t="str">
        <x:v>Medium</x:v>
      </x:c>
      <x:c r="K762" t="n">
        <x:v>45.7</x:v>
      </x:c>
      <x:c r="L762" t="n">
        <x:v>43.3</x:v>
      </x:c>
      <x:c r="M762" t="n">
        <x:v>50.3</x:v>
      </x:c>
      <x:c r="N762" t="str">
        <x:v>Optimistic</x:v>
      </x:c>
      <x:c r="O762" t="str">
        <x:v>Most Likely</x:v>
      </x:c>
    </x:row>
    <x:row r="763">
      <x:c r="A763" t="str">
        <x:v>PJT_762</x:v>
      </x:c>
      <x:c r="B763" t="n">
        <x:v>40389180</x:v>
      </x:c>
      <x:c r="C763" t="n">
        <x:v>41765977</x:v>
      </x:c>
      <x:c r="D763" t="n">
        <x:v>1376797</x:v>
      </x:c>
      <x:c r="E763" t="n">
        <x:v>0.0341</x:v>
      </x:c>
      <x:c r="F763" t="n">
        <x:v>650</x:v>
      </x:c>
      <x:c r="G763" t="n">
        <x:v>666</x:v>
      </x:c>
      <x:c r="H763" t="n">
        <x:v>16</x:v>
      </x:c>
      <x:c r="I763" t="n">
        <x:v>0.0246</x:v>
      </x:c>
      <x:c r="J763" t="str">
        <x:v>Medium</x:v>
      </x:c>
      <x:c r="K763" t="n">
        <x:v>50.7</x:v>
      </x:c>
      <x:c r="L763" t="n">
        <x:v>50.9</x:v>
      </x:c>
      <x:c r="M763" t="n">
        <x:v>47.5</x:v>
      </x:c>
      <x:c r="N763" t="str">
        <x:v>Most Likely</x:v>
      </x:c>
      <x:c r="O763" t="str">
        <x:v>Most Likely</x:v>
      </x:c>
    </x:row>
    <x:row r="764">
      <x:c r="A764" t="str">
        <x:v>PJT_763</x:v>
      </x:c>
      <x:c r="B764" t="n">
        <x:v>33299370</x:v>
      </x:c>
      <x:c r="C764" t="n">
        <x:v>35115462</x:v>
      </x:c>
      <x:c r="D764" t="n">
        <x:v>1816092</x:v>
      </x:c>
      <x:c r="E764" t="n">
        <x:v>0.0545</x:v>
      </x:c>
      <x:c r="F764" t="n">
        <x:v>715</x:v>
      </x:c>
      <x:c r="G764" t="n">
        <x:v>754</x:v>
      </x:c>
      <x:c r="H764" t="n">
        <x:v>39</x:v>
      </x:c>
      <x:c r="I764" t="n">
        <x:v>0.0545</x:v>
      </x:c>
      <x:c r="J764" t="str">
        <x:v>Low</x:v>
      </x:c>
      <x:c r="K764" t="n">
        <x:v>42.5</x:v>
      </x:c>
      <x:c r="L764" t="n">
        <x:v>45.2</x:v>
      </x:c>
      <x:c r="M764" t="n">
        <x:v>48.9</x:v>
      </x:c>
      <x:c r="N764" t="str">
        <x:v>Most Likely</x:v>
      </x:c>
      <x:c r="O764" t="str">
        <x:v>Most Likely</x:v>
      </x:c>
    </x:row>
    <x:row r="765">
      <x:c r="A765" t="str">
        <x:v>PJT_764</x:v>
      </x:c>
      <x:c r="B765" t="n">
        <x:v>63957770</x:v>
      </x:c>
      <x:c r="C765" t="n">
        <x:v>69134710</x:v>
      </x:c>
      <x:c r="D765" t="n">
        <x:v>5176940</x:v>
      </x:c>
      <x:c r="E765" t="n">
        <x:v>0.0809</x:v>
      </x:c>
      <x:c r="F765" t="n">
        <x:v>1225</x:v>
      </x:c>
      <x:c r="G765" t="n">
        <x:v>1274</x:v>
      </x:c>
      <x:c r="H765" t="n">
        <x:v>49</x:v>
      </x:c>
      <x:c r="I765" t="n">
        <x:v>0.04</x:v>
      </x:c>
      <x:c r="J765" t="str">
        <x:v>Medium</x:v>
      </x:c>
      <x:c r="K765" t="n">
        <x:v>50</x:v>
      </x:c>
      <x:c r="L765" t="n">
        <x:v>58.9</x:v>
      </x:c>
      <x:c r="M765" t="n">
        <x:v>52.6</x:v>
      </x:c>
      <x:c r="N765" t="str">
        <x:v>Most Likely</x:v>
      </x:c>
      <x:c r="O765" t="str">
        <x:v>Most Likely</x:v>
      </x:c>
    </x:row>
    <x:row r="766">
      <x:c r="A766" t="str">
        <x:v>PJT_765</x:v>
      </x:c>
      <x:c r="B766" t="n">
        <x:v>64919430</x:v>
      </x:c>
      <x:c r="C766" t="n">
        <x:v>68998631</x:v>
      </x:c>
      <x:c r="D766" t="n">
        <x:v>4079201</x:v>
      </x:c>
      <x:c r="E766" t="n">
        <x:v>0.0628</x:v>
      </x:c>
      <x:c r="F766" t="n">
        <x:v>1146</x:v>
      </x:c>
      <x:c r="G766" t="n">
        <x:v>1217</x:v>
      </x:c>
      <x:c r="H766" t="n">
        <x:v>71</x:v>
      </x:c>
      <x:c r="I766" t="n">
        <x:v>0.062</x:v>
      </x:c>
      <x:c r="J766" t="str">
        <x:v>Medium</x:v>
      </x:c>
      <x:c r="K766" t="n">
        <x:v>46.2</x:v>
      </x:c>
      <x:c r="L766" t="n">
        <x:v>44.1</x:v>
      </x:c>
      <x:c r="M766" t="n">
        <x:v>43.5</x:v>
      </x:c>
      <x:c r="N766" t="str">
        <x:v>Most Likely</x:v>
      </x:c>
      <x:c r="O766" t="str">
        <x:v>Most Likely</x:v>
      </x:c>
    </x:row>
    <x:row r="767">
      <x:c r="A767" t="str">
        <x:v>PJT_766</x:v>
      </x:c>
      <x:c r="B767" t="n">
        <x:v>14917840</x:v>
      </x:c>
      <x:c r="C767" t="n">
        <x:v>13690558</x:v>
      </x:c>
      <x:c r="D767" t="n">
        <x:v>-1227282</x:v>
      </x:c>
      <x:c r="E767" t="n">
        <x:v>-0.0823</x:v>
      </x:c>
      <x:c r="F767" t="n">
        <x:v>306</x:v>
      </x:c>
      <x:c r="G767" t="n">
        <x:v>319</x:v>
      </x:c>
      <x:c r="H767" t="n">
        <x:v>13</x:v>
      </x:c>
      <x:c r="I767" t="n">
        <x:v>0.0425</x:v>
      </x:c>
      <x:c r="J767" t="str">
        <x:v>Low</x:v>
      </x:c>
      <x:c r="K767" t="n">
        <x:v>36.9</x:v>
      </x:c>
      <x:c r="L767" t="n">
        <x:v>32.3</x:v>
      </x:c>
      <x:c r="M767" t="n">
        <x:v>39</x:v>
      </x:c>
      <x:c r="N767" t="str">
        <x:v>Optimistic</x:v>
      </x:c>
      <x:c r="O767" t="str">
        <x:v>Most Likely</x:v>
      </x:c>
    </x:row>
    <x:row r="768">
      <x:c r="A768" t="str">
        <x:v>PJT_767</x:v>
      </x:c>
      <x:c r="B768" t="n">
        <x:v>70123300</x:v>
      </x:c>
      <x:c r="C768" t="n">
        <x:v>72348696</x:v>
      </x:c>
      <x:c r="D768" t="n">
        <x:v>2225396</x:v>
      </x:c>
      <x:c r="E768" t="n">
        <x:v>0.0317</x:v>
      </x:c>
      <x:c r="F768" t="n">
        <x:v>1191</x:v>
      </x:c>
      <x:c r="G768" t="n">
        <x:v>1267</x:v>
      </x:c>
      <x:c r="H768" t="n">
        <x:v>76</x:v>
      </x:c>
      <x:c r="I768" t="n">
        <x:v>0.0638</x:v>
      </x:c>
      <x:c r="J768" t="str">
        <x:v>Medium</x:v>
      </x:c>
      <x:c r="K768" t="n">
        <x:v>60.8</x:v>
      </x:c>
      <x:c r="L768" t="n">
        <x:v>63.9</x:v>
      </x:c>
      <x:c r="M768" t="n">
        <x:v>63.6</x:v>
      </x:c>
      <x:c r="N768" t="str">
        <x:v>Most Likely</x:v>
      </x:c>
      <x:c r="O768" t="str">
        <x:v>Most Likely</x:v>
      </x:c>
    </x:row>
    <x:row r="769">
      <x:c r="A769" t="str">
        <x:v>PJT_768</x:v>
      </x:c>
      <x:c r="B769" t="n">
        <x:v>39570360</x:v>
      </x:c>
      <x:c r="C769" t="n">
        <x:v>41932301</x:v>
      </x:c>
      <x:c r="D769" t="n">
        <x:v>2361941</x:v>
      </x:c>
      <x:c r="E769" t="n">
        <x:v>0.0597</x:v>
      </x:c>
      <x:c r="F769" t="n">
        <x:v>786</x:v>
      </x:c>
      <x:c r="G769" t="n">
        <x:v>864</x:v>
      </x:c>
      <x:c r="H769" t="n">
        <x:v>78</x:v>
      </x:c>
      <x:c r="I769" t="n">
        <x:v>0.0992</x:v>
      </x:c>
      <x:c r="J769" t="str">
        <x:v>Medium</x:v>
      </x:c>
      <x:c r="K769" t="n">
        <x:v>47.2</x:v>
      </x:c>
      <x:c r="L769" t="n">
        <x:v>45.2</x:v>
      </x:c>
      <x:c r="M769" t="n">
        <x:v>54.1</x:v>
      </x:c>
      <x:c r="N769" t="str">
        <x:v>Most Likely</x:v>
      </x:c>
      <x:c r="O769" t="str">
        <x:v>Most Likely</x:v>
      </x:c>
    </x:row>
    <x:row r="770">
      <x:c r="A770" t="str">
        <x:v>PJT_769</x:v>
      </x:c>
      <x:c r="B770" t="n">
        <x:v>18301990</x:v>
      </x:c>
      <x:c r="C770" t="n">
        <x:v>18666754</x:v>
      </x:c>
      <x:c r="D770" t="n">
        <x:v>364764</x:v>
      </x:c>
      <x:c r="E770" t="n">
        <x:v>0.0199</x:v>
      </x:c>
      <x:c r="F770" t="n">
        <x:v>312</x:v>
      </x:c>
      <x:c r="G770" t="n">
        <x:v>321</x:v>
      </x:c>
      <x:c r="H770" t="n">
        <x:v>9</x:v>
      </x:c>
      <x:c r="I770" t="n">
        <x:v>0.0288</x:v>
      </x:c>
      <x:c r="J770" t="str">
        <x:v>Low</x:v>
      </x:c>
      <x:c r="K770" t="n">
        <x:v>44.1</x:v>
      </x:c>
      <x:c r="L770" t="n">
        <x:v>45.8</x:v>
      </x:c>
      <x:c r="M770" t="n">
        <x:v>43</x:v>
      </x:c>
      <x:c r="N770" t="str">
        <x:v>Most Likely</x:v>
      </x:c>
      <x:c r="O770" t="str">
        <x:v>Most Likely</x:v>
      </x:c>
    </x:row>
    <x:row r="771">
      <x:c r="A771" t="str">
        <x:v>PJT_770</x:v>
      </x:c>
      <x:c r="B771" t="n">
        <x:v>21448980</x:v>
      </x:c>
      <x:c r="C771" t="n">
        <x:v>22479379</x:v>
      </x:c>
      <x:c r="D771" t="n">
        <x:v>1030399</x:v>
      </x:c>
      <x:c r="E771" t="n">
        <x:v>0.048</x:v>
      </x:c>
      <x:c r="F771" t="n">
        <x:v>396</x:v>
      </x:c>
      <x:c r="G771" t="n">
        <x:v>396</x:v>
      </x:c>
      <x:c r="H771" t="n">
        <x:v>0</x:v>
      </x:c>
      <x:c r="I771" t="n">
        <x:v>0</x:v>
      </x:c>
      <x:c r="J771" t="str">
        <x:v>Low</x:v>
      </x:c>
      <x:c r="K771" t="n">
        <x:v>35.1</x:v>
      </x:c>
      <x:c r="L771" t="n">
        <x:v>42.6</x:v>
      </x:c>
      <x:c r="M771" t="n">
        <x:v>36.3</x:v>
      </x:c>
      <x:c r="N771" t="str">
        <x:v>Most Likely</x:v>
      </x:c>
      <x:c r="O771" t="str">
        <x:v>Optimistic</x:v>
      </x:c>
    </x:row>
    <x:row r="772">
      <x:c r="A772" t="str">
        <x:v>PJT_771</x:v>
      </x:c>
      <x:c r="B772" t="n">
        <x:v>47532000</x:v>
      </x:c>
      <x:c r="C772" t="n">
        <x:v>51365044</x:v>
      </x:c>
      <x:c r="D772" t="n">
        <x:v>3833044</x:v>
      </x:c>
      <x:c r="E772" t="n">
        <x:v>0.0806</x:v>
      </x:c>
      <x:c r="F772" t="n">
        <x:v>1001</x:v>
      </x:c>
      <x:c r="G772" t="n">
        <x:v>1079</x:v>
      </x:c>
      <x:c r="H772" t="n">
        <x:v>78</x:v>
      </x:c>
      <x:c r="I772" t="n">
        <x:v>0.0779</x:v>
      </x:c>
      <x:c r="J772" t="str">
        <x:v>Medium</x:v>
      </x:c>
      <x:c r="K772" t="n">
        <x:v>50.6</x:v>
      </x:c>
      <x:c r="L772" t="n">
        <x:v>53.1</x:v>
      </x:c>
      <x:c r="M772" t="n">
        <x:v>56.2</x:v>
      </x:c>
      <x:c r="N772" t="str">
        <x:v>Most Likely</x:v>
      </x:c>
      <x:c r="O772" t="str">
        <x:v>Most Likely</x:v>
      </x:c>
    </x:row>
    <x:row r="773">
      <x:c r="A773" t="str">
        <x:v>PJT_772</x:v>
      </x:c>
      <x:c r="B773" t="n">
        <x:v>76142640</x:v>
      </x:c>
      <x:c r="C773" t="n">
        <x:v>79018260</x:v>
      </x:c>
      <x:c r="D773" t="n">
        <x:v>2875620</x:v>
      </x:c>
      <x:c r="E773" t="n">
        <x:v>0.0378</x:v>
      </x:c>
      <x:c r="F773" t="n">
        <x:v>1382</x:v>
      </x:c>
      <x:c r="G773" t="n">
        <x:v>1391</x:v>
      </x:c>
      <x:c r="H773" t="n">
        <x:v>9</x:v>
      </x:c>
      <x:c r="I773" t="n">
        <x:v>0.0065</x:v>
      </x:c>
      <x:c r="J773" t="str">
        <x:v>Medium</x:v>
      </x:c>
      <x:c r="K773" t="n">
        <x:v>54.7</x:v>
      </x:c>
      <x:c r="L773" t="n">
        <x:v>53.5</x:v>
      </x:c>
      <x:c r="M773" t="n">
        <x:v>49.2</x:v>
      </x:c>
      <x:c r="N773" t="str">
        <x:v>Most Likely</x:v>
      </x:c>
      <x:c r="O773" t="str">
        <x:v>Most Likely</x:v>
      </x:c>
    </x:row>
    <x:row r="774">
      <x:c r="A774" t="str">
        <x:v>PJT_773</x:v>
      </x:c>
      <x:c r="B774" t="n">
        <x:v>65103720</x:v>
      </x:c>
      <x:c r="C774" t="n">
        <x:v>68376490</x:v>
      </x:c>
      <x:c r="D774" t="n">
        <x:v>3272770</x:v>
      </x:c>
      <x:c r="E774" t="n">
        <x:v>0.0503</x:v>
      </x:c>
      <x:c r="F774" t="n">
        <x:v>1253</x:v>
      </x:c>
      <x:c r="G774" t="n">
        <x:v>1346</x:v>
      </x:c>
      <x:c r="H774" t="n">
        <x:v>93</x:v>
      </x:c>
      <x:c r="I774" t="n">
        <x:v>0.0742</x:v>
      </x:c>
      <x:c r="J774" t="str">
        <x:v>Medium</x:v>
      </x:c>
      <x:c r="K774" t="n">
        <x:v>52</x:v>
      </x:c>
      <x:c r="L774" t="n">
        <x:v>48</x:v>
      </x:c>
      <x:c r="M774" t="n">
        <x:v>54.1</x:v>
      </x:c>
      <x:c r="N774" t="str">
        <x:v>Most Likely</x:v>
      </x:c>
      <x:c r="O774" t="str">
        <x:v>Most Likely</x:v>
      </x:c>
    </x:row>
    <x:row r="775">
      <x:c r="A775" t="str">
        <x:v>PJT_774</x:v>
      </x:c>
      <x:c r="B775" t="n">
        <x:v>48729960</x:v>
      </x:c>
      <x:c r="C775" t="n">
        <x:v>50834937</x:v>
      </x:c>
      <x:c r="D775" t="n">
        <x:v>2104977</x:v>
      </x:c>
      <x:c r="E775" t="n">
        <x:v>0.0432</x:v>
      </x:c>
      <x:c r="F775" t="n">
        <x:v>971</x:v>
      </x:c>
      <x:c r="G775" t="n">
        <x:v>1057</x:v>
      </x:c>
      <x:c r="H775" t="n">
        <x:v>86</x:v>
      </x:c>
      <x:c r="I775" t="n">
        <x:v>0.0886</x:v>
      </x:c>
      <x:c r="J775" t="str">
        <x:v>Medium</x:v>
      </x:c>
      <x:c r="K775" t="n">
        <x:v>51.9</x:v>
      </x:c>
      <x:c r="L775" t="n">
        <x:v>49.9</x:v>
      </x:c>
      <x:c r="M775" t="n">
        <x:v>50.4</x:v>
      </x:c>
      <x:c r="N775" t="str">
        <x:v>Most Likely</x:v>
      </x:c>
      <x:c r="O775" t="str">
        <x:v>Most Likely</x:v>
      </x:c>
    </x:row>
    <x:row r="776">
      <x:c r="A776" t="str">
        <x:v>PJT_775</x:v>
      </x:c>
      <x:c r="B776" t="n">
        <x:v>67754260</x:v>
      </x:c>
      <x:c r="C776" t="n">
        <x:v>78323734</x:v>
      </x:c>
      <x:c r="D776" t="n">
        <x:v>10569474</x:v>
      </x:c>
      <x:c r="E776" t="n">
        <x:v>0.156</x:v>
      </x:c>
      <x:c r="F776" t="n">
        <x:v>1336</x:v>
      </x:c>
      <x:c r="G776" t="n">
        <x:v>1455</x:v>
      </x:c>
      <x:c r="H776" t="n">
        <x:v>119</x:v>
      </x:c>
      <x:c r="I776" t="n">
        <x:v>0.0891</x:v>
      </x:c>
      <x:c r="J776" t="str">
        <x:v>Medium</x:v>
      </x:c>
      <x:c r="K776" t="n">
        <x:v>65.8</x:v>
      </x:c>
      <x:c r="L776" t="n">
        <x:v>69.1</x:v>
      </x:c>
      <x:c r="M776" t="n">
        <x:v>63.8</x:v>
      </x:c>
      <x:c r="N776" t="str">
        <x:v>Pessimistic</x:v>
      </x:c>
      <x:c r="O776" t="str">
        <x:v>Most Likely</x:v>
      </x:c>
    </x:row>
    <x:row r="777">
      <x:c r="A777" t="str">
        <x:v>PJT_776</x:v>
      </x:c>
      <x:c r="B777" t="n">
        <x:v>20366570</x:v>
      </x:c>
      <x:c r="C777" t="n">
        <x:v>20025418</x:v>
      </x:c>
      <x:c r="D777" t="n">
        <x:v>-341152</x:v>
      </x:c>
      <x:c r="E777" t="n">
        <x:v>-0.0168</x:v>
      </x:c>
      <x:c r="F777" t="n">
        <x:v>348</x:v>
      </x:c>
      <x:c r="G777" t="n">
        <x:v>339</x:v>
      </x:c>
      <x:c r="H777" t="n">
        <x:v>-9</x:v>
      </x:c>
      <x:c r="I777" t="n">
        <x:v>-0.0259</x:v>
      </x:c>
      <x:c r="J777" t="str">
        <x:v>Low</x:v>
      </x:c>
      <x:c r="K777" t="n">
        <x:v>32.3</x:v>
      </x:c>
      <x:c r="L777" t="n">
        <x:v>37.1</x:v>
      </x:c>
      <x:c r="M777" t="n">
        <x:v>37.1</x:v>
      </x:c>
      <x:c r="N777" t="str">
        <x:v>Optimistic</x:v>
      </x:c>
      <x:c r="O777" t="str">
        <x:v>Optimistic</x:v>
      </x:c>
    </x:row>
    <x:row r="778">
      <x:c r="A778" t="str">
        <x:v>PJT_777</x:v>
      </x:c>
      <x:c r="B778" t="n">
        <x:v>38615720</x:v>
      </x:c>
      <x:c r="C778" t="n">
        <x:v>42408814</x:v>
      </x:c>
      <x:c r="D778" t="n">
        <x:v>3793094</x:v>
      </x:c>
      <x:c r="E778" t="n">
        <x:v>0.0982</x:v>
      </x:c>
      <x:c r="F778" t="n">
        <x:v>705</x:v>
      </x:c>
      <x:c r="G778" t="n">
        <x:v>737</x:v>
      </x:c>
      <x:c r="H778" t="n">
        <x:v>32</x:v>
      </x:c>
      <x:c r="I778" t="n">
        <x:v>0.0454</x:v>
      </x:c>
      <x:c r="J778" t="str">
        <x:v>Medium</x:v>
      </x:c>
      <x:c r="K778" t="n">
        <x:v>47.2</x:v>
      </x:c>
      <x:c r="L778" t="n">
        <x:v>45.1</x:v>
      </x:c>
      <x:c r="M778" t="n">
        <x:v>43.9</x:v>
      </x:c>
      <x:c r="N778" t="str">
        <x:v>Most Likely</x:v>
      </x:c>
      <x:c r="O778" t="str">
        <x:v>Most Likely</x:v>
      </x:c>
    </x:row>
    <x:row r="779">
      <x:c r="A779" t="str">
        <x:v>PJT_778</x:v>
      </x:c>
      <x:c r="B779" t="n">
        <x:v>8268460</x:v>
      </x:c>
      <x:c r="C779" t="n">
        <x:v>8078464</x:v>
      </x:c>
      <x:c r="D779" t="n">
        <x:v>-189996</x:v>
      </x:c>
      <x:c r="E779" t="n">
        <x:v>-0.023</x:v>
      </x:c>
      <x:c r="F779" t="n">
        <x:v>192</x:v>
      </x:c>
      <x:c r="G779" t="n">
        <x:v>188</x:v>
      </x:c>
      <x:c r="H779" t="n">
        <x:v>-4</x:v>
      </x:c>
      <x:c r="I779" t="n">
        <x:v>-0.0208</x:v>
      </x:c>
      <x:c r="J779" t="str">
        <x:v>Low</x:v>
      </x:c>
      <x:c r="K779" t="n">
        <x:v>25.2</x:v>
      </x:c>
      <x:c r="L779" t="n">
        <x:v>25.8</x:v>
      </x:c>
      <x:c r="M779" t="n">
        <x:v>30.3</x:v>
      </x:c>
      <x:c r="N779" t="str">
        <x:v>Optimistic</x:v>
      </x:c>
      <x:c r="O779" t="str">
        <x:v>Optimistic</x:v>
      </x:c>
    </x:row>
    <x:row r="780">
      <x:c r="A780" t="str">
        <x:v>PJT_779</x:v>
      </x:c>
      <x:c r="B780" t="n">
        <x:v>12891700</x:v>
      </x:c>
      <x:c r="C780" t="n">
        <x:v>12375725</x:v>
      </x:c>
      <x:c r="D780" t="n">
        <x:v>-515975</x:v>
      </x:c>
      <x:c r="E780" t="n">
        <x:v>-0.04</x:v>
      </x:c>
      <x:c r="F780" t="n">
        <x:v>290</x:v>
      </x:c>
      <x:c r="G780" t="n">
        <x:v>289</x:v>
      </x:c>
      <x:c r="H780" t="n">
        <x:v>-1</x:v>
      </x:c>
      <x:c r="I780" t="n">
        <x:v>-0.0034</x:v>
      </x:c>
      <x:c r="J780" t="str">
        <x:v>Low</x:v>
      </x:c>
      <x:c r="K780" t="n">
        <x:v>25.9</x:v>
      </x:c>
      <x:c r="L780" t="n">
        <x:v>28.9</x:v>
      </x:c>
      <x:c r="M780" t="n">
        <x:v>26.2</x:v>
      </x:c>
      <x:c r="N780" t="str">
        <x:v>Optimistic</x:v>
      </x:c>
      <x:c r="O780" t="str">
        <x:v>Optimistic</x:v>
      </x:c>
    </x:row>
    <x:row r="781">
      <x:c r="A781" t="str">
        <x:v>PJT_780</x:v>
      </x:c>
      <x:c r="B781" t="n">
        <x:v>47459800</x:v>
      </x:c>
      <x:c r="C781" t="n">
        <x:v>50917838</x:v>
      </x:c>
      <x:c r="D781" t="n">
        <x:v>3458038</x:v>
      </x:c>
      <x:c r="E781" t="n">
        <x:v>0.0729</x:v>
      </x:c>
      <x:c r="F781" t="n">
        <x:v>924</x:v>
      </x:c>
      <x:c r="G781" t="n">
        <x:v>985</x:v>
      </x:c>
      <x:c r="H781" t="n">
        <x:v>61</x:v>
      </x:c>
      <x:c r="I781" t="n">
        <x:v>0.066</x:v>
      </x:c>
      <x:c r="J781" t="str">
        <x:v>Medium</x:v>
      </x:c>
      <x:c r="K781" t="n">
        <x:v>59.7</x:v>
      </x:c>
      <x:c r="L781" t="n">
        <x:v>55.6</x:v>
      </x:c>
      <x:c r="M781" t="n">
        <x:v>57.9</x:v>
      </x:c>
      <x:c r="N781" t="str">
        <x:v>Most Likely</x:v>
      </x:c>
      <x:c r="O781" t="str">
        <x:v>Most Likely</x:v>
      </x:c>
    </x:row>
    <x:row r="782">
      <x:c r="A782" t="str">
        <x:v>PJT_781</x:v>
      </x:c>
      <x:c r="B782" t="n">
        <x:v>14405040</x:v>
      </x:c>
      <x:c r="C782" t="n">
        <x:v>13991797</x:v>
      </x:c>
      <x:c r="D782" t="n">
        <x:v>-413243</x:v>
      </x:c>
      <x:c r="E782" t="n">
        <x:v>-0.0287</x:v>
      </x:c>
      <x:c r="F782" t="n">
        <x:v>279</x:v>
      </x:c>
      <x:c r="G782" t="n">
        <x:v>288</x:v>
      </x:c>
      <x:c r="H782" t="n">
        <x:v>9</x:v>
      </x:c>
      <x:c r="I782" t="n">
        <x:v>0.0323</x:v>
      </x:c>
      <x:c r="J782" t="str">
        <x:v>Low</x:v>
      </x:c>
      <x:c r="K782" t="n">
        <x:v>32.7</x:v>
      </x:c>
      <x:c r="L782" t="n">
        <x:v>31.6</x:v>
      </x:c>
      <x:c r="M782" t="n">
        <x:v>32.5</x:v>
      </x:c>
      <x:c r="N782" t="str">
        <x:v>Optimistic</x:v>
      </x:c>
      <x:c r="O782" t="str">
        <x:v>Most Likely</x:v>
      </x:c>
    </x:row>
    <x:row r="783">
      <x:c r="A783" t="str">
        <x:v>PJT_782</x:v>
      </x:c>
      <x:c r="B783" t="n">
        <x:v>88486920</x:v>
      </x:c>
      <x:c r="C783" t="n">
        <x:v>95167261</x:v>
      </x:c>
      <x:c r="D783" t="n">
        <x:v>6680341</x:v>
      </x:c>
      <x:c r="E783" t="n">
        <x:v>0.0755</x:v>
      </x:c>
      <x:c r="F783" t="n">
        <x:v>1659</x:v>
      </x:c>
      <x:c r="G783" t="n">
        <x:v>1745</x:v>
      </x:c>
      <x:c r="H783" t="n">
        <x:v>86</x:v>
      </x:c>
      <x:c r="I783" t="n">
        <x:v>0.0518</x:v>
      </x:c>
      <x:c r="J783" t="str">
        <x:v>Medium</x:v>
      </x:c>
      <x:c r="K783" t="n">
        <x:v>53.3</x:v>
      </x:c>
      <x:c r="L783" t="n">
        <x:v>63.5</x:v>
      </x:c>
      <x:c r="M783" t="n">
        <x:v>53.2</x:v>
      </x:c>
      <x:c r="N783" t="str">
        <x:v>Most Likely</x:v>
      </x:c>
      <x:c r="O783" t="str">
        <x:v>Most Likely</x:v>
      </x:c>
    </x:row>
    <x:row r="784">
      <x:c r="A784" t="str">
        <x:v>PJT_783</x:v>
      </x:c>
      <x:c r="B784" t="n">
        <x:v>46708320</x:v>
      </x:c>
      <x:c r="C784" t="n">
        <x:v>51847525</x:v>
      </x:c>
      <x:c r="D784" t="n">
        <x:v>5139205</x:v>
      </x:c>
      <x:c r="E784" t="n">
        <x:v>0.11</x:v>
      </x:c>
      <x:c r="F784" t="n">
        <x:v>858</x:v>
      </x:c>
      <x:c r="G784" t="n">
        <x:v>962</x:v>
      </x:c>
      <x:c r="H784" t="n">
        <x:v>104</x:v>
      </x:c>
      <x:c r="I784" t="n">
        <x:v>0.1212</x:v>
      </x:c>
      <x:c r="J784" t="str">
        <x:v>Medium</x:v>
      </x:c>
      <x:c r="K784" t="n">
        <x:v>47.1</x:v>
      </x:c>
      <x:c r="L784" t="n">
        <x:v>51.9</x:v>
      </x:c>
      <x:c r="M784" t="n">
        <x:v>50.1</x:v>
      </x:c>
      <x:c r="N784" t="str">
        <x:v>Pessimistic</x:v>
      </x:c>
      <x:c r="O784" t="str">
        <x:v>Pessimistic</x:v>
      </x:c>
    </x:row>
    <x:row r="785">
      <x:c r="A785" t="str">
        <x:v>PJT_784</x:v>
      </x:c>
      <x:c r="B785" t="n">
        <x:v>55910140</x:v>
      </x:c>
      <x:c r="C785" t="n">
        <x:v>56313125</x:v>
      </x:c>
      <x:c r="D785" t="n">
        <x:v>402985</x:v>
      </x:c>
      <x:c r="E785" t="n">
        <x:v>0.0072</x:v>
      </x:c>
      <x:c r="F785" t="n">
        <x:v>1081</x:v>
      </x:c>
      <x:c r="G785" t="n">
        <x:v>1186</x:v>
      </x:c>
      <x:c r="H785" t="n">
        <x:v>105</x:v>
      </x:c>
      <x:c r="I785" t="n">
        <x:v>0.0971</x:v>
      </x:c>
      <x:c r="J785" t="str">
        <x:v>Low</x:v>
      </x:c>
      <x:c r="K785" t="n">
        <x:v>38.5</x:v>
      </x:c>
      <x:c r="L785" t="n">
        <x:v>43.8</x:v>
      </x:c>
      <x:c r="M785" t="n">
        <x:v>42.3</x:v>
      </x:c>
      <x:c r="N785" t="str">
        <x:v>Most Likely</x:v>
      </x:c>
      <x:c r="O785" t="str">
        <x:v>Most Likely</x:v>
      </x:c>
    </x:row>
    <x:row r="786">
      <x:c r="A786" t="str">
        <x:v>PJT_785</x:v>
      </x:c>
      <x:c r="B786" t="n">
        <x:v>34458640</x:v>
      </x:c>
      <x:c r="C786" t="n">
        <x:v>35665014</x:v>
      </x:c>
      <x:c r="D786" t="n">
        <x:v>1206374</x:v>
      </x:c>
      <x:c r="E786" t="n">
        <x:v>0.035</x:v>
      </x:c>
      <x:c r="F786" t="n">
        <x:v>718</x:v>
      </x:c>
      <x:c r="G786" t="n">
        <x:v>799</x:v>
      </x:c>
      <x:c r="H786" t="n">
        <x:v>81</x:v>
      </x:c>
      <x:c r="I786" t="n">
        <x:v>0.1128</x:v>
      </x:c>
      <x:c r="J786" t="str">
        <x:v>Medium</x:v>
      </x:c>
      <x:c r="K786" t="n">
        <x:v>51.6</x:v>
      </x:c>
      <x:c r="L786" t="n">
        <x:v>53.8</x:v>
      </x:c>
      <x:c r="M786" t="n">
        <x:v>49.7</x:v>
      </x:c>
      <x:c r="N786" t="str">
        <x:v>Most Likely</x:v>
      </x:c>
      <x:c r="O786" t="str">
        <x:v>Pessimistic</x:v>
      </x:c>
    </x:row>
    <x:row r="787">
      <x:c r="A787" t="str">
        <x:v>PJT_786</x:v>
      </x:c>
      <x:c r="B787" t="n">
        <x:v>61360100</x:v>
      </x:c>
      <x:c r="C787" t="n">
        <x:v>63780367</x:v>
      </x:c>
      <x:c r="D787" t="n">
        <x:v>2420267</x:v>
      </x:c>
      <x:c r="E787" t="n">
        <x:v>0.0394</x:v>
      </x:c>
      <x:c r="F787" t="n">
        <x:v>1031</x:v>
      </x:c>
      <x:c r="G787" t="n">
        <x:v>1106</x:v>
      </x:c>
      <x:c r="H787" t="n">
        <x:v>75</x:v>
      </x:c>
      <x:c r="I787" t="n">
        <x:v>0.0727</x:v>
      </x:c>
      <x:c r="J787" t="str">
        <x:v>Medium</x:v>
      </x:c>
      <x:c r="K787" t="n">
        <x:v>60.1</x:v>
      </x:c>
      <x:c r="L787" t="n">
        <x:v>57.8</x:v>
      </x:c>
      <x:c r="M787" t="n">
        <x:v>61.8</x:v>
      </x:c>
      <x:c r="N787" t="str">
        <x:v>Most Likely</x:v>
      </x:c>
      <x:c r="O787" t="str">
        <x:v>Most Likely</x:v>
      </x:c>
    </x:row>
    <x:row r="788">
      <x:c r="A788" t="str">
        <x:v>PJT_787</x:v>
      </x:c>
      <x:c r="B788" t="n">
        <x:v>50700930</x:v>
      </x:c>
      <x:c r="C788" t="n">
        <x:v>52390335</x:v>
      </x:c>
      <x:c r="D788" t="n">
        <x:v>1689405</x:v>
      </x:c>
      <x:c r="E788" t="n">
        <x:v>0.0333</x:v>
      </x:c>
      <x:c r="F788" t="n">
        <x:v>1012</x:v>
      </x:c>
      <x:c r="G788" t="n">
        <x:v>1003</x:v>
      </x:c>
      <x:c r="H788" t="n">
        <x:v>-9</x:v>
      </x:c>
      <x:c r="I788" t="n">
        <x:v>-0.0089</x:v>
      </x:c>
      <x:c r="J788" t="str">
        <x:v>Medium</x:v>
      </x:c>
      <x:c r="K788" t="n">
        <x:v>50.1</x:v>
      </x:c>
      <x:c r="L788" t="n">
        <x:v>52.1</x:v>
      </x:c>
      <x:c r="M788" t="n">
        <x:v>42.8</x:v>
      </x:c>
      <x:c r="N788" t="str">
        <x:v>Most Likely</x:v>
      </x:c>
      <x:c r="O788" t="str">
        <x:v>Optimistic</x:v>
      </x:c>
    </x:row>
    <x:row r="789">
      <x:c r="A789" t="str">
        <x:v>PJT_788</x:v>
      </x:c>
      <x:c r="B789" t="n">
        <x:v>50334270</x:v>
      </x:c>
      <x:c r="C789" t="n">
        <x:v>53371955</x:v>
      </x:c>
      <x:c r="D789" t="n">
        <x:v>3037685</x:v>
      </x:c>
      <x:c r="E789" t="n">
        <x:v>0.0604</x:v>
      </x:c>
      <x:c r="F789" t="n">
        <x:v>949</x:v>
      </x:c>
      <x:c r="G789" t="n">
        <x:v>982</x:v>
      </x:c>
      <x:c r="H789" t="n">
        <x:v>33</x:v>
      </x:c>
      <x:c r="I789" t="n">
        <x:v>0.0348</x:v>
      </x:c>
      <x:c r="J789" t="str">
        <x:v>Medium</x:v>
      </x:c>
      <x:c r="K789" t="n">
        <x:v>54.8</x:v>
      </x:c>
      <x:c r="L789" t="n">
        <x:v>51.2</x:v>
      </x:c>
      <x:c r="M789" t="n">
        <x:v>54.2</x:v>
      </x:c>
      <x:c r="N789" t="str">
        <x:v>Most Likely</x:v>
      </x:c>
      <x:c r="O789" t="str">
        <x:v>Most Likely</x:v>
      </x:c>
    </x:row>
    <x:row r="790">
      <x:c r="A790" t="str">
        <x:v>PJT_789</x:v>
      </x:c>
      <x:c r="B790" t="n">
        <x:v>15637900</x:v>
      </x:c>
      <x:c r="C790" t="n">
        <x:v>15133651</x:v>
      </x:c>
      <x:c r="D790" t="n">
        <x:v>-504249</x:v>
      </x:c>
      <x:c r="E790" t="n">
        <x:v>-0.0322</x:v>
      </x:c>
      <x:c r="F790" t="n">
        <x:v>279</x:v>
      </x:c>
      <x:c r="G790" t="n">
        <x:v>282</x:v>
      </x:c>
      <x:c r="H790" t="n">
        <x:v>3</x:v>
      </x:c>
      <x:c r="I790" t="n">
        <x:v>0.0108</x:v>
      </x:c>
      <x:c r="J790" t="str">
        <x:v>Low</x:v>
      </x:c>
      <x:c r="K790" t="n">
        <x:v>39.4</x:v>
      </x:c>
      <x:c r="L790" t="n">
        <x:v>35.8</x:v>
      </x:c>
      <x:c r="M790" t="n">
        <x:v>40.9</x:v>
      </x:c>
      <x:c r="N790" t="str">
        <x:v>Optimistic</x:v>
      </x:c>
      <x:c r="O790" t="str">
        <x:v>Most Likely</x:v>
      </x:c>
    </x:row>
    <x:row r="791">
      <x:c r="A791" t="str">
        <x:v>PJT_790</x:v>
      </x:c>
      <x:c r="B791" t="n">
        <x:v>13986270</x:v>
      </x:c>
      <x:c r="C791" t="n">
        <x:v>13443055</x:v>
      </x:c>
      <x:c r="D791" t="n">
        <x:v>-543215</x:v>
      </x:c>
      <x:c r="E791" t="n">
        <x:v>-0.0388</x:v>
      </x:c>
      <x:c r="F791" t="n">
        <x:v>240</x:v>
      </x:c>
      <x:c r="G791" t="n">
        <x:v>234</x:v>
      </x:c>
      <x:c r="H791" t="n">
        <x:v>-6</x:v>
      </x:c>
      <x:c r="I791" t="n">
        <x:v>-0.025</x:v>
      </x:c>
      <x:c r="J791" t="str">
        <x:v>Low</x:v>
      </x:c>
      <x:c r="K791" t="n">
        <x:v>36.6</x:v>
      </x:c>
      <x:c r="L791" t="n">
        <x:v>30.6</x:v>
      </x:c>
      <x:c r="M791" t="n">
        <x:v>35</x:v>
      </x:c>
      <x:c r="N791" t="str">
        <x:v>Optimistic</x:v>
      </x:c>
      <x:c r="O791" t="str">
        <x:v>Optimistic</x:v>
      </x:c>
    </x:row>
    <x:row r="792">
      <x:c r="A792" t="str">
        <x:v>PJT_791</x:v>
      </x:c>
      <x:c r="B792" t="n">
        <x:v>43954830</x:v>
      </x:c>
      <x:c r="C792" t="n">
        <x:v>46100961</x:v>
      </x:c>
      <x:c r="D792" t="n">
        <x:v>2146131</x:v>
      </x:c>
      <x:c r="E792" t="n">
        <x:v>0.0488</x:v>
      </x:c>
      <x:c r="F792" t="n">
        <x:v>839</x:v>
      </x:c>
      <x:c r="G792" t="n">
        <x:v>891</x:v>
      </x:c>
      <x:c r="H792" t="n">
        <x:v>52</x:v>
      </x:c>
      <x:c r="I792" t="n">
        <x:v>0.062</x:v>
      </x:c>
      <x:c r="J792" t="str">
        <x:v>Medium</x:v>
      </x:c>
      <x:c r="K792" t="n">
        <x:v>66.1</x:v>
      </x:c>
      <x:c r="L792" t="n">
        <x:v>63.9</x:v>
      </x:c>
      <x:c r="M792" t="n">
        <x:v>66.2</x:v>
      </x:c>
      <x:c r="N792" t="str">
        <x:v>Most Likely</x:v>
      </x:c>
      <x:c r="O792" t="str">
        <x:v>Most Likely</x:v>
      </x:c>
    </x:row>
    <x:row r="793">
      <x:c r="A793" t="str">
        <x:v>PJT_792</x:v>
      </x:c>
      <x:c r="B793" t="n">
        <x:v>15899100</x:v>
      </x:c>
      <x:c r="C793" t="n">
        <x:v>14737761</x:v>
      </x:c>
      <x:c r="D793" t="n">
        <x:v>-1161339</x:v>
      </x:c>
      <x:c r="E793" t="n">
        <x:v>-0.073</x:v>
      </x:c>
      <x:c r="F793" t="n">
        <x:v>285</x:v>
      </x:c>
      <x:c r="G793" t="n">
        <x:v>293</x:v>
      </x:c>
      <x:c r="H793" t="n">
        <x:v>8</x:v>
      </x:c>
      <x:c r="I793" t="n">
        <x:v>0.0281</x:v>
      </x:c>
      <x:c r="J793" t="str">
        <x:v>Low</x:v>
      </x:c>
      <x:c r="K793" t="n">
        <x:v>35.9</x:v>
      </x:c>
      <x:c r="L793" t="n">
        <x:v>31.4</x:v>
      </x:c>
      <x:c r="M793" t="n">
        <x:v>41.8</x:v>
      </x:c>
      <x:c r="N793" t="str">
        <x:v>Optimistic</x:v>
      </x:c>
      <x:c r="O793" t="str">
        <x:v>Most Likely</x:v>
      </x:c>
    </x:row>
    <x:row r="794">
      <x:c r="A794" t="str">
        <x:v>PJT_793</x:v>
      </x:c>
      <x:c r="B794" t="n">
        <x:v>32806400</x:v>
      </x:c>
      <x:c r="C794" t="n">
        <x:v>34584708</x:v>
      </x:c>
      <x:c r="D794" t="n">
        <x:v>1778308</x:v>
      </x:c>
      <x:c r="E794" t="n">
        <x:v>0.0542</x:v>
      </x:c>
      <x:c r="F794" t="n">
        <x:v>636</x:v>
      </x:c>
      <x:c r="G794" t="n">
        <x:v>695</x:v>
      </x:c>
      <x:c r="H794" t="n">
        <x:v>59</x:v>
      </x:c>
      <x:c r="I794" t="n">
        <x:v>0.0928</x:v>
      </x:c>
      <x:c r="J794" t="str">
        <x:v>Medium</x:v>
      </x:c>
      <x:c r="K794" t="n">
        <x:v>52.2</x:v>
      </x:c>
      <x:c r="L794" t="n">
        <x:v>54.3</x:v>
      </x:c>
      <x:c r="M794" t="n">
        <x:v>55</x:v>
      </x:c>
      <x:c r="N794" t="str">
        <x:v>Most Likely</x:v>
      </x:c>
      <x:c r="O794" t="str">
        <x:v>Most Likely</x:v>
      </x:c>
    </x:row>
    <x:row r="795">
      <x:c r="A795" t="str">
        <x:v>PJT_794</x:v>
      </x:c>
      <x:c r="B795" t="n">
        <x:v>86580000</x:v>
      </x:c>
      <x:c r="C795" t="n">
        <x:v>90220040</x:v>
      </x:c>
      <x:c r="D795" t="n">
        <x:v>3640040</x:v>
      </x:c>
      <x:c r="E795" t="n">
        <x:v>0.042</x:v>
      </x:c>
      <x:c r="F795" t="n">
        <x:v>1760</x:v>
      </x:c>
      <x:c r="G795" t="n">
        <x:v>2094</x:v>
      </x:c>
      <x:c r="H795" t="n">
        <x:v>334</x:v>
      </x:c>
      <x:c r="I795" t="n">
        <x:v>0.1898</x:v>
      </x:c>
      <x:c r="J795" t="str">
        <x:v>Medium</x:v>
      </x:c>
      <x:c r="K795" t="n">
        <x:v>63.6</x:v>
      </x:c>
      <x:c r="L795" t="n">
        <x:v>63.8</x:v>
      </x:c>
      <x:c r="M795" t="n">
        <x:v>67.9</x:v>
      </x:c>
      <x:c r="N795" t="str">
        <x:v>Most Likely</x:v>
      </x:c>
      <x:c r="O795" t="str">
        <x:v>Pessimistic</x:v>
      </x:c>
    </x:row>
    <x:row r="796">
      <x:c r="A796" t="str">
        <x:v>PJT_795</x:v>
      </x:c>
      <x:c r="B796" t="n">
        <x:v>75233550</x:v>
      </x:c>
      <x:c r="C796" t="n">
        <x:v>77242475</x:v>
      </x:c>
      <x:c r="D796" t="n">
        <x:v>2008925</x:v>
      </x:c>
      <x:c r="E796" t="n">
        <x:v>0.0267</x:v>
      </x:c>
      <x:c r="F796" t="n">
        <x:v>1410</x:v>
      </x:c>
      <x:c r="G796" t="n">
        <x:v>1483</x:v>
      </x:c>
      <x:c r="H796" t="n">
        <x:v>73</x:v>
      </x:c>
      <x:c r="I796" t="n">
        <x:v>0.0518</x:v>
      </x:c>
      <x:c r="J796" t="str">
        <x:v>Medium</x:v>
      </x:c>
      <x:c r="K796" t="n">
        <x:v>53</x:v>
      </x:c>
      <x:c r="L796" t="n">
        <x:v>54.5</x:v>
      </x:c>
      <x:c r="M796" t="n">
        <x:v>51.8</x:v>
      </x:c>
      <x:c r="N796" t="str">
        <x:v>Most Likely</x:v>
      </x:c>
      <x:c r="O796" t="str">
        <x:v>Most Likely</x:v>
      </x:c>
    </x:row>
    <x:row r="797">
      <x:c r="A797" t="str">
        <x:v>PJT_796</x:v>
      </x:c>
      <x:c r="B797" t="n">
        <x:v>53163510</x:v>
      </x:c>
      <x:c r="C797" t="n">
        <x:v>56053665</x:v>
      </x:c>
      <x:c r="D797" t="n">
        <x:v>2890155</x:v>
      </x:c>
      <x:c r="E797" t="n">
        <x:v>0.0544</x:v>
      </x:c>
      <x:c r="F797" t="n">
        <x:v>978</x:v>
      </x:c>
      <x:c r="G797" t="n">
        <x:v>1037</x:v>
      </x:c>
      <x:c r="H797" t="n">
        <x:v>59</x:v>
      </x:c>
      <x:c r="I797" t="n">
        <x:v>0.0603</x:v>
      </x:c>
      <x:c r="J797" t="str">
        <x:v>Medium</x:v>
      </x:c>
      <x:c r="K797" t="n">
        <x:v>48.2</x:v>
      </x:c>
      <x:c r="L797" t="n">
        <x:v>50</x:v>
      </x:c>
      <x:c r="M797" t="n">
        <x:v>49.9</x:v>
      </x:c>
      <x:c r="N797" t="str">
        <x:v>Most Likely</x:v>
      </x:c>
      <x:c r="O797" t="str">
        <x:v>Most Likely</x:v>
      </x:c>
    </x:row>
    <x:row r="798">
      <x:c r="A798" t="str">
        <x:v>PJT_797</x:v>
      </x:c>
      <x:c r="B798" t="n">
        <x:v>9093750</x:v>
      </x:c>
      <x:c r="C798" t="n">
        <x:v>8829592</x:v>
      </x:c>
      <x:c r="D798" t="n">
        <x:v>-264158</x:v>
      </x:c>
      <x:c r="E798" t="n">
        <x:v>-0.029</x:v>
      </x:c>
      <x:c r="F798" t="n">
        <x:v>220</x:v>
      </x:c>
      <x:c r="G798" t="n">
        <x:v>236</x:v>
      </x:c>
      <x:c r="H798" t="n">
        <x:v>16</x:v>
      </x:c>
      <x:c r="I798" t="n">
        <x:v>0.0727</x:v>
      </x:c>
      <x:c r="J798" t="str">
        <x:v>Low</x:v>
      </x:c>
      <x:c r="K798" t="n">
        <x:v>36.9</x:v>
      </x:c>
      <x:c r="L798" t="n">
        <x:v>33</x:v>
      </x:c>
      <x:c r="M798" t="n">
        <x:v>39.2</x:v>
      </x:c>
      <x:c r="N798" t="str">
        <x:v>Optimistic</x:v>
      </x:c>
      <x:c r="O798" t="str">
        <x:v>Most Likely</x:v>
      </x:c>
    </x:row>
    <x:row r="799">
      <x:c r="A799" t="str">
        <x:v>PJT_798</x:v>
      </x:c>
      <x:c r="B799" t="n">
        <x:v>66402300</x:v>
      </x:c>
      <x:c r="C799" t="n">
        <x:v>71811645</x:v>
      </x:c>
      <x:c r="D799" t="n">
        <x:v>5409345</x:v>
      </x:c>
      <x:c r="E799" t="n">
        <x:v>0.0815</x:v>
      </x:c>
      <x:c r="F799" t="n">
        <x:v>1132</x:v>
      </x:c>
      <x:c r="G799" t="n">
        <x:v>1184</x:v>
      </x:c>
      <x:c r="H799" t="n">
        <x:v>52</x:v>
      </x:c>
      <x:c r="I799" t="n">
        <x:v>0.0459</x:v>
      </x:c>
      <x:c r="J799" t="str">
        <x:v>Medium</x:v>
      </x:c>
      <x:c r="K799" t="n">
        <x:v>49.2</x:v>
      </x:c>
      <x:c r="L799" t="n">
        <x:v>52.2</x:v>
      </x:c>
      <x:c r="M799" t="n">
        <x:v>48.8</x:v>
      </x:c>
      <x:c r="N799" t="str">
        <x:v>Most Likely</x:v>
      </x:c>
      <x:c r="O799" t="str">
        <x:v>Most Likely</x:v>
      </x:c>
    </x:row>
    <x:row r="800">
      <x:c r="A800" t="str">
        <x:v>PJT_799</x:v>
      </x:c>
      <x:c r="B800" t="n">
        <x:v>18750250</x:v>
      </x:c>
      <x:c r="C800" t="n">
        <x:v>19903831</x:v>
      </x:c>
      <x:c r="D800" t="n">
        <x:v>1153581</x:v>
      </x:c>
      <x:c r="E800" t="n">
        <x:v>0.0615</x:v>
      </x:c>
      <x:c r="F800" t="n">
        <x:v>328</x:v>
      </x:c>
      <x:c r="G800" t="n">
        <x:v>339</x:v>
      </x:c>
      <x:c r="H800" t="n">
        <x:v>11</x:v>
      </x:c>
      <x:c r="I800" t="n">
        <x:v>0.0335</x:v>
      </x:c>
      <x:c r="J800" t="str">
        <x:v>Low</x:v>
      </x:c>
      <x:c r="K800" t="n">
        <x:v>42.8</x:v>
      </x:c>
      <x:c r="L800" t="n">
        <x:v>52.8</x:v>
      </x:c>
      <x:c r="M800" t="n">
        <x:v>40</x:v>
      </x:c>
      <x:c r="N800" t="str">
        <x:v>Most Likely</x:v>
      </x:c>
      <x:c r="O800" t="str">
        <x:v>Most Likely</x:v>
      </x:c>
    </x:row>
    <x:row r="801">
      <x:c r="A801" t="str">
        <x:v>PJT_800</x:v>
      </x:c>
      <x:c r="B801" t="n">
        <x:v>90107160</x:v>
      </x:c>
      <x:c r="C801" t="n">
        <x:v>99231580</x:v>
      </x:c>
      <x:c r="D801" t="n">
        <x:v>9124420</x:v>
      </x:c>
      <x:c r="E801" t="n">
        <x:v>0.1013</x:v>
      </x:c>
      <x:c r="F801" t="n">
        <x:v>1675</x:v>
      </x:c>
      <x:c r="G801" t="n">
        <x:v>1838</x:v>
      </x:c>
      <x:c r="H801" t="n">
        <x:v>163</x:v>
      </x:c>
      <x:c r="I801" t="n">
        <x:v>0.0973</x:v>
      </x:c>
      <x:c r="J801" t="str">
        <x:v>Medium</x:v>
      </x:c>
      <x:c r="K801" t="n">
        <x:v>61.4</x:v>
      </x:c>
      <x:c r="L801" t="n">
        <x:v>63.6</x:v>
      </x:c>
      <x:c r="M801" t="n">
        <x:v>61.2</x:v>
      </x:c>
      <x:c r="N801" t="str">
        <x:v>Pessimistic</x:v>
      </x:c>
      <x:c r="O801" t="str">
        <x:v>Most Likely</x:v>
      </x:c>
    </x:row>
    <x:row r="802">
      <x:c r="A802" t="str">
        <x:v>PJT_801</x:v>
      </x:c>
      <x:c r="B802" t="n">
        <x:v>48592800</x:v>
      </x:c>
      <x:c r="C802" t="n">
        <x:v>52051793</x:v>
      </x:c>
      <x:c r="D802" t="n">
        <x:v>3458993</x:v>
      </x:c>
      <x:c r="E802" t="n">
        <x:v>0.0712</x:v>
      </x:c>
      <x:c r="F802" t="n">
        <x:v>769</x:v>
      </x:c>
      <x:c r="G802" t="n">
        <x:v>789</x:v>
      </x:c>
      <x:c r="H802" t="n">
        <x:v>20</x:v>
      </x:c>
      <x:c r="I802" t="n">
        <x:v>0.026</x:v>
      </x:c>
      <x:c r="J802" t="str">
        <x:v>Low</x:v>
      </x:c>
      <x:c r="K802" t="n">
        <x:v>42.4</x:v>
      </x:c>
      <x:c r="L802" t="n">
        <x:v>46.7</x:v>
      </x:c>
      <x:c r="M802" t="n">
        <x:v>41.5</x:v>
      </x:c>
      <x:c r="N802" t="str">
        <x:v>Most Likely</x:v>
      </x:c>
      <x:c r="O802" t="str">
        <x:v>Most Likely</x:v>
      </x:c>
    </x:row>
    <x:row r="803">
      <x:c r="A803" t="str">
        <x:v>PJT_802</x:v>
      </x:c>
      <x:c r="B803" t="n">
        <x:v>80720800</x:v>
      </x:c>
      <x:c r="C803" t="n">
        <x:v>84211045</x:v>
      </x:c>
      <x:c r="D803" t="n">
        <x:v>3490245</x:v>
      </x:c>
      <x:c r="E803" t="n">
        <x:v>0.0432</x:v>
      </x:c>
      <x:c r="F803" t="n">
        <x:v>1433</x:v>
      </x:c>
      <x:c r="G803" t="n">
        <x:v>1476</x:v>
      </x:c>
      <x:c r="H803" t="n">
        <x:v>43</x:v>
      </x:c>
      <x:c r="I803" t="n">
        <x:v>0.03</x:v>
      </x:c>
      <x:c r="J803" t="str">
        <x:v>Medium</x:v>
      </x:c>
      <x:c r="K803" t="n">
        <x:v>46.1</x:v>
      </x:c>
      <x:c r="L803" t="n">
        <x:v>42.4</x:v>
      </x:c>
      <x:c r="M803" t="n">
        <x:v>44.5</x:v>
      </x:c>
      <x:c r="N803" t="str">
        <x:v>Most Likely</x:v>
      </x:c>
      <x:c r="O803" t="str">
        <x:v>Most Likely</x:v>
      </x:c>
    </x:row>
    <x:row r="804">
      <x:c r="A804" t="str">
        <x:v>PJT_803</x:v>
      </x:c>
      <x:c r="B804" t="n">
        <x:v>52244030</x:v>
      </x:c>
      <x:c r="C804" t="n">
        <x:v>55742661</x:v>
      </x:c>
      <x:c r="D804" t="n">
        <x:v>3498631</x:v>
      </x:c>
      <x:c r="E804" t="n">
        <x:v>0.067</x:v>
      </x:c>
      <x:c r="F804" t="n">
        <x:v>947</x:v>
      </x:c>
      <x:c r="G804" t="n">
        <x:v>1021</x:v>
      </x:c>
      <x:c r="H804" t="n">
        <x:v>74</x:v>
      </x:c>
      <x:c r="I804" t="n">
        <x:v>0.0781</x:v>
      </x:c>
      <x:c r="J804" t="str">
        <x:v>Medium</x:v>
      </x:c>
      <x:c r="K804" t="n">
        <x:v>51.1</x:v>
      </x:c>
      <x:c r="L804" t="n">
        <x:v>50</x:v>
      </x:c>
      <x:c r="M804" t="n">
        <x:v>44.5</x:v>
      </x:c>
      <x:c r="N804" t="str">
        <x:v>Most Likely</x:v>
      </x:c>
      <x:c r="O804" t="str">
        <x:v>Most Likely</x:v>
      </x:c>
    </x:row>
    <x:row r="805">
      <x:c r="A805" t="str">
        <x:v>PJT_804</x:v>
      </x:c>
      <x:c r="B805" t="n">
        <x:v>23294580</x:v>
      </x:c>
      <x:c r="C805" t="n">
        <x:v>22909960</x:v>
      </x:c>
      <x:c r="D805" t="n">
        <x:v>-384620</x:v>
      </x:c>
      <x:c r="E805" t="n">
        <x:v>-0.0165</x:v>
      </x:c>
      <x:c r="F805" t="n">
        <x:v>520</x:v>
      </x:c>
      <x:c r="G805" t="n">
        <x:v>525</x:v>
      </x:c>
      <x:c r="H805" t="n">
        <x:v>5</x:v>
      </x:c>
      <x:c r="I805" t="n">
        <x:v>0.0096</x:v>
      </x:c>
      <x:c r="J805" t="str">
        <x:v>Low</x:v>
      </x:c>
      <x:c r="K805" t="n">
        <x:v>44.9</x:v>
      </x:c>
      <x:c r="L805" t="n">
        <x:v>43.5</x:v>
      </x:c>
      <x:c r="M805" t="n">
        <x:v>41.3</x:v>
      </x:c>
      <x:c r="N805" t="str">
        <x:v>Optimistic</x:v>
      </x:c>
      <x:c r="O805" t="str">
        <x:v>Most Likely</x:v>
      </x:c>
    </x:row>
    <x:row r="806">
      <x:c r="A806" t="str">
        <x:v>PJT_805</x:v>
      </x:c>
      <x:c r="B806" t="n">
        <x:v>85495120</x:v>
      </x:c>
      <x:c r="C806" t="n">
        <x:v>89459696</x:v>
      </x:c>
      <x:c r="D806" t="n">
        <x:v>3964576</x:v>
      </x:c>
      <x:c r="E806" t="n">
        <x:v>0.0464</x:v>
      </x:c>
      <x:c r="F806" t="n">
        <x:v>1540</x:v>
      </x:c>
      <x:c r="G806" t="n">
        <x:v>1624</x:v>
      </x:c>
      <x:c r="H806" t="n">
        <x:v>84</x:v>
      </x:c>
      <x:c r="I806" t="n">
        <x:v>0.0545</x:v>
      </x:c>
      <x:c r="J806" t="str">
        <x:v>Medium</x:v>
      </x:c>
      <x:c r="K806" t="n">
        <x:v>52.6</x:v>
      </x:c>
      <x:c r="L806" t="n">
        <x:v>50.7</x:v>
      </x:c>
      <x:c r="M806" t="n">
        <x:v>52.6</x:v>
      </x:c>
      <x:c r="N806" t="str">
        <x:v>Most Likely</x:v>
      </x:c>
      <x:c r="O806" t="str">
        <x:v>Most Likely</x:v>
      </x:c>
    </x:row>
    <x:row r="807">
      <x:c r="A807" t="str">
        <x:v>PJT_806</x:v>
      </x:c>
      <x:c r="B807" t="n">
        <x:v>45231730</x:v>
      </x:c>
      <x:c r="C807" t="n">
        <x:v>45967697</x:v>
      </x:c>
      <x:c r="D807" t="n">
        <x:v>735967</x:v>
      </x:c>
      <x:c r="E807" t="n">
        <x:v>0.0163</x:v>
      </x:c>
      <x:c r="F807" t="n">
        <x:v>819</x:v>
      </x:c>
      <x:c r="G807" t="n">
        <x:v>882</x:v>
      </x:c>
      <x:c r="H807" t="n">
        <x:v>63</x:v>
      </x:c>
      <x:c r="I807" t="n">
        <x:v>0.0769</x:v>
      </x:c>
      <x:c r="J807" t="str">
        <x:v>Medium</x:v>
      </x:c>
      <x:c r="K807" t="n">
        <x:v>48.4</x:v>
      </x:c>
      <x:c r="L807" t="n">
        <x:v>49.2</x:v>
      </x:c>
      <x:c r="M807" t="n">
        <x:v>44.3</x:v>
      </x:c>
      <x:c r="N807" t="str">
        <x:v>Most Likely</x:v>
      </x:c>
      <x:c r="O807" t="str">
        <x:v>Most Likely</x:v>
      </x:c>
    </x:row>
    <x:row r="808">
      <x:c r="A808" t="str">
        <x:v>PJT_807</x:v>
      </x:c>
      <x:c r="B808" t="n">
        <x:v>54324480</x:v>
      </x:c>
      <x:c r="C808" t="n">
        <x:v>57550349</x:v>
      </x:c>
      <x:c r="D808" t="n">
        <x:v>3225869</x:v>
      </x:c>
      <x:c r="E808" t="n">
        <x:v>0.0594</x:v>
      </x:c>
      <x:c r="F808" t="n">
        <x:v>978</x:v>
      </x:c>
      <x:c r="G808" t="n">
        <x:v>992</x:v>
      </x:c>
      <x:c r="H808" t="n">
        <x:v>14</x:v>
      </x:c>
      <x:c r="I808" t="n">
        <x:v>0.0143</x:v>
      </x:c>
      <x:c r="J808" t="str">
        <x:v>Low</x:v>
      </x:c>
      <x:c r="K808" t="n">
        <x:v>44.6</x:v>
      </x:c>
      <x:c r="L808" t="n">
        <x:v>41.8</x:v>
      </x:c>
      <x:c r="M808" t="n">
        <x:v>42.7</x:v>
      </x:c>
      <x:c r="N808" t="str">
        <x:v>Most Likely</x:v>
      </x:c>
      <x:c r="O808" t="str">
        <x:v>Most Likely</x:v>
      </x:c>
    </x:row>
    <x:row r="809">
      <x:c r="A809" t="str">
        <x:v>PJT_808</x:v>
      </x:c>
      <x:c r="B809" t="n">
        <x:v>30340800</x:v>
      </x:c>
      <x:c r="C809" t="n">
        <x:v>30990746</x:v>
      </x:c>
      <x:c r="D809" t="n">
        <x:v>649946</x:v>
      </x:c>
      <x:c r="E809" t="n">
        <x:v>0.0214</x:v>
      </x:c>
      <x:c r="F809" t="n">
        <x:v>562</x:v>
      </x:c>
      <x:c r="G809" t="n">
        <x:v>555</x:v>
      </x:c>
      <x:c r="H809" t="n">
        <x:v>-7</x:v>
      </x:c>
      <x:c r="I809" t="n">
        <x:v>-0.0125</x:v>
      </x:c>
      <x:c r="J809" t="str">
        <x:v>Low</x:v>
      </x:c>
      <x:c r="K809" t="n">
        <x:v>39.8</x:v>
      </x:c>
      <x:c r="L809" t="n">
        <x:v>47</x:v>
      </x:c>
      <x:c r="M809" t="n">
        <x:v>42.5</x:v>
      </x:c>
      <x:c r="N809" t="str">
        <x:v>Most Likely</x:v>
      </x:c>
      <x:c r="O809" t="str">
        <x:v>Optimistic</x:v>
      </x:c>
    </x:row>
    <x:row r="810">
      <x:c r="A810" t="str">
        <x:v>PJT_809</x:v>
      </x:c>
      <x:c r="B810" t="n">
        <x:v>16701200</x:v>
      </x:c>
      <x:c r="C810" t="n">
        <x:v>16673869</x:v>
      </x:c>
      <x:c r="D810" t="n">
        <x:v>-27331</x:v>
      </x:c>
      <x:c r="E810" t="n">
        <x:v>-0.0016</x:v>
      </x:c>
      <x:c r="F810" t="n">
        <x:v>382</x:v>
      </x:c>
      <x:c r="G810" t="n">
        <x:v>398</x:v>
      </x:c>
      <x:c r="H810" t="n">
        <x:v>16</x:v>
      </x:c>
      <x:c r="I810" t="n">
        <x:v>0.0419</x:v>
      </x:c>
      <x:c r="J810" t="str">
        <x:v>Medium</x:v>
      </x:c>
      <x:c r="K810" t="n">
        <x:v>48</x:v>
      </x:c>
      <x:c r="L810" t="n">
        <x:v>48</x:v>
      </x:c>
      <x:c r="M810" t="n">
        <x:v>48.1</x:v>
      </x:c>
      <x:c r="N810" t="str">
        <x:v>Optimistic</x:v>
      </x:c>
      <x:c r="O810" t="str">
        <x:v>Most Likely</x:v>
      </x:c>
    </x:row>
    <x:row r="811">
      <x:c r="A811" t="str">
        <x:v>PJT_810</x:v>
      </x:c>
      <x:c r="B811" t="n">
        <x:v>29487780</x:v>
      </x:c>
      <x:c r="C811" t="n">
        <x:v>29207802</x:v>
      </x:c>
      <x:c r="D811" t="n">
        <x:v>-279978</x:v>
      </x:c>
      <x:c r="E811" t="n">
        <x:v>-0.0095</x:v>
      </x:c>
      <x:c r="F811" t="n">
        <x:v>776</x:v>
      </x:c>
      <x:c r="G811" t="n">
        <x:v>813</x:v>
      </x:c>
      <x:c r="H811" t="n">
        <x:v>37</x:v>
      </x:c>
      <x:c r="I811" t="n">
        <x:v>0.0477</x:v>
      </x:c>
      <x:c r="J811" t="str">
        <x:v>Medium</x:v>
      </x:c>
      <x:c r="K811" t="n">
        <x:v>45.3</x:v>
      </x:c>
      <x:c r="L811" t="n">
        <x:v>45.1</x:v>
      </x:c>
      <x:c r="M811" t="n">
        <x:v>46.8</x:v>
      </x:c>
      <x:c r="N811" t="str">
        <x:v>Optimistic</x:v>
      </x:c>
      <x:c r="O811" t="str">
        <x:v>Most Likely</x:v>
      </x:c>
    </x:row>
    <x:row r="812">
      <x:c r="A812" t="str">
        <x:v>PJT_811</x:v>
      </x:c>
      <x:c r="B812" t="n">
        <x:v>9700040</x:v>
      </x:c>
      <x:c r="C812" t="n">
        <x:v>9486655</x:v>
      </x:c>
      <x:c r="D812" t="n">
        <x:v>-213385</x:v>
      </x:c>
      <x:c r="E812" t="n">
        <x:v>-0.022</x:v>
      </x:c>
      <x:c r="F812" t="n">
        <x:v>233</x:v>
      </x:c>
      <x:c r="G812" t="n">
        <x:v>241</x:v>
      </x:c>
      <x:c r="H812" t="n">
        <x:v>8</x:v>
      </x:c>
      <x:c r="I812" t="n">
        <x:v>0.0343</x:v>
      </x:c>
      <x:c r="J812" t="str">
        <x:v>Low</x:v>
      </x:c>
      <x:c r="K812" t="n">
        <x:v>31.9</x:v>
      </x:c>
      <x:c r="L812" t="n">
        <x:v>27.5</x:v>
      </x:c>
      <x:c r="M812" t="n">
        <x:v>29.1</x:v>
      </x:c>
      <x:c r="N812" t="str">
        <x:v>Optimistic</x:v>
      </x:c>
      <x:c r="O812" t="str">
        <x:v>Most Likely</x:v>
      </x:c>
    </x:row>
    <x:row r="813">
      <x:c r="A813" t="str">
        <x:v>PJT_812</x:v>
      </x:c>
      <x:c r="B813" t="n">
        <x:v>36030240</x:v>
      </x:c>
      <x:c r="C813" t="n">
        <x:v>37478115</x:v>
      </x:c>
      <x:c r="D813" t="n">
        <x:v>1447875</x:v>
      </x:c>
      <x:c r="E813" t="n">
        <x:v>0.0402</x:v>
      </x:c>
      <x:c r="F813" t="n">
        <x:v>677</x:v>
      </x:c>
      <x:c r="G813" t="n">
        <x:v>702</x:v>
      </x:c>
      <x:c r="H813" t="n">
        <x:v>25</x:v>
      </x:c>
      <x:c r="I813" t="n">
        <x:v>0.0369</x:v>
      </x:c>
      <x:c r="J813" t="str">
        <x:v>Low</x:v>
      </x:c>
      <x:c r="K813" t="n">
        <x:v>39.9</x:v>
      </x:c>
      <x:c r="L813" t="n">
        <x:v>42.4</x:v>
      </x:c>
      <x:c r="M813" t="n">
        <x:v>38.7</x:v>
      </x:c>
      <x:c r="N813" t="str">
        <x:v>Most Likely</x:v>
      </x:c>
      <x:c r="O813" t="str">
        <x:v>Most Likely</x:v>
      </x:c>
    </x:row>
    <x:row r="814">
      <x:c r="A814" t="str">
        <x:v>PJT_813</x:v>
      </x:c>
      <x:c r="B814" t="n">
        <x:v>21030400</x:v>
      </x:c>
      <x:c r="C814" t="n">
        <x:v>23355477</x:v>
      </x:c>
      <x:c r="D814" t="n">
        <x:v>2325077</x:v>
      </x:c>
      <x:c r="E814" t="n">
        <x:v>0.1106</x:v>
      </x:c>
      <x:c r="F814" t="n">
        <x:v>463</x:v>
      </x:c>
      <x:c r="G814" t="n">
        <x:v>488</x:v>
      </x:c>
      <x:c r="H814" t="n">
        <x:v>25</x:v>
      </x:c>
      <x:c r="I814" t="n">
        <x:v>0.054</x:v>
      </x:c>
      <x:c r="J814" t="str">
        <x:v>Medium</x:v>
      </x:c>
      <x:c r="K814" t="n">
        <x:v>51.7</x:v>
      </x:c>
      <x:c r="L814" t="n">
        <x:v>54.4</x:v>
      </x:c>
      <x:c r="M814" t="n">
        <x:v>48.4</x:v>
      </x:c>
      <x:c r="N814" t="str">
        <x:v>Pessimistic</x:v>
      </x:c>
      <x:c r="O814" t="str">
        <x:v>Most Likely</x:v>
      </x:c>
    </x:row>
    <x:row r="815">
      <x:c r="A815" t="str">
        <x:v>PJT_814</x:v>
      </x:c>
      <x:c r="B815" t="n">
        <x:v>65976360</x:v>
      </x:c>
      <x:c r="C815" t="n">
        <x:v>69678464</x:v>
      </x:c>
      <x:c r="D815" t="n">
        <x:v>3702104</x:v>
      </x:c>
      <x:c r="E815" t="n">
        <x:v>0.0561</x:v>
      </x:c>
      <x:c r="F815" t="n">
        <x:v>1083</x:v>
      </x:c>
      <x:c r="G815" t="n">
        <x:v>1087</x:v>
      </x:c>
      <x:c r="H815" t="n">
        <x:v>4</x:v>
      </x:c>
      <x:c r="I815" t="n">
        <x:v>0.0037</x:v>
      </x:c>
      <x:c r="J815" t="str">
        <x:v>Medium</x:v>
      </x:c>
      <x:c r="K815" t="n">
        <x:v>52.6</x:v>
      </x:c>
      <x:c r="L815" t="n">
        <x:v>53.3</x:v>
      </x:c>
      <x:c r="M815" t="n">
        <x:v>47.7</x:v>
      </x:c>
      <x:c r="N815" t="str">
        <x:v>Most Likely</x:v>
      </x:c>
      <x:c r="O815" t="str">
        <x:v>Most Likely</x:v>
      </x:c>
    </x:row>
    <x:row r="816">
      <x:c r="A816" t="str">
        <x:v>PJT_815</x:v>
      </x:c>
      <x:c r="B816" t="n">
        <x:v>9739120</x:v>
      </x:c>
      <x:c r="C816" t="n">
        <x:v>9470432</x:v>
      </x:c>
      <x:c r="D816" t="n">
        <x:v>-268688</x:v>
      </x:c>
      <x:c r="E816" t="n">
        <x:v>-0.0276</x:v>
      </x:c>
      <x:c r="F816" t="n">
        <x:v>180</x:v>
      </x:c>
      <x:c r="G816" t="n">
        <x:v>175</x:v>
      </x:c>
      <x:c r="H816" t="n">
        <x:v>-5</x:v>
      </x:c>
      <x:c r="I816" t="n">
        <x:v>-0.0278</x:v>
      </x:c>
      <x:c r="J816" t="str">
        <x:v>Low</x:v>
      </x:c>
      <x:c r="K816" t="n">
        <x:v>30.3</x:v>
      </x:c>
      <x:c r="L816" t="n">
        <x:v>29.1</x:v>
      </x:c>
      <x:c r="M816" t="n">
        <x:v>34.8</x:v>
      </x:c>
      <x:c r="N816" t="str">
        <x:v>Optimistic</x:v>
      </x:c>
      <x:c r="O816" t="str">
        <x:v>Optimistic</x:v>
      </x:c>
    </x:row>
    <x:row r="817">
      <x:c r="A817" t="str">
        <x:v>PJT_816</x:v>
      </x:c>
      <x:c r="B817" t="n">
        <x:v>44262900</x:v>
      </x:c>
      <x:c r="C817" t="n">
        <x:v>45130125</x:v>
      </x:c>
      <x:c r="D817" t="n">
        <x:v>867225</x:v>
      </x:c>
      <x:c r="E817" t="n">
        <x:v>0.0196</x:v>
      </x:c>
      <x:c r="F817" t="n">
        <x:v>756</x:v>
      </x:c>
      <x:c r="G817" t="n">
        <x:v>775</x:v>
      </x:c>
      <x:c r="H817" t="n">
        <x:v>19</x:v>
      </x:c>
      <x:c r="I817" t="n">
        <x:v>0.0251</x:v>
      </x:c>
      <x:c r="J817" t="str">
        <x:v>Medium</x:v>
      </x:c>
      <x:c r="K817" t="n">
        <x:v>48.5</x:v>
      </x:c>
      <x:c r="L817" t="n">
        <x:v>50.9</x:v>
      </x:c>
      <x:c r="M817" t="n">
        <x:v>49.5</x:v>
      </x:c>
      <x:c r="N817" t="str">
        <x:v>Most Likely</x:v>
      </x:c>
      <x:c r="O817" t="str">
        <x:v>Most Likely</x:v>
      </x:c>
    </x:row>
    <x:row r="818">
      <x:c r="A818" t="str">
        <x:v>PJT_817</x:v>
      </x:c>
      <x:c r="B818" t="n">
        <x:v>55746360</x:v>
      </x:c>
      <x:c r="C818" t="n">
        <x:v>57910615</x:v>
      </x:c>
      <x:c r="D818" t="n">
        <x:v>2164255</x:v>
      </x:c>
      <x:c r="E818" t="n">
        <x:v>0.0388</x:v>
      </x:c>
      <x:c r="F818" t="n">
        <x:v>1184</x:v>
      </x:c>
      <x:c r="G818" t="n">
        <x:v>1287</x:v>
      </x:c>
      <x:c r="H818" t="n">
        <x:v>103</x:v>
      </x:c>
      <x:c r="I818" t="n">
        <x:v>0.087</x:v>
      </x:c>
      <x:c r="J818" t="str">
        <x:v>Medium</x:v>
      </x:c>
      <x:c r="K818" t="n">
        <x:v>58.4</x:v>
      </x:c>
      <x:c r="L818" t="n">
        <x:v>56.7</x:v>
      </x:c>
      <x:c r="M818" t="n">
        <x:v>54</x:v>
      </x:c>
      <x:c r="N818" t="str">
        <x:v>Most Likely</x:v>
      </x:c>
      <x:c r="O818" t="str">
        <x:v>Most Likely</x:v>
      </x:c>
    </x:row>
    <x:row r="819">
      <x:c r="A819" t="str">
        <x:v>PJT_818</x:v>
      </x:c>
      <x:c r="B819" t="n">
        <x:v>56221440</x:v>
      </x:c>
      <x:c r="C819" t="n">
        <x:v>60606683</x:v>
      </x:c>
      <x:c r="D819" t="n">
        <x:v>4385243</x:v>
      </x:c>
      <x:c r="E819" t="n">
        <x:v>0.078</x:v>
      </x:c>
      <x:c r="F819" t="n">
        <x:v>1174</x:v>
      </x:c>
      <x:c r="G819" t="n">
        <x:v>1216</x:v>
      </x:c>
      <x:c r="H819" t="n">
        <x:v>42</x:v>
      </x:c>
      <x:c r="I819" t="n">
        <x:v>0.0358</x:v>
      </x:c>
      <x:c r="J819" t="str">
        <x:v>Low</x:v>
      </x:c>
      <x:c r="K819" t="n">
        <x:v>42.3</x:v>
      </x:c>
      <x:c r="L819" t="n">
        <x:v>39.9</x:v>
      </x:c>
      <x:c r="M819" t="n">
        <x:v>48</x:v>
      </x:c>
      <x:c r="N819" t="str">
        <x:v>Most Likely</x:v>
      </x:c>
      <x:c r="O819" t="str">
        <x:v>Most Likely</x:v>
      </x:c>
    </x:row>
    <x:row r="820">
      <x:c r="A820" t="str">
        <x:v>PJT_819</x:v>
      </x:c>
      <x:c r="B820" t="n">
        <x:v>23749840</x:v>
      </x:c>
      <x:c r="C820" t="n">
        <x:v>25110799</x:v>
      </x:c>
      <x:c r="D820" t="n">
        <x:v>1360959</x:v>
      </x:c>
      <x:c r="E820" t="n">
        <x:v>0.0573</x:v>
      </x:c>
      <x:c r="F820" t="n">
        <x:v>688</x:v>
      </x:c>
      <x:c r="G820" t="n">
        <x:v>706</x:v>
      </x:c>
      <x:c r="H820" t="n">
        <x:v>18</x:v>
      </x:c>
      <x:c r="I820" t="n">
        <x:v>0.0262</x:v>
      </x:c>
      <x:c r="J820" t="str">
        <x:v>Low</x:v>
      </x:c>
      <x:c r="K820" t="n">
        <x:v>41.8</x:v>
      </x:c>
      <x:c r="L820" t="n">
        <x:v>40.8</x:v>
      </x:c>
      <x:c r="M820" t="n">
        <x:v>42.8</x:v>
      </x:c>
      <x:c r="N820" t="str">
        <x:v>Most Likely</x:v>
      </x:c>
      <x:c r="O820" t="str">
        <x:v>Most Likely</x:v>
      </x:c>
    </x:row>
    <x:row r="821">
      <x:c r="A821" t="str">
        <x:v>PJT_820</x:v>
      </x:c>
      <x:c r="B821" t="n">
        <x:v>23167650</x:v>
      </x:c>
      <x:c r="C821" t="n">
        <x:v>25956582</x:v>
      </x:c>
      <x:c r="D821" t="n">
        <x:v>2788932</x:v>
      </x:c>
      <x:c r="E821" t="n">
        <x:v>0.1204</x:v>
      </x:c>
      <x:c r="F821" t="n">
        <x:v>403</x:v>
      </x:c>
      <x:c r="G821" t="n">
        <x:v>419</x:v>
      </x:c>
      <x:c r="H821" t="n">
        <x:v>16</x:v>
      </x:c>
      <x:c r="I821" t="n">
        <x:v>0.0397</x:v>
      </x:c>
      <x:c r="J821" t="str">
        <x:v>Medium</x:v>
      </x:c>
      <x:c r="K821" t="n">
        <x:v>49.9</x:v>
      </x:c>
      <x:c r="L821" t="n">
        <x:v>52.3</x:v>
      </x:c>
      <x:c r="M821" t="n">
        <x:v>46.4</x:v>
      </x:c>
      <x:c r="N821" t="str">
        <x:v>Pessimistic</x:v>
      </x:c>
      <x:c r="O821" t="str">
        <x:v>Most Likely</x:v>
      </x:c>
    </x:row>
    <x:row r="822">
      <x:c r="A822" t="str">
        <x:v>PJT_821</x:v>
      </x:c>
      <x:c r="B822" t="n">
        <x:v>58170890</x:v>
      </x:c>
      <x:c r="C822" t="n">
        <x:v>61522283</x:v>
      </x:c>
      <x:c r="D822" t="n">
        <x:v>3351393</x:v>
      </x:c>
      <x:c r="E822" t="n">
        <x:v>0.0576</x:v>
      </x:c>
      <x:c r="F822" t="n">
        <x:v>1025</x:v>
      </x:c>
      <x:c r="G822" t="n">
        <x:v>991</x:v>
      </x:c>
      <x:c r="H822" t="n">
        <x:v>-34</x:v>
      </x:c>
      <x:c r="I822" t="n">
        <x:v>-0.0332</x:v>
      </x:c>
      <x:c r="J822" t="str">
        <x:v>Medium</x:v>
      </x:c>
      <x:c r="K822" t="n">
        <x:v>54.5</x:v>
      </x:c>
      <x:c r="L822" t="n">
        <x:v>52</x:v>
      </x:c>
      <x:c r="M822" t="n">
        <x:v>47.7</x:v>
      </x:c>
      <x:c r="N822" t="str">
        <x:v>Most Likely</x:v>
      </x:c>
      <x:c r="O822" t="str">
        <x:v>Optimistic</x:v>
      </x:c>
    </x:row>
    <x:row r="823">
      <x:c r="A823" t="str">
        <x:v>PJT_822</x:v>
      </x:c>
      <x:c r="B823" t="n">
        <x:v>15729000</x:v>
      </x:c>
      <x:c r="C823" t="n">
        <x:v>15899066</x:v>
      </x:c>
      <x:c r="D823" t="n">
        <x:v>170066</x:v>
      </x:c>
      <x:c r="E823" t="n">
        <x:v>0.0108</x:v>
      </x:c>
      <x:c r="F823" t="n">
        <x:v>250</x:v>
      </x:c>
      <x:c r="G823" t="n">
        <x:v>251</x:v>
      </x:c>
      <x:c r="H823" t="n">
        <x:v>1</x:v>
      </x:c>
      <x:c r="I823" t="n">
        <x:v>0.004</x:v>
      </x:c>
      <x:c r="J823" t="str">
        <x:v>Low</x:v>
      </x:c>
      <x:c r="K823" t="n">
        <x:v>36.9</x:v>
      </x:c>
      <x:c r="L823" t="n">
        <x:v>41.7</x:v>
      </x:c>
      <x:c r="M823" t="n">
        <x:v>37.1</x:v>
      </x:c>
      <x:c r="N823" t="str">
        <x:v>Most Likely</x:v>
      </x:c>
      <x:c r="O823" t="str">
        <x:v>Most Likely</x:v>
      </x:c>
    </x:row>
    <x:row r="824">
      <x:c r="A824" t="str">
        <x:v>PJT_823</x:v>
      </x:c>
      <x:c r="B824" t="n">
        <x:v>36589140</x:v>
      </x:c>
      <x:c r="C824" t="n">
        <x:v>38080722</x:v>
      </x:c>
      <x:c r="D824" t="n">
        <x:v>1491582</x:v>
      </x:c>
      <x:c r="E824" t="n">
        <x:v>0.0408</x:v>
      </x:c>
      <x:c r="F824" t="n">
        <x:v>751</x:v>
      </x:c>
      <x:c r="G824" t="n">
        <x:v>819</x:v>
      </x:c>
      <x:c r="H824" t="n">
        <x:v>68</x:v>
      </x:c>
      <x:c r="I824" t="n">
        <x:v>0.0905</x:v>
      </x:c>
      <x:c r="J824" t="str">
        <x:v>Medium</x:v>
      </x:c>
      <x:c r="K824" t="n">
        <x:v>48.5</x:v>
      </x:c>
      <x:c r="L824" t="n">
        <x:v>56.4</x:v>
      </x:c>
      <x:c r="M824" t="n">
        <x:v>50.4</x:v>
      </x:c>
      <x:c r="N824" t="str">
        <x:v>Most Likely</x:v>
      </x:c>
      <x:c r="O824" t="str">
        <x:v>Most Likely</x:v>
      </x:c>
    </x:row>
    <x:row r="825">
      <x:c r="A825" t="str">
        <x:v>PJT_824</x:v>
      </x:c>
      <x:c r="B825" t="n">
        <x:v>17372340</x:v>
      </x:c>
      <x:c r="C825" t="n">
        <x:v>16904412</x:v>
      </x:c>
      <x:c r="D825" t="n">
        <x:v>-467928</x:v>
      </x:c>
      <x:c r="E825" t="n">
        <x:v>-0.0269</x:v>
      </x:c>
      <x:c r="F825" t="n">
        <x:v>461</x:v>
      </x:c>
      <x:c r="G825" t="n">
        <x:v>457</x:v>
      </x:c>
      <x:c r="H825" t="n">
        <x:v>-4</x:v>
      </x:c>
      <x:c r="I825" t="n">
        <x:v>-0.0087</x:v>
      </x:c>
      <x:c r="J825" t="str">
        <x:v>Low</x:v>
      </x:c>
      <x:c r="K825" t="n">
        <x:v>39.5</x:v>
      </x:c>
      <x:c r="L825" t="n">
        <x:v>42.3</x:v>
      </x:c>
      <x:c r="M825" t="n">
        <x:v>35.9</x:v>
      </x:c>
      <x:c r="N825" t="str">
        <x:v>Optimistic</x:v>
      </x:c>
      <x:c r="O825" t="str">
        <x:v>Optimistic</x:v>
      </x:c>
    </x:row>
    <x:row r="826">
      <x:c r="A826" t="str">
        <x:v>PJT_825</x:v>
      </x:c>
      <x:c r="B826" t="n">
        <x:v>57340890</x:v>
      </x:c>
      <x:c r="C826" t="n">
        <x:v>60138949</x:v>
      </x:c>
      <x:c r="D826" t="n">
        <x:v>2798059</x:v>
      </x:c>
      <x:c r="E826" t="n">
        <x:v>0.0488</x:v>
      </x:c>
      <x:c r="F826" t="n">
        <x:v>1098</x:v>
      </x:c>
      <x:c r="G826" t="n">
        <x:v>1055</x:v>
      </x:c>
      <x:c r="H826" t="n">
        <x:v>-43</x:v>
      </x:c>
      <x:c r="I826" t="n">
        <x:v>-0.0392</x:v>
      </x:c>
      <x:c r="J826" t="str">
        <x:v>Medium</x:v>
      </x:c>
      <x:c r="K826" t="n">
        <x:v>49.4</x:v>
      </x:c>
      <x:c r="L826" t="n">
        <x:v>47.3</x:v>
      </x:c>
      <x:c r="M826" t="n">
        <x:v>44.6</x:v>
      </x:c>
      <x:c r="N826" t="str">
        <x:v>Most Likely</x:v>
      </x:c>
      <x:c r="O826" t="str">
        <x:v>Optimistic</x:v>
      </x:c>
    </x:row>
    <x:row r="827">
      <x:c r="A827" t="str">
        <x:v>PJT_826</x:v>
      </x:c>
      <x:c r="B827" t="n">
        <x:v>31487400</x:v>
      </x:c>
      <x:c r="C827" t="n">
        <x:v>33984224</x:v>
      </x:c>
      <x:c r="D827" t="n">
        <x:v>2496824</x:v>
      </x:c>
      <x:c r="E827" t="n">
        <x:v>0.0793</x:v>
      </x:c>
      <x:c r="F827" t="n">
        <x:v>515</x:v>
      </x:c>
      <x:c r="G827" t="n">
        <x:v>539</x:v>
      </x:c>
      <x:c r="H827" t="n">
        <x:v>24</x:v>
      </x:c>
      <x:c r="I827" t="n">
        <x:v>0.0466</x:v>
      </x:c>
      <x:c r="J827" t="str">
        <x:v>Medium</x:v>
      </x:c>
      <x:c r="K827" t="n">
        <x:v>58.4</x:v>
      </x:c>
      <x:c r="L827" t="n">
        <x:v>56.5</x:v>
      </x:c>
      <x:c r="M827" t="n">
        <x:v>59</x:v>
      </x:c>
      <x:c r="N827" t="str">
        <x:v>Most Likely</x:v>
      </x:c>
      <x:c r="O827" t="str">
        <x:v>Most Likely</x:v>
      </x:c>
    </x:row>
    <x:row r="828">
      <x:c r="A828" t="str">
        <x:v>PJT_827</x:v>
      </x:c>
      <x:c r="B828" t="n">
        <x:v>9931680</x:v>
      </x:c>
      <x:c r="C828" t="n">
        <x:v>10136469</x:v>
      </x:c>
      <x:c r="D828" t="n">
        <x:v>204789</x:v>
      </x:c>
      <x:c r="E828" t="n">
        <x:v>0.0206</x:v>
      </x:c>
      <x:c r="F828" t="n">
        <x:v>233</x:v>
      </x:c>
      <x:c r="G828" t="n">
        <x:v>244</x:v>
      </x:c>
      <x:c r="H828" t="n">
        <x:v>11</x:v>
      </x:c>
      <x:c r="I828" t="n">
        <x:v>0.0472</x:v>
      </x:c>
      <x:c r="J828" t="str">
        <x:v>Low</x:v>
      </x:c>
      <x:c r="K828" t="n">
        <x:v>35.3</x:v>
      </x:c>
      <x:c r="L828" t="n">
        <x:v>37.7</x:v>
      </x:c>
      <x:c r="M828" t="n">
        <x:v>39.5</x:v>
      </x:c>
      <x:c r="N828" t="str">
        <x:v>Most Likely</x:v>
      </x:c>
      <x:c r="O828" t="str">
        <x:v>Most Likely</x:v>
      </x:c>
    </x:row>
    <x:row r="829">
      <x:c r="A829" t="str">
        <x:v>PJT_828</x:v>
      </x:c>
      <x:c r="B829" t="n">
        <x:v>11362640</x:v>
      </x:c>
      <x:c r="C829" t="n">
        <x:v>11205595</x:v>
      </x:c>
      <x:c r="D829" t="n">
        <x:v>-157045</x:v>
      </x:c>
      <x:c r="E829" t="n">
        <x:v>-0.0138</x:v>
      </x:c>
      <x:c r="F829" t="n">
        <x:v>196</x:v>
      </x:c>
      <x:c r="G829" t="n">
        <x:v>197</x:v>
      </x:c>
      <x:c r="H829" t="n">
        <x:v>1</x:v>
      </x:c>
      <x:c r="I829" t="n">
        <x:v>0.0051</x:v>
      </x:c>
      <x:c r="J829" t="str">
        <x:v>Low</x:v>
      </x:c>
      <x:c r="K829" t="n">
        <x:v>26.2</x:v>
      </x:c>
      <x:c r="L829" t="n">
        <x:v>26.7</x:v>
      </x:c>
      <x:c r="M829" t="n">
        <x:v>27</x:v>
      </x:c>
      <x:c r="N829" t="str">
        <x:v>Optimistic</x:v>
      </x:c>
      <x:c r="O829" t="str">
        <x:v>Most Likely</x:v>
      </x:c>
    </x:row>
    <x:row r="830">
      <x:c r="A830" t="str">
        <x:v>PJT_829</x:v>
      </x:c>
      <x:c r="B830" t="n">
        <x:v>64344840</x:v>
      </x:c>
      <x:c r="C830" t="n">
        <x:v>69121806</x:v>
      </x:c>
      <x:c r="D830" t="n">
        <x:v>4776966</x:v>
      </x:c>
      <x:c r="E830" t="n">
        <x:v>0.0742</x:v>
      </x:c>
      <x:c r="F830" t="n">
        <x:v>1295</x:v>
      </x:c>
      <x:c r="G830" t="n">
        <x:v>1375</x:v>
      </x:c>
      <x:c r="H830" t="n">
        <x:v>80</x:v>
      </x:c>
      <x:c r="I830" t="n">
        <x:v>0.0618</x:v>
      </x:c>
      <x:c r="J830" t="str">
        <x:v>Medium</x:v>
      </x:c>
      <x:c r="K830" t="n">
        <x:v>57.1</x:v>
      </x:c>
      <x:c r="L830" t="n">
        <x:v>58.6</x:v>
      </x:c>
      <x:c r="M830" t="n">
        <x:v>57.3</x:v>
      </x:c>
      <x:c r="N830" t="str">
        <x:v>Most Likely</x:v>
      </x:c>
      <x:c r="O830" t="str">
        <x:v>Most Likely</x:v>
      </x:c>
    </x:row>
    <x:row r="831">
      <x:c r="A831" t="str">
        <x:v>PJT_830</x:v>
      </x:c>
      <x:c r="B831" t="n">
        <x:v>34159800</x:v>
      </x:c>
      <x:c r="C831" t="n">
        <x:v>35181264</x:v>
      </x:c>
      <x:c r="D831" t="n">
        <x:v>1021464</x:v>
      </x:c>
      <x:c r="E831" t="n">
        <x:v>0.0299</x:v>
      </x:c>
      <x:c r="F831" t="n">
        <x:v>772</x:v>
      </x:c>
      <x:c r="G831" t="n">
        <x:v>843</x:v>
      </x:c>
      <x:c r="H831" t="n">
        <x:v>71</x:v>
      </x:c>
      <x:c r="I831" t="n">
        <x:v>0.092</x:v>
      </x:c>
      <x:c r="J831" t="str">
        <x:v>Medium</x:v>
      </x:c>
      <x:c r="K831" t="n">
        <x:v>49.1</x:v>
      </x:c>
      <x:c r="L831" t="n">
        <x:v>46.6</x:v>
      </x:c>
      <x:c r="M831" t="n">
        <x:v>44.9</x:v>
      </x:c>
      <x:c r="N831" t="str">
        <x:v>Most Likely</x:v>
      </x:c>
      <x:c r="O831" t="str">
        <x:v>Most Likely</x:v>
      </x:c>
    </x:row>
    <x:row r="832">
      <x:c r="A832" t="str">
        <x:v>PJT_831</x:v>
      </x:c>
      <x:c r="B832" t="n">
        <x:v>92162340</x:v>
      </x:c>
      <x:c r="C832" t="n">
        <x:v>98074807</x:v>
      </x:c>
      <x:c r="D832" t="n">
        <x:v>5912467</x:v>
      </x:c>
      <x:c r="E832" t="n">
        <x:v>0.0642</x:v>
      </x:c>
      <x:c r="F832" t="n">
        <x:v>1613</x:v>
      </x:c>
      <x:c r="G832" t="n">
        <x:v>1773</x:v>
      </x:c>
      <x:c r="H832" t="n">
        <x:v>160</x:v>
      </x:c>
      <x:c r="I832" t="n">
        <x:v>0.0992</x:v>
      </x:c>
      <x:c r="J832" t="str">
        <x:v>Medium</x:v>
      </x:c>
      <x:c r="K832" t="n">
        <x:v>56.5</x:v>
      </x:c>
      <x:c r="L832" t="n">
        <x:v>65.7</x:v>
      </x:c>
      <x:c r="M832" t="n">
        <x:v>59.5</x:v>
      </x:c>
      <x:c r="N832" t="str">
        <x:v>Most Likely</x:v>
      </x:c>
      <x:c r="O832" t="str">
        <x:v>Most Likely</x:v>
      </x:c>
    </x:row>
    <x:row r="833">
      <x:c r="A833" t="str">
        <x:v>PJT_832</x:v>
      </x:c>
      <x:c r="B833" t="n">
        <x:v>49081620</x:v>
      </x:c>
      <x:c r="C833" t="n">
        <x:v>48936569</x:v>
      </x:c>
      <x:c r="D833" t="n">
        <x:v>-145051</x:v>
      </x:c>
      <x:c r="E833" t="n">
        <x:v>-0.003</x:v>
      </x:c>
      <x:c r="F833" t="n">
        <x:v>884</x:v>
      </x:c>
      <x:c r="G833" t="n">
        <x:v>954</x:v>
      </x:c>
      <x:c r="H833" t="n">
        <x:v>70</x:v>
      </x:c>
      <x:c r="I833" t="n">
        <x:v>0.0792</x:v>
      </x:c>
      <x:c r="J833" t="str">
        <x:v>Low</x:v>
      </x:c>
      <x:c r="K833" t="n">
        <x:v>43.5</x:v>
      </x:c>
      <x:c r="L833" t="n">
        <x:v>44.5</x:v>
      </x:c>
      <x:c r="M833" t="n">
        <x:v>43.8</x:v>
      </x:c>
      <x:c r="N833" t="str">
        <x:v>Optimistic</x:v>
      </x:c>
      <x:c r="O833" t="str">
        <x:v>Most Likely</x:v>
      </x:c>
    </x:row>
    <x:row r="834">
      <x:c r="A834" t="str">
        <x:v>PJT_833</x:v>
      </x:c>
      <x:c r="B834" t="n">
        <x:v>56183760</x:v>
      </x:c>
      <x:c r="C834" t="n">
        <x:v>60171265</x:v>
      </x:c>
      <x:c r="D834" t="n">
        <x:v>3987505</x:v>
      </x:c>
      <x:c r="E834" t="n">
        <x:v>0.071</x:v>
      </x:c>
      <x:c r="F834" t="n">
        <x:v>1067</x:v>
      </x:c>
      <x:c r="G834" t="n">
        <x:v>1149</x:v>
      </x:c>
      <x:c r="H834" t="n">
        <x:v>82</x:v>
      </x:c>
      <x:c r="I834" t="n">
        <x:v>0.0769</x:v>
      </x:c>
      <x:c r="J834" t="str">
        <x:v>Medium</x:v>
      </x:c>
      <x:c r="K834" t="n">
        <x:v>59.8</x:v>
      </x:c>
      <x:c r="L834" t="n">
        <x:v>57.9</x:v>
      </x:c>
      <x:c r="M834" t="n">
        <x:v>54.5</x:v>
      </x:c>
      <x:c r="N834" t="str">
        <x:v>Most Likely</x:v>
      </x:c>
      <x:c r="O834" t="str">
        <x:v>Most Likely</x:v>
      </x:c>
    </x:row>
    <x:row r="835">
      <x:c r="A835" t="str">
        <x:v>PJT_834</x:v>
      </x:c>
      <x:c r="B835" t="n">
        <x:v>24388920</x:v>
      </x:c>
      <x:c r="C835" t="n">
        <x:v>26539428</x:v>
      </x:c>
      <x:c r="D835" t="n">
        <x:v>2150508</x:v>
      </x:c>
      <x:c r="E835" t="n">
        <x:v>0.0882</x:v>
      </x:c>
      <x:c r="F835" t="n">
        <x:v>554</x:v>
      </x:c>
      <x:c r="G835" t="n">
        <x:v>620</x:v>
      </x:c>
      <x:c r="H835" t="n">
        <x:v>66</x:v>
      </x:c>
      <x:c r="I835" t="n">
        <x:v>0.1191</x:v>
      </x:c>
      <x:c r="J835" t="str">
        <x:v>Medium</x:v>
      </x:c>
      <x:c r="K835" t="n">
        <x:v>45</x:v>
      </x:c>
      <x:c r="L835" t="n">
        <x:v>50.6</x:v>
      </x:c>
      <x:c r="M835" t="n">
        <x:v>46.8</x:v>
      </x:c>
      <x:c r="N835" t="str">
        <x:v>Most Likely</x:v>
      </x:c>
      <x:c r="O835" t="str">
        <x:v>Pessimistic</x:v>
      </x:c>
    </x:row>
    <x:row r="836">
      <x:c r="A836" t="str">
        <x:v>PJT_835</x:v>
      </x:c>
      <x:c r="B836" t="n">
        <x:v>78329020</x:v>
      </x:c>
      <x:c r="C836" t="n">
        <x:v>83533703</x:v>
      </x:c>
      <x:c r="D836" t="n">
        <x:v>5204683</x:v>
      </x:c>
      <x:c r="E836" t="n">
        <x:v>0.0664</x:v>
      </x:c>
      <x:c r="F836" t="n">
        <x:v>1624</x:v>
      </x:c>
      <x:c r="G836" t="n">
        <x:v>1667</x:v>
      </x:c>
      <x:c r="H836" t="n">
        <x:v>43</x:v>
      </x:c>
      <x:c r="I836" t="n">
        <x:v>0.0265</x:v>
      </x:c>
      <x:c r="J836" t="str">
        <x:v>Medium</x:v>
      </x:c>
      <x:c r="K836" t="n">
        <x:v>62.7</x:v>
      </x:c>
      <x:c r="L836" t="n">
        <x:v>63.6</x:v>
      </x:c>
      <x:c r="M836" t="n">
        <x:v>65.4</x:v>
      </x:c>
      <x:c r="N836" t="str">
        <x:v>Most Likely</x:v>
      </x:c>
      <x:c r="O836" t="str">
        <x:v>Most Likely</x:v>
      </x:c>
    </x:row>
    <x:row r="837">
      <x:c r="A837" t="str">
        <x:v>PJT_836</x:v>
      </x:c>
      <x:c r="B837" t="n">
        <x:v>58648450</x:v>
      </x:c>
      <x:c r="C837" t="n">
        <x:v>63145675</x:v>
      </x:c>
      <x:c r="D837" t="n">
        <x:v>4497225</x:v>
      </x:c>
      <x:c r="E837" t="n">
        <x:v>0.0767</x:v>
      </x:c>
      <x:c r="F837" t="n">
        <x:v>1074</x:v>
      </x:c>
      <x:c r="G837" t="n">
        <x:v>1119</x:v>
      </x:c>
      <x:c r="H837" t="n">
        <x:v>45</x:v>
      </x:c>
      <x:c r="I837" t="n">
        <x:v>0.0419</x:v>
      </x:c>
      <x:c r="J837" t="str">
        <x:v>Medium</x:v>
      </x:c>
      <x:c r="K837" t="n">
        <x:v>58.9</x:v>
      </x:c>
      <x:c r="L837" t="n">
        <x:v>56.1</x:v>
      </x:c>
      <x:c r="M837" t="n">
        <x:v>57.7</x:v>
      </x:c>
      <x:c r="N837" t="str">
        <x:v>Most Likely</x:v>
      </x:c>
      <x:c r="O837" t="str">
        <x:v>Most Likely</x:v>
      </x:c>
    </x:row>
    <x:row r="838">
      <x:c r="A838" t="str">
        <x:v>PJT_837</x:v>
      </x:c>
      <x:c r="B838" t="n">
        <x:v>17559750</x:v>
      </x:c>
      <x:c r="C838" t="n">
        <x:v>16773522</x:v>
      </x:c>
      <x:c r="D838" t="n">
        <x:v>-786228</x:v>
      </x:c>
      <x:c r="E838" t="n">
        <x:v>-0.0448</x:v>
      </x:c>
      <x:c r="F838" t="n">
        <x:v>254</x:v>
      </x:c>
      <x:c r="G838" t="n">
        <x:v>263</x:v>
      </x:c>
      <x:c r="H838" t="n">
        <x:v>9</x:v>
      </x:c>
      <x:c r="I838" t="n">
        <x:v>0.0354</x:v>
      </x:c>
      <x:c r="J838" t="str">
        <x:v>Low</x:v>
      </x:c>
      <x:c r="K838" t="n">
        <x:v>32.3</x:v>
      </x:c>
      <x:c r="L838" t="n">
        <x:v>32.2</x:v>
      </x:c>
      <x:c r="M838" t="n">
        <x:v>27.7</x:v>
      </x:c>
      <x:c r="N838" t="str">
        <x:v>Optimistic</x:v>
      </x:c>
      <x:c r="O838" t="str">
        <x:v>Most Likely</x:v>
      </x:c>
    </x:row>
    <x:row r="839">
      <x:c r="A839" t="str">
        <x:v>PJT_838</x:v>
      </x:c>
      <x:c r="B839" t="n">
        <x:v>51929100</x:v>
      </x:c>
      <x:c r="C839" t="n">
        <x:v>54997671</x:v>
      </x:c>
      <x:c r="D839" t="n">
        <x:v>3068571</x:v>
      </x:c>
      <x:c r="E839" t="n">
        <x:v>0.0591</x:v>
      </x:c>
      <x:c r="F839" t="n">
        <x:v>955</x:v>
      </x:c>
      <x:c r="G839" t="n">
        <x:v>1014</x:v>
      </x:c>
      <x:c r="H839" t="n">
        <x:v>59</x:v>
      </x:c>
      <x:c r="I839" t="n">
        <x:v>0.0618</x:v>
      </x:c>
      <x:c r="J839" t="str">
        <x:v>Low</x:v>
      </x:c>
      <x:c r="K839" t="n">
        <x:v>44.1</x:v>
      </x:c>
      <x:c r="L839" t="n">
        <x:v>50.2</x:v>
      </x:c>
      <x:c r="M839" t="n">
        <x:v>45.2</x:v>
      </x:c>
      <x:c r="N839" t="str">
        <x:v>Most Likely</x:v>
      </x:c>
      <x:c r="O839" t="str">
        <x:v>Most Likely</x:v>
      </x:c>
    </x:row>
    <x:row r="840">
      <x:c r="A840" t="str">
        <x:v>PJT_839</x:v>
      </x:c>
      <x:c r="B840" t="n">
        <x:v>20025840</x:v>
      </x:c>
      <x:c r="C840" t="n">
        <x:v>20126442</x:v>
      </x:c>
      <x:c r="D840" t="n">
        <x:v>100602</x:v>
      </x:c>
      <x:c r="E840" t="n">
        <x:v>0.005</x:v>
      </x:c>
      <x:c r="F840" t="n">
        <x:v>393</x:v>
      </x:c>
      <x:c r="G840" t="n">
        <x:v>394</x:v>
      </x:c>
      <x:c r="H840" t="n">
        <x:v>1</x:v>
      </x:c>
      <x:c r="I840" t="n">
        <x:v>0.0025</x:v>
      </x:c>
      <x:c r="J840" t="str">
        <x:v>Medium</x:v>
      </x:c>
      <x:c r="K840" t="n">
        <x:v>46</x:v>
      </x:c>
      <x:c r="L840" t="n">
        <x:v>49.7</x:v>
      </x:c>
      <x:c r="M840" t="n">
        <x:v>45.7</x:v>
      </x:c>
      <x:c r="N840" t="str">
        <x:v>Most Likely</x:v>
      </x:c>
      <x:c r="O840" t="str">
        <x:v>Most Likely</x:v>
      </x:c>
    </x:row>
    <x:row r="841">
      <x:c r="A841" t="str">
        <x:v>PJT_840</x:v>
      </x:c>
      <x:c r="B841" t="n">
        <x:v>51131250</x:v>
      </x:c>
      <x:c r="C841" t="n">
        <x:v>54440802</x:v>
      </x:c>
      <x:c r="D841" t="n">
        <x:v>3309552</x:v>
      </x:c>
      <x:c r="E841" t="n">
        <x:v>0.0647</x:v>
      </x:c>
      <x:c r="F841" t="n">
        <x:v>990</x:v>
      </x:c>
      <x:c r="G841" t="n">
        <x:v>1073</x:v>
      </x:c>
      <x:c r="H841" t="n">
        <x:v>83</x:v>
      </x:c>
      <x:c r="I841" t="n">
        <x:v>0.0838</x:v>
      </x:c>
      <x:c r="J841" t="str">
        <x:v>Medium</x:v>
      </x:c>
      <x:c r="K841" t="n">
        <x:v>62.6</x:v>
      </x:c>
      <x:c r="L841" t="n">
        <x:v>57.4</x:v>
      </x:c>
      <x:c r="M841" t="n">
        <x:v>62.2</x:v>
      </x:c>
      <x:c r="N841" t="str">
        <x:v>Most Likely</x:v>
      </x:c>
      <x:c r="O841" t="str">
        <x:v>Most Likely</x:v>
      </x:c>
    </x:row>
    <x:row r="842">
      <x:c r="A842" t="str">
        <x:v>PJT_841</x:v>
      </x:c>
      <x:c r="B842" t="n">
        <x:v>81376640</x:v>
      </x:c>
      <x:c r="C842" t="n">
        <x:v>94280096</x:v>
      </x:c>
      <x:c r="D842" t="n">
        <x:v>12903456</x:v>
      </x:c>
      <x:c r="E842" t="n">
        <x:v>0.1586</x:v>
      </x:c>
      <x:c r="F842" t="n">
        <x:v>1596</x:v>
      </x:c>
      <x:c r="G842" t="n">
        <x:v>1867</x:v>
      </x:c>
      <x:c r="H842" t="n">
        <x:v>271</x:v>
      </x:c>
      <x:c r="I842" t="n">
        <x:v>0.1698</x:v>
      </x:c>
      <x:c r="J842" t="str">
        <x:v>High</x:v>
      </x:c>
      <x:c r="K842" t="n">
        <x:v>73.4</x:v>
      </x:c>
      <x:c r="L842" t="n">
        <x:v>67.6</x:v>
      </x:c>
      <x:c r="M842" t="n">
        <x:v>73.6</x:v>
      </x:c>
      <x:c r="N842" t="str">
        <x:v>Pessimistic</x:v>
      </x:c>
      <x:c r="O842" t="str">
        <x:v>Pessimistic</x:v>
      </x:c>
    </x:row>
    <x:row r="843">
      <x:c r="A843" t="str">
        <x:v>PJT_842</x:v>
      </x:c>
      <x:c r="B843" t="n">
        <x:v>51773310</x:v>
      </x:c>
      <x:c r="C843" t="n">
        <x:v>56640095</x:v>
      </x:c>
      <x:c r="D843" t="n">
        <x:v>4866785</x:v>
      </x:c>
      <x:c r="E843" t="n">
        <x:v>0.094</x:v>
      </x:c>
      <x:c r="F843" t="n">
        <x:v>922</x:v>
      </x:c>
      <x:c r="G843" t="n">
        <x:v>957</x:v>
      </x:c>
      <x:c r="H843" t="n">
        <x:v>35</x:v>
      </x:c>
      <x:c r="I843" t="n">
        <x:v>0.038</x:v>
      </x:c>
      <x:c r="J843" t="str">
        <x:v>Medium</x:v>
      </x:c>
      <x:c r="K843" t="n">
        <x:v>56.6</x:v>
      </x:c>
      <x:c r="L843" t="n">
        <x:v>58.1</x:v>
      </x:c>
      <x:c r="M843" t="n">
        <x:v>57.2</x:v>
      </x:c>
      <x:c r="N843" t="str">
        <x:v>Most Likely</x:v>
      </x:c>
      <x:c r="O843" t="str">
        <x:v>Most Likely</x:v>
      </x:c>
    </x:row>
    <x:row r="844">
      <x:c r="A844" t="str">
        <x:v>PJT_843</x:v>
      </x:c>
      <x:c r="B844" t="n">
        <x:v>18631260</x:v>
      </x:c>
      <x:c r="C844" t="n">
        <x:v>20759627</x:v>
      </x:c>
      <x:c r="D844" t="n">
        <x:v>2128367</x:v>
      </x:c>
      <x:c r="E844" t="n">
        <x:v>0.1142</x:v>
      </x:c>
      <x:c r="F844" t="n">
        <x:v>513</x:v>
      </x:c>
      <x:c r="G844" t="n">
        <x:v>516</x:v>
      </x:c>
      <x:c r="H844" t="n">
        <x:v>3</x:v>
      </x:c>
      <x:c r="I844" t="n">
        <x:v>0.0058</x:v>
      </x:c>
      <x:c r="J844" t="str">
        <x:v>Medium</x:v>
      </x:c>
      <x:c r="K844" t="n">
        <x:v>53.8</x:v>
      </x:c>
      <x:c r="L844" t="n">
        <x:v>52.5</x:v>
      </x:c>
      <x:c r="M844" t="n">
        <x:v>53.8</x:v>
      </x:c>
      <x:c r="N844" t="str">
        <x:v>Pessimistic</x:v>
      </x:c>
      <x:c r="O844" t="str">
        <x:v>Most Likely</x:v>
      </x:c>
    </x:row>
    <x:row r="845">
      <x:c r="A845" t="str">
        <x:v>PJT_844</x:v>
      </x:c>
      <x:c r="B845" t="n">
        <x:v>44991450</x:v>
      </x:c>
      <x:c r="C845" t="n">
        <x:v>47495405</x:v>
      </x:c>
      <x:c r="D845" t="n">
        <x:v>2503955</x:v>
      </x:c>
      <x:c r="E845" t="n">
        <x:v>0.0557</x:v>
      </x:c>
      <x:c r="F845" t="n">
        <x:v>829</x:v>
      </x:c>
      <x:c r="G845" t="n">
        <x:v>865</x:v>
      </x:c>
      <x:c r="H845" t="n">
        <x:v>36</x:v>
      </x:c>
      <x:c r="I845" t="n">
        <x:v>0.0434</x:v>
      </x:c>
      <x:c r="J845" t="str">
        <x:v>Medium</x:v>
      </x:c>
      <x:c r="K845" t="n">
        <x:v>54.7</x:v>
      </x:c>
      <x:c r="L845" t="n">
        <x:v>53.6</x:v>
      </x:c>
      <x:c r="M845" t="n">
        <x:v>50.4</x:v>
      </x:c>
      <x:c r="N845" t="str">
        <x:v>Most Likely</x:v>
      </x:c>
      <x:c r="O845" t="str">
        <x:v>Most Likely</x:v>
      </x:c>
    </x:row>
    <x:row r="846">
      <x:c r="A846" t="str">
        <x:v>PJT_845</x:v>
      </x:c>
      <x:c r="B846" t="n">
        <x:v>33314580</x:v>
      </x:c>
      <x:c r="C846" t="n">
        <x:v>35217404</x:v>
      </x:c>
      <x:c r="D846" t="n">
        <x:v>1902824</x:v>
      </x:c>
      <x:c r="E846" t="n">
        <x:v>0.0571</x:v>
      </x:c>
      <x:c r="F846" t="n">
        <x:v>562</x:v>
      </x:c>
      <x:c r="G846" t="n">
        <x:v>617</x:v>
      </x:c>
      <x:c r="H846" t="n">
        <x:v>55</x:v>
      </x:c>
      <x:c r="I846" t="n">
        <x:v>0.0979</x:v>
      </x:c>
      <x:c r="J846" t="str">
        <x:v>Medium</x:v>
      </x:c>
      <x:c r="K846" t="n">
        <x:v>52.6</x:v>
      </x:c>
      <x:c r="L846" t="n">
        <x:v>51</x:v>
      </x:c>
      <x:c r="M846" t="n">
        <x:v>45.5</x:v>
      </x:c>
      <x:c r="N846" t="str">
        <x:v>Most Likely</x:v>
      </x:c>
      <x:c r="O846" t="str">
        <x:v>Most Likely</x:v>
      </x:c>
    </x:row>
    <x:row r="847">
      <x:c r="A847" t="str">
        <x:v>PJT_846</x:v>
      </x:c>
      <x:c r="B847" t="n">
        <x:v>36790570</x:v>
      </x:c>
      <x:c r="C847" t="n">
        <x:v>39497063</x:v>
      </x:c>
      <x:c r="D847" t="n">
        <x:v>2706493</x:v>
      </x:c>
      <x:c r="E847" t="n">
        <x:v>0.0736</x:v>
      </x:c>
      <x:c r="F847" t="n">
        <x:v>724</x:v>
      </x:c>
      <x:c r="G847" t="n">
        <x:v>796</x:v>
      </x:c>
      <x:c r="H847" t="n">
        <x:v>72</x:v>
      </x:c>
      <x:c r="I847" t="n">
        <x:v>0.0994</x:v>
      </x:c>
      <x:c r="J847" t="str">
        <x:v>Medium</x:v>
      </x:c>
      <x:c r="K847" t="n">
        <x:v>51.1</x:v>
      </x:c>
      <x:c r="L847" t="n">
        <x:v>47.1</x:v>
      </x:c>
      <x:c r="M847" t="n">
        <x:v>50.6</x:v>
      </x:c>
      <x:c r="N847" t="str">
        <x:v>Most Likely</x:v>
      </x:c>
      <x:c r="O847" t="str">
        <x:v>Most Likely</x:v>
      </x:c>
    </x:row>
    <x:row r="848">
      <x:c r="A848" t="str">
        <x:v>PJT_847</x:v>
      </x:c>
      <x:c r="B848" t="n">
        <x:v>30808050</x:v>
      </x:c>
      <x:c r="C848" t="n">
        <x:v>32474462</x:v>
      </x:c>
      <x:c r="D848" t="n">
        <x:v>1666412</x:v>
      </x:c>
      <x:c r="E848" t="n">
        <x:v>0.0541</x:v>
      </x:c>
      <x:c r="F848" t="n">
        <x:v>635</x:v>
      </x:c>
      <x:c r="G848" t="n">
        <x:v>645</x:v>
      </x:c>
      <x:c r="H848" t="n">
        <x:v>10</x:v>
      </x:c>
      <x:c r="I848" t="n">
        <x:v>0.0157</x:v>
      </x:c>
      <x:c r="J848" t="str">
        <x:v>Medium</x:v>
      </x:c>
      <x:c r="K848" t="n">
        <x:v>52.7</x:v>
      </x:c>
      <x:c r="L848" t="n">
        <x:v>55.3</x:v>
      </x:c>
      <x:c r="M848" t="n">
        <x:v>49.6</x:v>
      </x:c>
      <x:c r="N848" t="str">
        <x:v>Most Likely</x:v>
      </x:c>
      <x:c r="O848" t="str">
        <x:v>Most Likely</x:v>
      </x:c>
    </x:row>
    <x:row r="849">
      <x:c r="A849" t="str">
        <x:v>PJT_848</x:v>
      </x:c>
      <x:c r="B849" t="n">
        <x:v>27659720</x:v>
      </x:c>
      <x:c r="C849" t="n">
        <x:v>29232063</x:v>
      </x:c>
      <x:c r="D849" t="n">
        <x:v>1572343</x:v>
      </x:c>
      <x:c r="E849" t="n">
        <x:v>0.0568</x:v>
      </x:c>
      <x:c r="F849" t="n">
        <x:v>619</x:v>
      </x:c>
      <x:c r="G849" t="n">
        <x:v>618</x:v>
      </x:c>
      <x:c r="H849" t="n">
        <x:v>-1</x:v>
      </x:c>
      <x:c r="I849" t="n">
        <x:v>-0.0016</x:v>
      </x:c>
      <x:c r="J849" t="str">
        <x:v>Medium</x:v>
      </x:c>
      <x:c r="K849" t="n">
        <x:v>45.5</x:v>
      </x:c>
      <x:c r="L849" t="n">
        <x:v>46.6</x:v>
      </x:c>
      <x:c r="M849" t="n">
        <x:v>47.8</x:v>
      </x:c>
      <x:c r="N849" t="str">
        <x:v>Most Likely</x:v>
      </x:c>
      <x:c r="O849" t="str">
        <x:v>Optimistic</x:v>
      </x:c>
    </x:row>
    <x:row r="850">
      <x:c r="A850" t="str">
        <x:v>PJT_849</x:v>
      </x:c>
      <x:c r="B850" t="n">
        <x:v>23809410</x:v>
      </x:c>
      <x:c r="C850" t="n">
        <x:v>24740802</x:v>
      </x:c>
      <x:c r="D850" t="n">
        <x:v>931392</x:v>
      </x:c>
      <x:c r="E850" t="n">
        <x:v>0.0391</x:v>
      </x:c>
      <x:c r="F850" t="n">
        <x:v>660</x:v>
      </x:c>
      <x:c r="G850" t="n">
        <x:v>670</x:v>
      </x:c>
      <x:c r="H850" t="n">
        <x:v>10</x:v>
      </x:c>
      <x:c r="I850" t="n">
        <x:v>0.0152</x:v>
      </x:c>
      <x:c r="J850" t="str">
        <x:v>Medium</x:v>
      </x:c>
      <x:c r="K850" t="n">
        <x:v>48.2</x:v>
      </x:c>
      <x:c r="L850" t="n">
        <x:v>49.3</x:v>
      </x:c>
      <x:c r="M850" t="n">
        <x:v>49.6</x:v>
      </x:c>
      <x:c r="N850" t="str">
        <x:v>Most Likely</x:v>
      </x:c>
      <x:c r="O850" t="str">
        <x:v>Most Likely</x:v>
      </x:c>
    </x:row>
    <x:row r="851">
      <x:c r="A851" t="str">
        <x:v>PJT_850</x:v>
      </x:c>
      <x:c r="B851" t="n">
        <x:v>75065600</x:v>
      </x:c>
      <x:c r="C851" t="n">
        <x:v>77820817</x:v>
      </x:c>
      <x:c r="D851" t="n">
        <x:v>2755217</x:v>
      </x:c>
      <x:c r="E851" t="n">
        <x:v>0.0367</x:v>
      </x:c>
      <x:c r="F851" t="n">
        <x:v>1293</x:v>
      </x:c>
      <x:c r="G851" t="n">
        <x:v>1318</x:v>
      </x:c>
      <x:c r="H851" t="n">
        <x:v>25</x:v>
      </x:c>
      <x:c r="I851" t="n">
        <x:v>0.0193</x:v>
      </x:c>
      <x:c r="J851" t="str">
        <x:v>Medium</x:v>
      </x:c>
      <x:c r="K851" t="n">
        <x:v>57.5</x:v>
      </x:c>
      <x:c r="L851" t="n">
        <x:v>55</x:v>
      </x:c>
      <x:c r="M851" t="n">
        <x:v>60.3</x:v>
      </x:c>
      <x:c r="N851" t="str">
        <x:v>Most Likely</x:v>
      </x:c>
      <x:c r="O851" t="str">
        <x:v>Most Likely</x:v>
      </x:c>
    </x:row>
    <x:row r="852">
      <x:c r="A852" t="str">
        <x:v>PJT_851</x:v>
      </x:c>
      <x:c r="B852" t="n">
        <x:v>42992700</x:v>
      </x:c>
      <x:c r="C852" t="n">
        <x:v>43348098</x:v>
      </x:c>
      <x:c r="D852" t="n">
        <x:v>355398</x:v>
      </x:c>
      <x:c r="E852" t="n">
        <x:v>0.0083</x:v>
      </x:c>
      <x:c r="F852" t="n">
        <x:v>821</x:v>
      </x:c>
      <x:c r="G852" t="n">
        <x:v>796</x:v>
      </x:c>
      <x:c r="H852" t="n">
        <x:v>-25</x:v>
      </x:c>
      <x:c r="I852" t="n">
        <x:v>-0.0305</x:v>
      </x:c>
      <x:c r="J852" t="str">
        <x:v>Low</x:v>
      </x:c>
      <x:c r="K852" t="n">
        <x:v>44.2</x:v>
      </x:c>
      <x:c r="L852" t="n">
        <x:v>39.5</x:v>
      </x:c>
      <x:c r="M852" t="n">
        <x:v>38.3</x:v>
      </x:c>
      <x:c r="N852" t="str">
        <x:v>Most Likely</x:v>
      </x:c>
      <x:c r="O852" t="str">
        <x:v>Optimistic</x:v>
      </x:c>
    </x:row>
    <x:row r="853">
      <x:c r="A853" t="str">
        <x:v>PJT_852</x:v>
      </x:c>
      <x:c r="B853" t="n">
        <x:v>49643880</x:v>
      </x:c>
      <x:c r="C853" t="n">
        <x:v>49803972</x:v>
      </x:c>
      <x:c r="D853" t="n">
        <x:v>160092</x:v>
      </x:c>
      <x:c r="E853" t="n">
        <x:v>0.0032</x:v>
      </x:c>
      <x:c r="F853" t="n">
        <x:v>863</x:v>
      </x:c>
      <x:c r="G853" t="n">
        <x:v>920</x:v>
      </x:c>
      <x:c r="H853" t="n">
        <x:v>57</x:v>
      </x:c>
      <x:c r="I853" t="n">
        <x:v>0.066</x:v>
      </x:c>
      <x:c r="J853" t="str">
        <x:v>Medium</x:v>
      </x:c>
      <x:c r="K853" t="n">
        <x:v>55.5</x:v>
      </x:c>
      <x:c r="L853" t="n">
        <x:v>61.2</x:v>
      </x:c>
      <x:c r="M853" t="n">
        <x:v>60.4</x:v>
      </x:c>
      <x:c r="N853" t="str">
        <x:v>Most Likely</x:v>
      </x:c>
      <x:c r="O853" t="str">
        <x:v>Most Likely</x:v>
      </x:c>
    </x:row>
    <x:row r="854">
      <x:c r="A854" t="str">
        <x:v>PJT_853</x:v>
      </x:c>
      <x:c r="B854" t="n">
        <x:v>24121020</x:v>
      </x:c>
      <x:c r="C854" t="n">
        <x:v>25046641</x:v>
      </x:c>
      <x:c r="D854" t="n">
        <x:v>925621</x:v>
      </x:c>
      <x:c r="E854" t="n">
        <x:v>0.0384</x:v>
      </x:c>
      <x:c r="F854" t="n">
        <x:v>497</x:v>
      </x:c>
      <x:c r="G854" t="n">
        <x:v>487</x:v>
      </x:c>
      <x:c r="H854" t="n">
        <x:v>-10</x:v>
      </x:c>
      <x:c r="I854" t="n">
        <x:v>-0.0201</x:v>
      </x:c>
      <x:c r="J854" t="str">
        <x:v>Low</x:v>
      </x:c>
      <x:c r="K854" t="n">
        <x:v>43.7</x:v>
      </x:c>
      <x:c r="L854" t="n">
        <x:v>46.1</x:v>
      </x:c>
      <x:c r="M854" t="n">
        <x:v>40.7</x:v>
      </x:c>
      <x:c r="N854" t="str">
        <x:v>Most Likely</x:v>
      </x:c>
      <x:c r="O854" t="str">
        <x:v>Optimistic</x:v>
      </x:c>
    </x:row>
    <x:row r="855">
      <x:c r="A855" t="str">
        <x:v>PJT_854</x:v>
      </x:c>
      <x:c r="B855" t="n">
        <x:v>16438320</x:v>
      </x:c>
      <x:c r="C855" t="n">
        <x:v>15543697</x:v>
      </x:c>
      <x:c r="D855" t="n">
        <x:v>-894623</x:v>
      </x:c>
      <x:c r="E855" t="n">
        <x:v>-0.0544</x:v>
      </x:c>
      <x:c r="F855" t="n">
        <x:v>248</x:v>
      </x:c>
      <x:c r="G855" t="n">
        <x:v>241</x:v>
      </x:c>
      <x:c r="H855" t="n">
        <x:v>-7</x:v>
      </x:c>
      <x:c r="I855" t="n">
        <x:v>-0.0282</x:v>
      </x:c>
      <x:c r="J855" t="str">
        <x:v>Low</x:v>
      </x:c>
      <x:c r="K855" t="n">
        <x:v>25.6</x:v>
      </x:c>
      <x:c r="L855" t="n">
        <x:v>27.4</x:v>
      </x:c>
      <x:c r="M855" t="n">
        <x:v>23.5</x:v>
      </x:c>
      <x:c r="N855" t="str">
        <x:v>Optimistic</x:v>
      </x:c>
      <x:c r="O855" t="str">
        <x:v>Optimistic</x:v>
      </x:c>
    </x:row>
    <x:row r="856">
      <x:c r="A856" t="str">
        <x:v>PJT_855</x:v>
      </x:c>
      <x:c r="B856" t="n">
        <x:v>45893200</x:v>
      </x:c>
      <x:c r="C856" t="n">
        <x:v>48888618</x:v>
      </x:c>
      <x:c r="D856" t="n">
        <x:v>2995418</x:v>
      </x:c>
      <x:c r="E856" t="n">
        <x:v>0.0653</x:v>
      </x:c>
      <x:c r="F856" t="n">
        <x:v>889</x:v>
      </x:c>
      <x:c r="G856" t="n">
        <x:v>918</x:v>
      </x:c>
      <x:c r="H856" t="n">
        <x:v>29</x:v>
      </x:c>
      <x:c r="I856" t="n">
        <x:v>0.0326</x:v>
      </x:c>
      <x:c r="J856" t="str">
        <x:v>Medium</x:v>
      </x:c>
      <x:c r="K856" t="n">
        <x:v>45.6</x:v>
      </x:c>
      <x:c r="L856" t="n">
        <x:v>41.6</x:v>
      </x:c>
      <x:c r="M856" t="n">
        <x:v>48.3</x:v>
      </x:c>
      <x:c r="N856" t="str">
        <x:v>Most Likely</x:v>
      </x:c>
      <x:c r="O856" t="str">
        <x:v>Most Likely</x:v>
      </x:c>
    </x:row>
    <x:row r="857">
      <x:c r="A857" t="str">
        <x:v>PJT_856</x:v>
      </x:c>
      <x:c r="B857" t="n">
        <x:v>74062860</x:v>
      </x:c>
      <x:c r="C857" t="n">
        <x:v>85582281</x:v>
      </x:c>
      <x:c r="D857" t="n">
        <x:v>11519421</x:v>
      </x:c>
      <x:c r="E857" t="n">
        <x:v>0.1555</x:v>
      </x:c>
      <x:c r="F857" t="n">
        <x:v>1373</x:v>
      </x:c>
      <x:c r="G857" t="n">
        <x:v>1531</x:v>
      </x:c>
      <x:c r="H857" t="n">
        <x:v>158</x:v>
      </x:c>
      <x:c r="I857" t="n">
        <x:v>0.1151</x:v>
      </x:c>
      <x:c r="J857" t="str">
        <x:v>High</x:v>
      </x:c>
      <x:c r="K857" t="n">
        <x:v>70.7</x:v>
      </x:c>
      <x:c r="L857" t="n">
        <x:v>75.3</x:v>
      </x:c>
      <x:c r="M857" t="n">
        <x:v>70.4</x:v>
      </x:c>
      <x:c r="N857" t="str">
        <x:v>Pessimistic</x:v>
      </x:c>
      <x:c r="O857" t="str">
        <x:v>Pessimistic</x:v>
      </x:c>
    </x:row>
    <x:row r="858">
      <x:c r="A858" t="str">
        <x:v>PJT_857</x:v>
      </x:c>
      <x:c r="B858" t="n">
        <x:v>15738220</x:v>
      </x:c>
      <x:c r="C858" t="n">
        <x:v>15382896</x:v>
      </x:c>
      <x:c r="D858" t="n">
        <x:v>-355324</x:v>
      </x:c>
      <x:c r="E858" t="n">
        <x:v>-0.0226</x:v>
      </x:c>
      <x:c r="F858" t="n">
        <x:v>352</x:v>
      </x:c>
      <x:c r="G858" t="n">
        <x:v>344</x:v>
      </x:c>
      <x:c r="H858" t="n">
        <x:v>-8</x:v>
      </x:c>
      <x:c r="I858" t="n">
        <x:v>-0.0227</x:v>
      </x:c>
      <x:c r="J858" t="str">
        <x:v>Low</x:v>
      </x:c>
      <x:c r="K858" t="n">
        <x:v>26.7</x:v>
      </x:c>
      <x:c r="L858" t="n">
        <x:v>26.2</x:v>
      </x:c>
      <x:c r="M858" t="n">
        <x:v>22</x:v>
      </x:c>
      <x:c r="N858" t="str">
        <x:v>Optimistic</x:v>
      </x:c>
      <x:c r="O858" t="str">
        <x:v>Optimistic</x:v>
      </x:c>
    </x:row>
    <x:row r="859">
      <x:c r="A859" t="str">
        <x:v>PJT_858</x:v>
      </x:c>
      <x:c r="B859" t="n">
        <x:v>54340000</x:v>
      </x:c>
      <x:c r="C859" t="n">
        <x:v>60736157</x:v>
      </x:c>
      <x:c r="D859" t="n">
        <x:v>6396157</x:v>
      </x:c>
      <x:c r="E859" t="n">
        <x:v>0.1177</x:v>
      </x:c>
      <x:c r="F859" t="n">
        <x:v>1020</x:v>
      </x:c>
      <x:c r="G859" t="n">
        <x:v>1117</x:v>
      </x:c>
      <x:c r="H859" t="n">
        <x:v>97</x:v>
      </x:c>
      <x:c r="I859" t="n">
        <x:v>0.0951</x:v>
      </x:c>
      <x:c r="J859" t="str">
        <x:v>Medium</x:v>
      </x:c>
      <x:c r="K859" t="n">
        <x:v>55.6</x:v>
      </x:c>
      <x:c r="L859" t="n">
        <x:v>62.9</x:v>
      </x:c>
      <x:c r="M859" t="n">
        <x:v>57.7</x:v>
      </x:c>
      <x:c r="N859" t="str">
        <x:v>Pessimistic</x:v>
      </x:c>
      <x:c r="O859" t="str">
        <x:v>Most Likely</x:v>
      </x:c>
    </x:row>
    <x:row r="860">
      <x:c r="A860" t="str">
        <x:v>PJT_859</x:v>
      </x:c>
      <x:c r="B860" t="n">
        <x:v>17514000</x:v>
      </x:c>
      <x:c r="C860" t="n">
        <x:v>17537585</x:v>
      </x:c>
      <x:c r="D860" t="n">
        <x:v>23585</x:v>
      </x:c>
      <x:c r="E860" t="n">
        <x:v>0.0013</x:v>
      </x:c>
      <x:c r="F860" t="n">
        <x:v>336</x:v>
      </x:c>
      <x:c r="G860" t="n">
        <x:v>345</x:v>
      </x:c>
      <x:c r="H860" t="n">
        <x:v>9</x:v>
      </x:c>
      <x:c r="I860" t="n">
        <x:v>0.0268</x:v>
      </x:c>
      <x:c r="J860" t="str">
        <x:v>Low</x:v>
      </x:c>
      <x:c r="K860" t="n">
        <x:v>39.9</x:v>
      </x:c>
      <x:c r="L860" t="n">
        <x:v>42.2</x:v>
      </x:c>
      <x:c r="M860" t="n">
        <x:v>38.4</x:v>
      </x:c>
      <x:c r="N860" t="str">
        <x:v>Most Likely</x:v>
      </x:c>
      <x:c r="O860" t="str">
        <x:v>Most Likely</x:v>
      </x:c>
    </x:row>
    <x:row r="861">
      <x:c r="A861" t="str">
        <x:v>PJT_860</x:v>
      </x:c>
      <x:c r="B861" t="n">
        <x:v>42375960</x:v>
      </x:c>
      <x:c r="C861" t="n">
        <x:v>42784628</x:v>
      </x:c>
      <x:c r="D861" t="n">
        <x:v>408668</x:v>
      </x:c>
      <x:c r="E861" t="n">
        <x:v>0.0096</x:v>
      </x:c>
      <x:c r="F861" t="n">
        <x:v>757</x:v>
      </x:c>
      <x:c r="G861" t="n">
        <x:v>745</x:v>
      </x:c>
      <x:c r="H861" t="n">
        <x:v>-12</x:v>
      </x:c>
      <x:c r="I861" t="n">
        <x:v>-0.0159</x:v>
      </x:c>
      <x:c r="J861" t="str">
        <x:v>Medium</x:v>
      </x:c>
      <x:c r="K861" t="n">
        <x:v>50.7</x:v>
      </x:c>
      <x:c r="L861" t="n">
        <x:v>48.9</x:v>
      </x:c>
      <x:c r="M861" t="n">
        <x:v>46.8</x:v>
      </x:c>
      <x:c r="N861" t="str">
        <x:v>Most Likely</x:v>
      </x:c>
      <x:c r="O861" t="str">
        <x:v>Optimistic</x:v>
      </x:c>
    </x:row>
    <x:row r="862">
      <x:c r="A862" t="str">
        <x:v>PJT_861</x:v>
      </x:c>
      <x:c r="B862" t="n">
        <x:v>51984240</x:v>
      </x:c>
      <x:c r="C862" t="n">
        <x:v>56810152</x:v>
      </x:c>
      <x:c r="D862" t="n">
        <x:v>4825912</x:v>
      </x:c>
      <x:c r="E862" t="n">
        <x:v>0.0928</x:v>
      </x:c>
      <x:c r="F862" t="n">
        <x:v>1092</x:v>
      </x:c>
      <x:c r="G862" t="n">
        <x:v>1134</x:v>
      </x:c>
      <x:c r="H862" t="n">
        <x:v>42</x:v>
      </x:c>
      <x:c r="I862" t="n">
        <x:v>0.0385</x:v>
      </x:c>
      <x:c r="J862" t="str">
        <x:v>Medium</x:v>
      </x:c>
      <x:c r="K862" t="n">
        <x:v>58.6</x:v>
      </x:c>
      <x:c r="L862" t="n">
        <x:v>55.1</x:v>
      </x:c>
      <x:c r="M862" t="n">
        <x:v>55.1</x:v>
      </x:c>
      <x:c r="N862" t="str">
        <x:v>Most Likely</x:v>
      </x:c>
      <x:c r="O862" t="str">
        <x:v>Most Likely</x:v>
      </x:c>
    </x:row>
    <x:row r="863">
      <x:c r="A863" t="str">
        <x:v>PJT_862</x:v>
      </x:c>
      <x:c r="B863" t="n">
        <x:v>12090490</x:v>
      </x:c>
      <x:c r="C863" t="n">
        <x:v>11464849</x:v>
      </x:c>
      <x:c r="D863" t="n">
        <x:v>-625641</x:v>
      </x:c>
      <x:c r="E863" t="n">
        <x:v>-0.0517</x:v>
      </x:c>
      <x:c r="F863" t="n">
        <x:v>255</x:v>
      </x:c>
      <x:c r="G863" t="n">
        <x:v>256</x:v>
      </x:c>
      <x:c r="H863" t="n">
        <x:v>1</x:v>
      </x:c>
      <x:c r="I863" t="n">
        <x:v>0.0039</x:v>
      </x:c>
      <x:c r="J863" t="str">
        <x:v>Low</x:v>
      </x:c>
      <x:c r="K863" t="n">
        <x:v>39.3</x:v>
      </x:c>
      <x:c r="L863" t="n">
        <x:v>36.5</x:v>
      </x:c>
      <x:c r="M863" t="n">
        <x:v>34</x:v>
      </x:c>
      <x:c r="N863" t="str">
        <x:v>Optimistic</x:v>
      </x:c>
      <x:c r="O863" t="str">
        <x:v>Most Likely</x:v>
      </x:c>
    </x:row>
    <x:row r="864">
      <x:c r="A864" t="str">
        <x:v>PJT_863</x:v>
      </x:c>
      <x:c r="B864" t="n">
        <x:v>16753230</x:v>
      </x:c>
      <x:c r="C864" t="n">
        <x:v>17539983</x:v>
      </x:c>
      <x:c r="D864" t="n">
        <x:v>786753</x:v>
      </x:c>
      <x:c r="E864" t="n">
        <x:v>0.047</x:v>
      </x:c>
      <x:c r="F864" t="n">
        <x:v>384</x:v>
      </x:c>
      <x:c r="G864" t="n">
        <x:v>390</x:v>
      </x:c>
      <x:c r="H864" t="n">
        <x:v>6</x:v>
      </x:c>
      <x:c r="I864" t="n">
        <x:v>0.0156</x:v>
      </x:c>
      <x:c r="J864" t="str">
        <x:v>Low</x:v>
      </x:c>
      <x:c r="K864" t="n">
        <x:v>42.6</x:v>
      </x:c>
      <x:c r="L864" t="n">
        <x:v>38.5</x:v>
      </x:c>
      <x:c r="M864" t="n">
        <x:v>38.1</x:v>
      </x:c>
      <x:c r="N864" t="str">
        <x:v>Most Likely</x:v>
      </x:c>
      <x:c r="O864" t="str">
        <x:v>Most Likely</x:v>
      </x:c>
    </x:row>
    <x:row r="865">
      <x:c r="A865" t="str">
        <x:v>PJT_864</x:v>
      </x:c>
      <x:c r="B865" t="n">
        <x:v>78627210</x:v>
      </x:c>
      <x:c r="C865" t="n">
        <x:v>83849669</x:v>
      </x:c>
      <x:c r="D865" t="n">
        <x:v>5222459</x:v>
      </x:c>
      <x:c r="E865" t="n">
        <x:v>0.0664</x:v>
      </x:c>
      <x:c r="F865" t="n">
        <x:v>1486</x:v>
      </x:c>
      <x:c r="G865" t="n">
        <x:v>1576</x:v>
      </x:c>
      <x:c r="H865" t="n">
        <x:v>90</x:v>
      </x:c>
      <x:c r="I865" t="n">
        <x:v>0.0606</x:v>
      </x:c>
      <x:c r="J865" t="str">
        <x:v>Medium</x:v>
      </x:c>
      <x:c r="K865" t="n">
        <x:v>64.7</x:v>
      </x:c>
      <x:c r="L865" t="n">
        <x:v>64.4</x:v>
      </x:c>
      <x:c r="M865" t="n">
        <x:v>62.4</x:v>
      </x:c>
      <x:c r="N865" t="str">
        <x:v>Most Likely</x:v>
      </x:c>
      <x:c r="O865" t="str">
        <x:v>Most Likely</x:v>
      </x:c>
    </x:row>
    <x:row r="866">
      <x:c r="A866" t="str">
        <x:v>PJT_865</x:v>
      </x:c>
      <x:c r="B866" t="n">
        <x:v>49837340</x:v>
      </x:c>
      <x:c r="C866" t="n">
        <x:v>53128798</x:v>
      </x:c>
      <x:c r="D866" t="n">
        <x:v>3291458</x:v>
      </x:c>
      <x:c r="E866" t="n">
        <x:v>0.066</x:v>
      </x:c>
      <x:c r="F866" t="n">
        <x:v>930</x:v>
      </x:c>
      <x:c r="G866" t="n">
        <x:v>945</x:v>
      </x:c>
      <x:c r="H866" t="n">
        <x:v>15</x:v>
      </x:c>
      <x:c r="I866" t="n">
        <x:v>0.0161</x:v>
      </x:c>
      <x:c r="J866" t="str">
        <x:v>Medium</x:v>
      </x:c>
      <x:c r="K866" t="n">
        <x:v>52.6</x:v>
      </x:c>
      <x:c r="L866" t="n">
        <x:v>54.9</x:v>
      </x:c>
      <x:c r="M866" t="n">
        <x:v>53.7</x:v>
      </x:c>
      <x:c r="N866" t="str">
        <x:v>Most Likely</x:v>
      </x:c>
      <x:c r="O866" t="str">
        <x:v>Most Likely</x:v>
      </x:c>
    </x:row>
    <x:row r="867">
      <x:c r="A867" t="str">
        <x:v>PJT_866</x:v>
      </x:c>
      <x:c r="B867" t="n">
        <x:v>60375940</x:v>
      </x:c>
      <x:c r="C867" t="n">
        <x:v>64110057</x:v>
      </x:c>
      <x:c r="D867" t="n">
        <x:v>3734117</x:v>
      </x:c>
      <x:c r="E867" t="n">
        <x:v>0.0618</x:v>
      </x:c>
      <x:c r="F867" t="n">
        <x:v>1180</x:v>
      </x:c>
      <x:c r="G867" t="n">
        <x:v>1260</x:v>
      </x:c>
      <x:c r="H867" t="n">
        <x:v>80</x:v>
      </x:c>
      <x:c r="I867" t="n">
        <x:v>0.0678</x:v>
      </x:c>
      <x:c r="J867" t="str">
        <x:v>Medium</x:v>
      </x:c>
      <x:c r="K867" t="n">
        <x:v>62.8</x:v>
      </x:c>
      <x:c r="L867" t="n">
        <x:v>62.3</x:v>
      </x:c>
      <x:c r="M867" t="n">
        <x:v>62.6</x:v>
      </x:c>
      <x:c r="N867" t="str">
        <x:v>Most Likely</x:v>
      </x:c>
      <x:c r="O867" t="str">
        <x:v>Most Likely</x:v>
      </x:c>
    </x:row>
    <x:row r="868">
      <x:c r="A868" t="str">
        <x:v>PJT_867</x:v>
      </x:c>
      <x:c r="B868" t="n">
        <x:v>26920600</x:v>
      </x:c>
      <x:c r="C868" t="n">
        <x:v>26274988</x:v>
      </x:c>
      <x:c r="D868" t="n">
        <x:v>-645612</x:v>
      </x:c>
      <x:c r="E868" t="n">
        <x:v>-0.024</x:v>
      </x:c>
      <x:c r="F868" t="n">
        <x:v>452</x:v>
      </x:c>
      <x:c r="G868" t="n">
        <x:v>477</x:v>
      </x:c>
      <x:c r="H868" t="n">
        <x:v>25</x:v>
      </x:c>
      <x:c r="I868" t="n">
        <x:v>0.0553</x:v>
      </x:c>
      <x:c r="J868" t="str">
        <x:v>Low</x:v>
      </x:c>
      <x:c r="K868" t="n">
        <x:v>44.8</x:v>
      </x:c>
      <x:c r="L868" t="n">
        <x:v>34.2</x:v>
      </x:c>
      <x:c r="M868" t="n">
        <x:v>41.4</x:v>
      </x:c>
      <x:c r="N868" t="str">
        <x:v>Optimistic</x:v>
      </x:c>
      <x:c r="O868" t="str">
        <x:v>Most Likely</x:v>
      </x:c>
    </x:row>
    <x:row r="869">
      <x:c r="A869" t="str">
        <x:v>PJT_868</x:v>
      </x:c>
      <x:c r="B869" t="n">
        <x:v>10215820</x:v>
      </x:c>
      <x:c r="C869" t="n">
        <x:v>9830383</x:v>
      </x:c>
      <x:c r="D869" t="n">
        <x:v>-385437</x:v>
      </x:c>
      <x:c r="E869" t="n">
        <x:v>-0.0377</x:v>
      </x:c>
      <x:c r="F869" t="n">
        <x:v>224</x:v>
      </x:c>
      <x:c r="G869" t="n">
        <x:v>220</x:v>
      </x:c>
      <x:c r="H869" t="n">
        <x:v>-4</x:v>
      </x:c>
      <x:c r="I869" t="n">
        <x:v>-0.0179</x:v>
      </x:c>
      <x:c r="J869" t="str">
        <x:v>Low</x:v>
      </x:c>
      <x:c r="K869" t="n">
        <x:v>27.8</x:v>
      </x:c>
      <x:c r="L869" t="n">
        <x:v>25</x:v>
      </x:c>
      <x:c r="M869" t="n">
        <x:v>22</x:v>
      </x:c>
      <x:c r="N869" t="str">
        <x:v>Optimistic</x:v>
      </x:c>
      <x:c r="O869" t="str">
        <x:v>Optimistic</x:v>
      </x:c>
    </x:row>
    <x:row r="870">
      <x:c r="A870" t="str">
        <x:v>PJT_869</x:v>
      </x:c>
      <x:c r="B870" t="n">
        <x:v>40261760</x:v>
      </x:c>
      <x:c r="C870" t="n">
        <x:v>42459018</x:v>
      </x:c>
      <x:c r="D870" t="n">
        <x:v>2197258</x:v>
      </x:c>
      <x:c r="E870" t="n">
        <x:v>0.0546</x:v>
      </x:c>
      <x:c r="F870" t="n">
        <x:v>739</x:v>
      </x:c>
      <x:c r="G870" t="n">
        <x:v>792</x:v>
      </x:c>
      <x:c r="H870" t="n">
        <x:v>53</x:v>
      </x:c>
      <x:c r="I870" t="n">
        <x:v>0.0717</x:v>
      </x:c>
      <x:c r="J870" t="str">
        <x:v>Medium</x:v>
      </x:c>
      <x:c r="K870" t="n">
        <x:v>46.5</x:v>
      </x:c>
      <x:c r="L870" t="n">
        <x:v>50.1</x:v>
      </x:c>
      <x:c r="M870" t="n">
        <x:v>48.6</x:v>
      </x:c>
      <x:c r="N870" t="str">
        <x:v>Most Likely</x:v>
      </x:c>
      <x:c r="O870" t="str">
        <x:v>Most Likely</x:v>
      </x:c>
    </x:row>
    <x:row r="871">
      <x:c r="A871" t="str">
        <x:v>PJT_870</x:v>
      </x:c>
      <x:c r="B871" t="n">
        <x:v>60183240</x:v>
      </x:c>
      <x:c r="C871" t="n">
        <x:v>60309400</x:v>
      </x:c>
      <x:c r="D871" t="n">
        <x:v>126160</x:v>
      </x:c>
      <x:c r="E871" t="n">
        <x:v>0.0021</x:v>
      </x:c>
      <x:c r="F871" t="n">
        <x:v>1084</x:v>
      </x:c>
      <x:c r="G871" t="n">
        <x:v>1111</x:v>
      </x:c>
      <x:c r="H871" t="n">
        <x:v>27</x:v>
      </x:c>
      <x:c r="I871" t="n">
        <x:v>0.0249</x:v>
      </x:c>
      <x:c r="J871" t="str">
        <x:v>Medium</x:v>
      </x:c>
      <x:c r="K871" t="n">
        <x:v>55.4</x:v>
      </x:c>
      <x:c r="L871" t="n">
        <x:v>59.9</x:v>
      </x:c>
      <x:c r="M871" t="n">
        <x:v>51</x:v>
      </x:c>
      <x:c r="N871" t="str">
        <x:v>Most Likely</x:v>
      </x:c>
      <x:c r="O871" t="str">
        <x:v>Most Likely</x:v>
      </x:c>
    </x:row>
    <x:row r="872">
      <x:c r="A872" t="str">
        <x:v>PJT_871</x:v>
      </x:c>
      <x:c r="B872" t="n">
        <x:v>109291840</x:v>
      </x:c>
      <x:c r="C872" t="n">
        <x:v>121362277</x:v>
      </x:c>
      <x:c r="D872" t="n">
        <x:v>12070437</x:v>
      </x:c>
      <x:c r="E872" t="n">
        <x:v>0.1104</x:v>
      </x:c>
      <x:c r="F872" t="n">
        <x:v>2193</x:v>
      </x:c>
      <x:c r="G872" t="n">
        <x:v>2353</x:v>
      </x:c>
      <x:c r="H872" t="n">
        <x:v>160</x:v>
      </x:c>
      <x:c r="I872" t="n">
        <x:v>0.073</x:v>
      </x:c>
      <x:c r="J872" t="str">
        <x:v>High</x:v>
      </x:c>
      <x:c r="K872" t="n">
        <x:v>68.6</x:v>
      </x:c>
      <x:c r="L872" t="n">
        <x:v>73.4</x:v>
      </x:c>
      <x:c r="M872" t="n">
        <x:v>71.8</x:v>
      </x:c>
      <x:c r="N872" t="str">
        <x:v>Pessimistic</x:v>
      </x:c>
      <x:c r="O872" t="str">
        <x:v>Most Likely</x:v>
      </x:c>
    </x:row>
    <x:row r="873">
      <x:c r="A873" t="str">
        <x:v>PJT_872</x:v>
      </x:c>
      <x:c r="B873" t="n">
        <x:v>51454110</x:v>
      </x:c>
      <x:c r="C873" t="n">
        <x:v>57897082</x:v>
      </x:c>
      <x:c r="D873" t="n">
        <x:v>6442972</x:v>
      </x:c>
      <x:c r="E873" t="n">
        <x:v>0.1252</x:v>
      </x:c>
      <x:c r="F873" t="n">
        <x:v>876</x:v>
      </x:c>
      <x:c r="G873" t="n">
        <x:v>864</x:v>
      </x:c>
      <x:c r="H873" t="n">
        <x:v>-12</x:v>
      </x:c>
      <x:c r="I873" t="n">
        <x:v>-0.0137</x:v>
      </x:c>
      <x:c r="J873" t="str">
        <x:v>Medium</x:v>
      </x:c>
      <x:c r="K873" t="n">
        <x:v>49.4</x:v>
      </x:c>
      <x:c r="L873" t="n">
        <x:v>55.3</x:v>
      </x:c>
      <x:c r="M873" t="n">
        <x:v>46.3</x:v>
      </x:c>
      <x:c r="N873" t="str">
        <x:v>Pessimistic</x:v>
      </x:c>
      <x:c r="O873" t="str">
        <x:v>Optimistic</x:v>
      </x:c>
    </x:row>
    <x:row r="874">
      <x:c r="A874" t="str">
        <x:v>PJT_873</x:v>
      </x:c>
      <x:c r="B874" t="n">
        <x:v>32218160</x:v>
      </x:c>
      <x:c r="C874" t="n">
        <x:v>33448520</x:v>
      </x:c>
      <x:c r="D874" t="n">
        <x:v>1230360</x:v>
      </x:c>
      <x:c r="E874" t="n">
        <x:v>0.0382</x:v>
      </x:c>
      <x:c r="F874" t="n">
        <x:v>658</x:v>
      </x:c>
      <x:c r="G874" t="n">
        <x:v>714</x:v>
      </x:c>
      <x:c r="H874" t="n">
        <x:v>56</x:v>
      </x:c>
      <x:c r="I874" t="n">
        <x:v>0.0851</x:v>
      </x:c>
      <x:c r="J874" t="str">
        <x:v>Medium</x:v>
      </x:c>
      <x:c r="K874" t="n">
        <x:v>47.8</x:v>
      </x:c>
      <x:c r="L874" t="n">
        <x:v>51.6</x:v>
      </x:c>
      <x:c r="M874" t="n">
        <x:v>51.7</x:v>
      </x:c>
      <x:c r="N874" t="str">
        <x:v>Most Likely</x:v>
      </x:c>
      <x:c r="O874" t="str">
        <x:v>Most Likely</x:v>
      </x:c>
    </x:row>
    <x:row r="875">
      <x:c r="A875" t="str">
        <x:v>PJT_874</x:v>
      </x:c>
      <x:c r="B875" t="n">
        <x:v>8254100</x:v>
      </x:c>
      <x:c r="C875" t="n">
        <x:v>8823799</x:v>
      </x:c>
      <x:c r="D875" t="n">
        <x:v>569699</x:v>
      </x:c>
      <x:c r="E875" t="n">
        <x:v>0.069</x:v>
      </x:c>
      <x:c r="F875" t="n">
        <x:v>180</x:v>
      </x:c>
      <x:c r="G875" t="n">
        <x:v>166</x:v>
      </x:c>
      <x:c r="H875" t="n">
        <x:v>-14</x:v>
      </x:c>
      <x:c r="I875" t="n">
        <x:v>-0.0778</x:v>
      </x:c>
      <x:c r="J875" t="str">
        <x:v>Low</x:v>
      </x:c>
      <x:c r="K875" t="n">
        <x:v>34.3</x:v>
      </x:c>
      <x:c r="L875" t="n">
        <x:v>32.2</x:v>
      </x:c>
      <x:c r="M875" t="n">
        <x:v>31.2</x:v>
      </x:c>
      <x:c r="N875" t="str">
        <x:v>Most Likely</x:v>
      </x:c>
      <x:c r="O875" t="str">
        <x:v>Optimistic</x:v>
      </x:c>
    </x:row>
    <x:row r="876">
      <x:c r="A876" t="str">
        <x:v>PJT_875</x:v>
      </x:c>
      <x:c r="B876" t="n">
        <x:v>42164150</x:v>
      </x:c>
      <x:c r="C876" t="n">
        <x:v>44182437</x:v>
      </x:c>
      <x:c r="D876" t="n">
        <x:v>2018287</x:v>
      </x:c>
      <x:c r="E876" t="n">
        <x:v>0.0479</x:v>
      </x:c>
      <x:c r="F876" t="n">
        <x:v>770</x:v>
      </x:c>
      <x:c r="G876" t="n">
        <x:v>790</x:v>
      </x:c>
      <x:c r="H876" t="n">
        <x:v>20</x:v>
      </x:c>
      <x:c r="I876" t="n">
        <x:v>0.026</x:v>
      </x:c>
      <x:c r="J876" t="str">
        <x:v>Low</x:v>
      </x:c>
      <x:c r="K876" t="n">
        <x:v>39.1</x:v>
      </x:c>
      <x:c r="L876" t="n">
        <x:v>47.6</x:v>
      </x:c>
      <x:c r="M876" t="n">
        <x:v>43.3</x:v>
      </x:c>
      <x:c r="N876" t="str">
        <x:v>Most Likely</x:v>
      </x:c>
      <x:c r="O876" t="str">
        <x:v>Most Likely</x:v>
      </x:c>
    </x:row>
    <x:row r="877">
      <x:c r="A877" t="str">
        <x:v>PJT_876</x:v>
      </x:c>
      <x:c r="B877" t="n">
        <x:v>51409350</x:v>
      </x:c>
      <x:c r="C877" t="n">
        <x:v>54412531</x:v>
      </x:c>
      <x:c r="D877" t="n">
        <x:v>3003181</x:v>
      </x:c>
      <x:c r="E877" t="n">
        <x:v>0.0584</x:v>
      </x:c>
      <x:c r="F877" t="n">
        <x:v>814</x:v>
      </x:c>
      <x:c r="G877" t="n">
        <x:v>882</x:v>
      </x:c>
      <x:c r="H877" t="n">
        <x:v>68</x:v>
      </x:c>
      <x:c r="I877" t="n">
        <x:v>0.0835</x:v>
      </x:c>
      <x:c r="J877" t="str">
        <x:v>Medium</x:v>
      </x:c>
      <x:c r="K877" t="n">
        <x:v>49.2</x:v>
      </x:c>
      <x:c r="L877" t="n">
        <x:v>53.4</x:v>
      </x:c>
      <x:c r="M877" t="n">
        <x:v>45.4</x:v>
      </x:c>
      <x:c r="N877" t="str">
        <x:v>Most Likely</x:v>
      </x:c>
      <x:c r="O877" t="str">
        <x:v>Most Likely</x:v>
      </x:c>
    </x:row>
    <x:row r="878">
      <x:c r="A878" t="str">
        <x:v>PJT_877</x:v>
      </x:c>
      <x:c r="B878" t="n">
        <x:v>13527800</x:v>
      </x:c>
      <x:c r="C878" t="n">
        <x:v>13093552</x:v>
      </x:c>
      <x:c r="D878" t="n">
        <x:v>-434248</x:v>
      </x:c>
      <x:c r="E878" t="n">
        <x:v>-0.0321</x:v>
      </x:c>
      <x:c r="F878" t="n">
        <x:v>273</x:v>
      </x:c>
      <x:c r="G878" t="n">
        <x:v>282</x:v>
      </x:c>
      <x:c r="H878" t="n">
        <x:v>9</x:v>
      </x:c>
      <x:c r="I878" t="n">
        <x:v>0.033</x:v>
      </x:c>
      <x:c r="J878" t="str">
        <x:v>Low</x:v>
      </x:c>
      <x:c r="K878" t="n">
        <x:v>26.4</x:v>
      </x:c>
      <x:c r="L878" t="n">
        <x:v>32.4</x:v>
      </x:c>
      <x:c r="M878" t="n">
        <x:v>25</x:v>
      </x:c>
      <x:c r="N878" t="str">
        <x:v>Optimistic</x:v>
      </x:c>
      <x:c r="O878" t="str">
        <x:v>Most Likely</x:v>
      </x:c>
    </x:row>
    <x:row r="879">
      <x:c r="A879" t="str">
        <x:v>PJT_878</x:v>
      </x:c>
      <x:c r="B879" t="n">
        <x:v>16466760</x:v>
      </x:c>
      <x:c r="C879" t="n">
        <x:v>15714083</x:v>
      </x:c>
      <x:c r="D879" t="n">
        <x:v>-752677</x:v>
      </x:c>
      <x:c r="E879" t="n">
        <x:v>-0.0457</x:v>
      </x:c>
      <x:c r="F879" t="n">
        <x:v>353</x:v>
      </x:c>
      <x:c r="G879" t="n">
        <x:v>351</x:v>
      </x:c>
      <x:c r="H879" t="n">
        <x:v>-2</x:v>
      </x:c>
      <x:c r="I879" t="n">
        <x:v>-0.0057</x:v>
      </x:c>
      <x:c r="J879" t="str">
        <x:v>Low</x:v>
      </x:c>
      <x:c r="K879" t="n">
        <x:v>30.9</x:v>
      </x:c>
      <x:c r="L879" t="n">
        <x:v>26.7</x:v>
      </x:c>
      <x:c r="M879" t="n">
        <x:v>25</x:v>
      </x:c>
      <x:c r="N879" t="str">
        <x:v>Optimistic</x:v>
      </x:c>
      <x:c r="O879" t="str">
        <x:v>Optimistic</x:v>
      </x:c>
    </x:row>
    <x:row r="880">
      <x:c r="A880" t="str">
        <x:v>PJT_879</x:v>
      </x:c>
      <x:c r="B880" t="n">
        <x:v>28279680</x:v>
      </x:c>
      <x:c r="C880" t="n">
        <x:v>28685385</x:v>
      </x:c>
      <x:c r="D880" t="n">
        <x:v>405705</x:v>
      </x:c>
      <x:c r="E880" t="n">
        <x:v>0.0143</x:v>
      </x:c>
      <x:c r="F880" t="n">
        <x:v>517</x:v>
      </x:c>
      <x:c r="G880" t="n">
        <x:v>551</x:v>
      </x:c>
      <x:c r="H880" t="n">
        <x:v>34</x:v>
      </x:c>
      <x:c r="I880" t="n">
        <x:v>0.0658</x:v>
      </x:c>
      <x:c r="J880" t="str">
        <x:v>Medium</x:v>
      </x:c>
      <x:c r="K880" t="n">
        <x:v>46.9</x:v>
      </x:c>
      <x:c r="L880" t="n">
        <x:v>46.7</x:v>
      </x:c>
      <x:c r="M880" t="n">
        <x:v>42.4</x:v>
      </x:c>
      <x:c r="N880" t="str">
        <x:v>Most Likely</x:v>
      </x:c>
      <x:c r="O880" t="str">
        <x:v>Most Likely</x:v>
      </x:c>
    </x:row>
    <x:row r="881">
      <x:c r="A881" t="str">
        <x:v>PJT_880</x:v>
      </x:c>
      <x:c r="B881" t="n">
        <x:v>46347410</x:v>
      </x:c>
      <x:c r="C881" t="n">
        <x:v>50043566</x:v>
      </x:c>
      <x:c r="D881" t="n">
        <x:v>3696156</x:v>
      </x:c>
      <x:c r="E881" t="n">
        <x:v>0.0797</x:v>
      </x:c>
      <x:c r="F881" t="n">
        <x:v>761</x:v>
      </x:c>
      <x:c r="G881" t="n">
        <x:v>839</x:v>
      </x:c>
      <x:c r="H881" t="n">
        <x:v>78</x:v>
      </x:c>
      <x:c r="I881" t="n">
        <x:v>0.1025</x:v>
      </x:c>
      <x:c r="J881" t="str">
        <x:v>Medium</x:v>
      </x:c>
      <x:c r="K881" t="n">
        <x:v>56.9</x:v>
      </x:c>
      <x:c r="L881" t="n">
        <x:v>54.9</x:v>
      </x:c>
      <x:c r="M881" t="n">
        <x:v>51.6</x:v>
      </x:c>
      <x:c r="N881" t="str">
        <x:v>Most Likely</x:v>
      </x:c>
      <x:c r="O881" t="str">
        <x:v>Pessimistic</x:v>
      </x:c>
    </x:row>
    <x:row r="882">
      <x:c r="A882" t="str">
        <x:v>PJT_881</x:v>
      </x:c>
      <x:c r="B882" t="n">
        <x:v>19004050</x:v>
      </x:c>
      <x:c r="C882" t="n">
        <x:v>20752816</x:v>
      </x:c>
      <x:c r="D882" t="n">
        <x:v>1748766</x:v>
      </x:c>
      <x:c r="E882" t="n">
        <x:v>0.092</x:v>
      </x:c>
      <x:c r="F882" t="n">
        <x:v>357</x:v>
      </x:c>
      <x:c r="G882" t="n">
        <x:v>384</x:v>
      </x:c>
      <x:c r="H882" t="n">
        <x:v>27</x:v>
      </x:c>
      <x:c r="I882" t="n">
        <x:v>0.0756</x:v>
      </x:c>
      <x:c r="J882" t="str">
        <x:v>Medium</x:v>
      </x:c>
      <x:c r="K882" t="n">
        <x:v>51.6</x:v>
      </x:c>
      <x:c r="L882" t="n">
        <x:v>56</x:v>
      </x:c>
      <x:c r="M882" t="n">
        <x:v>56.9</x:v>
      </x:c>
      <x:c r="N882" t="str">
        <x:v>Most Likely</x:v>
      </x:c>
      <x:c r="O882" t="str">
        <x:v>Most Likely</x:v>
      </x:c>
    </x:row>
    <x:row r="883">
      <x:c r="A883" t="str">
        <x:v>PJT_882</x:v>
      </x:c>
      <x:c r="B883" t="n">
        <x:v>75172790</x:v>
      </x:c>
      <x:c r="C883" t="n">
        <x:v>80990038</x:v>
      </x:c>
      <x:c r="D883" t="n">
        <x:v>5817248</x:v>
      </x:c>
      <x:c r="E883" t="n">
        <x:v>0.0774</x:v>
      </x:c>
      <x:c r="F883" t="n">
        <x:v>1484</x:v>
      </x:c>
      <x:c r="G883" t="n">
        <x:v>1650</x:v>
      </x:c>
      <x:c r="H883" t="n">
        <x:v>166</x:v>
      </x:c>
      <x:c r="I883" t="n">
        <x:v>0.1119</x:v>
      </x:c>
      <x:c r="J883" t="str">
        <x:v>Medium</x:v>
      </x:c>
      <x:c r="K883" t="n">
        <x:v>55.4</x:v>
      </x:c>
      <x:c r="L883" t="n">
        <x:v>64.1</x:v>
      </x:c>
      <x:c r="M883" t="n">
        <x:v>57.2</x:v>
      </x:c>
      <x:c r="N883" t="str">
        <x:v>Most Likely</x:v>
      </x:c>
      <x:c r="O883" t="str">
        <x:v>Pessimistic</x:v>
      </x:c>
    </x:row>
    <x:row r="884">
      <x:c r="A884" t="str">
        <x:v>PJT_883</x:v>
      </x:c>
      <x:c r="B884" t="n">
        <x:v>16858450</x:v>
      </x:c>
      <x:c r="C884" t="n">
        <x:v>16780600</x:v>
      </x:c>
      <x:c r="D884" t="n">
        <x:v>-77850</x:v>
      </x:c>
      <x:c r="E884" t="n">
        <x:v>-0.0046</x:v>
      </x:c>
      <x:c r="F884" t="n">
        <x:v>303</x:v>
      </x:c>
      <x:c r="G884" t="n">
        <x:v>321</x:v>
      </x:c>
      <x:c r="H884" t="n">
        <x:v>18</x:v>
      </x:c>
      <x:c r="I884" t="n">
        <x:v>0.0594</x:v>
      </x:c>
      <x:c r="J884" t="str">
        <x:v>Low</x:v>
      </x:c>
      <x:c r="K884" t="n">
        <x:v>40.5</x:v>
      </x:c>
      <x:c r="L884" t="n">
        <x:v>33.9</x:v>
      </x:c>
      <x:c r="M884" t="n">
        <x:v>37.7</x:v>
      </x:c>
      <x:c r="N884" t="str">
        <x:v>Optimistic</x:v>
      </x:c>
      <x:c r="O884" t="str">
        <x:v>Most Likely</x:v>
      </x:c>
    </x:row>
    <x:row r="885">
      <x:c r="A885" t="str">
        <x:v>PJT_884</x:v>
      </x:c>
      <x:c r="B885" t="n">
        <x:v>19222800</x:v>
      </x:c>
      <x:c r="C885" t="n">
        <x:v>19400057</x:v>
      </x:c>
      <x:c r="D885" t="n">
        <x:v>177257</x:v>
      </x:c>
      <x:c r="E885" t="n">
        <x:v>0.0092</x:v>
      </x:c>
      <x:c r="F885" t="n">
        <x:v>370</x:v>
      </x:c>
      <x:c r="G885" t="n">
        <x:v>379</x:v>
      </x:c>
      <x:c r="H885" t="n">
        <x:v>9</x:v>
      </x:c>
      <x:c r="I885" t="n">
        <x:v>0.0243</x:v>
      </x:c>
      <x:c r="J885" t="str">
        <x:v>Low</x:v>
      </x:c>
      <x:c r="K885" t="n">
        <x:v>26.2</x:v>
      </x:c>
      <x:c r="L885" t="n">
        <x:v>28.5</x:v>
      </x:c>
      <x:c r="M885" t="n">
        <x:v>24.1</x:v>
      </x:c>
      <x:c r="N885" t="str">
        <x:v>Most Likely</x:v>
      </x:c>
      <x:c r="O885" t="str">
        <x:v>Most Likely</x:v>
      </x:c>
    </x:row>
    <x:row r="886">
      <x:c r="A886" t="str">
        <x:v>PJT_885</x:v>
      </x:c>
      <x:c r="B886" t="n">
        <x:v>61957710</x:v>
      </x:c>
      <x:c r="C886" t="n">
        <x:v>67757476</x:v>
      </x:c>
      <x:c r="D886" t="n">
        <x:v>5799766</x:v>
      </x:c>
      <x:c r="E886" t="n">
        <x:v>0.0936</x:v>
      </x:c>
      <x:c r="F886" t="n">
        <x:v>1174</x:v>
      </x:c>
      <x:c r="G886" t="n">
        <x:v>1263</x:v>
      </x:c>
      <x:c r="H886" t="n">
        <x:v>89</x:v>
      </x:c>
      <x:c r="I886" t="n">
        <x:v>0.0758</x:v>
      </x:c>
      <x:c r="J886" t="str">
        <x:v>Medium</x:v>
      </x:c>
      <x:c r="K886" t="n">
        <x:v>54.9</x:v>
      </x:c>
      <x:c r="L886" t="n">
        <x:v>57.1</x:v>
      </x:c>
      <x:c r="M886" t="n">
        <x:v>51.5</x:v>
      </x:c>
      <x:c r="N886" t="str">
        <x:v>Most Likely</x:v>
      </x:c>
      <x:c r="O886" t="str">
        <x:v>Most Likely</x:v>
      </x:c>
    </x:row>
    <x:row r="887">
      <x:c r="A887" t="str">
        <x:v>PJT_886</x:v>
      </x:c>
      <x:c r="B887" t="n">
        <x:v>48572820</x:v>
      </x:c>
      <x:c r="C887" t="n">
        <x:v>49549603</x:v>
      </x:c>
      <x:c r="D887" t="n">
        <x:v>976783</x:v>
      </x:c>
      <x:c r="E887" t="n">
        <x:v>0.0201</x:v>
      </x:c>
      <x:c r="F887" t="n">
        <x:v>873</x:v>
      </x:c>
      <x:c r="G887" t="n">
        <x:v>942</x:v>
      </x:c>
      <x:c r="H887" t="n">
        <x:v>69</x:v>
      </x:c>
      <x:c r="I887" t="n">
        <x:v>0.079</x:v>
      </x:c>
      <x:c r="J887" t="str">
        <x:v>Medium</x:v>
      </x:c>
      <x:c r="K887" t="n">
        <x:v>53.5</x:v>
      </x:c>
      <x:c r="L887" t="n">
        <x:v>61.4</x:v>
      </x:c>
      <x:c r="M887" t="n">
        <x:v>55.5</x:v>
      </x:c>
      <x:c r="N887" t="str">
        <x:v>Most Likely</x:v>
      </x:c>
      <x:c r="O887" t="str">
        <x:v>Most Likely</x:v>
      </x:c>
    </x:row>
    <x:row r="888">
      <x:c r="A888" t="str">
        <x:v>PJT_887</x:v>
      </x:c>
      <x:c r="B888" t="n">
        <x:v>33048050</x:v>
      </x:c>
      <x:c r="C888" t="n">
        <x:v>35304846</x:v>
      </x:c>
      <x:c r="D888" t="n">
        <x:v>2256796</x:v>
      </x:c>
      <x:c r="E888" t="n">
        <x:v>0.0683</x:v>
      </x:c>
      <x:c r="F888" t="n">
        <x:v>667</x:v>
      </x:c>
      <x:c r="G888" t="n">
        <x:v>698</x:v>
      </x:c>
      <x:c r="H888" t="n">
        <x:v>31</x:v>
      </x:c>
      <x:c r="I888" t="n">
        <x:v>0.0465</x:v>
      </x:c>
      <x:c r="J888" t="str">
        <x:v>Medium</x:v>
      </x:c>
      <x:c r="K888" t="n">
        <x:v>47.4</x:v>
      </x:c>
      <x:c r="L888" t="n">
        <x:v>49.3</x:v>
      </x:c>
      <x:c r="M888" t="n">
        <x:v>51</x:v>
      </x:c>
      <x:c r="N888" t="str">
        <x:v>Most Likely</x:v>
      </x:c>
      <x:c r="O888" t="str">
        <x:v>Most Likely</x:v>
      </x:c>
    </x:row>
    <x:row r="889">
      <x:c r="A889" t="str">
        <x:v>PJT_888</x:v>
      </x:c>
      <x:c r="B889" t="n">
        <x:v>30891200</x:v>
      </x:c>
      <x:c r="C889" t="n">
        <x:v>31103622</x:v>
      </x:c>
      <x:c r="D889" t="n">
        <x:v>212422</x:v>
      </x:c>
      <x:c r="E889" t="n">
        <x:v>0.0069</x:v>
      </x:c>
      <x:c r="F889" t="n">
        <x:v>643</x:v>
      </x:c>
      <x:c r="G889" t="n">
        <x:v>639</x:v>
      </x:c>
      <x:c r="H889" t="n">
        <x:v>-4</x:v>
      </x:c>
      <x:c r="I889" t="n">
        <x:v>-0.0062</x:v>
      </x:c>
      <x:c r="J889" t="str">
        <x:v>Low</x:v>
      </x:c>
      <x:c r="K889" t="n">
        <x:v>44.1</x:v>
      </x:c>
      <x:c r="L889" t="n">
        <x:v>46.1</x:v>
      </x:c>
      <x:c r="M889" t="n">
        <x:v>43.9</x:v>
      </x:c>
      <x:c r="N889" t="str">
        <x:v>Most Likely</x:v>
      </x:c>
      <x:c r="O889" t="str">
        <x:v>Optimistic</x:v>
      </x:c>
    </x:row>
    <x:row r="890">
      <x:c r="A890" t="str">
        <x:v>PJT_889</x:v>
      </x:c>
      <x:c r="B890" t="n">
        <x:v>7958040</x:v>
      </x:c>
      <x:c r="C890" t="n">
        <x:v>7298165</x:v>
      </x:c>
      <x:c r="D890" t="n">
        <x:v>-659875</x:v>
      </x:c>
      <x:c r="E890" t="n">
        <x:v>-0.0829</x:v>
      </x:c>
      <x:c r="F890" t="n">
        <x:v>180</x:v>
      </x:c>
      <x:c r="G890" t="n">
        <x:v>178</x:v>
      </x:c>
      <x:c r="H890" t="n">
        <x:v>-2</x:v>
      </x:c>
      <x:c r="I890" t="n">
        <x:v>-0.0111</x:v>
      </x:c>
      <x:c r="J890" t="str">
        <x:v>Low</x:v>
      </x:c>
      <x:c r="K890" t="n">
        <x:v>25.7</x:v>
      </x:c>
      <x:c r="L890" t="n">
        <x:v>28.9</x:v>
      </x:c>
      <x:c r="M890" t="n">
        <x:v>30</x:v>
      </x:c>
      <x:c r="N890" t="str">
        <x:v>Optimistic</x:v>
      </x:c>
      <x:c r="O890" t="str">
        <x:v>Optimistic</x:v>
      </x:c>
    </x:row>
    <x:row r="891">
      <x:c r="A891" t="str">
        <x:v>PJT_890</x:v>
      </x:c>
      <x:c r="B891" t="n">
        <x:v>28510020</x:v>
      </x:c>
      <x:c r="C891" t="n">
        <x:v>29950784</x:v>
      </x:c>
      <x:c r="D891" t="n">
        <x:v>1440764</x:v>
      </x:c>
      <x:c r="E891" t="n">
        <x:v>0.0505</x:v>
      </x:c>
      <x:c r="F891" t="n">
        <x:v>625</x:v>
      </x:c>
      <x:c r="G891" t="n">
        <x:v>646</x:v>
      </x:c>
      <x:c r="H891" t="n">
        <x:v>21</x:v>
      </x:c>
      <x:c r="I891" t="n">
        <x:v>0.0336</x:v>
      </x:c>
      <x:c r="J891" t="str">
        <x:v>Medium</x:v>
      </x:c>
      <x:c r="K891" t="n">
        <x:v>49.4</x:v>
      </x:c>
      <x:c r="L891" t="n">
        <x:v>46.1</x:v>
      </x:c>
      <x:c r="M891" t="n">
        <x:v>45.2</x:v>
      </x:c>
      <x:c r="N891" t="str">
        <x:v>Most Likely</x:v>
      </x:c>
      <x:c r="O891" t="str">
        <x:v>Most Likely</x:v>
      </x:c>
    </x:row>
    <x:row r="892">
      <x:c r="A892" t="str">
        <x:v>PJT_891</x:v>
      </x:c>
      <x:c r="B892" t="n">
        <x:v>82566960</x:v>
      </x:c>
      <x:c r="C892" t="n">
        <x:v>92531306</x:v>
      </x:c>
      <x:c r="D892" t="n">
        <x:v>9964346</x:v>
      </x:c>
      <x:c r="E892" t="n">
        <x:v>0.1207</x:v>
      </x:c>
      <x:c r="F892" t="n">
        <x:v>1537</x:v>
      </x:c>
      <x:c r="G892" t="n">
        <x:v>1786</x:v>
      </x:c>
      <x:c r="H892" t="n">
        <x:v>249</x:v>
      </x:c>
      <x:c r="I892" t="n">
        <x:v>0.162</x:v>
      </x:c>
      <x:c r="J892" t="str">
        <x:v>High</x:v>
      </x:c>
      <x:c r="K892" t="n">
        <x:v>77</x:v>
      </x:c>
      <x:c r="L892" t="n">
        <x:v>71.2</x:v>
      </x:c>
      <x:c r="M892" t="n">
        <x:v>75.1</x:v>
      </x:c>
      <x:c r="N892" t="str">
        <x:v>Pessimistic</x:v>
      </x:c>
      <x:c r="O892" t="str">
        <x:v>Pessimistic</x:v>
      </x:c>
    </x:row>
    <x:row r="893">
      <x:c r="A893" t="str">
        <x:v>PJT_892</x:v>
      </x:c>
      <x:c r="B893" t="n">
        <x:v>35011200</x:v>
      </x:c>
      <x:c r="C893" t="n">
        <x:v>36658554</x:v>
      </x:c>
      <x:c r="D893" t="n">
        <x:v>1647354</x:v>
      </x:c>
      <x:c r="E893" t="n">
        <x:v>0.0471</x:v>
      </x:c>
      <x:c r="F893" t="n">
        <x:v>642</x:v>
      </x:c>
      <x:c r="G893" t="n">
        <x:v>649</x:v>
      </x:c>
      <x:c r="H893" t="n">
        <x:v>7</x:v>
      </x:c>
      <x:c r="I893" t="n">
        <x:v>0.0109</x:v>
      </x:c>
      <x:c r="J893" t="str">
        <x:v>Medium</x:v>
      </x:c>
      <x:c r="K893" t="n">
        <x:v>51.1</x:v>
      </x:c>
      <x:c r="L893" t="n">
        <x:v>45.9</x:v>
      </x:c>
      <x:c r="M893" t="n">
        <x:v>49.8</x:v>
      </x:c>
      <x:c r="N893" t="str">
        <x:v>Most Likely</x:v>
      </x:c>
      <x:c r="O893" t="str">
        <x:v>Most Likely</x:v>
      </x:c>
    </x:row>
    <x:row r="894">
      <x:c r="A894" t="str">
        <x:v>PJT_893</x:v>
      </x:c>
      <x:c r="B894" t="n">
        <x:v>5059810</x:v>
      </x:c>
      <x:c r="C894" t="n">
        <x:v>4682281</x:v>
      </x:c>
      <x:c r="D894" t="n">
        <x:v>-377529</x:v>
      </x:c>
      <x:c r="E894" t="n">
        <x:v>-0.0746</x:v>
      </x:c>
      <x:c r="F894" t="n">
        <x:v>180</x:v>
      </x:c>
      <x:c r="G894" t="n">
        <x:v>185</x:v>
      </x:c>
      <x:c r="H894" t="n">
        <x:v>5</x:v>
      </x:c>
      <x:c r="I894" t="n">
        <x:v>0.0278</x:v>
      </x:c>
      <x:c r="J894" t="str">
        <x:v>Low</x:v>
      </x:c>
      <x:c r="K894" t="n">
        <x:v>37</x:v>
      </x:c>
      <x:c r="L894" t="n">
        <x:v>32.9</x:v>
      </x:c>
      <x:c r="M894" t="n">
        <x:v>37.3</x:v>
      </x:c>
      <x:c r="N894" t="str">
        <x:v>Optimistic</x:v>
      </x:c>
      <x:c r="O894" t="str">
        <x:v>Most Likely</x:v>
      </x:c>
    </x:row>
    <x:row r="895">
      <x:c r="A895" t="str">
        <x:v>PJT_894</x:v>
      </x:c>
      <x:c r="B895" t="n">
        <x:v>22190400</x:v>
      </x:c>
      <x:c r="C895" t="n">
        <x:v>22671245</x:v>
      </x:c>
      <x:c r="D895" t="n">
        <x:v>480845</x:v>
      </x:c>
      <x:c r="E895" t="n">
        <x:v>0.0217</x:v>
      </x:c>
      <x:c r="F895" t="n">
        <x:v>485</x:v>
      </x:c>
      <x:c r="G895" t="n">
        <x:v>505</x:v>
      </x:c>
      <x:c r="H895" t="n">
        <x:v>20</x:v>
      </x:c>
      <x:c r="I895" t="n">
        <x:v>0.0412</x:v>
      </x:c>
      <x:c r="J895" t="str">
        <x:v>Low</x:v>
      </x:c>
      <x:c r="K895" t="n">
        <x:v>34.2</x:v>
      </x:c>
      <x:c r="L895" t="n">
        <x:v>30.1</x:v>
      </x:c>
      <x:c r="M895" t="n">
        <x:v>28.7</x:v>
      </x:c>
      <x:c r="N895" t="str">
        <x:v>Most Likely</x:v>
      </x:c>
      <x:c r="O895" t="str">
        <x:v>Most Likely</x:v>
      </x:c>
    </x:row>
    <x:row r="896">
      <x:c r="A896" t="str">
        <x:v>PJT_895</x:v>
      </x:c>
      <x:c r="B896" t="n">
        <x:v>61971000</x:v>
      </x:c>
      <x:c r="C896" t="n">
        <x:v>64165392</x:v>
      </x:c>
      <x:c r="D896" t="n">
        <x:v>2194392</x:v>
      </x:c>
      <x:c r="E896" t="n">
        <x:v>0.0354</x:v>
      </x:c>
      <x:c r="F896" t="n">
        <x:v>1010</x:v>
      </x:c>
      <x:c r="G896" t="n">
        <x:v>1154</x:v>
      </x:c>
      <x:c r="H896" t="n">
        <x:v>144</x:v>
      </x:c>
      <x:c r="I896" t="n">
        <x:v>0.1426</x:v>
      </x:c>
      <x:c r="J896" t="str">
        <x:v>Medium</x:v>
      </x:c>
      <x:c r="K896" t="n">
        <x:v>61.5</x:v>
      </x:c>
      <x:c r="L896" t="n">
        <x:v>61.9</x:v>
      </x:c>
      <x:c r="M896" t="n">
        <x:v>62.6</x:v>
      </x:c>
      <x:c r="N896" t="str">
        <x:v>Most Likely</x:v>
      </x:c>
      <x:c r="O896" t="str">
        <x:v>Pessimistic</x:v>
      </x:c>
    </x:row>
    <x:row r="897">
      <x:c r="A897" t="str">
        <x:v>PJT_896</x:v>
      </x:c>
      <x:c r="B897" t="n">
        <x:v>14349200</x:v>
      </x:c>
      <x:c r="C897" t="n">
        <x:v>14042507</x:v>
      </x:c>
      <x:c r="D897" t="n">
        <x:v>-306693</x:v>
      </x:c>
      <x:c r="E897" t="n">
        <x:v>-0.0214</x:v>
      </x:c>
      <x:c r="F897" t="n">
        <x:v>382</x:v>
      </x:c>
      <x:c r="G897" t="n">
        <x:v>402</x:v>
      </x:c>
      <x:c r="H897" t="n">
        <x:v>20</x:v>
      </x:c>
      <x:c r="I897" t="n">
        <x:v>0.0524</x:v>
      </x:c>
      <x:c r="J897" t="str">
        <x:v>Low</x:v>
      </x:c>
      <x:c r="K897" t="n">
        <x:v>32.8</x:v>
      </x:c>
      <x:c r="L897" t="n">
        <x:v>28.7</x:v>
      </x:c>
      <x:c r="M897" t="n">
        <x:v>32</x:v>
      </x:c>
      <x:c r="N897" t="str">
        <x:v>Optimistic</x:v>
      </x:c>
      <x:c r="O897" t="str">
        <x:v>Most Likely</x:v>
      </x:c>
    </x:row>
    <x:row r="898">
      <x:c r="A898" t="str">
        <x:v>PJT_897</x:v>
      </x:c>
      <x:c r="B898" t="n">
        <x:v>22139960</x:v>
      </x:c>
      <x:c r="C898" t="n">
        <x:v>23389940</x:v>
      </x:c>
      <x:c r="D898" t="n">
        <x:v>1249980</x:v>
      </x:c>
      <x:c r="E898" t="n">
        <x:v>0.0565</x:v>
      </x:c>
      <x:c r="F898" t="n">
        <x:v>476</x:v>
      </x:c>
      <x:c r="G898" t="n">
        <x:v>467</x:v>
      </x:c>
      <x:c r="H898" t="n">
        <x:v>-9</x:v>
      </x:c>
      <x:c r="I898" t="n">
        <x:v>-0.0189</x:v>
      </x:c>
      <x:c r="J898" t="str">
        <x:v>Low</x:v>
      </x:c>
      <x:c r="K898" t="n">
        <x:v>42.2</x:v>
      </x:c>
      <x:c r="L898" t="n">
        <x:v>38.6</x:v>
      </x:c>
      <x:c r="M898" t="n">
        <x:v>37.4</x:v>
      </x:c>
      <x:c r="N898" t="str">
        <x:v>Most Likely</x:v>
      </x:c>
      <x:c r="O898" t="str">
        <x:v>Optimistic</x:v>
      </x:c>
    </x:row>
    <x:row r="899">
      <x:c r="A899" t="str">
        <x:v>PJT_898</x:v>
      </x:c>
      <x:c r="B899" t="n">
        <x:v>40367930</x:v>
      </x:c>
      <x:c r="C899" t="n">
        <x:v>42484394</x:v>
      </x:c>
      <x:c r="D899" t="n">
        <x:v>2116464</x:v>
      </x:c>
      <x:c r="E899" t="n">
        <x:v>0.0524</x:v>
      </x:c>
      <x:c r="F899" t="n">
        <x:v>773</x:v>
      </x:c>
      <x:c r="G899" t="n">
        <x:v>804</x:v>
      </x:c>
      <x:c r="H899" t="n">
        <x:v>31</x:v>
      </x:c>
      <x:c r="I899" t="n">
        <x:v>0.0401</x:v>
      </x:c>
      <x:c r="J899" t="str">
        <x:v>Low</x:v>
      </x:c>
      <x:c r="K899" t="n">
        <x:v>44.1</x:v>
      </x:c>
      <x:c r="L899" t="n">
        <x:v>46.5</x:v>
      </x:c>
      <x:c r="M899" t="n">
        <x:v>42.8</x:v>
      </x:c>
      <x:c r="N899" t="str">
        <x:v>Most Likely</x:v>
      </x:c>
      <x:c r="O899" t="str">
        <x:v>Most Likely</x:v>
      </x:c>
    </x:row>
    <x:row r="900">
      <x:c r="A900" t="str">
        <x:v>PJT_899</x:v>
      </x:c>
      <x:c r="B900" t="n">
        <x:v>12402720</x:v>
      </x:c>
      <x:c r="C900" t="n">
        <x:v>12765014</x:v>
      </x:c>
      <x:c r="D900" t="n">
        <x:v>362294</x:v>
      </x:c>
      <x:c r="E900" t="n">
        <x:v>0.0292</x:v>
      </x:c>
      <x:c r="F900" t="n">
        <x:v>332</x:v>
      </x:c>
      <x:c r="G900" t="n">
        <x:v>343</x:v>
      </x:c>
      <x:c r="H900" t="n">
        <x:v>11</x:v>
      </x:c>
      <x:c r="I900" t="n">
        <x:v>0.0331</x:v>
      </x:c>
      <x:c r="J900" t="str">
        <x:v>Low</x:v>
      </x:c>
      <x:c r="K900" t="n">
        <x:v>32</x:v>
      </x:c>
      <x:c r="L900" t="n">
        <x:v>24.7</x:v>
      </x:c>
      <x:c r="M900" t="n">
        <x:v>28.4</x:v>
      </x:c>
      <x:c r="N900" t="str">
        <x:v>Most Likely</x:v>
      </x:c>
      <x:c r="O900" t="str">
        <x:v>Most Likely</x:v>
      </x:c>
    </x:row>
    <x:row r="901">
      <x:c r="A901" t="str">
        <x:v>PJT_900</x:v>
      </x:c>
      <x:c r="B901" t="n">
        <x:v>38844050</x:v>
      </x:c>
      <x:c r="C901" t="n">
        <x:v>41381805</x:v>
      </x:c>
      <x:c r="D901" t="n">
        <x:v>2537755</x:v>
      </x:c>
      <x:c r="E901" t="n">
        <x:v>0.0653</x:v>
      </x:c>
      <x:c r="F901" t="n">
        <x:v>625</x:v>
      </x:c>
      <x:c r="G901" t="n">
        <x:v>705</x:v>
      </x:c>
      <x:c r="H901" t="n">
        <x:v>80</x:v>
      </x:c>
      <x:c r="I901" t="n">
        <x:v>0.128</x:v>
      </x:c>
      <x:c r="J901" t="str">
        <x:v>Medium</x:v>
      </x:c>
      <x:c r="K901" t="n">
        <x:v>56</x:v>
      </x:c>
      <x:c r="L901" t="n">
        <x:v>57.2</x:v>
      </x:c>
      <x:c r="M901" t="n">
        <x:v>52.6</x:v>
      </x:c>
      <x:c r="N901" t="str">
        <x:v>Most Likely</x:v>
      </x:c>
      <x:c r="O901" t="str">
        <x:v>Pessimistic</x:v>
      </x:c>
    </x:row>
    <x:row r="902">
      <x:c r="A902" t="str">
        <x:v>PJT_901</x:v>
      </x:c>
      <x:c r="B902" t="n">
        <x:v>93134800</x:v>
      </x:c>
      <x:c r="C902" t="n">
        <x:v>100058757</x:v>
      </x:c>
      <x:c r="D902" t="n">
        <x:v>6923957</x:v>
      </x:c>
      <x:c r="E902" t="n">
        <x:v>0.0743</x:v>
      </x:c>
      <x:c r="F902" t="n">
        <x:v>1546</x:v>
      </x:c>
      <x:c r="G902" t="n">
        <x:v>1551</x:v>
      </x:c>
      <x:c r="H902" t="n">
        <x:v>5</x:v>
      </x:c>
      <x:c r="I902" t="n">
        <x:v>0.0032</x:v>
      </x:c>
      <x:c r="J902" t="str">
        <x:v>High</x:v>
      </x:c>
      <x:c r="K902" t="n">
        <x:v>70.3</x:v>
      </x:c>
      <x:c r="L902" t="n">
        <x:v>75.4</x:v>
      </x:c>
      <x:c r="M902" t="n">
        <x:v>65.7</x:v>
      </x:c>
      <x:c r="N902" t="str">
        <x:v>Most Likely</x:v>
      </x:c>
      <x:c r="O902" t="str">
        <x:v>Most Likely</x:v>
      </x:c>
    </x:row>
    <x:row r="903">
      <x:c r="A903" t="str">
        <x:v>PJT_902</x:v>
      </x:c>
      <x:c r="B903" t="n">
        <x:v>14261800</x:v>
      </x:c>
      <x:c r="C903" t="n">
        <x:v>14193806</x:v>
      </x:c>
      <x:c r="D903" t="n">
        <x:v>-67994</x:v>
      </x:c>
      <x:c r="E903" t="n">
        <x:v>-0.0048</x:v>
      </x:c>
      <x:c r="F903" t="n">
        <x:v>238</x:v>
      </x:c>
      <x:c r="G903" t="n">
        <x:v>247</x:v>
      </x:c>
      <x:c r="H903" t="n">
        <x:v>9</x:v>
      </x:c>
      <x:c r="I903" t="n">
        <x:v>0.0378</x:v>
      </x:c>
      <x:c r="J903" t="str">
        <x:v>Low</x:v>
      </x:c>
      <x:c r="K903" t="n">
        <x:v>24</x:v>
      </x:c>
      <x:c r="L903" t="n">
        <x:v>25.2</x:v>
      </x:c>
      <x:c r="M903" t="n">
        <x:v>24.1</x:v>
      </x:c>
      <x:c r="N903" t="str">
        <x:v>Optimistic</x:v>
      </x:c>
      <x:c r="O903" t="str">
        <x:v>Most Likely</x:v>
      </x:c>
    </x:row>
    <x:row r="904">
      <x:c r="A904" t="str">
        <x:v>PJT_903</x:v>
      </x:c>
      <x:c r="B904" t="n">
        <x:v>18244640</x:v>
      </x:c>
      <x:c r="C904" t="n">
        <x:v>19332482</x:v>
      </x:c>
      <x:c r="D904" t="n">
        <x:v>1087842</x:v>
      </x:c>
      <x:c r="E904" t="n">
        <x:v>0.0596</x:v>
      </x:c>
      <x:c r="F904" t="n">
        <x:v>425</x:v>
      </x:c>
      <x:c r="G904" t="n">
        <x:v>462</x:v>
      </x:c>
      <x:c r="H904" t="n">
        <x:v>37</x:v>
      </x:c>
      <x:c r="I904" t="n">
        <x:v>0.0871</x:v>
      </x:c>
      <x:c r="J904" t="str">
        <x:v>Medium</x:v>
      </x:c>
      <x:c r="K904" t="n">
        <x:v>46.5</x:v>
      </x:c>
      <x:c r="L904" t="n">
        <x:v>42.2</x:v>
      </x:c>
      <x:c r="M904" t="n">
        <x:v>44.6</x:v>
      </x:c>
      <x:c r="N904" t="str">
        <x:v>Most Likely</x:v>
      </x:c>
      <x:c r="O904" t="str">
        <x:v>Most Likely</x:v>
      </x:c>
    </x:row>
    <x:row r="905">
      <x:c r="A905" t="str">
        <x:v>PJT_904</x:v>
      </x:c>
      <x:c r="B905" t="n">
        <x:v>84539390</x:v>
      </x:c>
      <x:c r="C905" t="n">
        <x:v>88881524</x:v>
      </x:c>
      <x:c r="D905" t="n">
        <x:v>4342134</x:v>
      </x:c>
      <x:c r="E905" t="n">
        <x:v>0.0514</x:v>
      </x:c>
      <x:c r="F905" t="n">
        <x:v>1708</x:v>
      </x:c>
      <x:c r="G905" t="n">
        <x:v>1832</x:v>
      </x:c>
      <x:c r="H905" t="n">
        <x:v>124</x:v>
      </x:c>
      <x:c r="I905" t="n">
        <x:v>0.0726</x:v>
      </x:c>
      <x:c r="J905" t="str">
        <x:v>Medium</x:v>
      </x:c>
      <x:c r="K905" t="n">
        <x:v>58.4</x:v>
      </x:c>
      <x:c r="L905" t="n">
        <x:v>61.5</x:v>
      </x:c>
      <x:c r="M905" t="n">
        <x:v>63.6</x:v>
      </x:c>
      <x:c r="N905" t="str">
        <x:v>Most Likely</x:v>
      </x:c>
      <x:c r="O905" t="str">
        <x:v>Most Likely</x:v>
      </x:c>
    </x:row>
    <x:row r="906">
      <x:c r="A906" t="str">
        <x:v>PJT_905</x:v>
      </x:c>
      <x:c r="B906" t="n">
        <x:v>41519140</x:v>
      </x:c>
      <x:c r="C906" t="n">
        <x:v>40506452</x:v>
      </x:c>
      <x:c r="D906" t="n">
        <x:v>-1012688</x:v>
      </x:c>
      <x:c r="E906" t="n">
        <x:v>-0.0244</x:v>
      </x:c>
      <x:c r="F906" t="n">
        <x:v>807</x:v>
      </x:c>
      <x:c r="G906" t="n">
        <x:v>772</x:v>
      </x:c>
      <x:c r="H906" t="n">
        <x:v>-35</x:v>
      </x:c>
      <x:c r="I906" t="n">
        <x:v>-0.0434</x:v>
      </x:c>
      <x:c r="J906" t="str">
        <x:v>Medium</x:v>
      </x:c>
      <x:c r="K906" t="n">
        <x:v>45.1</x:v>
      </x:c>
      <x:c r="L906" t="n">
        <x:v>48</x:v>
      </x:c>
      <x:c r="M906" t="n">
        <x:v>48.7</x:v>
      </x:c>
      <x:c r="N906" t="str">
        <x:v>Optimistic</x:v>
      </x:c>
      <x:c r="O906" t="str">
        <x:v>Optimistic</x:v>
      </x:c>
    </x:row>
    <x:row r="907">
      <x:c r="A907" t="str">
        <x:v>PJT_906</x:v>
      </x:c>
      <x:c r="B907" t="n">
        <x:v>102252030</x:v>
      </x:c>
      <x:c r="C907" t="n">
        <x:v>105989974</x:v>
      </x:c>
      <x:c r="D907" t="n">
        <x:v>3737944</x:v>
      </x:c>
      <x:c r="E907" t="n">
        <x:v>0.0366</x:v>
      </x:c>
      <x:c r="F907" t="n">
        <x:v>2033</x:v>
      </x:c>
      <x:c r="G907" t="n">
        <x:v>2123</x:v>
      </x:c>
      <x:c r="H907" t="n">
        <x:v>90</x:v>
      </x:c>
      <x:c r="I907" t="n">
        <x:v>0.0443</x:v>
      </x:c>
      <x:c r="J907" t="str">
        <x:v>Medium</x:v>
      </x:c>
      <x:c r="K907" t="n">
        <x:v>51</x:v>
      </x:c>
      <x:c r="L907" t="n">
        <x:v>54.9</x:v>
      </x:c>
      <x:c r="M907" t="n">
        <x:v>55.6</x:v>
      </x:c>
      <x:c r="N907" t="str">
        <x:v>Most Likely</x:v>
      </x:c>
      <x:c r="O907" t="str">
        <x:v>Most Likely</x:v>
      </x:c>
    </x:row>
    <x:row r="908">
      <x:c r="A908" t="str">
        <x:v>PJT_907</x:v>
      </x:c>
      <x:c r="B908" t="n">
        <x:v>19062400</x:v>
      </x:c>
      <x:c r="C908" t="n">
        <x:v>19040448</x:v>
      </x:c>
      <x:c r="D908" t="n">
        <x:v>-21952</x:v>
      </x:c>
      <x:c r="E908" t="n">
        <x:v>-0.0012</x:v>
      </x:c>
      <x:c r="F908" t="n">
        <x:v>441</x:v>
      </x:c>
      <x:c r="G908" t="n">
        <x:v>441</x:v>
      </x:c>
      <x:c r="H908" t="n">
        <x:v>0</x:v>
      </x:c>
      <x:c r="I908" t="n">
        <x:v>0</x:v>
      </x:c>
      <x:c r="J908" t="str">
        <x:v>Medium</x:v>
      </x:c>
      <x:c r="K908" t="n">
        <x:v>45.6</x:v>
      </x:c>
      <x:c r="L908" t="n">
        <x:v>41.3</x:v>
      </x:c>
      <x:c r="M908" t="n">
        <x:v>47.9</x:v>
      </x:c>
      <x:c r="N908" t="str">
        <x:v>Optimistic</x:v>
      </x:c>
      <x:c r="O908" t="str">
        <x:v>Optimistic</x:v>
      </x:c>
    </x:row>
    <x:row r="909">
      <x:c r="A909" t="str">
        <x:v>PJT_908</x:v>
      </x:c>
      <x:c r="B909" t="n">
        <x:v>73035040</x:v>
      </x:c>
      <x:c r="C909" t="n">
        <x:v>79074540</x:v>
      </x:c>
      <x:c r="D909" t="n">
        <x:v>6039500</x:v>
      </x:c>
      <x:c r="E909" t="n">
        <x:v>0.0827</x:v>
      </x:c>
      <x:c r="F909" t="n">
        <x:v>1357</x:v>
      </x:c>
      <x:c r="G909" t="n">
        <x:v>1420</x:v>
      </x:c>
      <x:c r="H909" t="n">
        <x:v>63</x:v>
      </x:c>
      <x:c r="I909" t="n">
        <x:v>0.0464</x:v>
      </x:c>
      <x:c r="J909" t="str">
        <x:v>Medium</x:v>
      </x:c>
      <x:c r="K909" t="n">
        <x:v>55.4</x:v>
      </x:c>
      <x:c r="L909" t="n">
        <x:v>54.2</x:v>
      </x:c>
      <x:c r="M909" t="n">
        <x:v>51.6</x:v>
      </x:c>
      <x:c r="N909" t="str">
        <x:v>Most Likely</x:v>
      </x:c>
      <x:c r="O909" t="str">
        <x:v>Most Likely</x:v>
      </x:c>
    </x:row>
    <x:row r="910">
      <x:c r="A910" t="str">
        <x:v>PJT_909</x:v>
      </x:c>
      <x:c r="B910" t="n">
        <x:v>62775510</x:v>
      </x:c>
      <x:c r="C910" t="n">
        <x:v>67242541</x:v>
      </x:c>
      <x:c r="D910" t="n">
        <x:v>4467031</x:v>
      </x:c>
      <x:c r="E910" t="n">
        <x:v>0.0712</x:v>
      </x:c>
      <x:c r="F910" t="n">
        <x:v>1216</x:v>
      </x:c>
      <x:c r="G910" t="n">
        <x:v>1184</x:v>
      </x:c>
      <x:c r="H910" t="n">
        <x:v>-32</x:v>
      </x:c>
      <x:c r="I910" t="n">
        <x:v>-0.0263</x:v>
      </x:c>
      <x:c r="J910" t="str">
        <x:v>Medium</x:v>
      </x:c>
      <x:c r="K910" t="n">
        <x:v>55.5</x:v>
      </x:c>
      <x:c r="L910" t="n">
        <x:v>54.5</x:v>
      </x:c>
      <x:c r="M910" t="n">
        <x:v>48.4</x:v>
      </x:c>
      <x:c r="N910" t="str">
        <x:v>Most Likely</x:v>
      </x:c>
      <x:c r="O910" t="str">
        <x:v>Optimistic</x:v>
      </x:c>
    </x:row>
    <x:row r="911">
      <x:c r="A911" t="str">
        <x:v>PJT_910</x:v>
      </x:c>
      <x:c r="B911" t="n">
        <x:v>13848900</x:v>
      </x:c>
      <x:c r="C911" t="n">
        <x:v>13702474</x:v>
      </x:c>
      <x:c r="D911" t="n">
        <x:v>-146426</x:v>
      </x:c>
      <x:c r="E911" t="n">
        <x:v>-0.0106</x:v>
      </x:c>
      <x:c r="F911" t="n">
        <x:v>228</x:v>
      </x:c>
      <x:c r="G911" t="n">
        <x:v>234</x:v>
      </x:c>
      <x:c r="H911" t="n">
        <x:v>6</x:v>
      </x:c>
      <x:c r="I911" t="n">
        <x:v>0.0263</x:v>
      </x:c>
      <x:c r="J911" t="str">
        <x:v>Low</x:v>
      </x:c>
      <x:c r="K911" t="n">
        <x:v>37</x:v>
      </x:c>
      <x:c r="L911" t="n">
        <x:v>41</x:v>
      </x:c>
      <x:c r="M911" t="n">
        <x:v>36</x:v>
      </x:c>
      <x:c r="N911" t="str">
        <x:v>Optimistic</x:v>
      </x:c>
      <x:c r="O911" t="str">
        <x:v>Most Likely</x:v>
      </x:c>
    </x:row>
    <x:row r="912">
      <x:c r="A912" t="str">
        <x:v>PJT_911</x:v>
      </x:c>
      <x:c r="B912" t="n">
        <x:v>17637290</x:v>
      </x:c>
      <x:c r="C912" t="n">
        <x:v>16341690</x:v>
      </x:c>
      <x:c r="D912" t="n">
        <x:v>-1295600</x:v>
      </x:c>
      <x:c r="E912" t="n">
        <x:v>-0.0735</x:v>
      </x:c>
      <x:c r="F912" t="n">
        <x:v>442</x:v>
      </x:c>
      <x:c r="G912" t="n">
        <x:v>412</x:v>
      </x:c>
      <x:c r="H912" t="n">
        <x:v>-30</x:v>
      </x:c>
      <x:c r="I912" t="n">
        <x:v>-0.0679</x:v>
      </x:c>
      <x:c r="J912" t="str">
        <x:v>Low</x:v>
      </x:c>
      <x:c r="K912" t="n">
        <x:v>34.1</x:v>
      </x:c>
      <x:c r="L912" t="n">
        <x:v>29.4</x:v>
      </x:c>
      <x:c r="M912" t="n">
        <x:v>37.6</x:v>
      </x:c>
      <x:c r="N912" t="str">
        <x:v>Optimistic</x:v>
      </x:c>
      <x:c r="O912" t="str">
        <x:v>Optimistic</x:v>
      </x:c>
    </x:row>
    <x:row r="913">
      <x:c r="A913" t="str">
        <x:v>PJT_912</x:v>
      </x:c>
      <x:c r="B913" t="n">
        <x:v>7414680</x:v>
      </x:c>
      <x:c r="C913" t="n">
        <x:v>7290205</x:v>
      </x:c>
      <x:c r="D913" t="n">
        <x:v>-124475</x:v>
      </x:c>
      <x:c r="E913" t="n">
        <x:v>-0.0168</x:v>
      </x:c>
      <x:c r="F913" t="n">
        <x:v>180</x:v>
      </x:c>
      <x:c r="G913" t="n">
        <x:v>185</x:v>
      </x:c>
      <x:c r="H913" t="n">
        <x:v>5</x:v>
      </x:c>
      <x:c r="I913" t="n">
        <x:v>0.0278</x:v>
      </x:c>
      <x:c r="J913" t="str">
        <x:v>Low</x:v>
      </x:c>
      <x:c r="K913" t="n">
        <x:v>24</x:v>
      </x:c>
      <x:c r="L913" t="n">
        <x:v>27.5</x:v>
      </x:c>
      <x:c r="M913" t="n">
        <x:v>22.7</x:v>
      </x:c>
      <x:c r="N913" t="str">
        <x:v>Optimistic</x:v>
      </x:c>
      <x:c r="O913" t="str">
        <x:v>Most Likely</x:v>
      </x:c>
    </x:row>
    <x:row r="914">
      <x:c r="A914" t="str">
        <x:v>PJT_913</x:v>
      </x:c>
      <x:c r="B914" t="n">
        <x:v>58407420</x:v>
      </x:c>
      <x:c r="C914" t="n">
        <x:v>58021126</x:v>
      </x:c>
      <x:c r="D914" t="n">
        <x:v>-386294</x:v>
      </x:c>
      <x:c r="E914" t="n">
        <x:v>-0.0066</x:v>
      </x:c>
      <x:c r="F914" t="n">
        <x:v>1234</x:v>
      </x:c>
      <x:c r="G914" t="n">
        <x:v>1343</x:v>
      </x:c>
      <x:c r="H914" t="n">
        <x:v>109</x:v>
      </x:c>
      <x:c r="I914" t="n">
        <x:v>0.0883</x:v>
      </x:c>
      <x:c r="J914" t="str">
        <x:v>Medium</x:v>
      </x:c>
      <x:c r="K914" t="n">
        <x:v>59.8</x:v>
      </x:c>
      <x:c r="L914" t="n">
        <x:v>66.9</x:v>
      </x:c>
      <x:c r="M914" t="n">
        <x:v>62.7</x:v>
      </x:c>
      <x:c r="N914" t="str">
        <x:v>Optimistic</x:v>
      </x:c>
      <x:c r="O914" t="str">
        <x:v>Most Likely</x:v>
      </x:c>
    </x:row>
    <x:row r="915">
      <x:c r="A915" t="str">
        <x:v>PJT_914</x:v>
      </x:c>
      <x:c r="B915" t="n">
        <x:v>32973370</x:v>
      </x:c>
      <x:c r="C915" t="n">
        <x:v>36556554</x:v>
      </x:c>
      <x:c r="D915" t="n">
        <x:v>3583184</x:v>
      </x:c>
      <x:c r="E915" t="n">
        <x:v>0.1087</x:v>
      </x:c>
      <x:c r="F915" t="n">
        <x:v>635</x:v>
      </x:c>
      <x:c r="G915" t="n">
        <x:v>652</x:v>
      </x:c>
      <x:c r="H915" t="n">
        <x:v>17</x:v>
      </x:c>
      <x:c r="I915" t="n">
        <x:v>0.0268</x:v>
      </x:c>
      <x:c r="J915" t="str">
        <x:v>Medium</x:v>
      </x:c>
      <x:c r="K915" t="n">
        <x:v>64.5</x:v>
      </x:c>
      <x:c r="L915" t="n">
        <x:v>62.9</x:v>
      </x:c>
      <x:c r="M915" t="n">
        <x:v>59.5</x:v>
      </x:c>
      <x:c r="N915" t="str">
        <x:v>Pessimistic</x:v>
      </x:c>
      <x:c r="O915" t="str">
        <x:v>Most Likely</x:v>
      </x:c>
    </x:row>
    <x:row r="916">
      <x:c r="A916" t="str">
        <x:v>PJT_915</x:v>
      </x:c>
      <x:c r="B916" t="n">
        <x:v>18886570</x:v>
      </x:c>
      <x:c r="C916" t="n">
        <x:v>19725842</x:v>
      </x:c>
      <x:c r="D916" t="n">
        <x:v>839272</x:v>
      </x:c>
      <x:c r="E916" t="n">
        <x:v>0.0444</x:v>
      </x:c>
      <x:c r="F916" t="n">
        <x:v>330</x:v>
      </x:c>
      <x:c r="G916" t="n">
        <x:v>318</x:v>
      </x:c>
      <x:c r="H916" t="n">
        <x:v>-12</x:v>
      </x:c>
      <x:c r="I916" t="n">
        <x:v>-0.0364</x:v>
      </x:c>
      <x:c r="J916" t="str">
        <x:v>Low</x:v>
      </x:c>
      <x:c r="K916" t="n">
        <x:v>40.2</x:v>
      </x:c>
      <x:c r="L916" t="n">
        <x:v>39.5</x:v>
      </x:c>
      <x:c r="M916" t="n">
        <x:v>36.5</x:v>
      </x:c>
      <x:c r="N916" t="str">
        <x:v>Most Likely</x:v>
      </x:c>
      <x:c r="O916" t="str">
        <x:v>Optimistic</x:v>
      </x:c>
    </x:row>
    <x:row r="917">
      <x:c r="A917" t="str">
        <x:v>PJT_916</x:v>
      </x:c>
      <x:c r="B917" t="n">
        <x:v>81403920</x:v>
      </x:c>
      <x:c r="C917" t="n">
        <x:v>87136654</x:v>
      </x:c>
      <x:c r="D917" t="n">
        <x:v>5732734</x:v>
      </x:c>
      <x:c r="E917" t="n">
        <x:v>0.0704</x:v>
      </x:c>
      <x:c r="F917" t="n">
        <x:v>1481</x:v>
      </x:c>
      <x:c r="G917" t="n">
        <x:v>1649</x:v>
      </x:c>
      <x:c r="H917" t="n">
        <x:v>168</x:v>
      </x:c>
      <x:c r="I917" t="n">
        <x:v>0.1134</x:v>
      </x:c>
      <x:c r="J917" t="str">
        <x:v>Medium</x:v>
      </x:c>
      <x:c r="K917" t="n">
        <x:v>66.9</x:v>
      </x:c>
      <x:c r="L917" t="n">
        <x:v>65.2</x:v>
      </x:c>
      <x:c r="M917" t="n">
        <x:v>66.4</x:v>
      </x:c>
      <x:c r="N917" t="str">
        <x:v>Most Likely</x:v>
      </x:c>
      <x:c r="O917" t="str">
        <x:v>Pessimistic</x:v>
      </x:c>
    </x:row>
    <x:row r="918">
      <x:c r="A918" t="str">
        <x:v>PJT_917</x:v>
      </x:c>
      <x:c r="B918" t="n">
        <x:v>86329680</x:v>
      </x:c>
      <x:c r="C918" t="n">
        <x:v>98525715</x:v>
      </x:c>
      <x:c r="D918" t="n">
        <x:v>12196035</x:v>
      </x:c>
      <x:c r="E918" t="n">
        <x:v>0.1413</x:v>
      </x:c>
      <x:c r="F918" t="n">
        <x:v>1615</x:v>
      </x:c>
      <x:c r="G918" t="n">
        <x:v>1807</x:v>
      </x:c>
      <x:c r="H918" t="n">
        <x:v>192</x:v>
      </x:c>
      <x:c r="I918" t="n">
        <x:v>0.1189</x:v>
      </x:c>
      <x:c r="J918" t="str">
        <x:v>Medium</x:v>
      </x:c>
      <x:c r="K918" t="n">
        <x:v>64.5</x:v>
      </x:c>
      <x:c r="L918" t="n">
        <x:v>70</x:v>
      </x:c>
      <x:c r="M918" t="n">
        <x:v>65.9</x:v>
      </x:c>
      <x:c r="N918" t="str">
        <x:v>Pessimistic</x:v>
      </x:c>
      <x:c r="O918" t="str">
        <x:v>Pessimistic</x:v>
      </x:c>
    </x:row>
    <x:row r="919">
      <x:c r="A919" t="str">
        <x:v>PJT_918</x:v>
      </x:c>
      <x:c r="B919" t="n">
        <x:v>23299500</x:v>
      </x:c>
      <x:c r="C919" t="n">
        <x:v>22128045</x:v>
      </x:c>
      <x:c r="D919" t="n">
        <x:v>-1171455</x:v>
      </x:c>
      <x:c r="E919" t="n">
        <x:v>-0.0503</x:v>
      </x:c>
      <x:c r="F919" t="n">
        <x:v>445</x:v>
      </x:c>
      <x:c r="G919" t="n">
        <x:v>444</x:v>
      </x:c>
      <x:c r="H919" t="n">
        <x:v>-1</x:v>
      </x:c>
      <x:c r="I919" t="n">
        <x:v>-0.0022</x:v>
      </x:c>
      <x:c r="J919" t="str">
        <x:v>Low</x:v>
      </x:c>
      <x:c r="K919" t="n">
        <x:v>24.7</x:v>
      </x:c>
      <x:c r="L919" t="n">
        <x:v>28.1</x:v>
      </x:c>
      <x:c r="M919" t="n">
        <x:v>32</x:v>
      </x:c>
      <x:c r="N919" t="str">
        <x:v>Optimistic</x:v>
      </x:c>
      <x:c r="O919" t="str">
        <x:v>Optimistic</x:v>
      </x:c>
    </x:row>
    <x:row r="920">
      <x:c r="A920" t="str">
        <x:v>PJT_919</x:v>
      </x:c>
      <x:c r="B920" t="n">
        <x:v>103614360</x:v>
      </x:c>
      <x:c r="C920" t="n">
        <x:v>110710510</x:v>
      </x:c>
      <x:c r="D920" t="n">
        <x:v>7096150</x:v>
      </x:c>
      <x:c r="E920" t="n">
        <x:v>0.0685</x:v>
      </x:c>
      <x:c r="F920" t="n">
        <x:v>2173</x:v>
      </x:c>
      <x:c r="G920" t="n">
        <x:v>2219</x:v>
      </x:c>
      <x:c r="H920" t="n">
        <x:v>46</x:v>
      </x:c>
      <x:c r="I920" t="n">
        <x:v>0.0212</x:v>
      </x:c>
      <x:c r="J920" t="str">
        <x:v>Medium</x:v>
      </x:c>
      <x:c r="K920" t="n">
        <x:v>61.1</x:v>
      </x:c>
      <x:c r="L920" t="n">
        <x:v>63.3</x:v>
      </x:c>
      <x:c r="M920" t="n">
        <x:v>58</x:v>
      </x:c>
      <x:c r="N920" t="str">
        <x:v>Most Likely</x:v>
      </x:c>
      <x:c r="O920" t="str">
        <x:v>Most Likely</x:v>
      </x:c>
    </x:row>
    <x:row r="921">
      <x:c r="A921" t="str">
        <x:v>PJT_920</x:v>
      </x:c>
      <x:c r="B921" t="n">
        <x:v>41325300</x:v>
      </x:c>
      <x:c r="C921" t="n">
        <x:v>43965168</x:v>
      </x:c>
      <x:c r="D921" t="n">
        <x:v>2639868</x:v>
      </x:c>
      <x:c r="E921" t="n">
        <x:v>0.0639</x:v>
      </x:c>
      <x:c r="F921" t="n">
        <x:v>783</x:v>
      </x:c>
      <x:c r="G921" t="n">
        <x:v>857</x:v>
      </x:c>
      <x:c r="H921" t="n">
        <x:v>74</x:v>
      </x:c>
      <x:c r="I921" t="n">
        <x:v>0.0945</x:v>
      </x:c>
      <x:c r="J921" t="str">
        <x:v>Medium</x:v>
      </x:c>
      <x:c r="K921" t="n">
        <x:v>54.6</x:v>
      </x:c>
      <x:c r="L921" t="n">
        <x:v>60.7</x:v>
      </x:c>
      <x:c r="M921" t="n">
        <x:v>61.4</x:v>
      </x:c>
      <x:c r="N921" t="str">
        <x:v>Most Likely</x:v>
      </x:c>
      <x:c r="O921" t="str">
        <x:v>Most Likely</x:v>
      </x:c>
    </x:row>
    <x:row r="922">
      <x:c r="A922" t="str">
        <x:v>PJT_921</x:v>
      </x:c>
      <x:c r="B922" t="n">
        <x:v>20928200</x:v>
      </x:c>
      <x:c r="C922" t="n">
        <x:v>19687602</x:v>
      </x:c>
      <x:c r="D922" t="n">
        <x:v>-1240598</x:v>
      </x:c>
      <x:c r="E922" t="n">
        <x:v>-0.0593</x:v>
      </x:c>
      <x:c r="F922" t="n">
        <x:v>559</x:v>
      </x:c>
      <x:c r="G922" t="n">
        <x:v>589</x:v>
      </x:c>
      <x:c r="H922" t="n">
        <x:v>30</x:v>
      </x:c>
      <x:c r="I922" t="n">
        <x:v>0.0537</x:v>
      </x:c>
      <x:c r="J922" t="str">
        <x:v>Low</x:v>
      </x:c>
      <x:c r="K922" t="n">
        <x:v>35.2</x:v>
      </x:c>
      <x:c r="L922" t="n">
        <x:v>33.5</x:v>
      </x:c>
      <x:c r="M922" t="n">
        <x:v>43</x:v>
      </x:c>
      <x:c r="N922" t="str">
        <x:v>Optimistic</x:v>
      </x:c>
      <x:c r="O922" t="str">
        <x:v>Most Likely</x:v>
      </x:c>
    </x:row>
    <x:row r="923">
      <x:c r="A923" t="str">
        <x:v>PJT_922</x:v>
      </x:c>
      <x:c r="B923" t="n">
        <x:v>23657340</x:v>
      </x:c>
      <x:c r="C923" t="n">
        <x:v>24415461</x:v>
      </x:c>
      <x:c r="D923" t="n">
        <x:v>758121</x:v>
      </x:c>
      <x:c r="E923" t="n">
        <x:v>0.032</x:v>
      </x:c>
      <x:c r="F923" t="n">
        <x:v>607</x:v>
      </x:c>
      <x:c r="G923" t="n">
        <x:v>622</x:v>
      </x:c>
      <x:c r="H923" t="n">
        <x:v>15</x:v>
      </x:c>
      <x:c r="I923" t="n">
        <x:v>0.0247</x:v>
      </x:c>
      <x:c r="J923" t="str">
        <x:v>Medium</x:v>
      </x:c>
      <x:c r="K923" t="n">
        <x:v>53</x:v>
      </x:c>
      <x:c r="L923" t="n">
        <x:v>51.3</x:v>
      </x:c>
      <x:c r="M923" t="n">
        <x:v>50.6</x:v>
      </x:c>
      <x:c r="N923" t="str">
        <x:v>Most Likely</x:v>
      </x:c>
      <x:c r="O923" t="str">
        <x:v>Most Likely</x:v>
      </x:c>
    </x:row>
    <x:row r="924">
      <x:c r="A924" t="str">
        <x:v>PJT_923</x:v>
      </x:c>
      <x:c r="B924" t="n">
        <x:v>31571640</x:v>
      </x:c>
      <x:c r="C924" t="n">
        <x:v>31649752</x:v>
      </x:c>
      <x:c r="D924" t="n">
        <x:v>78112</x:v>
      </x:c>
      <x:c r="E924" t="n">
        <x:v>0.0025</x:v>
      </x:c>
      <x:c r="F924" t="n">
        <x:v>552</x:v>
      </x:c>
      <x:c r="G924" t="n">
        <x:v>553</x:v>
      </x:c>
      <x:c r="H924" t="n">
        <x:v>1</x:v>
      </x:c>
      <x:c r="I924" t="n">
        <x:v>0.0018</x:v>
      </x:c>
      <x:c r="J924" t="str">
        <x:v>Low</x:v>
      </x:c>
      <x:c r="K924" t="n">
        <x:v>35.7</x:v>
      </x:c>
      <x:c r="L924" t="n">
        <x:v>37.1</x:v>
      </x:c>
      <x:c r="M924" t="n">
        <x:v>35</x:v>
      </x:c>
      <x:c r="N924" t="str">
        <x:v>Most Likely</x:v>
      </x:c>
      <x:c r="O924" t="str">
        <x:v>Most Likely</x:v>
      </x:c>
    </x:row>
    <x:row r="925">
      <x:c r="A925" t="str">
        <x:v>PJT_924</x:v>
      </x:c>
      <x:c r="B925" t="n">
        <x:v>58905600</x:v>
      </x:c>
      <x:c r="C925" t="n">
        <x:v>62193252</x:v>
      </x:c>
      <x:c r="D925" t="n">
        <x:v>3287652</x:v>
      </x:c>
      <x:c r="E925" t="n">
        <x:v>0.0558</x:v>
      </x:c>
      <x:c r="F925" t="n">
        <x:v>1121</x:v>
      </x:c>
      <x:c r="G925" t="n">
        <x:v>1210</x:v>
      </x:c>
      <x:c r="H925" t="n">
        <x:v>89</x:v>
      </x:c>
      <x:c r="I925" t="n">
        <x:v>0.0794</x:v>
      </x:c>
      <x:c r="J925" t="str">
        <x:v>Low</x:v>
      </x:c>
      <x:c r="K925" t="n">
        <x:v>44.9</x:v>
      </x:c>
      <x:c r="L925" t="n">
        <x:v>50.2</x:v>
      </x:c>
      <x:c r="M925" t="n">
        <x:v>50.1</x:v>
      </x:c>
      <x:c r="N925" t="str">
        <x:v>Most Likely</x:v>
      </x:c>
      <x:c r="O925" t="str">
        <x:v>Most Likely</x:v>
      </x:c>
    </x:row>
    <x:row r="926">
      <x:c r="A926" t="str">
        <x:v>PJT_925</x:v>
      </x:c>
      <x:c r="B926" t="n">
        <x:v>15215200</x:v>
      </x:c>
      <x:c r="C926" t="n">
        <x:v>15300287</x:v>
      </x:c>
      <x:c r="D926" t="n">
        <x:v>85087</x:v>
      </x:c>
      <x:c r="E926" t="n">
        <x:v>0.0056</x:v>
      </x:c>
      <x:c r="F926" t="n">
        <x:v>336</x:v>
      </x:c>
      <x:c r="G926" t="n">
        <x:v>312</x:v>
      </x:c>
      <x:c r="H926" t="n">
        <x:v>-24</x:v>
      </x:c>
      <x:c r="I926" t="n">
        <x:v>-0.0714</x:v>
      </x:c>
      <x:c r="J926" t="str">
        <x:v>Low</x:v>
      </x:c>
      <x:c r="K926" t="n">
        <x:v>36.4</x:v>
      </x:c>
      <x:c r="L926" t="n">
        <x:v>41.1</x:v>
      </x:c>
      <x:c r="M926" t="n">
        <x:v>35</x:v>
      </x:c>
      <x:c r="N926" t="str">
        <x:v>Most Likely</x:v>
      </x:c>
      <x:c r="O926" t="str">
        <x:v>Optimistic</x:v>
      </x:c>
    </x:row>
    <x:row r="927">
      <x:c r="A927" t="str">
        <x:v>PJT_926</x:v>
      </x:c>
      <x:c r="B927" t="n">
        <x:v>48253590</x:v>
      </x:c>
      <x:c r="C927" t="n">
        <x:v>50982959</x:v>
      </x:c>
      <x:c r="D927" t="n">
        <x:v>2729369</x:v>
      </x:c>
      <x:c r="E927" t="n">
        <x:v>0.0566</x:v>
      </x:c>
      <x:c r="F927" t="n">
        <x:v>934</x:v>
      </x:c>
      <x:c r="G927" t="n">
        <x:v>982</x:v>
      </x:c>
      <x:c r="H927" t="n">
        <x:v>48</x:v>
      </x:c>
      <x:c r="I927" t="n">
        <x:v>0.0514</x:v>
      </x:c>
      <x:c r="J927" t="str">
        <x:v>Medium</x:v>
      </x:c>
      <x:c r="K927" t="n">
        <x:v>54.5</x:v>
      </x:c>
      <x:c r="L927" t="n">
        <x:v>53.7</x:v>
      </x:c>
      <x:c r="M927" t="n">
        <x:v>48.3</x:v>
      </x:c>
      <x:c r="N927" t="str">
        <x:v>Most Likely</x:v>
      </x:c>
      <x:c r="O927" t="str">
        <x:v>Most Likely</x:v>
      </x:c>
    </x:row>
    <x:row r="928">
      <x:c r="A928" t="str">
        <x:v>PJT_927</x:v>
      </x:c>
      <x:c r="B928" t="n">
        <x:v>39671430</x:v>
      </x:c>
      <x:c r="C928" t="n">
        <x:v>42149060</x:v>
      </x:c>
      <x:c r="D928" t="n">
        <x:v>2477630</x:v>
      </x:c>
      <x:c r="E928" t="n">
        <x:v>0.0625</x:v>
      </x:c>
      <x:c r="F928" t="n">
        <x:v>714</x:v>
      </x:c>
      <x:c r="G928" t="n">
        <x:v>771</x:v>
      </x:c>
      <x:c r="H928" t="n">
        <x:v>57</x:v>
      </x:c>
      <x:c r="I928" t="n">
        <x:v>0.0798</x:v>
      </x:c>
      <x:c r="J928" t="str">
        <x:v>Medium</x:v>
      </x:c>
      <x:c r="K928" t="n">
        <x:v>45.3</x:v>
      </x:c>
      <x:c r="L928" t="n">
        <x:v>54.9</x:v>
      </x:c>
      <x:c r="M928" t="n">
        <x:v>50</x:v>
      </x:c>
      <x:c r="N928" t="str">
        <x:v>Most Likely</x:v>
      </x:c>
      <x:c r="O928" t="str">
        <x:v>Most Likely</x:v>
      </x:c>
    </x:row>
    <x:row r="929">
      <x:c r="A929" t="str">
        <x:v>PJT_928</x:v>
      </x:c>
      <x:c r="B929" t="n">
        <x:v>70301280</x:v>
      </x:c>
      <x:c r="C929" t="n">
        <x:v>77708207</x:v>
      </x:c>
      <x:c r="D929" t="n">
        <x:v>7406927</x:v>
      </x:c>
      <x:c r="E929" t="n">
        <x:v>0.1054</x:v>
      </x:c>
      <x:c r="F929" t="n">
        <x:v>1207</x:v>
      </x:c>
      <x:c r="G929" t="n">
        <x:v>1262</x:v>
      </x:c>
      <x:c r="H929" t="n">
        <x:v>55</x:v>
      </x:c>
      <x:c r="I929" t="n">
        <x:v>0.0456</x:v>
      </x:c>
      <x:c r="J929" t="str">
        <x:v>Medium</x:v>
      </x:c>
      <x:c r="K929" t="n">
        <x:v>57.1</x:v>
      </x:c>
      <x:c r="L929" t="n">
        <x:v>57.4</x:v>
      </x:c>
      <x:c r="M929" t="n">
        <x:v>56.1</x:v>
      </x:c>
      <x:c r="N929" t="str">
        <x:v>Pessimistic</x:v>
      </x:c>
      <x:c r="O929" t="str">
        <x:v>Most Likely</x:v>
      </x:c>
    </x:row>
    <x:row r="930">
      <x:c r="A930" t="str">
        <x:v>PJT_929</x:v>
      </x:c>
      <x:c r="B930" t="n">
        <x:v>47990880</x:v>
      </x:c>
      <x:c r="C930" t="n">
        <x:v>49743631</x:v>
      </x:c>
      <x:c r="D930" t="n">
        <x:v>1752751</x:v>
      </x:c>
      <x:c r="E930" t="n">
        <x:v>0.0365</x:v>
      </x:c>
      <x:c r="F930" t="n">
        <x:v>762</x:v>
      </x:c>
      <x:c r="G930" t="n">
        <x:v>797</x:v>
      </x:c>
      <x:c r="H930" t="n">
        <x:v>35</x:v>
      </x:c>
      <x:c r="I930" t="n">
        <x:v>0.0459</x:v>
      </x:c>
      <x:c r="J930" t="str">
        <x:v>Medium</x:v>
      </x:c>
      <x:c r="K930" t="n">
        <x:v>53.2</x:v>
      </x:c>
      <x:c r="L930" t="n">
        <x:v>55.5</x:v>
      </x:c>
      <x:c r="M930" t="n">
        <x:v>61.2</x:v>
      </x:c>
      <x:c r="N930" t="str">
        <x:v>Most Likely</x:v>
      </x:c>
      <x:c r="O930" t="str">
        <x:v>Most Likely</x:v>
      </x:c>
    </x:row>
    <x:row r="931">
      <x:c r="A931" t="str">
        <x:v>PJT_930</x:v>
      </x:c>
      <x:c r="B931" t="n">
        <x:v>69329370</x:v>
      </x:c>
      <x:c r="C931" t="n">
        <x:v>77182929</x:v>
      </x:c>
      <x:c r="D931" t="n">
        <x:v>7853559</x:v>
      </x:c>
      <x:c r="E931" t="n">
        <x:v>0.1133</x:v>
      </x:c>
      <x:c r="F931" t="n">
        <x:v>1343</x:v>
      </x:c>
      <x:c r="G931" t="n">
        <x:v>1571</x:v>
      </x:c>
      <x:c r="H931" t="n">
        <x:v>228</x:v>
      </x:c>
      <x:c r="I931" t="n">
        <x:v>0.1698</x:v>
      </x:c>
      <x:c r="J931" t="str">
        <x:v>Medium</x:v>
      </x:c>
      <x:c r="K931" t="n">
        <x:v>65.1</x:v>
      </x:c>
      <x:c r="L931" t="n">
        <x:v>67.8</x:v>
      </x:c>
      <x:c r="M931" t="n">
        <x:v>71.9</x:v>
      </x:c>
      <x:c r="N931" t="str">
        <x:v>Pessimistic</x:v>
      </x:c>
      <x:c r="O931" t="str">
        <x:v>Pessimistic</x:v>
      </x:c>
    </x:row>
    <x:row r="932">
      <x:c r="A932" t="str">
        <x:v>PJT_931</x:v>
      </x:c>
      <x:c r="B932" t="n">
        <x:v>49570920</x:v>
      </x:c>
      <x:c r="C932" t="n">
        <x:v>50051244</x:v>
      </x:c>
      <x:c r="D932" t="n">
        <x:v>480324</x:v>
      </x:c>
      <x:c r="E932" t="n">
        <x:v>0.0097</x:v>
      </x:c>
      <x:c r="F932" t="n">
        <x:v>1084</x:v>
      </x:c>
      <x:c r="G932" t="n">
        <x:v>1181</x:v>
      </x:c>
      <x:c r="H932" t="n">
        <x:v>97</x:v>
      </x:c>
      <x:c r="I932" t="n">
        <x:v>0.0895</x:v>
      </x:c>
      <x:c r="J932" t="str">
        <x:v>Medium</x:v>
      </x:c>
      <x:c r="K932" t="n">
        <x:v>51.2</x:v>
      </x:c>
      <x:c r="L932" t="n">
        <x:v>45.4</x:v>
      </x:c>
      <x:c r="M932" t="n">
        <x:v>52.5</x:v>
      </x:c>
      <x:c r="N932" t="str">
        <x:v>Most Likely</x:v>
      </x:c>
      <x:c r="O932" t="str">
        <x:v>Most Likely</x:v>
      </x:c>
    </x:row>
    <x:row r="933">
      <x:c r="A933" t="str">
        <x:v>PJT_932</x:v>
      </x:c>
      <x:c r="B933" t="n">
        <x:v>12116520</x:v>
      </x:c>
      <x:c r="C933" t="n">
        <x:v>11849384</x:v>
      </x:c>
      <x:c r="D933" t="n">
        <x:v>-267136</x:v>
      </x:c>
      <x:c r="E933" t="n">
        <x:v>-0.022</x:v>
      </x:c>
      <x:c r="F933" t="n">
        <x:v>199</x:v>
      </x:c>
      <x:c r="G933" t="n">
        <x:v>189</x:v>
      </x:c>
      <x:c r="H933" t="n">
        <x:v>-10</x:v>
      </x:c>
      <x:c r="I933" t="n">
        <x:v>-0.0503</x:v>
      </x:c>
      <x:c r="J933" t="str">
        <x:v>Low</x:v>
      </x:c>
      <x:c r="K933" t="n">
        <x:v>31.5</x:v>
      </x:c>
      <x:c r="L933" t="n">
        <x:v>27</x:v>
      </x:c>
      <x:c r="M933" t="n">
        <x:v>25.3</x:v>
      </x:c>
      <x:c r="N933" t="str">
        <x:v>Optimistic</x:v>
      </x:c>
      <x:c r="O933" t="str">
        <x:v>Optimistic</x:v>
      </x:c>
    </x:row>
    <x:row r="934">
      <x:c r="A934" t="str">
        <x:v>PJT_933</x:v>
      </x:c>
      <x:c r="B934" t="n">
        <x:v>61324200</x:v>
      </x:c>
      <x:c r="C934" t="n">
        <x:v>66813161</x:v>
      </x:c>
      <x:c r="D934" t="n">
        <x:v>5488961</x:v>
      </x:c>
      <x:c r="E934" t="n">
        <x:v>0.0895</x:v>
      </x:c>
      <x:c r="F934" t="n">
        <x:v>1161</x:v>
      </x:c>
      <x:c r="G934" t="n">
        <x:v>1209</x:v>
      </x:c>
      <x:c r="H934" t="n">
        <x:v>48</x:v>
      </x:c>
      <x:c r="I934" t="n">
        <x:v>0.0413</x:v>
      </x:c>
      <x:c r="J934" t="str">
        <x:v>Medium</x:v>
      </x:c>
      <x:c r="K934" t="n">
        <x:v>62.2</x:v>
      </x:c>
      <x:c r="L934" t="n">
        <x:v>60</x:v>
      </x:c>
      <x:c r="M934" t="n">
        <x:v>54.9</x:v>
      </x:c>
      <x:c r="N934" t="str">
        <x:v>Most Likely</x:v>
      </x:c>
      <x:c r="O934" t="str">
        <x:v>Most Likely</x:v>
      </x:c>
    </x:row>
    <x:row r="935">
      <x:c r="A935" t="str">
        <x:v>PJT_934</x:v>
      </x:c>
      <x:c r="B935" t="n">
        <x:v>79580160</x:v>
      </x:c>
      <x:c r="C935" t="n">
        <x:v>85756185</x:v>
      </x:c>
      <x:c r="D935" t="n">
        <x:v>6176025</x:v>
      </x:c>
      <x:c r="E935" t="n">
        <x:v>0.0776</x:v>
      </x:c>
      <x:c r="F935" t="n">
        <x:v>1422</x:v>
      </x:c>
      <x:c r="G935" t="n">
        <x:v>1456</x:v>
      </x:c>
      <x:c r="H935" t="n">
        <x:v>34</x:v>
      </x:c>
      <x:c r="I935" t="n">
        <x:v>0.0239</x:v>
      </x:c>
      <x:c r="J935" t="str">
        <x:v>Medium</x:v>
      </x:c>
      <x:c r="K935" t="n">
        <x:v>56.5</x:v>
      </x:c>
      <x:c r="L935" t="n">
        <x:v>55.7</x:v>
      </x:c>
      <x:c r="M935" t="n">
        <x:v>54.4</x:v>
      </x:c>
      <x:c r="N935" t="str">
        <x:v>Most Likely</x:v>
      </x:c>
      <x:c r="O935" t="str">
        <x:v>Most Likely</x:v>
      </x:c>
    </x:row>
    <x:row r="936">
      <x:c r="A936" t="str">
        <x:v>PJT_935</x:v>
      </x:c>
      <x:c r="B936" t="n">
        <x:v>15732280</x:v>
      </x:c>
      <x:c r="C936" t="n">
        <x:v>15689602</x:v>
      </x:c>
      <x:c r="D936" t="n">
        <x:v>-42678</x:v>
      </x:c>
      <x:c r="E936" t="n">
        <x:v>-0.0027</x:v>
      </x:c>
      <x:c r="F936" t="n">
        <x:v>284</x:v>
      </x:c>
      <x:c r="G936" t="n">
        <x:v>282</x:v>
      </x:c>
      <x:c r="H936" t="n">
        <x:v>-2</x:v>
      </x:c>
      <x:c r="I936" t="n">
        <x:v>-0.007</x:v>
      </x:c>
      <x:c r="J936" t="str">
        <x:v>Low</x:v>
      </x:c>
      <x:c r="K936" t="n">
        <x:v>43.8</x:v>
      </x:c>
      <x:c r="L936" t="n">
        <x:v>47</x:v>
      </x:c>
      <x:c r="M936" t="n">
        <x:v>39.8</x:v>
      </x:c>
      <x:c r="N936" t="str">
        <x:v>Optimistic</x:v>
      </x:c>
      <x:c r="O936" t="str">
        <x:v>Optimistic</x:v>
      </x:c>
    </x:row>
    <x:row r="937">
      <x:c r="A937" t="str">
        <x:v>PJT_936</x:v>
      </x:c>
      <x:c r="B937" t="n">
        <x:v>50418960</x:v>
      </x:c>
      <x:c r="C937" t="n">
        <x:v>53045584</x:v>
      </x:c>
      <x:c r="D937" t="n">
        <x:v>2626624</x:v>
      </x:c>
      <x:c r="E937" t="n">
        <x:v>0.0521</x:v>
      </x:c>
      <x:c r="F937" t="n">
        <x:v>910</x:v>
      </x:c>
      <x:c r="G937" t="n">
        <x:v>895</x:v>
      </x:c>
      <x:c r="H937" t="n">
        <x:v>-15</x:v>
      </x:c>
      <x:c r="I937" t="n">
        <x:v>-0.0165</x:v>
      </x:c>
      <x:c r="J937" t="str">
        <x:v>Medium</x:v>
      </x:c>
      <x:c r="K937" t="n">
        <x:v>48.9</x:v>
      </x:c>
      <x:c r="L937" t="n">
        <x:v>51.6</x:v>
      </x:c>
      <x:c r="M937" t="n">
        <x:v>47</x:v>
      </x:c>
      <x:c r="N937" t="str">
        <x:v>Most Likely</x:v>
      </x:c>
      <x:c r="O937" t="str">
        <x:v>Optimistic</x:v>
      </x:c>
    </x:row>
    <x:row r="938">
      <x:c r="A938" t="str">
        <x:v>PJT_937</x:v>
      </x:c>
      <x:c r="B938" t="n">
        <x:v>9852700</x:v>
      </x:c>
      <x:c r="C938" t="n">
        <x:v>9542875</x:v>
      </x:c>
      <x:c r="D938" t="n">
        <x:v>-309825</x:v>
      </x:c>
      <x:c r="E938" t="n">
        <x:v>-0.0314</x:v>
      </x:c>
      <x:c r="F938" t="n">
        <x:v>209</x:v>
      </x:c>
      <x:c r="G938" t="n">
        <x:v>221</x:v>
      </x:c>
      <x:c r="H938" t="n">
        <x:v>12</x:v>
      </x:c>
      <x:c r="I938" t="n">
        <x:v>0.0574</x:v>
      </x:c>
      <x:c r="J938" t="str">
        <x:v>Low</x:v>
      </x:c>
      <x:c r="K938" t="n">
        <x:v>29.6</x:v>
      </x:c>
      <x:c r="L938" t="n">
        <x:v>27.4</x:v>
      </x:c>
      <x:c r="M938" t="n">
        <x:v>28.1</x:v>
      </x:c>
      <x:c r="N938" t="str">
        <x:v>Optimistic</x:v>
      </x:c>
      <x:c r="O938" t="str">
        <x:v>Most Likely</x:v>
      </x:c>
    </x:row>
    <x:row r="939">
      <x:c r="A939" t="str">
        <x:v>PJT_938</x:v>
      </x:c>
      <x:c r="B939" t="n">
        <x:v>12426000</x:v>
      </x:c>
      <x:c r="C939" t="n">
        <x:v>12755344</x:v>
      </x:c>
      <x:c r="D939" t="n">
        <x:v>329344</x:v>
      </x:c>
      <x:c r="E939" t="n">
        <x:v>0.0265</x:v>
      </x:c>
      <x:c r="F939" t="n">
        <x:v>210</x:v>
      </x:c>
      <x:c r="G939" t="n">
        <x:v>213</x:v>
      </x:c>
      <x:c r="H939" t="n">
        <x:v>3</x:v>
      </x:c>
      <x:c r="I939" t="n">
        <x:v>0.0143</x:v>
      </x:c>
      <x:c r="J939" t="str">
        <x:v>Low</x:v>
      </x:c>
      <x:c r="K939" t="n">
        <x:v>29.4</x:v>
      </x:c>
      <x:c r="L939" t="n">
        <x:v>31.8</x:v>
      </x:c>
      <x:c r="M939" t="n">
        <x:v>27.6</x:v>
      </x:c>
      <x:c r="N939" t="str">
        <x:v>Most Likely</x:v>
      </x:c>
      <x:c r="O939" t="str">
        <x:v>Most Likely</x:v>
      </x:c>
    </x:row>
    <x:row r="940">
      <x:c r="A940" t="str">
        <x:v>PJT_939</x:v>
      </x:c>
      <x:c r="B940" t="n">
        <x:v>55357920</x:v>
      </x:c>
      <x:c r="C940" t="n">
        <x:v>59250662</x:v>
      </x:c>
      <x:c r="D940" t="n">
        <x:v>3892742</x:v>
      </x:c>
      <x:c r="E940" t="n">
        <x:v>0.0703</x:v>
      </x:c>
      <x:c r="F940" t="n">
        <x:v>879</x:v>
      </x:c>
      <x:c r="G940" t="n">
        <x:v>884</x:v>
      </x:c>
      <x:c r="H940" t="n">
        <x:v>5</x:v>
      </x:c>
      <x:c r="I940" t="n">
        <x:v>0.0057</x:v>
      </x:c>
      <x:c r="J940" t="str">
        <x:v>Medium</x:v>
      </x:c>
      <x:c r="K940" t="n">
        <x:v>48.6</x:v>
      </x:c>
      <x:c r="L940" t="n">
        <x:v>49.8</x:v>
      </x:c>
      <x:c r="M940" t="n">
        <x:v>44.4</x:v>
      </x:c>
      <x:c r="N940" t="str">
        <x:v>Most Likely</x:v>
      </x:c>
      <x:c r="O940" t="str">
        <x:v>Most Likely</x:v>
      </x:c>
    </x:row>
    <x:row r="941">
      <x:c r="A941" t="str">
        <x:v>PJT_940</x:v>
      </x:c>
      <x:c r="B941" t="n">
        <x:v>19047860</x:v>
      </x:c>
      <x:c r="C941" t="n">
        <x:v>18780502</x:v>
      </x:c>
      <x:c r="D941" t="n">
        <x:v>-267358</x:v>
      </x:c>
      <x:c r="E941" t="n">
        <x:v>-0.014</x:v>
      </x:c>
      <x:c r="F941" t="n">
        <x:v>364</x:v>
      </x:c>
      <x:c r="G941" t="n">
        <x:v>388</x:v>
      </x:c>
      <x:c r="H941" t="n">
        <x:v>24</x:v>
      </x:c>
      <x:c r="I941" t="n">
        <x:v>0.0659</x:v>
      </x:c>
      <x:c r="J941" t="str">
        <x:v>Medium</x:v>
      </x:c>
      <x:c r="K941" t="n">
        <x:v>46.7</x:v>
      </x:c>
      <x:c r="L941" t="n">
        <x:v>46.6</x:v>
      </x:c>
      <x:c r="M941" t="n">
        <x:v>49.4</x:v>
      </x:c>
      <x:c r="N941" t="str">
        <x:v>Optimistic</x:v>
      </x:c>
      <x:c r="O941" t="str">
        <x:v>Most Likely</x:v>
      </x:c>
    </x:row>
    <x:row r="942">
      <x:c r="A942" t="str">
        <x:v>PJT_941</x:v>
      </x:c>
      <x:c r="B942" t="n">
        <x:v>66509100</x:v>
      </x:c>
      <x:c r="C942" t="n">
        <x:v>70079329</x:v>
      </x:c>
      <x:c r="D942" t="n">
        <x:v>3570229</x:v>
      </x:c>
      <x:c r="E942" t="n">
        <x:v>0.0537</x:v>
      </x:c>
      <x:c r="F942" t="n">
        <x:v>1226</x:v>
      </x:c>
      <x:c r="G942" t="n">
        <x:v>1273</x:v>
      </x:c>
      <x:c r="H942" t="n">
        <x:v>47</x:v>
      </x:c>
      <x:c r="I942" t="n">
        <x:v>0.0383</x:v>
      </x:c>
      <x:c r="J942" t="str">
        <x:v>Medium</x:v>
      </x:c>
      <x:c r="K942" t="n">
        <x:v>53</x:v>
      </x:c>
      <x:c r="L942" t="n">
        <x:v>55.4</x:v>
      </x:c>
      <x:c r="M942" t="n">
        <x:v>51.7</x:v>
      </x:c>
      <x:c r="N942" t="str">
        <x:v>Most Likely</x:v>
      </x:c>
      <x:c r="O942" t="str">
        <x:v>Most Likely</x:v>
      </x:c>
    </x:row>
    <x:row r="943">
      <x:c r="A943" t="str">
        <x:v>PJT_942</x:v>
      </x:c>
      <x:c r="B943" t="n">
        <x:v>30908450</x:v>
      </x:c>
      <x:c r="C943" t="n">
        <x:v>32514810</x:v>
      </x:c>
      <x:c r="D943" t="n">
        <x:v>1606360</x:v>
      </x:c>
      <x:c r="E943" t="n">
        <x:v>0.052</x:v>
      </x:c>
      <x:c r="F943" t="n">
        <x:v>554</x:v>
      </x:c>
      <x:c r="G943" t="n">
        <x:v>564</x:v>
      </x:c>
      <x:c r="H943" t="n">
        <x:v>10</x:v>
      </x:c>
      <x:c r="I943" t="n">
        <x:v>0.0181</x:v>
      </x:c>
      <x:c r="J943" t="str">
        <x:v>Low</x:v>
      </x:c>
      <x:c r="K943" t="n">
        <x:v>42.7</x:v>
      </x:c>
      <x:c r="L943" t="n">
        <x:v>40.6</x:v>
      </x:c>
      <x:c r="M943" t="n">
        <x:v>43.6</x:v>
      </x:c>
      <x:c r="N943" t="str">
        <x:v>Most Likely</x:v>
      </x:c>
      <x:c r="O943" t="str">
        <x:v>Most Likely</x:v>
      </x:c>
    </x:row>
    <x:row r="944">
      <x:c r="A944" t="str">
        <x:v>PJT_943</x:v>
      </x:c>
      <x:c r="B944" t="n">
        <x:v>28594440</x:v>
      </x:c>
      <x:c r="C944" t="n">
        <x:v>30010522</x:v>
      </x:c>
      <x:c r="D944" t="n">
        <x:v>1416082</x:v>
      </x:c>
      <x:c r="E944" t="n">
        <x:v>0.0495</x:v>
      </x:c>
      <x:c r="F944" t="n">
        <x:v>683</x:v>
      </x:c>
      <x:c r="G944" t="n">
        <x:v>702</x:v>
      </x:c>
      <x:c r="H944" t="n">
        <x:v>19</x:v>
      </x:c>
      <x:c r="I944" t="n">
        <x:v>0.0278</x:v>
      </x:c>
      <x:c r="J944" t="str">
        <x:v>Low</x:v>
      </x:c>
      <x:c r="K944" t="n">
        <x:v>43.8</x:v>
      </x:c>
      <x:c r="L944" t="n">
        <x:v>46.4</x:v>
      </x:c>
      <x:c r="M944" t="n">
        <x:v>47.3</x:v>
      </x:c>
      <x:c r="N944" t="str">
        <x:v>Most Likely</x:v>
      </x:c>
      <x:c r="O944" t="str">
        <x:v>Most Likely</x:v>
      </x:c>
    </x:row>
    <x:row r="945">
      <x:c r="A945" t="str">
        <x:v>PJT_944</x:v>
      </x:c>
      <x:c r="B945" t="n">
        <x:v>72510900</x:v>
      </x:c>
      <x:c r="C945" t="n">
        <x:v>78497053</x:v>
      </x:c>
      <x:c r="D945" t="n">
        <x:v>5986153</x:v>
      </x:c>
      <x:c r="E945" t="n">
        <x:v>0.0826</x:v>
      </x:c>
      <x:c r="F945" t="n">
        <x:v>1268</x:v>
      </x:c>
      <x:c r="G945" t="n">
        <x:v>1319</x:v>
      </x:c>
      <x:c r="H945" t="n">
        <x:v>51</x:v>
      </x:c>
      <x:c r="I945" t="n">
        <x:v>0.0402</x:v>
      </x:c>
      <x:c r="J945" t="str">
        <x:v>High</x:v>
      </x:c>
      <x:c r="K945" t="n">
        <x:v>70.9</x:v>
      </x:c>
      <x:c r="L945" t="n">
        <x:v>73.4</x:v>
      </x:c>
      <x:c r="M945" t="n">
        <x:v>64</x:v>
      </x:c>
      <x:c r="N945" t="str">
        <x:v>Most Likely</x:v>
      </x:c>
      <x:c r="O945" t="str">
        <x:v>Most Likely</x:v>
      </x:c>
    </x:row>
    <x:row r="946">
      <x:c r="A946" t="str">
        <x:v>PJT_945</x:v>
      </x:c>
      <x:c r="B946" t="n">
        <x:v>38139750</x:v>
      </x:c>
      <x:c r="C946" t="n">
        <x:v>38154405</x:v>
      </x:c>
      <x:c r="D946" t="n">
        <x:v>14655</x:v>
      </x:c>
      <x:c r="E946" t="n">
        <x:v>0.0004</x:v>
      </x:c>
      <x:c r="F946" t="n">
        <x:v>767</x:v>
      </x:c>
      <x:c r="G946" t="n">
        <x:v>803</x:v>
      </x:c>
      <x:c r="H946" t="n">
        <x:v>36</x:v>
      </x:c>
      <x:c r="I946" t="n">
        <x:v>0.0469</x:v>
      </x:c>
      <x:c r="J946" t="str">
        <x:v>Low</x:v>
      </x:c>
      <x:c r="K946" t="n">
        <x:v>44.8</x:v>
      </x:c>
      <x:c r="L946" t="n">
        <x:v>48.9</x:v>
      </x:c>
      <x:c r="M946" t="n">
        <x:v>53.4</x:v>
      </x:c>
      <x:c r="N946" t="str">
        <x:v>Most Likely</x:v>
      </x:c>
      <x:c r="O946" t="str">
        <x:v>Most Likely</x:v>
      </x:c>
    </x:row>
    <x:row r="947">
      <x:c r="A947" t="str">
        <x:v>PJT_946</x:v>
      </x:c>
      <x:c r="B947" t="n">
        <x:v>25217960</x:v>
      </x:c>
      <x:c r="C947" t="n">
        <x:v>26376669</x:v>
      </x:c>
      <x:c r="D947" t="n">
        <x:v>1158709</x:v>
      </x:c>
      <x:c r="E947" t="n">
        <x:v>0.0459</x:v>
      </x:c>
      <x:c r="F947" t="n">
        <x:v>486</x:v>
      </x:c>
      <x:c r="G947" t="n">
        <x:v>501</x:v>
      </x:c>
      <x:c r="H947" t="n">
        <x:v>15</x:v>
      </x:c>
      <x:c r="I947" t="n">
        <x:v>0.0309</x:v>
      </x:c>
      <x:c r="J947" t="str">
        <x:v>Low</x:v>
      </x:c>
      <x:c r="K947" t="n">
        <x:v>44.8</x:v>
      </x:c>
      <x:c r="L947" t="n">
        <x:v>46.1</x:v>
      </x:c>
      <x:c r="M947" t="n">
        <x:v>46</x:v>
      </x:c>
      <x:c r="N947" t="str">
        <x:v>Most Likely</x:v>
      </x:c>
      <x:c r="O947" t="str">
        <x:v>Most Likely</x:v>
      </x:c>
    </x:row>
    <x:row r="948">
      <x:c r="A948" t="str">
        <x:v>PJT_947</x:v>
      </x:c>
      <x:c r="B948" t="n">
        <x:v>84066840</x:v>
      </x:c>
      <x:c r="C948" t="n">
        <x:v>92722584</x:v>
      </x:c>
      <x:c r="D948" t="n">
        <x:v>8655744</x:v>
      </x:c>
      <x:c r="E948" t="n">
        <x:v>0.103</x:v>
      </x:c>
      <x:c r="F948" t="n">
        <x:v>1484</x:v>
      </x:c>
      <x:c r="G948" t="n">
        <x:v>1560</x:v>
      </x:c>
      <x:c r="H948" t="n">
        <x:v>76</x:v>
      </x:c>
      <x:c r="I948" t="n">
        <x:v>0.0512</x:v>
      </x:c>
      <x:c r="J948" t="str">
        <x:v>Medium</x:v>
      </x:c>
      <x:c r="K948" t="n">
        <x:v>59.5</x:v>
      </x:c>
      <x:c r="L948" t="n">
        <x:v>67.2</x:v>
      </x:c>
      <x:c r="M948" t="n">
        <x:v>63.8</x:v>
      </x:c>
      <x:c r="N948" t="str">
        <x:v>Pessimistic</x:v>
      </x:c>
      <x:c r="O948" t="str">
        <x:v>Most Likely</x:v>
      </x:c>
    </x:row>
    <x:row r="949">
      <x:c r="A949" t="str">
        <x:v>PJT_948</x:v>
      </x:c>
      <x:c r="B949" t="n">
        <x:v>76763040</x:v>
      </x:c>
      <x:c r="C949" t="n">
        <x:v>82634604</x:v>
      </x:c>
      <x:c r="D949" t="n">
        <x:v>5871564</x:v>
      </x:c>
      <x:c r="E949" t="n">
        <x:v>0.0765</x:v>
      </x:c>
      <x:c r="F949" t="n">
        <x:v>1510</x:v>
      </x:c>
      <x:c r="G949" t="n">
        <x:v>1694</x:v>
      </x:c>
      <x:c r="H949" t="n">
        <x:v>184</x:v>
      </x:c>
      <x:c r="I949" t="n">
        <x:v>0.1219</x:v>
      </x:c>
      <x:c r="J949" t="str">
        <x:v>High</x:v>
      </x:c>
      <x:c r="K949" t="n">
        <x:v>68.9</x:v>
      </x:c>
      <x:c r="L949" t="n">
        <x:v>61.7</x:v>
      </x:c>
      <x:c r="M949" t="n">
        <x:v>69.4</x:v>
      </x:c>
      <x:c r="N949" t="str">
        <x:v>Most Likely</x:v>
      </x:c>
      <x:c r="O949" t="str">
        <x:v>Pessimistic</x:v>
      </x:c>
    </x:row>
    <x:row r="950">
      <x:c r="A950" t="str">
        <x:v>PJT_949</x:v>
      </x:c>
      <x:c r="B950" t="n">
        <x:v>36096780</x:v>
      </x:c>
      <x:c r="C950" t="n">
        <x:v>37318792</x:v>
      </x:c>
      <x:c r="D950" t="n">
        <x:v>1222012</x:v>
      </x:c>
      <x:c r="E950" t="n">
        <x:v>0.0339</x:v>
      </x:c>
      <x:c r="F950" t="n">
        <x:v>734</x:v>
      </x:c>
      <x:c r="G950" t="n">
        <x:v>778</x:v>
      </x:c>
      <x:c r="H950" t="n">
        <x:v>44</x:v>
      </x:c>
      <x:c r="I950" t="n">
        <x:v>0.0599</x:v>
      </x:c>
      <x:c r="J950" t="str">
        <x:v>Medium</x:v>
      </x:c>
      <x:c r="K950" t="n">
        <x:v>51.4</x:v>
      </x:c>
      <x:c r="L950" t="n">
        <x:v>50.4</x:v>
      </x:c>
      <x:c r="M950" t="n">
        <x:v>49.6</x:v>
      </x:c>
      <x:c r="N950" t="str">
        <x:v>Most Likely</x:v>
      </x:c>
      <x:c r="O950" t="str">
        <x:v>Most Likely</x:v>
      </x:c>
    </x:row>
    <x:row r="951">
      <x:c r="A951" t="str">
        <x:v>PJT_950</x:v>
      </x:c>
      <x:c r="B951" t="n">
        <x:v>12741560</x:v>
      </x:c>
      <x:c r="C951" t="n">
        <x:v>12844068</x:v>
      </x:c>
      <x:c r="D951" t="n">
        <x:v>102508</x:v>
      </x:c>
      <x:c r="E951" t="n">
        <x:v>0.008</x:v>
      </x:c>
      <x:c r="F951" t="n">
        <x:v>291</x:v>
      </x:c>
      <x:c r="G951" t="n">
        <x:v>278</x:v>
      </x:c>
      <x:c r="H951" t="n">
        <x:v>-13</x:v>
      </x:c>
      <x:c r="I951" t="n">
        <x:v>-0.0447</x:v>
      </x:c>
      <x:c r="J951" t="str">
        <x:v>Low</x:v>
      </x:c>
      <x:c r="K951" t="n">
        <x:v>35.9</x:v>
      </x:c>
      <x:c r="L951" t="n">
        <x:v>36</x:v>
      </x:c>
      <x:c r="M951" t="n">
        <x:v>33.8</x:v>
      </x:c>
      <x:c r="N951" t="str">
        <x:v>Most Likely</x:v>
      </x:c>
      <x:c r="O951" t="str">
        <x:v>Optimistic</x:v>
      </x:c>
    </x:row>
    <x:row r="952">
      <x:c r="A952" t="str">
        <x:v>PJT_951</x:v>
      </x:c>
      <x:c r="B952" t="n">
        <x:v>24228340</x:v>
      </x:c>
      <x:c r="C952" t="n">
        <x:v>25298272</x:v>
      </x:c>
      <x:c r="D952" t="n">
        <x:v>1069932</x:v>
      </x:c>
      <x:c r="E952" t="n">
        <x:v>0.0442</x:v>
      </x:c>
      <x:c r="F952" t="n">
        <x:v>422</x:v>
      </x:c>
      <x:c r="G952" t="n">
        <x:v>446</x:v>
      </x:c>
      <x:c r="H952" t="n">
        <x:v>24</x:v>
      </x:c>
      <x:c r="I952" t="n">
        <x:v>0.0569</x:v>
      </x:c>
      <x:c r="J952" t="str">
        <x:v>Medium</x:v>
      </x:c>
      <x:c r="K952" t="n">
        <x:v>50.4</x:v>
      </x:c>
      <x:c r="L952" t="n">
        <x:v>48.8</x:v>
      </x:c>
      <x:c r="M952" t="n">
        <x:v>47.5</x:v>
      </x:c>
      <x:c r="N952" t="str">
        <x:v>Most Likely</x:v>
      </x:c>
      <x:c r="O952" t="str">
        <x:v>Most Likely</x:v>
      </x:c>
    </x:row>
    <x:row r="953">
      <x:c r="A953" t="str">
        <x:v>PJT_952</x:v>
      </x:c>
      <x:c r="B953" t="n">
        <x:v>49781550</x:v>
      </x:c>
      <x:c r="C953" t="n">
        <x:v>52120563</x:v>
      </x:c>
      <x:c r="D953" t="n">
        <x:v>2339013</x:v>
      </x:c>
      <x:c r="E953" t="n">
        <x:v>0.047</x:v>
      </x:c>
      <x:c r="F953" t="n">
        <x:v>1032</x:v>
      </x:c>
      <x:c r="G953" t="n">
        <x:v>1140</x:v>
      </x:c>
      <x:c r="H953" t="n">
        <x:v>108</x:v>
      </x:c>
      <x:c r="I953" t="n">
        <x:v>0.1047</x:v>
      </x:c>
      <x:c r="J953" t="str">
        <x:v>Medium</x:v>
      </x:c>
      <x:c r="K953" t="n">
        <x:v>55.4</x:v>
      </x:c>
      <x:c r="L953" t="n">
        <x:v>51.7</x:v>
      </x:c>
      <x:c r="M953" t="n">
        <x:v>59.2</x:v>
      </x:c>
      <x:c r="N953" t="str">
        <x:v>Most Likely</x:v>
      </x:c>
      <x:c r="O953" t="str">
        <x:v>Pessimistic</x:v>
      </x:c>
    </x:row>
    <x:row r="954">
      <x:c r="A954" t="str">
        <x:v>PJT_953</x:v>
      </x:c>
      <x:c r="B954" t="n">
        <x:v>23764790</x:v>
      </x:c>
      <x:c r="C954" t="n">
        <x:v>25058507</x:v>
      </x:c>
      <x:c r="D954" t="n">
        <x:v>1293717</x:v>
      </x:c>
      <x:c r="E954" t="n">
        <x:v>0.0544</x:v>
      </x:c>
      <x:c r="F954" t="n">
        <x:v>528</x:v>
      </x:c>
      <x:c r="G954" t="n">
        <x:v>514</x:v>
      </x:c>
      <x:c r="H954" t="n">
        <x:v>-14</x:v>
      </x:c>
      <x:c r="I954" t="n">
        <x:v>-0.0265</x:v>
      </x:c>
      <x:c r="J954" t="str">
        <x:v>Low</x:v>
      </x:c>
      <x:c r="K954" t="n">
        <x:v>43.6</x:v>
      </x:c>
      <x:c r="L954" t="n">
        <x:v>43.8</x:v>
      </x:c>
      <x:c r="M954" t="n">
        <x:v>43</x:v>
      </x:c>
      <x:c r="N954" t="str">
        <x:v>Most Likely</x:v>
      </x:c>
      <x:c r="O954" t="str">
        <x:v>Optimistic</x:v>
      </x:c>
    </x:row>
    <x:row r="955">
      <x:c r="A955" t="str">
        <x:v>PJT_954</x:v>
      </x:c>
      <x:c r="B955" t="n">
        <x:v>43586000</x:v>
      </x:c>
      <x:c r="C955" t="n">
        <x:v>52115399</x:v>
      </x:c>
      <x:c r="D955" t="n">
        <x:v>8529399</x:v>
      </x:c>
      <x:c r="E955" t="n">
        <x:v>0.1957</x:v>
      </x:c>
      <x:c r="F955" t="n">
        <x:v>866</x:v>
      </x:c>
      <x:c r="G955" t="n">
        <x:v>953</x:v>
      </x:c>
      <x:c r="H955" t="n">
        <x:v>87</x:v>
      </x:c>
      <x:c r="I955" t="n">
        <x:v>0.1005</x:v>
      </x:c>
      <x:c r="J955" t="str">
        <x:v>High</x:v>
      </x:c>
      <x:c r="K955" t="n">
        <x:v>67.6</x:v>
      </x:c>
      <x:c r="L955" t="n">
        <x:v>69.3</x:v>
      </x:c>
      <x:c r="M955" t="n">
        <x:v>66.9</x:v>
      </x:c>
      <x:c r="N955" t="str">
        <x:v>Pessimistic</x:v>
      </x:c>
      <x:c r="O955" t="str">
        <x:v>Pessimistic</x:v>
      </x:c>
    </x:row>
    <x:row r="956">
      <x:c r="A956" t="str">
        <x:v>PJT_955</x:v>
      </x:c>
      <x:c r="B956" t="n">
        <x:v>69674280</x:v>
      </x:c>
      <x:c r="C956" t="n">
        <x:v>78735717</x:v>
      </x:c>
      <x:c r="D956" t="n">
        <x:v>9061437</x:v>
      </x:c>
      <x:c r="E956" t="n">
        <x:v>0.1301</x:v>
      </x:c>
      <x:c r="F956" t="n">
        <x:v>1268</x:v>
      </x:c>
      <x:c r="G956" t="n">
        <x:v>1444</x:v>
      </x:c>
      <x:c r="H956" t="n">
        <x:v>176</x:v>
      </x:c>
      <x:c r="I956" t="n">
        <x:v>0.1388</x:v>
      </x:c>
      <x:c r="J956" t="str">
        <x:v>High</x:v>
      </x:c>
      <x:c r="K956" t="n">
        <x:v>73.2</x:v>
      </x:c>
      <x:c r="L956" t="n">
        <x:v>69.9</x:v>
      </x:c>
      <x:c r="M956" t="n">
        <x:v>70.4</x:v>
      </x:c>
      <x:c r="N956" t="str">
        <x:v>Pessimistic</x:v>
      </x:c>
      <x:c r="O956" t="str">
        <x:v>Pessimistic</x:v>
      </x:c>
    </x:row>
    <x:row r="957">
      <x:c r="A957" t="str">
        <x:v>PJT_956</x:v>
      </x:c>
      <x:c r="B957" t="n">
        <x:v>28874370</x:v>
      </x:c>
      <x:c r="C957" t="n">
        <x:v>28202423</x:v>
      </x:c>
      <x:c r="D957" t="n">
        <x:v>-671947</x:v>
      </x:c>
      <x:c r="E957" t="n">
        <x:v>-0.0233</x:v>
      </x:c>
      <x:c r="F957" t="n">
        <x:v>522</x:v>
      </x:c>
      <x:c r="G957" t="n">
        <x:v>546</x:v>
      </x:c>
      <x:c r="H957" t="n">
        <x:v>24</x:v>
      </x:c>
      <x:c r="I957" t="n">
        <x:v>0.046</x:v>
      </x:c>
      <x:c r="J957" t="str">
        <x:v>Low</x:v>
      </x:c>
      <x:c r="K957" t="n">
        <x:v>37.8</x:v>
      </x:c>
      <x:c r="L957" t="n">
        <x:v>40.9</x:v>
      </x:c>
      <x:c r="M957" t="n">
        <x:v>43.3</x:v>
      </x:c>
      <x:c r="N957" t="str">
        <x:v>Optimistic</x:v>
      </x:c>
      <x:c r="O957" t="str">
        <x:v>Most Likely</x:v>
      </x:c>
    </x:row>
    <x:row r="958">
      <x:c r="A958" t="str">
        <x:v>PJT_957</x:v>
      </x:c>
      <x:c r="B958" t="n">
        <x:v>49672980</x:v>
      </x:c>
      <x:c r="C958" t="n">
        <x:v>53190551</x:v>
      </x:c>
      <x:c r="D958" t="n">
        <x:v>3517571</x:v>
      </x:c>
      <x:c r="E958" t="n">
        <x:v>0.0708</x:v>
      </x:c>
      <x:c r="F958" t="n">
        <x:v>1052</x:v>
      </x:c>
      <x:c r="G958" t="n">
        <x:v>1095</x:v>
      </x:c>
      <x:c r="H958" t="n">
        <x:v>43</x:v>
      </x:c>
      <x:c r="I958" t="n">
        <x:v>0.0409</x:v>
      </x:c>
      <x:c r="J958" t="str">
        <x:v>Medium</x:v>
      </x:c>
      <x:c r="K958" t="n">
        <x:v>49.5</x:v>
      </x:c>
      <x:c r="L958" t="n">
        <x:v>53.7</x:v>
      </x:c>
      <x:c r="M958" t="n">
        <x:v>50.6</x:v>
      </x:c>
      <x:c r="N958" t="str">
        <x:v>Most Likely</x:v>
      </x:c>
      <x:c r="O958" t="str">
        <x:v>Most Likely</x:v>
      </x:c>
    </x:row>
    <x:row r="959">
      <x:c r="A959" t="str">
        <x:v>PJT_958</x:v>
      </x:c>
      <x:c r="B959" t="n">
        <x:v>10563140</x:v>
      </x:c>
      <x:c r="C959" t="n">
        <x:v>9805191</x:v>
      </x:c>
      <x:c r="D959" t="n">
        <x:v>-757949</x:v>
      </x:c>
      <x:c r="E959" t="n">
        <x:v>-0.0718</x:v>
      </x:c>
      <x:c r="F959" t="n">
        <x:v>266</x:v>
      </x:c>
      <x:c r="G959" t="n">
        <x:v>272</x:v>
      </x:c>
      <x:c r="H959" t="n">
        <x:v>6</x:v>
      </x:c>
      <x:c r="I959" t="n">
        <x:v>0.0226</x:v>
      </x:c>
      <x:c r="J959" t="str">
        <x:v>Low</x:v>
      </x:c>
      <x:c r="K959" t="n">
        <x:v>33.2</x:v>
      </x:c>
      <x:c r="L959" t="n">
        <x:v>31.3</x:v>
      </x:c>
      <x:c r="M959" t="n">
        <x:v>31.5</x:v>
      </x:c>
      <x:c r="N959" t="str">
        <x:v>Optimistic</x:v>
      </x:c>
      <x:c r="O959" t="str">
        <x:v>Most Likely</x:v>
      </x:c>
    </x:row>
    <x:row r="960">
      <x:c r="A960" t="str">
        <x:v>PJT_959</x:v>
      </x:c>
      <x:c r="B960" t="n">
        <x:v>54734470</x:v>
      </x:c>
      <x:c r="C960" t="n">
        <x:v>57358636</x:v>
      </x:c>
      <x:c r="D960" t="n">
        <x:v>2624166</x:v>
      </x:c>
      <x:c r="E960" t="n">
        <x:v>0.0479</x:v>
      </x:c>
      <x:c r="F960" t="n">
        <x:v>863</x:v>
      </x:c>
      <x:c r="G960" t="n">
        <x:v>923</x:v>
      </x:c>
      <x:c r="H960" t="n">
        <x:v>60</x:v>
      </x:c>
      <x:c r="I960" t="n">
        <x:v>0.0695</x:v>
      </x:c>
      <x:c r="J960" t="str">
        <x:v>Low</x:v>
      </x:c>
      <x:c r="K960" t="n">
        <x:v>44.4</x:v>
      </x:c>
      <x:c r="L960" t="n">
        <x:v>53.5</x:v>
      </x:c>
      <x:c r="M960" t="n">
        <x:v>50.4</x:v>
      </x:c>
      <x:c r="N960" t="str">
        <x:v>Most Likely</x:v>
      </x:c>
      <x:c r="O960" t="str">
        <x:v>Most Likely</x:v>
      </x:c>
    </x:row>
    <x:row r="961">
      <x:c r="A961" t="str">
        <x:v>PJT_960</x:v>
      </x:c>
      <x:c r="B961" t="n">
        <x:v>82098880</x:v>
      </x:c>
      <x:c r="C961" t="n">
        <x:v>88492067</x:v>
      </x:c>
      <x:c r="D961" t="n">
        <x:v>6393187</x:v>
      </x:c>
      <x:c r="E961" t="n">
        <x:v>0.0779</x:v>
      </x:c>
      <x:c r="F961" t="n">
        <x:v>1509</x:v>
      </x:c>
      <x:c r="G961" t="n">
        <x:v>1661</x:v>
      </x:c>
      <x:c r="H961" t="n">
        <x:v>152</x:v>
      </x:c>
      <x:c r="I961" t="n">
        <x:v>0.1007</x:v>
      </x:c>
      <x:c r="J961" t="str">
        <x:v>Medium</x:v>
      </x:c>
      <x:c r="K961" t="n">
        <x:v>60.4</x:v>
      </x:c>
      <x:c r="L961" t="n">
        <x:v>63.7</x:v>
      </x:c>
      <x:c r="M961" t="n">
        <x:v>56.1</x:v>
      </x:c>
      <x:c r="N961" t="str">
        <x:v>Most Likely</x:v>
      </x:c>
      <x:c r="O961" t="str">
        <x:v>Pessimistic</x:v>
      </x:c>
    </x:row>
    <x:row r="962">
      <x:c r="A962" t="str">
        <x:v>PJT_961</x:v>
      </x:c>
      <x:c r="B962" t="n">
        <x:v>42761510</x:v>
      </x:c>
      <x:c r="C962" t="n">
        <x:v>44611205</x:v>
      </x:c>
      <x:c r="D962" t="n">
        <x:v>1849695</x:v>
      </x:c>
      <x:c r="E962" t="n">
        <x:v>0.0433</x:v>
      </x:c>
      <x:c r="F962" t="n">
        <x:v>820</x:v>
      </x:c>
      <x:c r="G962" t="n">
        <x:v>855</x:v>
      </x:c>
      <x:c r="H962" t="n">
        <x:v>35</x:v>
      </x:c>
      <x:c r="I962" t="n">
        <x:v>0.0427</x:v>
      </x:c>
      <x:c r="J962" t="str">
        <x:v>Low</x:v>
      </x:c>
      <x:c r="K962" t="n">
        <x:v>44</x:v>
      </x:c>
      <x:c r="L962" t="n">
        <x:v>48.7</x:v>
      </x:c>
      <x:c r="M962" t="n">
        <x:v>41.4</x:v>
      </x:c>
      <x:c r="N962" t="str">
        <x:v>Most Likely</x:v>
      </x:c>
      <x:c r="O962" t="str">
        <x:v>Most Likely</x:v>
      </x:c>
    </x:row>
    <x:row r="963">
      <x:c r="A963" t="str">
        <x:v>PJT_962</x:v>
      </x:c>
      <x:c r="B963" t="n">
        <x:v>99842020</x:v>
      </x:c>
      <x:c r="C963" t="n">
        <x:v>114481848</x:v>
      </x:c>
      <x:c r="D963" t="n">
        <x:v>14639828</x:v>
      </x:c>
      <x:c r="E963" t="n">
        <x:v>0.1466</x:v>
      </x:c>
      <x:c r="F963" t="n">
        <x:v>2031</x:v>
      </x:c>
      <x:c r="G963" t="n">
        <x:v>2115</x:v>
      </x:c>
      <x:c r="H963" t="n">
        <x:v>84</x:v>
      </x:c>
      <x:c r="I963" t="n">
        <x:v>0.0414</x:v>
      </x:c>
      <x:c r="J963" t="str">
        <x:v>High</x:v>
      </x:c>
      <x:c r="K963" t="n">
        <x:v>69.5</x:v>
      </x:c>
      <x:c r="L963" t="n">
        <x:v>72.6</x:v>
      </x:c>
      <x:c r="M963" t="n">
        <x:v>69.6</x:v>
      </x:c>
      <x:c r="N963" t="str">
        <x:v>Pessimistic</x:v>
      </x:c>
      <x:c r="O963" t="str">
        <x:v>Most Likely</x:v>
      </x:c>
    </x:row>
    <x:row r="964">
      <x:c r="A964" t="str">
        <x:v>PJT_963</x:v>
      </x:c>
      <x:c r="B964" t="n">
        <x:v>63615240</x:v>
      </x:c>
      <x:c r="C964" t="n">
        <x:v>64022447</x:v>
      </x:c>
      <x:c r="D964" t="n">
        <x:v>407207</x:v>
      </x:c>
      <x:c r="E964" t="n">
        <x:v>0.0064</x:v>
      </x:c>
      <x:c r="F964" t="n">
        <x:v>1227</x:v>
      </x:c>
      <x:c r="G964" t="n">
        <x:v>1198</x:v>
      </x:c>
      <x:c r="H964" t="n">
        <x:v>-29</x:v>
      </x:c>
      <x:c r="I964" t="n">
        <x:v>-0.0236</x:v>
      </x:c>
      <x:c r="J964" t="str">
        <x:v>Medium</x:v>
      </x:c>
      <x:c r="K964" t="n">
        <x:v>46.6</x:v>
      </x:c>
      <x:c r="L964" t="n">
        <x:v>46.9</x:v>
      </x:c>
      <x:c r="M964" t="n">
        <x:v>46.7</x:v>
      </x:c>
      <x:c r="N964" t="str">
        <x:v>Most Likely</x:v>
      </x:c>
      <x:c r="O964" t="str">
        <x:v>Optimistic</x:v>
      </x:c>
    </x:row>
    <x:row r="965">
      <x:c r="A965" t="str">
        <x:v>PJT_964</x:v>
      </x:c>
      <x:c r="B965" t="n">
        <x:v>15336820</x:v>
      </x:c>
      <x:c r="C965" t="n">
        <x:v>14182197</x:v>
      </x:c>
      <x:c r="D965" t="n">
        <x:v>-1154623</x:v>
      </x:c>
      <x:c r="E965" t="n">
        <x:v>-0.0753</x:v>
      </x:c>
      <x:c r="F965" t="n">
        <x:v>260</x:v>
      </x:c>
      <x:c r="G965" t="n">
        <x:v>285</x:v>
      </x:c>
      <x:c r="H965" t="n">
        <x:v>25</x:v>
      </x:c>
      <x:c r="I965" t="n">
        <x:v>0.0962</x:v>
      </x:c>
      <x:c r="J965" t="str">
        <x:v>Low</x:v>
      </x:c>
      <x:c r="K965" t="n">
        <x:v>37.8</x:v>
      </x:c>
      <x:c r="L965" t="n">
        <x:v>30.8</x:v>
      </x:c>
      <x:c r="M965" t="n">
        <x:v>38.6</x:v>
      </x:c>
      <x:c r="N965" t="str">
        <x:v>Optimistic</x:v>
      </x:c>
      <x:c r="O965" t="str">
        <x:v>Most Likely</x:v>
      </x:c>
    </x:row>
    <x:row r="966">
      <x:c r="A966" t="str">
        <x:v>PJT_965</x:v>
      </x:c>
      <x:c r="B966" t="n">
        <x:v>79719150</x:v>
      </x:c>
      <x:c r="C966" t="n">
        <x:v>82552669</x:v>
      </x:c>
      <x:c r="D966" t="n">
        <x:v>2833519</x:v>
      </x:c>
      <x:c r="E966" t="n">
        <x:v>0.0355</x:v>
      </x:c>
      <x:c r="F966" t="n">
        <x:v>1401</x:v>
      </x:c>
      <x:c r="G966" t="n">
        <x:v>1474</x:v>
      </x:c>
      <x:c r="H966" t="n">
        <x:v>73</x:v>
      </x:c>
      <x:c r="I966" t="n">
        <x:v>0.0521</x:v>
      </x:c>
      <x:c r="J966" t="str">
        <x:v>Medium</x:v>
      </x:c>
      <x:c r="K966" t="n">
        <x:v>62.6</x:v>
      </x:c>
      <x:c r="L966" t="n">
        <x:v>64.1</x:v>
      </x:c>
      <x:c r="M966" t="n">
        <x:v>63.6</x:v>
      </x:c>
      <x:c r="N966" t="str">
        <x:v>Most Likely</x:v>
      </x:c>
      <x:c r="O966" t="str">
        <x:v>Most Likely</x:v>
      </x:c>
    </x:row>
    <x:row r="967">
      <x:c r="A967" t="str">
        <x:v>PJT_966</x:v>
      </x:c>
      <x:c r="B967" t="n">
        <x:v>75545800</x:v>
      </x:c>
      <x:c r="C967" t="n">
        <x:v>79305081</x:v>
      </x:c>
      <x:c r="D967" t="n">
        <x:v>3759281</x:v>
      </x:c>
      <x:c r="E967" t="n">
        <x:v>0.0498</x:v>
      </x:c>
      <x:c r="F967" t="n">
        <x:v>1212</x:v>
      </x:c>
      <x:c r="G967" t="n">
        <x:v>1348</x:v>
      </x:c>
      <x:c r="H967" t="n">
        <x:v>136</x:v>
      </x:c>
      <x:c r="I967" t="n">
        <x:v>0.1122</x:v>
      </x:c>
      <x:c r="J967" t="str">
        <x:v>Low</x:v>
      </x:c>
      <x:c r="K967" t="n">
        <x:v>43.5</x:v>
      </x:c>
      <x:c r="L967" t="n">
        <x:v>51.3</x:v>
      </x:c>
      <x:c r="M967" t="n">
        <x:v>40.7</x:v>
      </x:c>
      <x:c r="N967" t="str">
        <x:v>Most Likely</x:v>
      </x:c>
      <x:c r="O967" t="str">
        <x:v>Pessimistic</x:v>
      </x:c>
    </x:row>
    <x:row r="968">
      <x:c r="A968" t="str">
        <x:v>PJT_967</x:v>
      </x:c>
      <x:c r="B968" t="n">
        <x:v>9746100</x:v>
      </x:c>
      <x:c r="C968" t="n">
        <x:v>9162963</x:v>
      </x:c>
      <x:c r="D968" t="n">
        <x:v>-583137</x:v>
      </x:c>
      <x:c r="E968" t="n">
        <x:v>-0.0598</x:v>
      </x:c>
      <x:c r="F968" t="n">
        <x:v>180</x:v>
      </x:c>
      <x:c r="G968" t="n">
        <x:v>180</x:v>
      </x:c>
      <x:c r="H968" t="n">
        <x:v>0</x:v>
      </x:c>
      <x:c r="I968" t="n">
        <x:v>0</x:v>
      </x:c>
      <x:c r="J968" t="str">
        <x:v>Low</x:v>
      </x:c>
      <x:c r="K968" t="n">
        <x:v>30.4</x:v>
      </x:c>
      <x:c r="L968" t="n">
        <x:v>26.3</x:v>
      </x:c>
      <x:c r="M968" t="n">
        <x:v>22</x:v>
      </x:c>
      <x:c r="N968" t="str">
        <x:v>Optimistic</x:v>
      </x:c>
      <x:c r="O968" t="str">
        <x:v>Optimistic</x:v>
      </x:c>
    </x:row>
    <x:row r="969">
      <x:c r="A969" t="str">
        <x:v>PJT_968</x:v>
      </x:c>
      <x:c r="B969" t="n">
        <x:v>23275340</x:v>
      </x:c>
      <x:c r="C969" t="n">
        <x:v>24592447</x:v>
      </x:c>
      <x:c r="D969" t="n">
        <x:v>1317107</x:v>
      </x:c>
      <x:c r="E969" t="n">
        <x:v>0.0566</x:v>
      </x:c>
      <x:c r="F969" t="n">
        <x:v>435</x:v>
      </x:c>
      <x:c r="G969" t="n">
        <x:v>455</x:v>
      </x:c>
      <x:c r="H969" t="n">
        <x:v>20</x:v>
      </x:c>
      <x:c r="I969" t="n">
        <x:v>0.046</x:v>
      </x:c>
      <x:c r="J969" t="str">
        <x:v>Medium</x:v>
      </x:c>
      <x:c r="K969" t="n">
        <x:v>50.3</x:v>
      </x:c>
      <x:c r="L969" t="n">
        <x:v>44.9</x:v>
      </x:c>
      <x:c r="M969" t="n">
        <x:v>48</x:v>
      </x:c>
      <x:c r="N969" t="str">
        <x:v>Most Likely</x:v>
      </x:c>
      <x:c r="O969" t="str">
        <x:v>Most Likely</x:v>
      </x:c>
    </x:row>
    <x:row r="970">
      <x:c r="A970" t="str">
        <x:v>PJT_969</x:v>
      </x:c>
      <x:c r="B970" t="n">
        <x:v>41011520</x:v>
      </x:c>
      <x:c r="C970" t="n">
        <x:v>44661284</x:v>
      </x:c>
      <x:c r="D970" t="n">
        <x:v>3649764</x:v>
      </x:c>
      <x:c r="E970" t="n">
        <x:v>0.089</x:v>
      </x:c>
      <x:c r="F970" t="n">
        <x:v>650</x:v>
      </x:c>
      <x:c r="G970" t="n">
        <x:v>718</x:v>
      </x:c>
      <x:c r="H970" t="n">
        <x:v>68</x:v>
      </x:c>
      <x:c r="I970" t="n">
        <x:v>0.1046</x:v>
      </x:c>
      <x:c r="J970" t="str">
        <x:v>Medium</x:v>
      </x:c>
      <x:c r="K970" t="n">
        <x:v>52.8</x:v>
      </x:c>
      <x:c r="L970" t="n">
        <x:v>56.3</x:v>
      </x:c>
      <x:c r="M970" t="n">
        <x:v>56.7</x:v>
      </x:c>
      <x:c r="N970" t="str">
        <x:v>Most Likely</x:v>
      </x:c>
      <x:c r="O970" t="str">
        <x:v>Pessimistic</x:v>
      </x:c>
    </x:row>
    <x:row r="971">
      <x:c r="A971" t="str">
        <x:v>PJT_970</x:v>
      </x:c>
      <x:c r="B971" t="n">
        <x:v>56121500</x:v>
      </x:c>
      <x:c r="C971" t="n">
        <x:v>57136747</x:v>
      </x:c>
      <x:c r="D971" t="n">
        <x:v>1015247</x:v>
      </x:c>
      <x:c r="E971" t="n">
        <x:v>0.0181</x:v>
      </x:c>
      <x:c r="F971" t="n">
        <x:v>1078</x:v>
      </x:c>
      <x:c r="G971" t="n">
        <x:v>1117</x:v>
      </x:c>
      <x:c r="H971" t="n">
        <x:v>39</x:v>
      </x:c>
      <x:c r="I971" t="n">
        <x:v>0.0362</x:v>
      </x:c>
      <x:c r="J971" t="str">
        <x:v>Medium</x:v>
      </x:c>
      <x:c r="K971" t="n">
        <x:v>51.3</x:v>
      </x:c>
      <x:c r="L971" t="n">
        <x:v>52.2</x:v>
      </x:c>
      <x:c r="M971" t="n">
        <x:v>48.9</x:v>
      </x:c>
      <x:c r="N971" t="str">
        <x:v>Most Likely</x:v>
      </x:c>
      <x:c r="O971" t="str">
        <x:v>Most Likely</x:v>
      </x:c>
    </x:row>
    <x:row r="972">
      <x:c r="A972" t="str">
        <x:v>PJT_971</x:v>
      </x:c>
      <x:c r="B972" t="n">
        <x:v>71933400</x:v>
      </x:c>
      <x:c r="C972" t="n">
        <x:v>77233618</x:v>
      </x:c>
      <x:c r="D972" t="n">
        <x:v>5300218</x:v>
      </x:c>
      <x:c r="E972" t="n">
        <x:v>0.0737</x:v>
      </x:c>
      <x:c r="F972" t="n">
        <x:v>1305</x:v>
      </x:c>
      <x:c r="G972" t="n">
        <x:v>1389</x:v>
      </x:c>
      <x:c r="H972" t="n">
        <x:v>84</x:v>
      </x:c>
      <x:c r="I972" t="n">
        <x:v>0.0644</x:v>
      </x:c>
      <x:c r="J972" t="str">
        <x:v>Medium</x:v>
      </x:c>
      <x:c r="K972" t="n">
        <x:v>50.4</x:v>
      </x:c>
      <x:c r="L972" t="n">
        <x:v>53.6</x:v>
      </x:c>
      <x:c r="M972" t="n">
        <x:v>44.6</x:v>
      </x:c>
      <x:c r="N972" t="str">
        <x:v>Most Likely</x:v>
      </x:c>
      <x:c r="O972" t="str">
        <x:v>Most Likely</x:v>
      </x:c>
    </x:row>
    <x:row r="973">
      <x:c r="A973" t="str">
        <x:v>PJT_972</x:v>
      </x:c>
      <x:c r="B973" t="n">
        <x:v>16168360</x:v>
      </x:c>
      <x:c r="C973" t="n">
        <x:v>16133354</x:v>
      </x:c>
      <x:c r="D973" t="n">
        <x:v>-35006</x:v>
      </x:c>
      <x:c r="E973" t="n">
        <x:v>-0.0022</x:v>
      </x:c>
      <x:c r="F973" t="n">
        <x:v>264</x:v>
      </x:c>
      <x:c r="G973" t="n">
        <x:v>249</x:v>
      </x:c>
      <x:c r="H973" t="n">
        <x:v>-15</x:v>
      </x:c>
      <x:c r="I973" t="n">
        <x:v>-0.0568</x:v>
      </x:c>
      <x:c r="J973" t="str">
        <x:v>Low</x:v>
      </x:c>
      <x:c r="K973" t="n">
        <x:v>33</x:v>
      </x:c>
      <x:c r="L973" t="n">
        <x:v>41.7</x:v>
      </x:c>
      <x:c r="M973" t="n">
        <x:v>34</x:v>
      </x:c>
      <x:c r="N973" t="str">
        <x:v>Optimistic</x:v>
      </x:c>
      <x:c r="O973" t="str">
        <x:v>Optimistic</x:v>
      </x:c>
    </x:row>
    <x:row r="974">
      <x:c r="A974" t="str">
        <x:v>PJT_973</x:v>
      </x:c>
      <x:c r="B974" t="n">
        <x:v>20066240</x:v>
      </x:c>
      <x:c r="C974" t="n">
        <x:v>20714117</x:v>
      </x:c>
      <x:c r="D974" t="n">
        <x:v>647877</x:v>
      </x:c>
      <x:c r="E974" t="n">
        <x:v>0.0323</x:v>
      </x:c>
      <x:c r="F974" t="n">
        <x:v>411</x:v>
      </x:c>
      <x:c r="G974" t="n">
        <x:v>446</x:v>
      </x:c>
      <x:c r="H974" t="n">
        <x:v>35</x:v>
      </x:c>
      <x:c r="I974" t="n">
        <x:v>0.0852</x:v>
      </x:c>
      <x:c r="J974" t="str">
        <x:v>Medium</x:v>
      </x:c>
      <x:c r="K974" t="n">
        <x:v>49.1</x:v>
      </x:c>
      <x:c r="L974" t="n">
        <x:v>49.2</x:v>
      </x:c>
      <x:c r="M974" t="n">
        <x:v>55.7</x:v>
      </x:c>
      <x:c r="N974" t="str">
        <x:v>Most Likely</x:v>
      </x:c>
      <x:c r="O974" t="str">
        <x:v>Most Likely</x:v>
      </x:c>
    </x:row>
    <x:row r="975">
      <x:c r="A975" t="str">
        <x:v>PJT_974</x:v>
      </x:c>
      <x:c r="B975" t="n">
        <x:v>90769750</x:v>
      </x:c>
      <x:c r="C975" t="n">
        <x:v>102305333</x:v>
      </x:c>
      <x:c r="D975" t="n">
        <x:v>11535583</x:v>
      </x:c>
      <x:c r="E975" t="n">
        <x:v>0.1271</x:v>
      </x:c>
      <x:c r="F975" t="n">
        <x:v>1556</x:v>
      </x:c>
      <x:c r="G975" t="n">
        <x:v>1666</x:v>
      </x:c>
      <x:c r="H975" t="n">
        <x:v>110</x:v>
      </x:c>
      <x:c r="I975" t="n">
        <x:v>0.0707</x:v>
      </x:c>
      <x:c r="J975" t="str">
        <x:v>Medium</x:v>
      </x:c>
      <x:c r="K975" t="n">
        <x:v>64.1</x:v>
      </x:c>
      <x:c r="L975" t="n">
        <x:v>68.2</x:v>
      </x:c>
      <x:c r="M975" t="n">
        <x:v>63.5</x:v>
      </x:c>
      <x:c r="N975" t="str">
        <x:v>Pessimistic</x:v>
      </x:c>
      <x:c r="O975" t="str">
        <x:v>Most Likely</x:v>
      </x:c>
    </x:row>
    <x:row r="976">
      <x:c r="A976" t="str">
        <x:v>PJT_975</x:v>
      </x:c>
      <x:c r="B976" t="n">
        <x:v>20221600</x:v>
      </x:c>
      <x:c r="C976" t="n">
        <x:v>19915109</x:v>
      </x:c>
      <x:c r="D976" t="n">
        <x:v>-306491</x:v>
      </x:c>
      <x:c r="E976" t="n">
        <x:v>-0.0152</x:v>
      </x:c>
      <x:c r="F976" t="n">
        <x:v>413</x:v>
      </x:c>
      <x:c r="G976" t="n">
        <x:v>448</x:v>
      </x:c>
      <x:c r="H976" t="n">
        <x:v>35</x:v>
      </x:c>
      <x:c r="I976" t="n">
        <x:v>0.0847</x:v>
      </x:c>
      <x:c r="J976" t="str">
        <x:v>Low</x:v>
      </x:c>
      <x:c r="K976" t="n">
        <x:v>32.8</x:v>
      </x:c>
      <x:c r="L976" t="n">
        <x:v>30.5</x:v>
      </x:c>
      <x:c r="M976" t="n">
        <x:v>31.7</x:v>
      </x:c>
      <x:c r="N976" t="str">
        <x:v>Optimistic</x:v>
      </x:c>
      <x:c r="O976" t="str">
        <x:v>Most Likely</x:v>
      </x:c>
    </x:row>
    <x:row r="977">
      <x:c r="A977" t="str">
        <x:v>PJT_976</x:v>
      </x:c>
      <x:c r="B977" t="n">
        <x:v>24242400</x:v>
      </x:c>
      <x:c r="C977" t="n">
        <x:v>24054858</x:v>
      </x:c>
      <x:c r="D977" t="n">
        <x:v>-187542</x:v>
      </x:c>
      <x:c r="E977" t="n">
        <x:v>-0.0077</x:v>
      </x:c>
      <x:c r="F977" t="n">
        <x:v>603</x:v>
      </x:c>
      <x:c r="G977" t="n">
        <x:v>606</x:v>
      </x:c>
      <x:c r="H977" t="n">
        <x:v>3</x:v>
      </x:c>
      <x:c r="I977" t="n">
        <x:v>0.005</x:v>
      </x:c>
      <x:c r="J977" t="str">
        <x:v>Low</x:v>
      </x:c>
      <x:c r="K977" t="n">
        <x:v>38.5</x:v>
      </x:c>
      <x:c r="L977" t="n">
        <x:v>43.6</x:v>
      </x:c>
      <x:c r="M977" t="n">
        <x:v>41</x:v>
      </x:c>
      <x:c r="N977" t="str">
        <x:v>Optimistic</x:v>
      </x:c>
      <x:c r="O977" t="str">
        <x:v>Most Likely</x:v>
      </x:c>
    </x:row>
    <x:row r="978">
      <x:c r="A978" t="str">
        <x:v>PJT_977</x:v>
      </x:c>
      <x:c r="B978" t="n">
        <x:v>27586360</x:v>
      </x:c>
      <x:c r="C978" t="n">
        <x:v>29131132</x:v>
      </x:c>
      <x:c r="D978" t="n">
        <x:v>1544772</x:v>
      </x:c>
      <x:c r="E978" t="n">
        <x:v>0.056</x:v>
      </x:c>
      <x:c r="F978" t="n">
        <x:v>484</x:v>
      </x:c>
      <x:c r="G978" t="n">
        <x:v>495</x:v>
      </x:c>
      <x:c r="H978" t="n">
        <x:v>11</x:v>
      </x:c>
      <x:c r="I978" t="n">
        <x:v>0.0227</x:v>
      </x:c>
      <x:c r="J978" t="str">
        <x:v>Medium</x:v>
      </x:c>
      <x:c r="K978" t="n">
        <x:v>45.5</x:v>
      </x:c>
      <x:c r="L978" t="n">
        <x:v>49.4</x:v>
      </x:c>
      <x:c r="M978" t="n">
        <x:v>45.4</x:v>
      </x:c>
      <x:c r="N978" t="str">
        <x:v>Most Likely</x:v>
      </x:c>
      <x:c r="O978" t="str">
        <x:v>Most Likely</x:v>
      </x:c>
    </x:row>
    <x:row r="979">
      <x:c r="A979" t="str">
        <x:v>PJT_978</x:v>
      </x:c>
      <x:c r="B979" t="n">
        <x:v>50415900</x:v>
      </x:c>
      <x:c r="C979" t="n">
        <x:v>52285935</x:v>
      </x:c>
      <x:c r="D979" t="n">
        <x:v>1870035</x:v>
      </x:c>
      <x:c r="E979" t="n">
        <x:v>0.0371</x:v>
      </x:c>
      <x:c r="F979" t="n">
        <x:v>750</x:v>
      </x:c>
      <x:c r="G979" t="n">
        <x:v>803</x:v>
      </x:c>
      <x:c r="H979" t="n">
        <x:v>53</x:v>
      </x:c>
      <x:c r="I979" t="n">
        <x:v>0.0707</x:v>
      </x:c>
      <x:c r="J979" t="str">
        <x:v>Medium</x:v>
      </x:c>
      <x:c r="K979" t="n">
        <x:v>49.5</x:v>
      </x:c>
      <x:c r="L979" t="n">
        <x:v>52.5</x:v>
      </x:c>
      <x:c r="M979" t="n">
        <x:v>45.9</x:v>
      </x:c>
      <x:c r="N979" t="str">
        <x:v>Most Likely</x:v>
      </x:c>
      <x:c r="O979" t="str">
        <x:v>Most Likely</x:v>
      </x:c>
    </x:row>
    <x:row r="980">
      <x:c r="A980" t="str">
        <x:v>PJT_979</x:v>
      </x:c>
      <x:c r="B980" t="n">
        <x:v>35322050</x:v>
      </x:c>
      <x:c r="C980" t="n">
        <x:v>37613119</x:v>
      </x:c>
      <x:c r="D980" t="n">
        <x:v>2291069</x:v>
      </x:c>
      <x:c r="E980" t="n">
        <x:v>0.0649</x:v>
      </x:c>
      <x:c r="F980" t="n">
        <x:v>709</x:v>
      </x:c>
      <x:c r="G980" t="n">
        <x:v>790</x:v>
      </x:c>
      <x:c r="H980" t="n">
        <x:v>81</x:v>
      </x:c>
      <x:c r="I980" t="n">
        <x:v>0.1142</x:v>
      </x:c>
      <x:c r="J980" t="str">
        <x:v>Medium</x:v>
      </x:c>
      <x:c r="K980" t="n">
        <x:v>51.1</x:v>
      </x:c>
      <x:c r="L980" t="n">
        <x:v>42.2</x:v>
      </x:c>
      <x:c r="M980" t="n">
        <x:v>44.9</x:v>
      </x:c>
      <x:c r="N980" t="str">
        <x:v>Most Likely</x:v>
      </x:c>
      <x:c r="O980" t="str">
        <x:v>Pessimistic</x:v>
      </x:c>
    </x:row>
    <x:row r="981">
      <x:c r="A981" t="str">
        <x:v>PJT_980</x:v>
      </x:c>
      <x:c r="B981" t="n">
        <x:v>48779360</x:v>
      </x:c>
      <x:c r="C981" t="n">
        <x:v>52824554</x:v>
      </x:c>
      <x:c r="D981" t="n">
        <x:v>4045194</x:v>
      </x:c>
      <x:c r="E981" t="n">
        <x:v>0.0829</x:v>
      </x:c>
      <x:c r="F981" t="n">
        <x:v>977</x:v>
      </x:c>
      <x:c r="G981" t="n">
        <x:v>1048</x:v>
      </x:c>
      <x:c r="H981" t="n">
        <x:v>71</x:v>
      </x:c>
      <x:c r="I981" t="n">
        <x:v>0.0727</x:v>
      </x:c>
      <x:c r="J981" t="str">
        <x:v>Medium</x:v>
      </x:c>
      <x:c r="K981" t="n">
        <x:v>55.5</x:v>
      </x:c>
      <x:c r="L981" t="n">
        <x:v>58.5</x:v>
      </x:c>
      <x:c r="M981" t="n">
        <x:v>63.5</x:v>
      </x:c>
      <x:c r="N981" t="str">
        <x:v>Most Likely</x:v>
      </x:c>
      <x:c r="O981" t="str">
        <x:v>Most Likely</x:v>
      </x:c>
    </x:row>
    <x:row r="982">
      <x:c r="A982" t="str">
        <x:v>PJT_981</x:v>
      </x:c>
      <x:c r="B982" t="n">
        <x:v>42904400</x:v>
      </x:c>
      <x:c r="C982" t="n">
        <x:v>47193796</x:v>
      </x:c>
      <x:c r="D982" t="n">
        <x:v>4289396</x:v>
      </x:c>
      <x:c r="E982" t="n">
        <x:v>0.1</x:v>
      </x:c>
      <x:c r="F982" t="n">
        <x:v>844</x:v>
      </x:c>
      <x:c r="G982" t="n">
        <x:v>903</x:v>
      </x:c>
      <x:c r="H982" t="n">
        <x:v>59</x:v>
      </x:c>
      <x:c r="I982" t="n">
        <x:v>0.0699</x:v>
      </x:c>
      <x:c r="J982" t="str">
        <x:v>Medium</x:v>
      </x:c>
      <x:c r="K982" t="n">
        <x:v>48.6</x:v>
      </x:c>
      <x:c r="L982" t="n">
        <x:v>51.1</x:v>
      </x:c>
      <x:c r="M982" t="n">
        <x:v>50.1</x:v>
      </x:c>
      <x:c r="N982" t="str">
        <x:v>Most Likely</x:v>
      </x:c>
      <x:c r="O982" t="str">
        <x:v>Most Likely</x:v>
      </x:c>
    </x:row>
    <x:row r="983">
      <x:c r="A983" t="str">
        <x:v>PJT_982</x:v>
      </x:c>
      <x:c r="B983" t="n">
        <x:v>36811440</x:v>
      </x:c>
      <x:c r="C983" t="n">
        <x:v>38084243</x:v>
      </x:c>
      <x:c r="D983" t="n">
        <x:v>1272803</x:v>
      </x:c>
      <x:c r="E983" t="n">
        <x:v>0.0346</x:v>
      </x:c>
      <x:c r="F983" t="n">
        <x:v>645</x:v>
      </x:c>
      <x:c r="G983" t="n">
        <x:v>640</x:v>
      </x:c>
      <x:c r="H983" t="n">
        <x:v>-5</x:v>
      </x:c>
      <x:c r="I983" t="n">
        <x:v>-0.0078</x:v>
      </x:c>
      <x:c r="J983" t="str">
        <x:v>Medium</x:v>
      </x:c>
      <x:c r="K983" t="n">
        <x:v>48.4</x:v>
      </x:c>
      <x:c r="L983" t="n">
        <x:v>49.3</x:v>
      </x:c>
      <x:c r="M983" t="n">
        <x:v>48.7</x:v>
      </x:c>
      <x:c r="N983" t="str">
        <x:v>Most Likely</x:v>
      </x:c>
      <x:c r="O983" t="str">
        <x:v>Optimistic</x:v>
      </x:c>
    </x:row>
    <x:row r="984">
      <x:c r="A984" t="str">
        <x:v>PJT_983</x:v>
      </x:c>
      <x:c r="B984" t="n">
        <x:v>16545970</x:v>
      </x:c>
      <x:c r="C984" t="n">
        <x:v>16337152</x:v>
      </x:c>
      <x:c r="D984" t="n">
        <x:v>-208818</x:v>
      </x:c>
      <x:c r="E984" t="n">
        <x:v>-0.0126</x:v>
      </x:c>
      <x:c r="F984" t="n">
        <x:v>307</x:v>
      </x:c>
      <x:c r="G984" t="n">
        <x:v>285</x:v>
      </x:c>
      <x:c r="H984" t="n">
        <x:v>-22</x:v>
      </x:c>
      <x:c r="I984" t="n">
        <x:v>-0.0717</x:v>
      </x:c>
      <x:c r="J984" t="str">
        <x:v>Low</x:v>
      </x:c>
      <x:c r="K984" t="n">
        <x:v>33.6</x:v>
      </x:c>
      <x:c r="L984" t="n">
        <x:v>28.9</x:v>
      </x:c>
      <x:c r="M984" t="n">
        <x:v>32.9</x:v>
      </x:c>
      <x:c r="N984" t="str">
        <x:v>Optimistic</x:v>
      </x:c>
      <x:c r="O984" t="str">
        <x:v>Optimistic</x:v>
      </x:c>
    </x:row>
    <x:row r="985">
      <x:c r="A985" t="str">
        <x:v>PJT_984</x:v>
      </x:c>
      <x:c r="B985" t="n">
        <x:v>52559400</x:v>
      </x:c>
      <x:c r="C985" t="n">
        <x:v>57345482</x:v>
      </x:c>
      <x:c r="D985" t="n">
        <x:v>4786082</x:v>
      </x:c>
      <x:c r="E985" t="n">
        <x:v>0.0911</x:v>
      </x:c>
      <x:c r="F985" t="n">
        <x:v>1018</x:v>
      </x:c>
      <x:c r="G985" t="n">
        <x:v>1118</x:v>
      </x:c>
      <x:c r="H985" t="n">
        <x:v>100</x:v>
      </x:c>
      <x:c r="I985" t="n">
        <x:v>0.0982</x:v>
      </x:c>
      <x:c r="J985" t="str">
        <x:v>Medium</x:v>
      </x:c>
      <x:c r="K985" t="n">
        <x:v>48.8</x:v>
      </x:c>
      <x:c r="L985" t="n">
        <x:v>52.7</x:v>
      </x:c>
      <x:c r="M985" t="n">
        <x:v>47.6</x:v>
      </x:c>
      <x:c r="N985" t="str">
        <x:v>Most Likely</x:v>
      </x:c>
      <x:c r="O985" t="str">
        <x:v>Most Likely</x:v>
      </x:c>
    </x:row>
    <x:row r="986">
      <x:c r="A986" t="str">
        <x:v>PJT_985</x:v>
      </x:c>
      <x:c r="B986" t="n">
        <x:v>96918580</x:v>
      </x:c>
      <x:c r="C986" t="n">
        <x:v>102939535</x:v>
      </x:c>
      <x:c r="D986" t="n">
        <x:v>6020955</x:v>
      </x:c>
      <x:c r="E986" t="n">
        <x:v>0.0621</x:v>
      </x:c>
      <x:c r="F986" t="n">
        <x:v>1563</x:v>
      </x:c>
      <x:c r="G986" t="n">
        <x:v>1741</x:v>
      </x:c>
      <x:c r="H986" t="n">
        <x:v>178</x:v>
      </x:c>
      <x:c r="I986" t="n">
        <x:v>0.1139</x:v>
      </x:c>
      <x:c r="J986" t="str">
        <x:v>Medium</x:v>
      </x:c>
      <x:c r="K986" t="n">
        <x:v>64.5</x:v>
      </x:c>
      <x:c r="L986" t="n">
        <x:v>63.8</x:v>
      </x:c>
      <x:c r="M986" t="n">
        <x:v>63.4</x:v>
      </x:c>
      <x:c r="N986" t="str">
        <x:v>Most Likely</x:v>
      </x:c>
      <x:c r="O986" t="str">
        <x:v>Pessimistic</x:v>
      </x:c>
    </x:row>
    <x:row r="987">
      <x:c r="A987" t="str">
        <x:v>PJT_986</x:v>
      </x:c>
      <x:c r="B987" t="n">
        <x:v>9876940</x:v>
      </x:c>
      <x:c r="C987" t="n">
        <x:v>9992041</x:v>
      </x:c>
      <x:c r="D987" t="n">
        <x:v>115101</x:v>
      </x:c>
      <x:c r="E987" t="n">
        <x:v>0.0117</x:v>
      </x:c>
      <x:c r="F987" t="n">
        <x:v>215</x:v>
      </x:c>
      <x:c r="G987" t="n">
        <x:v>209</x:v>
      </x:c>
      <x:c r="H987" t="n">
        <x:v>-6</x:v>
      </x:c>
      <x:c r="I987" t="n">
        <x:v>-0.0279</x:v>
      </x:c>
      <x:c r="J987" t="str">
        <x:v>Low</x:v>
      </x:c>
      <x:c r="K987" t="n">
        <x:v>28.3</x:v>
      </x:c>
      <x:c r="L987" t="n">
        <x:v>26.2</x:v>
      </x:c>
      <x:c r="M987" t="n">
        <x:v>28</x:v>
      </x:c>
      <x:c r="N987" t="str">
        <x:v>Most Likely</x:v>
      </x:c>
      <x:c r="O987" t="str">
        <x:v>Optimistic</x:v>
      </x:c>
    </x:row>
    <x:row r="988">
      <x:c r="A988" t="str">
        <x:v>PJT_987</x:v>
      </x:c>
      <x:c r="B988" t="n">
        <x:v>6537060</x:v>
      </x:c>
      <x:c r="C988" t="n">
        <x:v>6242228</x:v>
      </x:c>
      <x:c r="D988" t="n">
        <x:v>-294832</x:v>
      </x:c>
      <x:c r="E988" t="n">
        <x:v>-0.0451</x:v>
      </x:c>
      <x:c r="F988" t="n">
        <x:v>180</x:v>
      </x:c>
      <x:c r="G988" t="n">
        <x:v>172</x:v>
      </x:c>
      <x:c r="H988" t="n">
        <x:v>-8</x:v>
      </x:c>
      <x:c r="I988" t="n">
        <x:v>-0.0444</x:v>
      </x:c>
      <x:c r="J988" t="str">
        <x:v>Low</x:v>
      </x:c>
      <x:c r="K988" t="n">
        <x:v>25.1</x:v>
      </x:c>
      <x:c r="L988" t="n">
        <x:v>27.4</x:v>
      </x:c>
      <x:c r="M988" t="n">
        <x:v>30.3</x:v>
      </x:c>
      <x:c r="N988" t="str">
        <x:v>Optimistic</x:v>
      </x:c>
      <x:c r="O988" t="str">
        <x:v>Optimistic</x:v>
      </x:c>
    </x:row>
    <x:row r="989">
      <x:c r="A989" t="str">
        <x:v>PJT_988</x:v>
      </x:c>
      <x:c r="B989" t="n">
        <x:v>38079150</x:v>
      </x:c>
      <x:c r="C989" t="n">
        <x:v>39113232</x:v>
      </x:c>
      <x:c r="D989" t="n">
        <x:v>1034082</x:v>
      </x:c>
      <x:c r="E989" t="n">
        <x:v>0.0272</x:v>
      </x:c>
      <x:c r="F989" t="n">
        <x:v>760</x:v>
      </x:c>
      <x:c r="G989" t="n">
        <x:v>824</x:v>
      </x:c>
      <x:c r="H989" t="n">
        <x:v>64</x:v>
      </x:c>
      <x:c r="I989" t="n">
        <x:v>0.0842</x:v>
      </x:c>
      <x:c r="J989" t="str">
        <x:v>Medium</x:v>
      </x:c>
      <x:c r="K989" t="n">
        <x:v>58.9</x:v>
      </x:c>
      <x:c r="L989" t="n">
        <x:v>57.4</x:v>
      </x:c>
      <x:c r="M989" t="n">
        <x:v>62.8</x:v>
      </x:c>
      <x:c r="N989" t="str">
        <x:v>Most Likely</x:v>
      </x:c>
      <x:c r="O989" t="str">
        <x:v>Most Likely</x:v>
      </x:c>
    </x:row>
    <x:row r="990">
      <x:c r="A990" t="str">
        <x:v>PJT_989</x:v>
      </x:c>
      <x:c r="B990" t="n">
        <x:v>37712580</x:v>
      </x:c>
      <x:c r="C990" t="n">
        <x:v>40363556</x:v>
      </x:c>
      <x:c r="D990" t="n">
        <x:v>2650976</x:v>
      </x:c>
      <x:c r="E990" t="n">
        <x:v>0.0703</x:v>
      </x:c>
      <x:c r="F990" t="n">
        <x:v>761</x:v>
      </x:c>
      <x:c r="G990" t="n">
        <x:v>770</x:v>
      </x:c>
      <x:c r="H990" t="n">
        <x:v>9</x:v>
      </x:c>
      <x:c r="I990" t="n">
        <x:v>0.0118</x:v>
      </x:c>
      <x:c r="J990" t="str">
        <x:v>Medium</x:v>
      </x:c>
      <x:c r="K990" t="n">
        <x:v>54.4</x:v>
      </x:c>
      <x:c r="L990" t="n">
        <x:v>53.8</x:v>
      </x:c>
      <x:c r="M990" t="n">
        <x:v>46.2</x:v>
      </x:c>
      <x:c r="N990" t="str">
        <x:v>Most Likely</x:v>
      </x:c>
      <x:c r="O990" t="str">
        <x:v>Most Likely</x:v>
      </x:c>
    </x:row>
    <x:row r="991">
      <x:c r="A991" t="str">
        <x:v>PJT_990</x:v>
      </x:c>
      <x:c r="B991" t="n">
        <x:v>18502020</x:v>
      </x:c>
      <x:c r="C991" t="n">
        <x:v>17777456</x:v>
      </x:c>
      <x:c r="D991" t="n">
        <x:v>-724564</x:v>
      </x:c>
      <x:c r="E991" t="n">
        <x:v>-0.0392</x:v>
      </x:c>
      <x:c r="F991" t="n">
        <x:v>512</x:v>
      </x:c>
      <x:c r="G991" t="n">
        <x:v>528</x:v>
      </x:c>
      <x:c r="H991" t="n">
        <x:v>16</x:v>
      </x:c>
      <x:c r="I991" t="n">
        <x:v>0.0312</x:v>
      </x:c>
      <x:c r="J991" t="str">
        <x:v>Low</x:v>
      </x:c>
      <x:c r="K991" t="n">
        <x:v>38.6</x:v>
      </x:c>
      <x:c r="L991" t="n">
        <x:v>31.1</x:v>
      </x:c>
      <x:c r="M991" t="n">
        <x:v>39.5</x:v>
      </x:c>
      <x:c r="N991" t="str">
        <x:v>Optimistic</x:v>
      </x:c>
      <x:c r="O991" t="str">
        <x:v>Most Likely</x:v>
      </x:c>
    </x:row>
    <x:row r="992">
      <x:c r="A992" t="str">
        <x:v>PJT_991</x:v>
      </x:c>
      <x:c r="B992" t="n">
        <x:v>49406250</x:v>
      </x:c>
      <x:c r="C992" t="n">
        <x:v>52922716</x:v>
      </x:c>
      <x:c r="D992" t="n">
        <x:v>3516466</x:v>
      </x:c>
      <x:c r="E992" t="n">
        <x:v>0.0712</x:v>
      </x:c>
      <x:c r="F992" t="n">
        <x:v>1028</x:v>
      </x:c>
      <x:c r="G992" t="n">
        <x:v>1091</x:v>
      </x:c>
      <x:c r="H992" t="n">
        <x:v>63</x:v>
      </x:c>
      <x:c r="I992" t="n">
        <x:v>0.0613</x:v>
      </x:c>
      <x:c r="J992" t="str">
        <x:v>Medium</x:v>
      </x:c>
      <x:c r="K992" t="n">
        <x:v>64.7</x:v>
      </x:c>
      <x:c r="L992" t="n">
        <x:v>63.2</x:v>
      </x:c>
      <x:c r="M992" t="n">
        <x:v>66.7</x:v>
      </x:c>
      <x:c r="N992" t="str">
        <x:v>Most Likely</x:v>
      </x:c>
      <x:c r="O992" t="str">
        <x:v>Most Likely</x:v>
      </x:c>
    </x:row>
    <x:row r="993">
      <x:c r="A993" t="str">
        <x:v>PJT_992</x:v>
      </x:c>
      <x:c r="B993" t="n">
        <x:v>59143000</x:v>
      </x:c>
      <x:c r="C993" t="n">
        <x:v>63244948</x:v>
      </x:c>
      <x:c r="D993" t="n">
        <x:v>4101948</x:v>
      </x:c>
      <x:c r="E993" t="n">
        <x:v>0.0694</x:v>
      </x:c>
      <x:c r="F993" t="n">
        <x:v>1290</x:v>
      </x:c>
      <x:c r="G993" t="n">
        <x:v>1424</x:v>
      </x:c>
      <x:c r="H993" t="n">
        <x:v>134</x:v>
      </x:c>
      <x:c r="I993" t="n">
        <x:v>0.1039</x:v>
      </x:c>
      <x:c r="J993" t="str">
        <x:v>Medium</x:v>
      </x:c>
      <x:c r="K993" t="n">
        <x:v>53.9</x:v>
      </x:c>
      <x:c r="L993" t="n">
        <x:v>57.8</x:v>
      </x:c>
      <x:c r="M993" t="n">
        <x:v>59.4</x:v>
      </x:c>
      <x:c r="N993" t="str">
        <x:v>Most Likely</x:v>
      </x:c>
      <x:c r="O993" t="str">
        <x:v>Pessimistic</x:v>
      </x:c>
    </x:row>
    <x:row r="994">
      <x:c r="A994" t="str">
        <x:v>PJT_993</x:v>
      </x:c>
      <x:c r="B994" t="n">
        <x:v>50745270</x:v>
      </x:c>
      <x:c r="C994" t="n">
        <x:v>55845565</x:v>
      </x:c>
      <x:c r="D994" t="n">
        <x:v>5100295</x:v>
      </x:c>
      <x:c r="E994" t="n">
        <x:v>0.1005</x:v>
      </x:c>
      <x:c r="F994" t="n">
        <x:v>967</x:v>
      </x:c>
      <x:c r="G994" t="n">
        <x:v>1050</x:v>
      </x:c>
      <x:c r="H994" t="n">
        <x:v>83</x:v>
      </x:c>
      <x:c r="I994" t="n">
        <x:v>0.0858</x:v>
      </x:c>
      <x:c r="J994" t="str">
        <x:v>Medium</x:v>
      </x:c>
      <x:c r="K994" t="n">
        <x:v>59.8</x:v>
      </x:c>
      <x:c r="L994" t="n">
        <x:v>62.8</x:v>
      </x:c>
      <x:c r="M994" t="n">
        <x:v>55.2</x:v>
      </x:c>
      <x:c r="N994" t="str">
        <x:v>Pessimistic</x:v>
      </x:c>
      <x:c r="O994" t="str">
        <x:v>Most Likely</x:v>
      </x:c>
    </x:row>
    <x:row r="995">
      <x:c r="A995" t="str">
        <x:v>PJT_994</x:v>
      </x:c>
      <x:c r="B995" t="n">
        <x:v>51228440</x:v>
      </x:c>
      <x:c r="C995" t="n">
        <x:v>54402090</x:v>
      </x:c>
      <x:c r="D995" t="n">
        <x:v>3173650</x:v>
      </x:c>
      <x:c r="E995" t="n">
        <x:v>0.062</x:v>
      </x:c>
      <x:c r="F995" t="n">
        <x:v>941</x:v>
      </x:c>
      <x:c r="G995" t="n">
        <x:v>967</x:v>
      </x:c>
      <x:c r="H995" t="n">
        <x:v>26</x:v>
      </x:c>
      <x:c r="I995" t="n">
        <x:v>0.0276</x:v>
      </x:c>
      <x:c r="J995" t="str">
        <x:v>Medium</x:v>
      </x:c>
      <x:c r="K995" t="n">
        <x:v>49.7</x:v>
      </x:c>
      <x:c r="L995" t="n">
        <x:v>48</x:v>
      </x:c>
      <x:c r="M995" t="n">
        <x:v>42.6</x:v>
      </x:c>
      <x:c r="N995" t="str">
        <x:v>Most Likely</x:v>
      </x:c>
      <x:c r="O995" t="str">
        <x:v>Most Likely</x:v>
      </x:c>
    </x:row>
    <x:row r="996">
      <x:c r="A996" t="str">
        <x:v>PJT_995</x:v>
      </x:c>
      <x:c r="B996" t="n">
        <x:v>21273840</x:v>
      </x:c>
      <x:c r="C996" t="n">
        <x:v>21663807</x:v>
      </x:c>
      <x:c r="D996" t="n">
        <x:v>389967</x:v>
      </x:c>
      <x:c r="E996" t="n">
        <x:v>0.0183</x:v>
      </x:c>
      <x:c r="F996" t="n">
        <x:v>519</x:v>
      </x:c>
      <x:c r="G996" t="n">
        <x:v>544</x:v>
      </x:c>
      <x:c r="H996" t="n">
        <x:v>25</x:v>
      </x:c>
      <x:c r="I996" t="n">
        <x:v>0.0482</x:v>
      </x:c>
      <x:c r="J996" t="str">
        <x:v>Low</x:v>
      </x:c>
      <x:c r="K996" t="n">
        <x:v>39.7</x:v>
      </x:c>
      <x:c r="L996" t="n">
        <x:v>39.7</x:v>
      </x:c>
      <x:c r="M996" t="n">
        <x:v>39.3</x:v>
      </x:c>
      <x:c r="N996" t="str">
        <x:v>Most Likely</x:v>
      </x:c>
      <x:c r="O996" t="str">
        <x:v>Most Likely</x:v>
      </x:c>
    </x:row>
    <x:row r="997">
      <x:c r="A997" t="str">
        <x:v>PJT_996</x:v>
      </x:c>
      <x:c r="B997" t="n">
        <x:v>27288800</x:v>
      </x:c>
      <x:c r="C997" t="n">
        <x:v>28923301</x:v>
      </x:c>
      <x:c r="D997" t="n">
        <x:v>1634501</x:v>
      </x:c>
      <x:c r="E997" t="n">
        <x:v>0.0599</x:v>
      </x:c>
      <x:c r="F997" t="n">
        <x:v>537</x:v>
      </x:c>
      <x:c r="G997" t="n">
        <x:v>545</x:v>
      </x:c>
      <x:c r="H997" t="n">
        <x:v>8</x:v>
      </x:c>
      <x:c r="I997" t="n">
        <x:v>0.0149</x:v>
      </x:c>
      <x:c r="J997" t="str">
        <x:v>Medium</x:v>
      </x:c>
      <x:c r="K997" t="n">
        <x:v>48</x:v>
      </x:c>
      <x:c r="L997" t="n">
        <x:v>49.8</x:v>
      </x:c>
      <x:c r="M997" t="n">
        <x:v>49.4</x:v>
      </x:c>
      <x:c r="N997" t="str">
        <x:v>Most Likely</x:v>
      </x:c>
      <x:c r="O997" t="str">
        <x:v>Most Likely</x:v>
      </x:c>
    </x:row>
    <x:row r="998">
      <x:c r="A998" t="str">
        <x:v>PJT_997</x:v>
      </x:c>
      <x:c r="B998" t="n">
        <x:v>24698500</x:v>
      </x:c>
      <x:c r="C998" t="n">
        <x:v>24740515</x:v>
      </x:c>
      <x:c r="D998" t="n">
        <x:v>42015</x:v>
      </x:c>
      <x:c r="E998" t="n">
        <x:v>0.0017</x:v>
      </x:c>
      <x:c r="F998" t="n">
        <x:v>489</x:v>
      </x:c>
      <x:c r="G998" t="n">
        <x:v>512</x:v>
      </x:c>
      <x:c r="H998" t="n">
        <x:v>23</x:v>
      </x:c>
      <x:c r="I998" t="n">
        <x:v>0.047</x:v>
      </x:c>
      <x:c r="J998" t="str">
        <x:v>Low</x:v>
      </x:c>
      <x:c r="K998" t="n">
        <x:v>38.3</x:v>
      </x:c>
      <x:c r="L998" t="n">
        <x:v>43.7</x:v>
      </x:c>
      <x:c r="M998" t="n">
        <x:v>43.4</x:v>
      </x:c>
      <x:c r="N998" t="str">
        <x:v>Most Likely</x:v>
      </x:c>
      <x:c r="O998" t="str">
        <x:v>Most Likely</x:v>
      </x:c>
    </x:row>
    <x:row r="999">
      <x:c r="A999" t="str">
        <x:v>PJT_998</x:v>
      </x:c>
      <x:c r="B999" t="n">
        <x:v>14877520</x:v>
      </x:c>
      <x:c r="C999" t="n">
        <x:v>14361829</x:v>
      </x:c>
      <x:c r="D999" t="n">
        <x:v>-515691</x:v>
      </x:c>
      <x:c r="E999" t="n">
        <x:v>-0.0347</x:v>
      </x:c>
      <x:c r="F999" t="n">
        <x:v>218</x:v>
      </x:c>
      <x:c r="G999" t="n">
        <x:v>192</x:v>
      </x:c>
      <x:c r="H999" t="n">
        <x:v>-26</x:v>
      </x:c>
      <x:c r="I999" t="n">
        <x:v>-0.1193</x:v>
      </x:c>
      <x:c r="J999" t="str">
        <x:v>Low</x:v>
      </x:c>
      <x:c r="K999" t="n">
        <x:v>24</x:v>
      </x:c>
      <x:c r="L999" t="n">
        <x:v>27</x:v>
      </x:c>
      <x:c r="M999" t="n">
        <x:v>27.5</x:v>
      </x:c>
      <x:c r="N999" t="str">
        <x:v>Optimistic</x:v>
      </x:c>
      <x:c r="O999" t="str">
        <x:v>Optimistic</x:v>
      </x:c>
    </x:row>
    <x:row r="1000">
      <x:c r="A1000" t="str">
        <x:v>PJT_999</x:v>
      </x:c>
      <x:c r="B1000" t="n">
        <x:v>37739370</x:v>
      </x:c>
      <x:c r="C1000" t="n">
        <x:v>37783194</x:v>
      </x:c>
      <x:c r="D1000" t="n">
        <x:v>43824</x:v>
      </x:c>
      <x:c r="E1000" t="n">
        <x:v>0.0012</x:v>
      </x:c>
      <x:c r="F1000" t="n">
        <x:v>647</x:v>
      </x:c>
      <x:c r="G1000" t="n">
        <x:v>664</x:v>
      </x:c>
      <x:c r="H1000" t="n">
        <x:v>17</x:v>
      </x:c>
      <x:c r="I1000" t="n">
        <x:v>0.0263</x:v>
      </x:c>
      <x:c r="J1000" t="str">
        <x:v>Medium</x:v>
      </x:c>
      <x:c r="K1000" t="n">
        <x:v>48.9</x:v>
      </x:c>
      <x:c r="L1000" t="n">
        <x:v>47.1</x:v>
      </x:c>
      <x:c r="M1000" t="n">
        <x:v>43.3</x:v>
      </x:c>
      <x:c r="N1000" t="str">
        <x:v>Most Likely</x:v>
      </x:c>
      <x:c r="O1000" t="str">
        <x:v>Most Likely</x:v>
      </x:c>
    </x:row>
    <x:row r="1001">
      <x:c r="A1001" t="str">
        <x:v>PJT_1000</x:v>
      </x:c>
      <x:c r="B1001" t="n">
        <x:v>31113900</x:v>
      </x:c>
      <x:c r="C1001" t="n">
        <x:v>32157599</x:v>
      </x:c>
      <x:c r="D1001" t="n">
        <x:v>1043699</x:v>
      </x:c>
      <x:c r="E1001" t="n">
        <x:v>0.0335</x:v>
      </x:c>
      <x:c r="F1001" t="n">
        <x:v>686</x:v>
      </x:c>
      <x:c r="G1001" t="n">
        <x:v>720</x:v>
      </x:c>
      <x:c r="H1001" t="n">
        <x:v>34</x:v>
      </x:c>
      <x:c r="I1001" t="n">
        <x:v>0.0496</x:v>
      </x:c>
      <x:c r="J1001" t="str">
        <x:v>Medium</x:v>
      </x:c>
      <x:c r="K1001" t="n">
        <x:v>45.7</x:v>
      </x:c>
      <x:c r="L1001" t="n">
        <x:v>42.7</x:v>
      </x:c>
      <x:c r="M1001" t="n">
        <x:v>40.7</x:v>
      </x:c>
      <x:c r="N1001" t="str">
        <x:v>Most Likely</x:v>
      </x:c>
      <x:c r="O1001" t="str">
        <x:v>Most Likely</x:v>
      </x:c>
    </x:row>
    <x:row r="1002">
      <x:c r="A1002" t="str">
        <x:v>PJT_1001</x:v>
      </x:c>
      <x:c r="B1002" t="n">
        <x:v>56047720</x:v>
      </x:c>
      <x:c r="C1002" t="n">
        <x:v>56440096</x:v>
      </x:c>
      <x:c r="D1002" t="n">
        <x:v>392376</x:v>
      </x:c>
      <x:c r="E1002" t="n">
        <x:v>0.007</x:v>
      </x:c>
      <x:c r="F1002" t="n">
        <x:v>1073</x:v>
      </x:c>
      <x:c r="G1002" t="n">
        <x:v>1100</x:v>
      </x:c>
      <x:c r="H1002" t="n">
        <x:v>27</x:v>
      </x:c>
      <x:c r="I1002" t="n">
        <x:v>0.0252</x:v>
      </x:c>
      <x:c r="J1002" t="str">
        <x:v>Medium</x:v>
      </x:c>
      <x:c r="K1002" t="n">
        <x:v>52.8</x:v>
      </x:c>
      <x:c r="L1002" t="n">
        <x:v>49.3</x:v>
      </x:c>
      <x:c r="M1002" t="n">
        <x:v>55.2</x:v>
      </x:c>
      <x:c r="N1002" t="str">
        <x:v>Most Likely</x:v>
      </x:c>
      <x:c r="O1002" t="str">
        <x:v>Most Likely</x:v>
      </x:c>
    </x:row>
    <x:row r="1003">
      <x:c r="A1003" t="str">
        <x:v>PJT_1002</x:v>
      </x:c>
      <x:c r="B1003" t="n">
        <x:v>21097440</x:v>
      </x:c>
      <x:c r="C1003" t="n">
        <x:v>23440260</x:v>
      </x:c>
      <x:c r="D1003" t="n">
        <x:v>2342820</x:v>
      </x:c>
      <x:c r="E1003" t="n">
        <x:v>0.111</x:v>
      </x:c>
      <x:c r="F1003" t="n">
        <x:v>380</x:v>
      </x:c>
      <x:c r="G1003" t="n">
        <x:v>395</x:v>
      </x:c>
      <x:c r="H1003" t="n">
        <x:v>15</x:v>
      </x:c>
      <x:c r="I1003" t="n">
        <x:v>0.0395</x:v>
      </x:c>
      <x:c r="J1003" t="str">
        <x:v>Medium</x:v>
      </x:c>
      <x:c r="K1003" t="n">
        <x:v>48</x:v>
      </x:c>
      <x:c r="L1003" t="n">
        <x:v>49.4</x:v>
      </x:c>
      <x:c r="M1003" t="n">
        <x:v>45.9</x:v>
      </x:c>
      <x:c r="N1003" t="str">
        <x:v>Pessimistic</x:v>
      </x:c>
      <x:c r="O1003" t="str">
        <x:v>Most Likely</x:v>
      </x:c>
    </x:row>
    <x:row r="1004">
      <x:c r="A1004" t="str">
        <x:v>PJT_1003</x:v>
      </x:c>
      <x:c r="B1004" t="n">
        <x:v>16330230</x:v>
      </x:c>
      <x:c r="C1004" t="n">
        <x:v>16715538</x:v>
      </x:c>
      <x:c r="D1004" t="n">
        <x:v>385308</x:v>
      </x:c>
      <x:c r="E1004" t="n">
        <x:v>0.0236</x:v>
      </x:c>
      <x:c r="F1004" t="n">
        <x:v>354</x:v>
      </x:c>
      <x:c r="G1004" t="n">
        <x:v>363</x:v>
      </x:c>
      <x:c r="H1004" t="n">
        <x:v>9</x:v>
      </x:c>
      <x:c r="I1004" t="n">
        <x:v>0.0254</x:v>
      </x:c>
      <x:c r="J1004" t="str">
        <x:v>Medium</x:v>
      </x:c>
      <x:c r="K1004" t="n">
        <x:v>45.5</x:v>
      </x:c>
      <x:c r="L1004" t="n">
        <x:v>45.8</x:v>
      </x:c>
      <x:c r="M1004" t="n">
        <x:v>41.6</x:v>
      </x:c>
      <x:c r="N1004" t="str">
        <x:v>Most Likely</x:v>
      </x:c>
      <x:c r="O1004" t="str">
        <x:v>Most Likely</x:v>
      </x:c>
    </x:row>
    <x:row r="1005">
      <x:c r="A1005" t="str">
        <x:v>PJT_1004</x:v>
      </x:c>
      <x:c r="B1005" t="n">
        <x:v>53491170</x:v>
      </x:c>
      <x:c r="C1005" t="n">
        <x:v>56233855</x:v>
      </x:c>
      <x:c r="D1005" t="n">
        <x:v>2742685</x:v>
      </x:c>
      <x:c r="E1005" t="n">
        <x:v>0.0513</x:v>
      </x:c>
      <x:c r="F1005" t="n">
        <x:v>912</x:v>
      </x:c>
      <x:c r="G1005" t="n">
        <x:v>974</x:v>
      </x:c>
      <x:c r="H1005" t="n">
        <x:v>62</x:v>
      </x:c>
      <x:c r="I1005" t="n">
        <x:v>0.068</x:v>
      </x:c>
      <x:c r="J1005" t="str">
        <x:v>Medium</x:v>
      </x:c>
      <x:c r="K1005" t="n">
        <x:v>52.9</x:v>
      </x:c>
      <x:c r="L1005" t="n">
        <x:v>56</x:v>
      </x:c>
      <x:c r="M1005" t="n">
        <x:v>50</x:v>
      </x:c>
      <x:c r="N1005" t="str">
        <x:v>Most Likely</x:v>
      </x:c>
      <x:c r="O1005" t="str">
        <x:v>Most Likely</x:v>
      </x:c>
    </x:row>
    <x:row r="1006">
      <x:c r="A1006" t="str">
        <x:v>PJT_1005</x:v>
      </x:c>
      <x:c r="B1006" t="n">
        <x:v>36582640</x:v>
      </x:c>
      <x:c r="C1006" t="n">
        <x:v>37728935</x:v>
      </x:c>
      <x:c r="D1006" t="n">
        <x:v>1146295</x:v>
      </x:c>
      <x:c r="E1006" t="n">
        <x:v>0.0313</x:v>
      </x:c>
      <x:c r="F1006" t="n">
        <x:v>731</x:v>
      </x:c>
      <x:c r="G1006" t="n">
        <x:v>772</x:v>
      </x:c>
      <x:c r="H1006" t="n">
        <x:v>41</x:v>
      </x:c>
      <x:c r="I1006" t="n">
        <x:v>0.0561</x:v>
      </x:c>
      <x:c r="J1006" t="str">
        <x:v>Medium</x:v>
      </x:c>
      <x:c r="K1006" t="n">
        <x:v>49.6</x:v>
      </x:c>
      <x:c r="L1006" t="n">
        <x:v>45.7</x:v>
      </x:c>
      <x:c r="M1006" t="n">
        <x:v>47.1</x:v>
      </x:c>
      <x:c r="N1006" t="str">
        <x:v>Most Likely</x:v>
      </x:c>
      <x:c r="O1006" t="str">
        <x:v>Most Likely</x:v>
      </x:c>
    </x:row>
    <x:row r="1007">
      <x:c r="A1007" t="str">
        <x:v>PJT_1006</x:v>
      </x:c>
      <x:c r="B1007" t="n">
        <x:v>131047980</x:v>
      </x:c>
      <x:c r="C1007" t="n">
        <x:v>147876334</x:v>
      </x:c>
      <x:c r="D1007" t="n">
        <x:v>16828354</x:v>
      </x:c>
      <x:c r="E1007" t="n">
        <x:v>0.1284</x:v>
      </x:c>
      <x:c r="F1007" t="n">
        <x:v>2627</x:v>
      </x:c>
      <x:c r="G1007" t="n">
        <x:v>2856</x:v>
      </x:c>
      <x:c r="H1007" t="n">
        <x:v>229</x:v>
      </x:c>
      <x:c r="I1007" t="n">
        <x:v>0.0872</x:v>
      </x:c>
      <x:c r="J1007" t="str">
        <x:v>High</x:v>
      </x:c>
      <x:c r="K1007" t="n">
        <x:v>67.8</x:v>
      </x:c>
      <x:c r="L1007" t="n">
        <x:v>69.5</x:v>
      </x:c>
      <x:c r="M1007" t="n">
        <x:v>69.2</x:v>
      </x:c>
      <x:c r="N1007" t="str">
        <x:v>Pessimistic</x:v>
      </x:c>
      <x:c r="O1007" t="str">
        <x:v>Most Likely</x:v>
      </x:c>
    </x:row>
    <x:row r="1008">
      <x:c r="A1008" t="str">
        <x:v>PJT_1007</x:v>
      </x:c>
      <x:c r="B1008" t="n">
        <x:v>14891870</x:v>
      </x:c>
      <x:c r="C1008" t="n">
        <x:v>14770910</x:v>
      </x:c>
      <x:c r="D1008" t="n">
        <x:v>-120960</x:v>
      </x:c>
      <x:c r="E1008" t="n">
        <x:v>-0.0081</x:v>
      </x:c>
      <x:c r="F1008" t="n">
        <x:v>298</x:v>
      </x:c>
      <x:c r="G1008" t="n">
        <x:v>302</x:v>
      </x:c>
      <x:c r="H1008" t="n">
        <x:v>4</x:v>
      </x:c>
      <x:c r="I1008" t="n">
        <x:v>0.0134</x:v>
      </x:c>
      <x:c r="J1008" t="str">
        <x:v>Low</x:v>
      </x:c>
      <x:c r="K1008" t="n">
        <x:v>33</x:v>
      </x:c>
      <x:c r="L1008" t="n">
        <x:v>34</x:v>
      </x:c>
      <x:c r="M1008" t="n">
        <x:v>33.4</x:v>
      </x:c>
      <x:c r="N1008" t="str">
        <x:v>Optimistic</x:v>
      </x:c>
      <x:c r="O1008" t="str">
        <x:v>Most Likely</x:v>
      </x:c>
    </x:row>
    <x:row r="1009">
      <x:c r="A1009" t="str">
        <x:v>PJT_1008</x:v>
      </x:c>
      <x:c r="B1009" t="n">
        <x:v>28476100</x:v>
      </x:c>
      <x:c r="C1009" t="n">
        <x:v>30445163</x:v>
      </x:c>
      <x:c r="D1009" t="n">
        <x:v>1969063</x:v>
      </x:c>
      <x:c r="E1009" t="n">
        <x:v>0.0691</x:v>
      </x:c>
      <x:c r="F1009" t="n">
        <x:v>629</x:v>
      </x:c>
      <x:c r="G1009" t="n">
        <x:v>650</x:v>
      </x:c>
      <x:c r="H1009" t="n">
        <x:v>21</x:v>
      </x:c>
      <x:c r="I1009" t="n">
        <x:v>0.0334</x:v>
      </x:c>
      <x:c r="J1009" t="str">
        <x:v>Medium</x:v>
      </x:c>
      <x:c r="K1009" t="n">
        <x:v>49.1</x:v>
      </x:c>
      <x:c r="L1009" t="n">
        <x:v>51.8</x:v>
      </x:c>
      <x:c r="M1009" t="n">
        <x:v>43.5</x:v>
      </x:c>
      <x:c r="N1009" t="str">
        <x:v>Most Likely</x:v>
      </x:c>
      <x:c r="O1009" t="str">
        <x:v>Most Likely</x:v>
      </x:c>
    </x:row>
    <x:row r="1010">
      <x:c r="A1010" t="str">
        <x:v>PJT_1009</x:v>
      </x:c>
      <x:c r="B1010" t="n">
        <x:v>43747340</x:v>
      </x:c>
      <x:c r="C1010" t="n">
        <x:v>45838915</x:v>
      </x:c>
      <x:c r="D1010" t="n">
        <x:v>2091575</x:v>
      </x:c>
      <x:c r="E1010" t="n">
        <x:v>0.0478</x:v>
      </x:c>
      <x:c r="F1010" t="n">
        <x:v>801</x:v>
      </x:c>
      <x:c r="G1010" t="n">
        <x:v>793</x:v>
      </x:c>
      <x:c r="H1010" t="n">
        <x:v>-8</x:v>
      </x:c>
      <x:c r="I1010" t="n">
        <x:v>-0.01</x:v>
      </x:c>
      <x:c r="J1010" t="str">
        <x:v>Medium</x:v>
      </x:c>
      <x:c r="K1010" t="n">
        <x:v>45.8</x:v>
      </x:c>
      <x:c r="L1010" t="n">
        <x:v>46.1</x:v>
      </x:c>
      <x:c r="M1010" t="n">
        <x:v>37.6</x:v>
      </x:c>
      <x:c r="N1010" t="str">
        <x:v>Most Likely</x:v>
      </x:c>
      <x:c r="O1010" t="str">
        <x:v>Optimistic</x:v>
      </x:c>
    </x:row>
    <x:row r="1011">
      <x:c r="A1011" t="str">
        <x:v>PJT_1010</x:v>
      </x:c>
      <x:c r="B1011" t="n">
        <x:v>40733960</x:v>
      </x:c>
      <x:c r="C1011" t="n">
        <x:v>43056498</x:v>
      </x:c>
      <x:c r="D1011" t="n">
        <x:v>2322538</x:v>
      </x:c>
      <x:c r="E1011" t="n">
        <x:v>0.057</x:v>
      </x:c>
      <x:c r="F1011" t="n">
        <x:v>736</x:v>
      </x:c>
      <x:c r="G1011" t="n">
        <x:v>757</x:v>
      </x:c>
      <x:c r="H1011" t="n">
        <x:v>21</x:v>
      </x:c>
      <x:c r="I1011" t="n">
        <x:v>0.0285</x:v>
      </x:c>
      <x:c r="J1011" t="str">
        <x:v>Medium</x:v>
      </x:c>
      <x:c r="K1011" t="n">
        <x:v>53.4</x:v>
      </x:c>
      <x:c r="L1011" t="n">
        <x:v>49.3</x:v>
      </x:c>
      <x:c r="M1011" t="n">
        <x:v>47.9</x:v>
      </x:c>
      <x:c r="N1011" t="str">
        <x:v>Most Likely</x:v>
      </x:c>
      <x:c r="O1011" t="str">
        <x:v>Most Likely</x:v>
      </x:c>
    </x:row>
    <x:row r="1012">
      <x:c r="A1012" t="str">
        <x:v>PJT_1011</x:v>
      </x:c>
      <x:c r="B1012" t="n">
        <x:v>75944960</x:v>
      </x:c>
      <x:c r="C1012" t="n">
        <x:v>81520555</x:v>
      </x:c>
      <x:c r="D1012" t="n">
        <x:v>5575595</x:v>
      </x:c>
      <x:c r="E1012" t="n">
        <x:v>0.0734</x:v>
      </x:c>
      <x:c r="F1012" t="n">
        <x:v>1481</x:v>
      </x:c>
      <x:c r="G1012" t="n">
        <x:v>1575</x:v>
      </x:c>
      <x:c r="H1012" t="n">
        <x:v>94</x:v>
      </x:c>
      <x:c r="I1012" t="n">
        <x:v>0.0635</x:v>
      </x:c>
      <x:c r="J1012" t="str">
        <x:v>Medium</x:v>
      </x:c>
      <x:c r="K1012" t="n">
        <x:v>57.8</x:v>
      </x:c>
      <x:c r="L1012" t="n">
        <x:v>63.8</x:v>
      </x:c>
      <x:c r="M1012" t="n">
        <x:v>57.8</x:v>
      </x:c>
      <x:c r="N1012" t="str">
        <x:v>Most Likely</x:v>
      </x:c>
      <x:c r="O1012" t="str">
        <x:v>Most Likely</x:v>
      </x:c>
    </x:row>
    <x:row r="1013">
      <x:c r="A1013" t="str">
        <x:v>PJT_1012</x:v>
      </x:c>
      <x:c r="B1013" t="n">
        <x:v>45242420</x:v>
      </x:c>
      <x:c r="C1013" t="n">
        <x:v>46544851</x:v>
      </x:c>
      <x:c r="D1013" t="n">
        <x:v>1302431</x:v>
      </x:c>
      <x:c r="E1013" t="n">
        <x:v>0.0288</x:v>
      </x:c>
      <x:c r="F1013" t="n">
        <x:v>857</x:v>
      </x:c>
      <x:c r="G1013" t="n">
        <x:v>869</x:v>
      </x:c>
      <x:c r="H1013" t="n">
        <x:v>12</x:v>
      </x:c>
      <x:c r="I1013" t="n">
        <x:v>0.014</x:v>
      </x:c>
      <x:c r="J1013" t="str">
        <x:v>Medium</x:v>
      </x:c>
      <x:c r="K1013" t="n">
        <x:v>50.7</x:v>
      </x:c>
      <x:c r="L1013" t="n">
        <x:v>55.8</x:v>
      </x:c>
      <x:c r="M1013" t="n">
        <x:v>47.9</x:v>
      </x:c>
      <x:c r="N1013" t="str">
        <x:v>Most Likely</x:v>
      </x:c>
      <x:c r="O1013" t="str">
        <x:v>Most Likely</x:v>
      </x:c>
    </x:row>
    <x:row r="1014">
      <x:c r="A1014" t="str">
        <x:v>PJT_1013</x:v>
      </x:c>
      <x:c r="B1014" t="n">
        <x:v>52287240</x:v>
      </x:c>
      <x:c r="C1014" t="n">
        <x:v>57122383</x:v>
      </x:c>
      <x:c r="D1014" t="n">
        <x:v>4835143</x:v>
      </x:c>
      <x:c r="E1014" t="n">
        <x:v>0.0925</x:v>
      </x:c>
      <x:c r="F1014" t="n">
        <x:v>1025</x:v>
      </x:c>
      <x:c r="G1014" t="n">
        <x:v>1075</x:v>
      </x:c>
      <x:c r="H1014" t="n">
        <x:v>50</x:v>
      </x:c>
      <x:c r="I1014" t="n">
        <x:v>0.0488</x:v>
      </x:c>
      <x:c r="J1014" t="str">
        <x:v>Medium</x:v>
      </x:c>
      <x:c r="K1014" t="n">
        <x:v>53.2</x:v>
      </x:c>
      <x:c r="L1014" t="n">
        <x:v>50.8</x:v>
      </x:c>
      <x:c r="M1014" t="n">
        <x:v>46</x:v>
      </x:c>
      <x:c r="N1014" t="str">
        <x:v>Most Likely</x:v>
      </x:c>
      <x:c r="O1014" t="str">
        <x:v>Most Likely</x:v>
      </x:c>
    </x:row>
    <x:row r="1015">
      <x:c r="A1015" t="str">
        <x:v>PJT_1014</x:v>
      </x:c>
      <x:c r="B1015" t="n">
        <x:v>10003990</x:v>
      </x:c>
      <x:c r="C1015" t="n">
        <x:v>10150740</x:v>
      </x:c>
      <x:c r="D1015" t="n">
        <x:v>146750</x:v>
      </x:c>
      <x:c r="E1015" t="n">
        <x:v>0.0147</x:v>
      </x:c>
      <x:c r="F1015" t="n">
        <x:v>264</x:v>
      </x:c>
      <x:c r="G1015" t="n">
        <x:v>271</x:v>
      </x:c>
      <x:c r="H1015" t="n">
        <x:v>7</x:v>
      </x:c>
      <x:c r="I1015" t="n">
        <x:v>0.0265</x:v>
      </x:c>
      <x:c r="J1015" t="str">
        <x:v>Low</x:v>
      </x:c>
      <x:c r="K1015" t="n">
        <x:v>37.4</x:v>
      </x:c>
      <x:c r="L1015" t="n">
        <x:v>39.7</x:v>
      </x:c>
      <x:c r="M1015" t="n">
        <x:v>40.7</x:v>
      </x:c>
      <x:c r="N1015" t="str">
        <x:v>Most Likely</x:v>
      </x:c>
      <x:c r="O1015" t="str">
        <x:v>Most Likely</x:v>
      </x:c>
    </x:row>
    <x:row r="1016">
      <x:c r="A1016" t="str">
        <x:v>PJT_1015</x:v>
      </x:c>
      <x:c r="B1016" t="n">
        <x:v>20006600</x:v>
      </x:c>
      <x:c r="C1016" t="n">
        <x:v>19731190</x:v>
      </x:c>
      <x:c r="D1016" t="n">
        <x:v>-275410</x:v>
      </x:c>
      <x:c r="E1016" t="n">
        <x:v>-0.0138</x:v>
      </x:c>
      <x:c r="F1016" t="n">
        <x:v>397</x:v>
      </x:c>
      <x:c r="G1016" t="n">
        <x:v>406</x:v>
      </x:c>
      <x:c r="H1016" t="n">
        <x:v>9</x:v>
      </x:c>
      <x:c r="I1016" t="n">
        <x:v>0.0227</x:v>
      </x:c>
      <x:c r="J1016" t="str">
        <x:v>Low</x:v>
      </x:c>
      <x:c r="K1016" t="n">
        <x:v>31.7</x:v>
      </x:c>
      <x:c r="L1016" t="n">
        <x:v>28.1</x:v>
      </x:c>
      <x:c r="M1016" t="n">
        <x:v>33.3</x:v>
      </x:c>
      <x:c r="N1016" t="str">
        <x:v>Optimistic</x:v>
      </x:c>
      <x:c r="O1016" t="str">
        <x:v>Most Likely</x:v>
      </x:c>
    </x:row>
    <x:row r="1017">
      <x:c r="A1017" t="str">
        <x:v>PJT_1016</x:v>
      </x:c>
      <x:c r="B1017" t="n">
        <x:v>37076500</x:v>
      </x:c>
      <x:c r="C1017" t="n">
        <x:v>41309280</x:v>
      </x:c>
      <x:c r="D1017" t="n">
        <x:v>4232780</x:v>
      </x:c>
      <x:c r="E1017" t="n">
        <x:v>0.1142</x:v>
      </x:c>
      <x:c r="F1017" t="n">
        <x:v>680</x:v>
      </x:c>
      <x:c r="G1017" t="n">
        <x:v>725</x:v>
      </x:c>
      <x:c r="H1017" t="n">
        <x:v>45</x:v>
      </x:c>
      <x:c r="I1017" t="n">
        <x:v>0.0662</x:v>
      </x:c>
      <x:c r="J1017" t="str">
        <x:v>Medium</x:v>
      </x:c>
      <x:c r="K1017" t="n">
        <x:v>50.9</x:v>
      </x:c>
      <x:c r="L1017" t="n">
        <x:v>54.5</x:v>
      </x:c>
      <x:c r="M1017" t="n">
        <x:v>45.1</x:v>
      </x:c>
      <x:c r="N1017" t="str">
        <x:v>Pessimistic</x:v>
      </x:c>
      <x:c r="O1017" t="str">
        <x:v>Most Likely</x:v>
      </x:c>
    </x:row>
    <x:row r="1018">
      <x:c r="A1018" t="str">
        <x:v>PJT_1017</x:v>
      </x:c>
      <x:c r="B1018" t="n">
        <x:v>13328120</x:v>
      </x:c>
      <x:c r="C1018" t="n">
        <x:v>12284253</x:v>
      </x:c>
      <x:c r="D1018" t="n">
        <x:v>-1043867</x:v>
      </x:c>
      <x:c r="E1018" t="n">
        <x:v>-0.0783</x:v>
      </x:c>
      <x:c r="F1018" t="n">
        <x:v>315</x:v>
      </x:c>
      <x:c r="G1018" t="n">
        <x:v>316</x:v>
      </x:c>
      <x:c r="H1018" t="n">
        <x:v>1</x:v>
      </x:c>
      <x:c r="I1018" t="n">
        <x:v>0.0032</x:v>
      </x:c>
      <x:c r="J1018" t="str">
        <x:v>Low</x:v>
      </x:c>
      <x:c r="K1018" t="n">
        <x:v>31.4</x:v>
      </x:c>
      <x:c r="L1018" t="n">
        <x:v>28.1</x:v>
      </x:c>
      <x:c r="M1018" t="n">
        <x:v>33.7</x:v>
      </x:c>
      <x:c r="N1018" t="str">
        <x:v>Optimistic</x:v>
      </x:c>
      <x:c r="O1018" t="str">
        <x:v>Most Likely</x:v>
      </x:c>
    </x:row>
    <x:row r="1019">
      <x:c r="A1019" t="str">
        <x:v>PJT_1018</x:v>
      </x:c>
      <x:c r="B1019" t="n">
        <x:v>61583750</x:v>
      </x:c>
      <x:c r="C1019" t="n">
        <x:v>66233926</x:v>
      </x:c>
      <x:c r="D1019" t="n">
        <x:v>4650176</x:v>
      </x:c>
      <x:c r="E1019" t="n">
        <x:v>0.0755</x:v>
      </x:c>
      <x:c r="F1019" t="n">
        <x:v>1201</x:v>
      </x:c>
      <x:c r="G1019" t="n">
        <x:v>1180</x:v>
      </x:c>
      <x:c r="H1019" t="n">
        <x:v>-21</x:v>
      </x:c>
      <x:c r="I1019" t="n">
        <x:v>-0.0175</x:v>
      </x:c>
      <x:c r="J1019" t="str">
        <x:v>Medium</x:v>
      </x:c>
      <x:c r="K1019" t="n">
        <x:v>46.7</x:v>
      </x:c>
      <x:c r="L1019" t="n">
        <x:v>52</x:v>
      </x:c>
      <x:c r="M1019" t="n">
        <x:v>45.8</x:v>
      </x:c>
      <x:c r="N1019" t="str">
        <x:v>Most Likely</x:v>
      </x:c>
      <x:c r="O1019" t="str">
        <x:v>Optimistic</x:v>
      </x:c>
    </x:row>
    <x:row r="1020">
      <x:c r="A1020" t="str">
        <x:v>PJT_1019</x:v>
      </x:c>
      <x:c r="B1020" t="n">
        <x:v>20139000</x:v>
      </x:c>
      <x:c r="C1020" t="n">
        <x:v>21366118</x:v>
      </x:c>
      <x:c r="D1020" t="n">
        <x:v>1227118</x:v>
      </x:c>
      <x:c r="E1020" t="n">
        <x:v>0.0609</x:v>
      </x:c>
      <x:c r="F1020" t="n">
        <x:v>436</x:v>
      </x:c>
      <x:c r="G1020" t="n">
        <x:v>434</x:v>
      </x:c>
      <x:c r="H1020" t="n">
        <x:v>-2</x:v>
      </x:c>
      <x:c r="I1020" t="n">
        <x:v>-0.0046</x:v>
      </x:c>
      <x:c r="J1020" t="str">
        <x:v>Low</x:v>
      </x:c>
      <x:c r="K1020" t="n">
        <x:v>40.9</x:v>
      </x:c>
      <x:c r="L1020" t="n">
        <x:v>40.1</x:v>
      </x:c>
      <x:c r="M1020" t="n">
        <x:v>33.7</x:v>
      </x:c>
      <x:c r="N1020" t="str">
        <x:v>Most Likely</x:v>
      </x:c>
      <x:c r="O1020" t="str">
        <x:v>Optimistic</x:v>
      </x:c>
    </x:row>
    <x:row r="1021">
      <x:c r="A1021" t="str">
        <x:v>PJT_1020</x:v>
      </x:c>
      <x:c r="B1021" t="n">
        <x:v>12366720</x:v>
      </x:c>
      <x:c r="C1021" t="n">
        <x:v>12484036</x:v>
      </x:c>
      <x:c r="D1021" t="n">
        <x:v>117316</x:v>
      </x:c>
      <x:c r="E1021" t="n">
        <x:v>0.0095</x:v>
      </x:c>
      <x:c r="F1021" t="n">
        <x:v>346</x:v>
      </x:c>
      <x:c r="G1021" t="n">
        <x:v>375</x:v>
      </x:c>
      <x:c r="H1021" t="n">
        <x:v>29</x:v>
      </x:c>
      <x:c r="I1021" t="n">
        <x:v>0.0838</x:v>
      </x:c>
      <x:c r="J1021" t="str">
        <x:v>Low</x:v>
      </x:c>
      <x:c r="K1021" t="n">
        <x:v>35</x:v>
      </x:c>
      <x:c r="L1021" t="n">
        <x:v>36.4</x:v>
      </x:c>
      <x:c r="M1021" t="n">
        <x:v>40.2</x:v>
      </x:c>
      <x:c r="N1021" t="str">
        <x:v>Most Likely</x:v>
      </x:c>
      <x:c r="O1021" t="str">
        <x:v>Most Likely</x:v>
      </x:c>
    </x:row>
    <x:row r="1022">
      <x:c r="A1022" t="str">
        <x:v>PJT_1021</x:v>
      </x:c>
      <x:c r="B1022" t="n">
        <x:v>5436600</x:v>
      </x:c>
      <x:c r="C1022" t="n">
        <x:v>5522719</x:v>
      </x:c>
      <x:c r="D1022" t="n">
        <x:v>86119</x:v>
      </x:c>
      <x:c r="E1022" t="n">
        <x:v>0.0158</x:v>
      </x:c>
      <x:c r="F1022" t="n">
        <x:v>180</x:v>
      </x:c>
      <x:c r="G1022" t="n">
        <x:v>180</x:v>
      </x:c>
      <x:c r="H1022" t="n">
        <x:v>0</x:v>
      </x:c>
      <x:c r="I1022" t="n">
        <x:v>0</x:v>
      </x:c>
      <x:c r="J1022" t="str">
        <x:v>Low</x:v>
      </x:c>
      <x:c r="K1022" t="n">
        <x:v>32.7</x:v>
      </x:c>
      <x:c r="L1022" t="n">
        <x:v>32.2</x:v>
      </x:c>
      <x:c r="M1022" t="n">
        <x:v>32.4</x:v>
      </x:c>
      <x:c r="N1022" t="str">
        <x:v>Most Likely</x:v>
      </x:c>
      <x:c r="O1022" t="str">
        <x:v>Optimistic</x:v>
      </x:c>
    </x:row>
    <x:row r="1023">
      <x:c r="A1023" t="str">
        <x:v>PJT_1022</x:v>
      </x:c>
      <x:c r="B1023" t="n">
        <x:v>45661260</x:v>
      </x:c>
      <x:c r="C1023" t="n">
        <x:v>46933330</x:v>
      </x:c>
      <x:c r="D1023" t="n">
        <x:v>1272070</x:v>
      </x:c>
      <x:c r="E1023" t="n">
        <x:v>0.0279</x:v>
      </x:c>
      <x:c r="F1023" t="n">
        <x:v>809</x:v>
      </x:c>
      <x:c r="G1023" t="n">
        <x:v>847</x:v>
      </x:c>
      <x:c r="H1023" t="n">
        <x:v>38</x:v>
      </x:c>
      <x:c r="I1023" t="n">
        <x:v>0.047</x:v>
      </x:c>
      <x:c r="J1023" t="str">
        <x:v>Medium</x:v>
      </x:c>
      <x:c r="K1023" t="n">
        <x:v>45.9</x:v>
      </x:c>
      <x:c r="L1023" t="n">
        <x:v>47</x:v>
      </x:c>
      <x:c r="M1023" t="n">
        <x:v>49.5</x:v>
      </x:c>
      <x:c r="N1023" t="str">
        <x:v>Most Likely</x:v>
      </x:c>
      <x:c r="O1023" t="str">
        <x:v>Most Likely</x:v>
      </x:c>
    </x:row>
    <x:row r="1024">
      <x:c r="A1024" t="str">
        <x:v>PJT_1023</x:v>
      </x:c>
      <x:c r="B1024" t="n">
        <x:v>83096280</x:v>
      </x:c>
      <x:c r="C1024" t="n">
        <x:v>86581944</x:v>
      </x:c>
      <x:c r="D1024" t="n">
        <x:v>3485664</x:v>
      </x:c>
      <x:c r="E1024" t="n">
        <x:v>0.0419</x:v>
      </x:c>
      <x:c r="F1024" t="n">
        <x:v>1524</x:v>
      </x:c>
      <x:c r="G1024" t="n">
        <x:v>1633</x:v>
      </x:c>
      <x:c r="H1024" t="n">
        <x:v>109</x:v>
      </x:c>
      <x:c r="I1024" t="n">
        <x:v>0.0715</x:v>
      </x:c>
      <x:c r="J1024" t="str">
        <x:v>Medium</x:v>
      </x:c>
      <x:c r="K1024" t="n">
        <x:v>65</x:v>
      </x:c>
      <x:c r="L1024" t="n">
        <x:v>62.5</x:v>
      </x:c>
      <x:c r="M1024" t="n">
        <x:v>57.7</x:v>
      </x:c>
      <x:c r="N1024" t="str">
        <x:v>Most Likely</x:v>
      </x:c>
      <x:c r="O1024" t="str">
        <x:v>Most Likely</x:v>
      </x:c>
    </x:row>
    <x:row r="1025">
      <x:c r="A1025" t="str">
        <x:v>PJT_1024</x:v>
      </x:c>
      <x:c r="B1025" t="n">
        <x:v>82792200</x:v>
      </x:c>
      <x:c r="C1025" t="n">
        <x:v>89674844</x:v>
      </x:c>
      <x:c r="D1025" t="n">
        <x:v>6882644</x:v>
      </x:c>
      <x:c r="E1025" t="n">
        <x:v>0.0831</x:v>
      </x:c>
      <x:c r="F1025" t="n">
        <x:v>1643</x:v>
      </x:c>
      <x:c r="G1025" t="n">
        <x:v>1799</x:v>
      </x:c>
      <x:c r="H1025" t="n">
        <x:v>156</x:v>
      </x:c>
      <x:c r="I1025" t="n">
        <x:v>0.0949</x:v>
      </x:c>
      <x:c r="J1025" t="str">
        <x:v>Medium</x:v>
      </x:c>
      <x:c r="K1025" t="n">
        <x:v>53.9</x:v>
      </x:c>
      <x:c r="L1025" t="n">
        <x:v>54.3</x:v>
      </x:c>
      <x:c r="M1025" t="n">
        <x:v>63.2</x:v>
      </x:c>
      <x:c r="N1025" t="str">
        <x:v>Most Likely</x:v>
      </x:c>
      <x:c r="O1025" t="str">
        <x:v>Most Likely</x:v>
      </x:c>
    </x:row>
    <x:row r="1026">
      <x:c r="A1026" t="str">
        <x:v>PJT_1025</x:v>
      </x:c>
      <x:c r="B1026" t="n">
        <x:v>59589430</x:v>
      </x:c>
      <x:c r="C1026" t="n">
        <x:v>64827145</x:v>
      </x:c>
      <x:c r="D1026" t="n">
        <x:v>5237715</x:v>
      </x:c>
      <x:c r="E1026" t="n">
        <x:v>0.0879</x:v>
      </x:c>
      <x:c r="F1026" t="n">
        <x:v>1226</x:v>
      </x:c>
      <x:c r="G1026" t="n">
        <x:v>1390</x:v>
      </x:c>
      <x:c r="H1026" t="n">
        <x:v>164</x:v>
      </x:c>
      <x:c r="I1026" t="n">
        <x:v>0.1338</x:v>
      </x:c>
      <x:c r="J1026" t="str">
        <x:v>Medium</x:v>
      </x:c>
      <x:c r="K1026" t="n">
        <x:v>57.6</x:v>
      </x:c>
      <x:c r="L1026" t="n">
        <x:v>62.7</x:v>
      </x:c>
      <x:c r="M1026" t="n">
        <x:v>59</x:v>
      </x:c>
      <x:c r="N1026" t="str">
        <x:v>Most Likely</x:v>
      </x:c>
      <x:c r="O1026" t="str">
        <x:v>Pessimistic</x:v>
      </x:c>
    </x:row>
    <x:row r="1027">
      <x:c r="A1027" t="str">
        <x:v>PJT_1026</x:v>
      </x:c>
      <x:c r="B1027" t="n">
        <x:v>22545600</x:v>
      </x:c>
      <x:c r="C1027" t="n">
        <x:v>22115529</x:v>
      </x:c>
      <x:c r="D1027" t="n">
        <x:v>-430071</x:v>
      </x:c>
      <x:c r="E1027" t="n">
        <x:v>-0.0191</x:v>
      </x:c>
      <x:c r="F1027" t="n">
        <x:v>578</x:v>
      </x:c>
      <x:c r="G1027" t="n">
        <x:v>608</x:v>
      </x:c>
      <x:c r="H1027" t="n">
        <x:v>30</x:v>
      </x:c>
      <x:c r="I1027" t="n">
        <x:v>0.0519</x:v>
      </x:c>
      <x:c r="J1027" t="str">
        <x:v>Medium</x:v>
      </x:c>
      <x:c r="K1027" t="n">
        <x:v>51.4</x:v>
      </x:c>
      <x:c r="L1027" t="n">
        <x:v>48.6</x:v>
      </x:c>
      <x:c r="M1027" t="n">
        <x:v>45.7</x:v>
      </x:c>
      <x:c r="N1027" t="str">
        <x:v>Optimistic</x:v>
      </x:c>
      <x:c r="O1027" t="str">
        <x:v>Most Likely</x:v>
      </x:c>
    </x:row>
    <x:row r="1028">
      <x:c r="A1028" t="str">
        <x:v>PJT_1027</x:v>
      </x:c>
      <x:c r="B1028" t="n">
        <x:v>80206220</x:v>
      </x:c>
      <x:c r="C1028" t="n">
        <x:v>80973959</x:v>
      </x:c>
      <x:c r="D1028" t="n">
        <x:v>767739</x:v>
      </x:c>
      <x:c r="E1028" t="n">
        <x:v>0.0096</x:v>
      </x:c>
      <x:c r="F1028" t="n">
        <x:v>1413</x:v>
      </x:c>
      <x:c r="G1028" t="n">
        <x:v>1522</x:v>
      </x:c>
      <x:c r="H1028" t="n">
        <x:v>109</x:v>
      </x:c>
      <x:c r="I1028" t="n">
        <x:v>0.0771</x:v>
      </x:c>
      <x:c r="J1028" t="str">
        <x:v>Medium</x:v>
      </x:c>
      <x:c r="K1028" t="n">
        <x:v>55</x:v>
      </x:c>
      <x:c r="L1028" t="n">
        <x:v>54.1</x:v>
      </x:c>
      <x:c r="M1028" t="n">
        <x:v>50</x:v>
      </x:c>
      <x:c r="N1028" t="str">
        <x:v>Most Likely</x:v>
      </x:c>
      <x:c r="O1028" t="str">
        <x:v>Most Likely</x:v>
      </x:c>
    </x:row>
    <x:row r="1029">
      <x:c r="A1029" t="str">
        <x:v>PJT_1028</x:v>
      </x:c>
      <x:c r="B1029" t="n">
        <x:v>48260350</x:v>
      </x:c>
      <x:c r="C1029" t="n">
        <x:v>48897761</x:v>
      </x:c>
      <x:c r="D1029" t="n">
        <x:v>637411</x:v>
      </x:c>
      <x:c r="E1029" t="n">
        <x:v>0.0132</x:v>
      </x:c>
      <x:c r="F1029" t="n">
        <x:v>974</x:v>
      </x:c>
      <x:c r="G1029" t="n">
        <x:v>1022</x:v>
      </x:c>
      <x:c r="H1029" t="n">
        <x:v>48</x:v>
      </x:c>
      <x:c r="I1029" t="n">
        <x:v>0.0493</x:v>
      </x:c>
      <x:c r="J1029" t="str">
        <x:v>Medium</x:v>
      </x:c>
      <x:c r="K1029" t="n">
        <x:v>50</x:v>
      </x:c>
      <x:c r="L1029" t="n">
        <x:v>52.1</x:v>
      </x:c>
      <x:c r="M1029" t="n">
        <x:v>54</x:v>
      </x:c>
      <x:c r="N1029" t="str">
        <x:v>Most Likely</x:v>
      </x:c>
      <x:c r="O1029" t="str">
        <x:v>Most Likely</x:v>
      </x:c>
    </x:row>
    <x:row r="1030">
      <x:c r="A1030" t="str">
        <x:v>PJT_1029</x:v>
      </x:c>
      <x:c r="B1030" t="n">
        <x:v>84884400</x:v>
      </x:c>
      <x:c r="C1030" t="n">
        <x:v>87439047</x:v>
      </x:c>
      <x:c r="D1030" t="n">
        <x:v>2554647</x:v>
      </x:c>
      <x:c r="E1030" t="n">
        <x:v>0.0301</x:v>
      </x:c>
      <x:c r="F1030" t="n">
        <x:v>1663</x:v>
      </x:c>
      <x:c r="G1030" t="n">
        <x:v>1863</x:v>
      </x:c>
      <x:c r="H1030" t="n">
        <x:v>200</x:v>
      </x:c>
      <x:c r="I1030" t="n">
        <x:v>0.1203</x:v>
      </x:c>
      <x:c r="J1030" t="str">
        <x:v>Medium</x:v>
      </x:c>
      <x:c r="K1030" t="n">
        <x:v>61.4</x:v>
      </x:c>
      <x:c r="L1030" t="n">
        <x:v>61.4</x:v>
      </x:c>
      <x:c r="M1030" t="n">
        <x:v>66.2</x:v>
      </x:c>
      <x:c r="N1030" t="str">
        <x:v>Most Likely</x:v>
      </x:c>
      <x:c r="O1030" t="str">
        <x:v>Pessimistic</x:v>
      </x:c>
    </x:row>
    <x:row r="1031">
      <x:c r="A1031" t="str">
        <x:v>PJT_1030</x:v>
      </x:c>
      <x:c r="B1031" t="n">
        <x:v>13634000</x:v>
      </x:c>
      <x:c r="C1031" t="n">
        <x:v>12826952</x:v>
      </x:c>
      <x:c r="D1031" t="n">
        <x:v>-807048</x:v>
      </x:c>
      <x:c r="E1031" t="n">
        <x:v>-0.0592</x:v>
      </x:c>
      <x:c r="F1031" t="n">
        <x:v>280</x:v>
      </x:c>
      <x:c r="G1031" t="n">
        <x:v>278</x:v>
      </x:c>
      <x:c r="H1031" t="n">
        <x:v>-2</x:v>
      </x:c>
      <x:c r="I1031" t="n">
        <x:v>-0.0071</x:v>
      </x:c>
      <x:c r="J1031" t="str">
        <x:v>Low</x:v>
      </x:c>
      <x:c r="K1031" t="n">
        <x:v>26</x:v>
      </x:c>
      <x:c r="L1031" t="n">
        <x:v>27.5</x:v>
      </x:c>
      <x:c r="M1031" t="n">
        <x:v>30.9</x:v>
      </x:c>
      <x:c r="N1031" t="str">
        <x:v>Optimistic</x:v>
      </x:c>
      <x:c r="O1031" t="str">
        <x:v>Optimistic</x:v>
      </x:c>
    </x:row>
    <x:row r="1032">
      <x:c r="A1032" t="str">
        <x:v>PJT_1031</x:v>
      </x:c>
      <x:c r="B1032" t="n">
        <x:v>20183550</x:v>
      </x:c>
      <x:c r="C1032" t="n">
        <x:v>21181288</x:v>
      </x:c>
      <x:c r="D1032" t="n">
        <x:v>997738</x:v>
      </x:c>
      <x:c r="E1032" t="n">
        <x:v>0.0494</x:v>
      </x:c>
      <x:c r="F1032" t="n">
        <x:v>500</x:v>
      </x:c>
      <x:c r="G1032" t="n">
        <x:v>526</x:v>
      </x:c>
      <x:c r="H1032" t="n">
        <x:v>26</x:v>
      </x:c>
      <x:c r="I1032" t="n">
        <x:v>0.052</x:v>
      </x:c>
      <x:c r="J1032" t="str">
        <x:v>Medium</x:v>
      </x:c>
      <x:c r="K1032" t="n">
        <x:v>49.3</x:v>
      </x:c>
      <x:c r="L1032" t="n">
        <x:v>41.2</x:v>
      </x:c>
      <x:c r="M1032" t="n">
        <x:v>50.7</x:v>
      </x:c>
      <x:c r="N1032" t="str">
        <x:v>Most Likely</x:v>
      </x:c>
      <x:c r="O1032" t="str">
        <x:v>Most Likely</x:v>
      </x:c>
    </x:row>
    <x:row r="1033">
      <x:c r="A1033" t="str">
        <x:v>PJT_1032</x:v>
      </x:c>
      <x:c r="B1033" t="n">
        <x:v>17542290</x:v>
      </x:c>
      <x:c r="C1033" t="n">
        <x:v>16401497</x:v>
      </x:c>
      <x:c r="D1033" t="n">
        <x:v>-1140793</x:v>
      </x:c>
      <x:c r="E1033" t="n">
        <x:v>-0.065</x:v>
      </x:c>
      <x:c r="F1033" t="n">
        <x:v>288</x:v>
      </x:c>
      <x:c r="G1033" t="n">
        <x:v>286</x:v>
      </x:c>
      <x:c r="H1033" t="n">
        <x:v>-2</x:v>
      </x:c>
      <x:c r="I1033" t="n">
        <x:v>-0.0069</x:v>
      </x:c>
      <x:c r="J1033" t="str">
        <x:v>Low</x:v>
      </x:c>
      <x:c r="K1033" t="n">
        <x:v>33.8</x:v>
      </x:c>
      <x:c r="L1033" t="n">
        <x:v>35.9</x:v>
      </x:c>
      <x:c r="M1033" t="n">
        <x:v>29.2</x:v>
      </x:c>
      <x:c r="N1033" t="str">
        <x:v>Optimistic</x:v>
      </x:c>
      <x:c r="O1033" t="str">
        <x:v>Optimistic</x:v>
      </x:c>
    </x:row>
    <x:row r="1034">
      <x:c r="A1034" t="str">
        <x:v>PJT_1033</x:v>
      </x:c>
      <x:c r="B1034" t="n">
        <x:v>115715600</x:v>
      </x:c>
      <x:c r="C1034" t="n">
        <x:v>123720118</x:v>
      </x:c>
      <x:c r="D1034" t="n">
        <x:v>8004518</x:v>
      </x:c>
      <x:c r="E1034" t="n">
        <x:v>0.0692</x:v>
      </x:c>
      <x:c r="F1034" t="n">
        <x:v>2115</x:v>
      </x:c>
      <x:c r="G1034" t="n">
        <x:v>2408</x:v>
      </x:c>
      <x:c r="H1034" t="n">
        <x:v>293</x:v>
      </x:c>
      <x:c r="I1034" t="n">
        <x:v>0.1385</x:v>
      </x:c>
      <x:c r="J1034" t="str">
        <x:v>High</x:v>
      </x:c>
      <x:c r="K1034" t="n">
        <x:v>67.2</x:v>
      </x:c>
      <x:c r="L1034" t="n">
        <x:v>72.5</x:v>
      </x:c>
      <x:c r="M1034" t="n">
        <x:v>68.6</x:v>
      </x:c>
      <x:c r="N1034" t="str">
        <x:v>Most Likely</x:v>
      </x:c>
      <x:c r="O1034" t="str">
        <x:v>Pessimistic</x:v>
      </x:c>
    </x:row>
    <x:row r="1035">
      <x:c r="A1035" t="str">
        <x:v>PJT_1034</x:v>
      </x:c>
      <x:c r="B1035" t="n">
        <x:v>14115440</x:v>
      </x:c>
      <x:c r="C1035" t="n">
        <x:v>14530367</x:v>
      </x:c>
      <x:c r="D1035" t="n">
        <x:v>414927</x:v>
      </x:c>
      <x:c r="E1035" t="n">
        <x:v>0.0294</x:v>
      </x:c>
      <x:c r="F1035" t="n">
        <x:v>304</x:v>
      </x:c>
      <x:c r="G1035" t="n">
        <x:v>292</x:v>
      </x:c>
      <x:c r="H1035" t="n">
        <x:v>-12</x:v>
      </x:c>
      <x:c r="I1035" t="n">
        <x:v>-0.0395</x:v>
      </x:c>
      <x:c r="J1035" t="str">
        <x:v>Medium</x:v>
      </x:c>
      <x:c r="K1035" t="n">
        <x:v>45.2</x:v>
      </x:c>
      <x:c r="L1035" t="n">
        <x:v>40.7</x:v>
      </x:c>
      <x:c r="M1035" t="n">
        <x:v>41.8</x:v>
      </x:c>
      <x:c r="N1035" t="str">
        <x:v>Most Likely</x:v>
      </x:c>
      <x:c r="O1035" t="str">
        <x:v>Optimistic</x:v>
      </x:c>
    </x:row>
    <x:row r="1036">
      <x:c r="A1036" t="str">
        <x:v>PJT_1035</x:v>
      </x:c>
      <x:c r="B1036" t="n">
        <x:v>11832870</x:v>
      </x:c>
      <x:c r="C1036" t="n">
        <x:v>11670424</x:v>
      </x:c>
      <x:c r="D1036" t="n">
        <x:v>-162446</x:v>
      </x:c>
      <x:c r="E1036" t="n">
        <x:v>-0.0137</x:v>
      </x:c>
      <x:c r="F1036" t="n">
        <x:v>281</x:v>
      </x:c>
      <x:c r="G1036" t="n">
        <x:v>273</x:v>
      </x:c>
      <x:c r="H1036" t="n">
        <x:v>-8</x:v>
      </x:c>
      <x:c r="I1036" t="n">
        <x:v>-0.0285</x:v>
      </x:c>
      <x:c r="J1036" t="str">
        <x:v>Low</x:v>
      </x:c>
      <x:c r="K1036" t="n">
        <x:v>26.1</x:v>
      </x:c>
      <x:c r="L1036" t="n">
        <x:v>27.6</x:v>
      </x:c>
      <x:c r="M1036" t="n">
        <x:v>30</x:v>
      </x:c>
      <x:c r="N1036" t="str">
        <x:v>Optimistic</x:v>
      </x:c>
      <x:c r="O1036" t="str">
        <x:v>Optimistic</x:v>
      </x:c>
    </x:row>
    <x:row r="1037">
      <x:c r="A1037" t="str">
        <x:v>PJT_1036</x:v>
      </x:c>
      <x:c r="B1037" t="n">
        <x:v>88832240</x:v>
      </x:c>
      <x:c r="C1037" t="n">
        <x:v>98700117</x:v>
      </x:c>
      <x:c r="D1037" t="n">
        <x:v>9867877</x:v>
      </x:c>
      <x:c r="E1037" t="n">
        <x:v>0.1111</x:v>
      </x:c>
      <x:c r="F1037" t="n">
        <x:v>1721</x:v>
      </x:c>
      <x:c r="G1037" t="n">
        <x:v>2015</x:v>
      </x:c>
      <x:c r="H1037" t="n">
        <x:v>294</x:v>
      </x:c>
      <x:c r="I1037" t="n">
        <x:v>0.1708</x:v>
      </x:c>
      <x:c r="J1037" t="str">
        <x:v>High</x:v>
      </x:c>
      <x:c r="K1037" t="n">
        <x:v>70.1</x:v>
      </x:c>
      <x:c r="L1037" t="n">
        <x:v>67.9</x:v>
      </x:c>
      <x:c r="M1037" t="n">
        <x:v>68.3</x:v>
      </x:c>
      <x:c r="N1037" t="str">
        <x:v>Pessimistic</x:v>
      </x:c>
      <x:c r="O1037" t="str">
        <x:v>Pessimistic</x:v>
      </x:c>
    </x:row>
    <x:row r="1038">
      <x:c r="A1038" t="str">
        <x:v>PJT_1037</x:v>
      </x:c>
      <x:c r="B1038" t="n">
        <x:v>91392000</x:v>
      </x:c>
      <x:c r="C1038" t="n">
        <x:v>99328281</x:v>
      </x:c>
      <x:c r="D1038" t="n">
        <x:v>7936281</x:v>
      </x:c>
      <x:c r="E1038" t="n">
        <x:v>0.0868</x:v>
      </x:c>
      <x:c r="F1038" t="n">
        <x:v>1406</x:v>
      </x:c>
      <x:c r="G1038" t="n">
        <x:v>1513</x:v>
      </x:c>
      <x:c r="H1038" t="n">
        <x:v>107</x:v>
      </x:c>
      <x:c r="I1038" t="n">
        <x:v>0.0761</x:v>
      </x:c>
      <x:c r="J1038" t="str">
        <x:v>Medium</x:v>
      </x:c>
      <x:c r="K1038" t="n">
        <x:v>60</x:v>
      </x:c>
      <x:c r="L1038" t="n">
        <x:v>62.2</x:v>
      </x:c>
      <x:c r="M1038" t="n">
        <x:v>57.7</x:v>
      </x:c>
      <x:c r="N1038" t="str">
        <x:v>Most Likely</x:v>
      </x:c>
      <x:c r="O1038" t="str">
        <x:v>Most Likely</x:v>
      </x:c>
    </x:row>
    <x:row r="1039">
      <x:c r="A1039" t="str">
        <x:v>PJT_1038</x:v>
      </x:c>
      <x:c r="B1039" t="n">
        <x:v>36705800</x:v>
      </x:c>
      <x:c r="C1039" t="n">
        <x:v>37766988</x:v>
      </x:c>
      <x:c r="D1039" t="n">
        <x:v>1061188</x:v>
      </x:c>
      <x:c r="E1039" t="n">
        <x:v>0.0289</x:v>
      </x:c>
      <x:c r="F1039" t="n">
        <x:v>762</x:v>
      </x:c>
      <x:c r="G1039" t="n">
        <x:v>841</x:v>
      </x:c>
      <x:c r="H1039" t="n">
        <x:v>79</x:v>
      </x:c>
      <x:c r="I1039" t="n">
        <x:v>0.1037</x:v>
      </x:c>
      <x:c r="J1039" t="str">
        <x:v>Medium</x:v>
      </x:c>
      <x:c r="K1039" t="n">
        <x:v>54.1</x:v>
      </x:c>
      <x:c r="L1039" t="n">
        <x:v>52.5</x:v>
      </x:c>
      <x:c r="M1039" t="n">
        <x:v>57.1</x:v>
      </x:c>
      <x:c r="N1039" t="str">
        <x:v>Most Likely</x:v>
      </x:c>
      <x:c r="O1039" t="str">
        <x:v>Pessimistic</x:v>
      </x:c>
    </x:row>
    <x:row r="1040">
      <x:c r="A1040" t="str">
        <x:v>PJT_1039</x:v>
      </x:c>
      <x:c r="B1040" t="n">
        <x:v>59936160</x:v>
      </x:c>
      <x:c r="C1040" t="n">
        <x:v>61703597</x:v>
      </x:c>
      <x:c r="D1040" t="n">
        <x:v>1767437</x:v>
      </x:c>
      <x:c r="E1040" t="n">
        <x:v>0.0295</x:v>
      </x:c>
      <x:c r="F1040" t="n">
        <x:v>1077</x:v>
      </x:c>
      <x:c r="G1040" t="n">
        <x:v>1158</x:v>
      </x:c>
      <x:c r="H1040" t="n">
        <x:v>81</x:v>
      </x:c>
      <x:c r="I1040" t="n">
        <x:v>0.0752</x:v>
      </x:c>
      <x:c r="J1040" t="str">
        <x:v>Medium</x:v>
      </x:c>
      <x:c r="K1040" t="n">
        <x:v>50.9</x:v>
      </x:c>
      <x:c r="L1040" t="n">
        <x:v>57.1</x:v>
      </x:c>
      <x:c r="M1040" t="n">
        <x:v>52.5</x:v>
      </x:c>
      <x:c r="N1040" t="str">
        <x:v>Most Likely</x:v>
      </x:c>
      <x:c r="O1040" t="str">
        <x:v>Most Likely</x:v>
      </x:c>
    </x:row>
    <x:row r="1041">
      <x:c r="A1041" t="str">
        <x:v>PJT_1040</x:v>
      </x:c>
      <x:c r="B1041" t="n">
        <x:v>33316140</x:v>
      </x:c>
      <x:c r="C1041" t="n">
        <x:v>33860411</x:v>
      </x:c>
      <x:c r="D1041" t="n">
        <x:v>544271</x:v>
      </x:c>
      <x:c r="E1041" t="n">
        <x:v>0.0163</x:v>
      </x:c>
      <x:c r="F1041" t="n">
        <x:v>837</x:v>
      </x:c>
      <x:c r="G1041" t="n">
        <x:v>801</x:v>
      </x:c>
      <x:c r="H1041" t="n">
        <x:v>-36</x:v>
      </x:c>
      <x:c r="I1041" t="n">
        <x:v>-0.043</x:v>
      </x:c>
      <x:c r="J1041" t="str">
        <x:v>Medium</x:v>
      </x:c>
      <x:c r="K1041" t="n">
        <x:v>47.1</x:v>
      </x:c>
      <x:c r="L1041" t="n">
        <x:v>42.5</x:v>
      </x:c>
      <x:c r="M1041" t="n">
        <x:v>42.2</x:v>
      </x:c>
      <x:c r="N1041" t="str">
        <x:v>Most Likely</x:v>
      </x:c>
      <x:c r="O1041" t="str">
        <x:v>Optimistic</x:v>
      </x:c>
    </x:row>
    <x:row r="1042">
      <x:c r="A1042" t="str">
        <x:v>PJT_1041</x:v>
      </x:c>
      <x:c r="B1042" t="n">
        <x:v>55457500</x:v>
      </x:c>
      <x:c r="C1042" t="n">
        <x:v>56567000</x:v>
      </x:c>
      <x:c r="D1042" t="n">
        <x:v>1109500</x:v>
      </x:c>
      <x:c r="E1042" t="n">
        <x:v>0.02</x:v>
      </x:c>
      <x:c r="F1042" t="n">
        <x:v>796</x:v>
      </x:c>
      <x:c r="G1042" t="n">
        <x:v>777</x:v>
      </x:c>
      <x:c r="H1042" t="n">
        <x:v>-19</x:v>
      </x:c>
      <x:c r="I1042" t="n">
        <x:v>-0.0239</x:v>
      </x:c>
      <x:c r="J1042" t="str">
        <x:v>Low</x:v>
      </x:c>
      <x:c r="K1042" t="n">
        <x:v>43.4</x:v>
      </x:c>
      <x:c r="L1042" t="n">
        <x:v>46.8</x:v>
      </x:c>
      <x:c r="M1042" t="n">
        <x:v>45.5</x:v>
      </x:c>
      <x:c r="N1042" t="str">
        <x:v>Most Likely</x:v>
      </x:c>
      <x:c r="O1042" t="str">
        <x:v>Optimistic</x:v>
      </x:c>
    </x:row>
    <x:row r="1043">
      <x:c r="A1043" t="str">
        <x:v>PJT_1042</x:v>
      </x:c>
      <x:c r="B1043" t="n">
        <x:v>49423180</x:v>
      </x:c>
      <x:c r="C1043" t="n">
        <x:v>53622800</x:v>
      </x:c>
      <x:c r="D1043" t="n">
        <x:v>4199620</x:v>
      </x:c>
      <x:c r="E1043" t="n">
        <x:v>0.085</x:v>
      </x:c>
      <x:c r="F1043" t="n">
        <x:v>790</x:v>
      </x:c>
      <x:c r="G1043" t="n">
        <x:v>838</x:v>
      </x:c>
      <x:c r="H1043" t="n">
        <x:v>48</x:v>
      </x:c>
      <x:c r="I1043" t="n">
        <x:v>0.0608</x:v>
      </x:c>
      <x:c r="J1043" t="str">
        <x:v>Medium</x:v>
      </x:c>
      <x:c r="K1043" t="n">
        <x:v>48.5</x:v>
      </x:c>
      <x:c r="L1043" t="n">
        <x:v>51</x:v>
      </x:c>
      <x:c r="M1043" t="n">
        <x:v>50.6</x:v>
      </x:c>
      <x:c r="N1043" t="str">
        <x:v>Most Likely</x:v>
      </x:c>
      <x:c r="O1043" t="str">
        <x:v>Most Likely</x:v>
      </x:c>
    </x:row>
    <x:row r="1044">
      <x:c r="A1044" t="str">
        <x:v>PJT_1043</x:v>
      </x:c>
      <x:c r="B1044" t="n">
        <x:v>68177700</x:v>
      </x:c>
      <x:c r="C1044" t="n">
        <x:v>74258023</x:v>
      </x:c>
      <x:c r="D1044" t="n">
        <x:v>6080323</x:v>
      </x:c>
      <x:c r="E1044" t="n">
        <x:v>0.0892</x:v>
      </x:c>
      <x:c r="F1044" t="n">
        <x:v>1369</x:v>
      </x:c>
      <x:c r="G1044" t="n">
        <x:v>1398</x:v>
      </x:c>
      <x:c r="H1044" t="n">
        <x:v>29</x:v>
      </x:c>
      <x:c r="I1044" t="n">
        <x:v>0.0212</x:v>
      </x:c>
      <x:c r="J1044" t="str">
        <x:v>Medium</x:v>
      </x:c>
      <x:c r="K1044" t="n">
        <x:v>54.3</x:v>
      </x:c>
      <x:c r="L1044" t="n">
        <x:v>56.3</x:v>
      </x:c>
      <x:c r="M1044" t="n">
        <x:v>48.5</x:v>
      </x:c>
      <x:c r="N1044" t="str">
        <x:v>Most Likely</x:v>
      </x:c>
      <x:c r="O1044" t="str">
        <x:v>Most Likely</x:v>
      </x:c>
    </x:row>
    <x:row r="1045">
      <x:c r="A1045" t="str">
        <x:v>PJT_1044</x:v>
      </x:c>
      <x:c r="B1045" t="n">
        <x:v>21429660</x:v>
      </x:c>
      <x:c r="C1045" t="n">
        <x:v>20768499</x:v>
      </x:c>
      <x:c r="D1045" t="n">
        <x:v>-661161</x:v>
      </x:c>
      <x:c r="E1045" t="n">
        <x:v>-0.0309</x:v>
      </x:c>
      <x:c r="F1045" t="n">
        <x:v>470</x:v>
      </x:c>
      <x:c r="G1045" t="n">
        <x:v>460</x:v>
      </x:c>
      <x:c r="H1045" t="n">
        <x:v>-10</x:v>
      </x:c>
      <x:c r="I1045" t="n">
        <x:v>-0.0213</x:v>
      </x:c>
      <x:c r="J1045" t="str">
        <x:v>Low</x:v>
      </x:c>
      <x:c r="K1045" t="n">
        <x:v>34.3</x:v>
      </x:c>
      <x:c r="L1045" t="n">
        <x:v>32.5</x:v>
      </x:c>
      <x:c r="M1045" t="n">
        <x:v>33.9</x:v>
      </x:c>
      <x:c r="N1045" t="str">
        <x:v>Optimistic</x:v>
      </x:c>
      <x:c r="O1045" t="str">
        <x:v>Optimistic</x:v>
      </x:c>
    </x:row>
    <x:row r="1046">
      <x:c r="A1046" t="str">
        <x:v>PJT_1045</x:v>
      </x:c>
      <x:c r="B1046" t="n">
        <x:v>31058730</x:v>
      </x:c>
      <x:c r="C1046" t="n">
        <x:v>32903140</x:v>
      </x:c>
      <x:c r="D1046" t="n">
        <x:v>1844410</x:v>
      </x:c>
      <x:c r="E1046" t="n">
        <x:v>0.0594</x:v>
      </x:c>
      <x:c r="F1046" t="n">
        <x:v>524</x:v>
      </x:c>
      <x:c r="G1046" t="n">
        <x:v>564</x:v>
      </x:c>
      <x:c r="H1046" t="n">
        <x:v>40</x:v>
      </x:c>
      <x:c r="I1046" t="n">
        <x:v>0.0763</x:v>
      </x:c>
      <x:c r="J1046" t="str">
        <x:v>Low</x:v>
      </x:c>
      <x:c r="K1046" t="n">
        <x:v>44.2</x:v>
      </x:c>
      <x:c r="L1046" t="n">
        <x:v>49.9</x:v>
      </x:c>
      <x:c r="M1046" t="n">
        <x:v>44.8</x:v>
      </x:c>
      <x:c r="N1046" t="str">
        <x:v>Most Likely</x:v>
      </x:c>
      <x:c r="O1046" t="str">
        <x:v>Most Likely</x:v>
      </x:c>
    </x:row>
    <x:row r="1047">
      <x:c r="A1047" t="str">
        <x:v>PJT_1046</x:v>
      </x:c>
      <x:c r="B1047" t="n">
        <x:v>87659130</x:v>
      </x:c>
      <x:c r="C1047" t="n">
        <x:v>96913317</x:v>
      </x:c>
      <x:c r="D1047" t="n">
        <x:v>9254187</x:v>
      </x:c>
      <x:c r="E1047" t="n">
        <x:v>0.1056</x:v>
      </x:c>
      <x:c r="F1047" t="n">
        <x:v>1786</x:v>
      </x:c>
      <x:c r="G1047" t="n">
        <x:v>2122</x:v>
      </x:c>
      <x:c r="H1047" t="n">
        <x:v>336</x:v>
      </x:c>
      <x:c r="I1047" t="n">
        <x:v>0.1881</x:v>
      </x:c>
      <x:c r="J1047" t="str">
        <x:v>Medium</x:v>
      </x:c>
      <x:c r="K1047" t="n">
        <x:v>63.6</x:v>
      </x:c>
      <x:c r="L1047" t="n">
        <x:v>66.2</x:v>
      </x:c>
      <x:c r="M1047" t="n">
        <x:v>68.8</x:v>
      </x:c>
      <x:c r="N1047" t="str">
        <x:v>Pessimistic</x:v>
      </x:c>
      <x:c r="O1047" t="str">
        <x:v>Pessimistic</x:v>
      </x:c>
    </x:row>
    <x:row r="1048">
      <x:c r="A1048" t="str">
        <x:v>PJT_1047</x:v>
      </x:c>
      <x:c r="B1048" t="n">
        <x:v>34669800</x:v>
      </x:c>
      <x:c r="C1048" t="n">
        <x:v>35965654</x:v>
      </x:c>
      <x:c r="D1048" t="n">
        <x:v>1295854</x:v>
      </x:c>
      <x:c r="E1048" t="n">
        <x:v>0.0374</x:v>
      </x:c>
      <x:c r="F1048" t="n">
        <x:v>865</x:v>
      </x:c>
      <x:c r="G1048" t="n">
        <x:v>922</x:v>
      </x:c>
      <x:c r="H1048" t="n">
        <x:v>57</x:v>
      </x:c>
      <x:c r="I1048" t="n">
        <x:v>0.0659</x:v>
      </x:c>
      <x:c r="J1048" t="str">
        <x:v>Medium</x:v>
      </x:c>
      <x:c r="K1048" t="n">
        <x:v>57.8</x:v>
      </x:c>
      <x:c r="L1048" t="n">
        <x:v>55.2</x:v>
      </x:c>
      <x:c r="M1048" t="n">
        <x:v>51.5</x:v>
      </x:c>
      <x:c r="N1048" t="str">
        <x:v>Most Likely</x:v>
      </x:c>
      <x:c r="O1048" t="str">
        <x:v>Most Likely</x:v>
      </x:c>
    </x:row>
    <x:row r="1049">
      <x:c r="A1049" t="str">
        <x:v>PJT_1048</x:v>
      </x:c>
      <x:c r="B1049" t="n">
        <x:v>43861260</x:v>
      </x:c>
      <x:c r="C1049" t="n">
        <x:v>47412505</x:v>
      </x:c>
      <x:c r="D1049" t="n">
        <x:v>3551245</x:v>
      </x:c>
      <x:c r="E1049" t="n">
        <x:v>0.081</x:v>
      </x:c>
      <x:c r="F1049" t="n">
        <x:v>864</x:v>
      </x:c>
      <x:c r="G1049" t="n">
        <x:v>928</x:v>
      </x:c>
      <x:c r="H1049" t="n">
        <x:v>64</x:v>
      </x:c>
      <x:c r="I1049" t="n">
        <x:v>0.0741</x:v>
      </x:c>
      <x:c r="J1049" t="str">
        <x:v>Medium</x:v>
      </x:c>
      <x:c r="K1049" t="n">
        <x:v>53.8</x:v>
      </x:c>
      <x:c r="L1049" t="n">
        <x:v>56.5</x:v>
      </x:c>
      <x:c r="M1049" t="n">
        <x:v>54.1</x:v>
      </x:c>
      <x:c r="N1049" t="str">
        <x:v>Most Likely</x:v>
      </x:c>
      <x:c r="O1049" t="str">
        <x:v>Most Likely</x:v>
      </x:c>
    </x:row>
    <x:row r="1050">
      <x:c r="A1050" t="str">
        <x:v>PJT_1049</x:v>
      </x:c>
      <x:c r="B1050" t="n">
        <x:v>26403840</x:v>
      </x:c>
      <x:c r="C1050" t="n">
        <x:v>27968673</x:v>
      </x:c>
      <x:c r="D1050" t="n">
        <x:v>1564833</x:v>
      </x:c>
      <x:c r="E1050" t="n">
        <x:v>0.0593</x:v>
      </x:c>
      <x:c r="F1050" t="n">
        <x:v>659</x:v>
      </x:c>
      <x:c r="G1050" t="n">
        <x:v>670</x:v>
      </x:c>
      <x:c r="H1050" t="n">
        <x:v>11</x:v>
      </x:c>
      <x:c r="I1050" t="n">
        <x:v>0.0167</x:v>
      </x:c>
      <x:c r="J1050" t="str">
        <x:v>Low</x:v>
      </x:c>
      <x:c r="K1050" t="n">
        <x:v>43.7</x:v>
      </x:c>
      <x:c r="L1050" t="n">
        <x:v>43.3</x:v>
      </x:c>
      <x:c r="M1050" t="n">
        <x:v>50.8</x:v>
      </x:c>
      <x:c r="N1050" t="str">
        <x:v>Most Likely</x:v>
      </x:c>
      <x:c r="O1050" t="str">
        <x:v>Most Likely</x:v>
      </x:c>
    </x:row>
    <x:row r="1051">
      <x:c r="A1051" t="str">
        <x:v>PJT_1050</x:v>
      </x:c>
      <x:c r="B1051" t="n">
        <x:v>73080360</x:v>
      </x:c>
      <x:c r="C1051" t="n">
        <x:v>77991286</x:v>
      </x:c>
      <x:c r="D1051" t="n">
        <x:v>4910926</x:v>
      </x:c>
      <x:c r="E1051" t="n">
        <x:v>0.0672</x:v>
      </x:c>
      <x:c r="F1051" t="n">
        <x:v>1421</x:v>
      </x:c>
      <x:c r="G1051" t="n">
        <x:v>1605</x:v>
      </x:c>
      <x:c r="H1051" t="n">
        <x:v>184</x:v>
      </x:c>
      <x:c r="I1051" t="n">
        <x:v>0.1295</x:v>
      </x:c>
      <x:c r="J1051" t="str">
        <x:v>Medium</x:v>
      </x:c>
      <x:c r="K1051" t="n">
        <x:v>54.8</x:v>
      </x:c>
      <x:c r="L1051" t="n">
        <x:v>56.9</x:v>
      </x:c>
      <x:c r="M1051" t="n">
        <x:v>54.3</x:v>
      </x:c>
      <x:c r="N1051" t="str">
        <x:v>Most Likely</x:v>
      </x:c>
      <x:c r="O1051" t="str">
        <x:v>Pessimistic</x:v>
      </x:c>
    </x:row>
    <x:row r="1052">
      <x:c r="A1052" t="str">
        <x:v>PJT_1051</x:v>
      </x:c>
      <x:c r="B1052" t="n">
        <x:v>50940270</x:v>
      </x:c>
      <x:c r="C1052" t="n">
        <x:v>56401155</x:v>
      </x:c>
      <x:c r="D1052" t="n">
        <x:v>5460885</x:v>
      </x:c>
      <x:c r="E1052" t="n">
        <x:v>0.1072</x:v>
      </x:c>
      <x:c r="F1052" t="n">
        <x:v>935</x:v>
      </x:c>
      <x:c r="G1052" t="n">
        <x:v>936</x:v>
      </x:c>
      <x:c r="H1052" t="n">
        <x:v>1</x:v>
      </x:c>
      <x:c r="I1052" t="n">
        <x:v>0.0011</x:v>
      </x:c>
      <x:c r="J1052" t="str">
        <x:v>Medium</x:v>
      </x:c>
      <x:c r="K1052" t="n">
        <x:v>59.1</x:v>
      </x:c>
      <x:c r="L1052" t="n">
        <x:v>57.3</x:v>
      </x:c>
      <x:c r="M1052" t="n">
        <x:v>56.5</x:v>
      </x:c>
      <x:c r="N1052" t="str">
        <x:v>Pessimistic</x:v>
      </x:c>
      <x:c r="O1052" t="str">
        <x:v>Most Likely</x:v>
      </x:c>
    </x:row>
    <x:row r="1053">
      <x:c r="A1053" t="str">
        <x:v>PJT_1052</x:v>
      </x:c>
      <x:c r="B1053" t="n">
        <x:v>22761180</x:v>
      </x:c>
      <x:c r="C1053" t="n">
        <x:v>21800554</x:v>
      </x:c>
      <x:c r="D1053" t="n">
        <x:v>-960626</x:v>
      </x:c>
      <x:c r="E1053" t="n">
        <x:v>-0.0422</x:v>
      </x:c>
      <x:c r="F1053" t="n">
        <x:v>400</x:v>
      </x:c>
      <x:c r="G1053" t="n">
        <x:v>410</x:v>
      </x:c>
      <x:c r="H1053" t="n">
        <x:v>10</x:v>
      </x:c>
      <x:c r="I1053" t="n">
        <x:v>0.025</x:v>
      </x:c>
      <x:c r="J1053" t="str">
        <x:v>Low</x:v>
      </x:c>
      <x:c r="K1053" t="n">
        <x:v>34.5</x:v>
      </x:c>
      <x:c r="L1053" t="n">
        <x:v>32.9</x:v>
      </x:c>
      <x:c r="M1053" t="n">
        <x:v>35.5</x:v>
      </x:c>
      <x:c r="N1053" t="str">
        <x:v>Optimistic</x:v>
      </x:c>
      <x:c r="O1053" t="str">
        <x:v>Most Likely</x:v>
      </x:c>
    </x:row>
    <x:row r="1054">
      <x:c r="A1054" t="str">
        <x:v>PJT_1053</x:v>
      </x:c>
      <x:c r="B1054" t="n">
        <x:v>24835050</x:v>
      </x:c>
      <x:c r="C1054" t="n">
        <x:v>26544866</x:v>
      </x:c>
      <x:c r="D1054" t="n">
        <x:v>1709816</x:v>
      </x:c>
      <x:c r="E1054" t="n">
        <x:v>0.0688</x:v>
      </x:c>
      <x:c r="F1054" t="n">
        <x:v>449</x:v>
      </x:c>
      <x:c r="G1054" t="n">
        <x:v>474</x:v>
      </x:c>
      <x:c r="H1054" t="n">
        <x:v>25</x:v>
      </x:c>
      <x:c r="I1054" t="n">
        <x:v>0.0557</x:v>
      </x:c>
      <x:c r="J1054" t="str">
        <x:v>Low</x:v>
      </x:c>
      <x:c r="K1054" t="n">
        <x:v>41.4</x:v>
      </x:c>
      <x:c r="L1054" t="n">
        <x:v>46.5</x:v>
      </x:c>
      <x:c r="M1054" t="n">
        <x:v>39</x:v>
      </x:c>
      <x:c r="N1054" t="str">
        <x:v>Most Likely</x:v>
      </x:c>
      <x:c r="O1054" t="str">
        <x:v>Most Likely</x:v>
      </x:c>
    </x:row>
    <x:row r="1055">
      <x:c r="A1055" t="str">
        <x:v>PJT_1054</x:v>
      </x:c>
      <x:c r="B1055" t="n">
        <x:v>16326210</x:v>
      </x:c>
      <x:c r="C1055" t="n">
        <x:v>17308815</x:v>
      </x:c>
      <x:c r="D1055" t="n">
        <x:v>982605</x:v>
      </x:c>
      <x:c r="E1055" t="n">
        <x:v>0.0602</x:v>
      </x:c>
      <x:c r="F1055" t="n">
        <x:v>404</x:v>
      </x:c>
      <x:c r="G1055" t="n">
        <x:v>427</x:v>
      </x:c>
      <x:c r="H1055" t="n">
        <x:v>23</x:v>
      </x:c>
      <x:c r="I1055" t="n">
        <x:v>0.0569</x:v>
      </x:c>
      <x:c r="J1055" t="str">
        <x:v>Low</x:v>
      </x:c>
      <x:c r="K1055" t="n">
        <x:v>38.2</x:v>
      </x:c>
      <x:c r="L1055" t="n">
        <x:v>43</x:v>
      </x:c>
      <x:c r="M1055" t="n">
        <x:v>44.3</x:v>
      </x:c>
      <x:c r="N1055" t="str">
        <x:v>Most Likely</x:v>
      </x:c>
      <x:c r="O1055" t="str">
        <x:v>Most Likely</x:v>
      </x:c>
    </x:row>
    <x:row r="1056">
      <x:c r="A1056" t="str">
        <x:v>PJT_1055</x:v>
      </x:c>
      <x:c r="B1056" t="n">
        <x:v>22167200</x:v>
      </x:c>
      <x:c r="C1056" t="n">
        <x:v>22981909</x:v>
      </x:c>
      <x:c r="D1056" t="n">
        <x:v>814709</x:v>
      </x:c>
      <x:c r="E1056" t="n">
        <x:v>0.0368</x:v>
      </x:c>
      <x:c r="F1056" t="n">
        <x:v>385</x:v>
      </x:c>
      <x:c r="G1056" t="n">
        <x:v>384</x:v>
      </x:c>
      <x:c r="H1056" t="n">
        <x:v>-1</x:v>
      </x:c>
      <x:c r="I1056" t="n">
        <x:v>-0.0026</x:v>
      </x:c>
      <x:c r="J1056" t="str">
        <x:v>Low</x:v>
      </x:c>
      <x:c r="K1056" t="n">
        <x:v>39.2</x:v>
      </x:c>
      <x:c r="L1056" t="n">
        <x:v>44.3</x:v>
      </x:c>
      <x:c r="M1056" t="n">
        <x:v>39.8</x:v>
      </x:c>
      <x:c r="N1056" t="str">
        <x:v>Most Likely</x:v>
      </x:c>
      <x:c r="O1056" t="str">
        <x:v>Optimistic</x:v>
      </x:c>
    </x:row>
    <x:row r="1057">
      <x:c r="A1057" t="str">
        <x:v>PJT_1056</x:v>
      </x:c>
      <x:c r="B1057" t="n">
        <x:v>24448500</x:v>
      </x:c>
      <x:c r="C1057" t="n">
        <x:v>26069427</x:v>
      </x:c>
      <x:c r="D1057" t="n">
        <x:v>1620927</x:v>
      </x:c>
      <x:c r="E1057" t="n">
        <x:v>0.0663</x:v>
      </x:c>
      <x:c r="F1057" t="n">
        <x:v>413</x:v>
      </x:c>
      <x:c r="G1057" t="n">
        <x:v>438</x:v>
      </x:c>
      <x:c r="H1057" t="n">
        <x:v>25</x:v>
      </x:c>
      <x:c r="I1057" t="n">
        <x:v>0.0605</x:v>
      </x:c>
      <x:c r="J1057" t="str">
        <x:v>Low</x:v>
      </x:c>
      <x:c r="K1057" t="n">
        <x:v>40.2</x:v>
      </x:c>
      <x:c r="L1057" t="n">
        <x:v>39.2</x:v>
      </x:c>
      <x:c r="M1057" t="n">
        <x:v>40</x:v>
      </x:c>
      <x:c r="N1057" t="str">
        <x:v>Most Likely</x:v>
      </x:c>
      <x:c r="O1057" t="str">
        <x:v>Most Likely</x:v>
      </x:c>
    </x:row>
    <x:row r="1058">
      <x:c r="A1058" t="str">
        <x:v>PJT_1057</x:v>
      </x:c>
      <x:c r="B1058" t="n">
        <x:v>49951650</x:v>
      </x:c>
      <x:c r="C1058" t="n">
        <x:v>51021556</x:v>
      </x:c>
      <x:c r="D1058" t="n">
        <x:v>1069906</x:v>
      </x:c>
      <x:c r="E1058" t="n">
        <x:v>0.0214</x:v>
      </x:c>
      <x:c r="F1058" t="n">
        <x:v>731</x:v>
      </x:c>
      <x:c r="G1058" t="n">
        <x:v>734</x:v>
      </x:c>
      <x:c r="H1058" t="n">
        <x:v>3</x:v>
      </x:c>
      <x:c r="I1058" t="n">
        <x:v>0.0041</x:v>
      </x:c>
      <x:c r="J1058" t="str">
        <x:v>Low</x:v>
      </x:c>
      <x:c r="K1058" t="n">
        <x:v>43.4</x:v>
      </x:c>
      <x:c r="L1058" t="n">
        <x:v>46.8</x:v>
      </x:c>
      <x:c r="M1058" t="n">
        <x:v>44.8</x:v>
      </x:c>
      <x:c r="N1058" t="str">
        <x:v>Most Likely</x:v>
      </x:c>
      <x:c r="O1058" t="str">
        <x:v>Most Likely</x:v>
      </x:c>
    </x:row>
    <x:row r="1059">
      <x:c r="A1059" t="str">
        <x:v>PJT_1058</x:v>
      </x:c>
      <x:c r="B1059" t="n">
        <x:v>104774280</x:v>
      </x:c>
      <x:c r="C1059" t="n">
        <x:v>125280932</x:v>
      </x:c>
      <x:c r="D1059" t="n">
        <x:v>20506652</x:v>
      </x:c>
      <x:c r="E1059" t="n">
        <x:v>0.1957</x:v>
      </x:c>
      <x:c r="F1059" t="n">
        <x:v>2126</x:v>
      </x:c>
      <x:c r="G1059" t="n">
        <x:v>2392</x:v>
      </x:c>
      <x:c r="H1059" t="n">
        <x:v>266</x:v>
      </x:c>
      <x:c r="I1059" t="n">
        <x:v>0.1251</x:v>
      </x:c>
      <x:c r="J1059" t="str">
        <x:v>High</x:v>
      </x:c>
      <x:c r="K1059" t="n">
        <x:v>69.5</x:v>
      </x:c>
      <x:c r="L1059" t="n">
        <x:v>70.1</x:v>
      </x:c>
      <x:c r="M1059" t="n">
        <x:v>72.9</x:v>
      </x:c>
      <x:c r="N1059" t="str">
        <x:v>Pessimistic</x:v>
      </x:c>
      <x:c r="O1059" t="str">
        <x:v>Pessimistic</x:v>
      </x:c>
    </x:row>
    <x:row r="1060">
      <x:c r="A1060" t="str">
        <x:v>PJT_1059</x:v>
      </x:c>
      <x:c r="B1060" t="n">
        <x:v>81002880</x:v>
      </x:c>
      <x:c r="C1060" t="n">
        <x:v>84827766</x:v>
      </x:c>
      <x:c r="D1060" t="n">
        <x:v>3824886</x:v>
      </x:c>
      <x:c r="E1060" t="n">
        <x:v>0.0472</x:v>
      </x:c>
      <x:c r="F1060" t="n">
        <x:v>1255</x:v>
      </x:c>
      <x:c r="G1060" t="n">
        <x:v>1313</x:v>
      </x:c>
      <x:c r="H1060" t="n">
        <x:v>58</x:v>
      </x:c>
      <x:c r="I1060" t="n">
        <x:v>0.0462</x:v>
      </x:c>
      <x:c r="J1060" t="str">
        <x:v>Medium</x:v>
      </x:c>
      <x:c r="K1060" t="n">
        <x:v>45.6</x:v>
      </x:c>
      <x:c r="L1060" t="n">
        <x:v>48.6</x:v>
      </x:c>
      <x:c r="M1060" t="n">
        <x:v>48.4</x:v>
      </x:c>
      <x:c r="N1060" t="str">
        <x:v>Most Likely</x:v>
      </x:c>
      <x:c r="O1060" t="str">
        <x:v>Most Likely</x:v>
      </x:c>
    </x:row>
    <x:row r="1061">
      <x:c r="A1061" t="str">
        <x:v>PJT_1060</x:v>
      </x:c>
      <x:c r="B1061" t="n">
        <x:v>12327120</x:v>
      </x:c>
      <x:c r="C1061" t="n">
        <x:v>11986826</x:v>
      </x:c>
      <x:c r="D1061" t="n">
        <x:v>-340294</x:v>
      </x:c>
      <x:c r="E1061" t="n">
        <x:v>-0.0276</x:v>
      </x:c>
      <x:c r="F1061" t="n">
        <x:v>270</x:v>
      </x:c>
      <x:c r="G1061" t="n">
        <x:v>263</x:v>
      </x:c>
      <x:c r="H1061" t="n">
        <x:v>-7</x:v>
      </x:c>
      <x:c r="I1061" t="n">
        <x:v>-0.0259</x:v>
      </x:c>
      <x:c r="J1061" t="str">
        <x:v>Low</x:v>
      </x:c>
      <x:c r="K1061" t="n">
        <x:v>28.2</x:v>
      </x:c>
      <x:c r="L1061" t="n">
        <x:v>27.1</x:v>
      </x:c>
      <x:c r="M1061" t="n">
        <x:v>23.5</x:v>
      </x:c>
      <x:c r="N1061" t="str">
        <x:v>Optimistic</x:v>
      </x:c>
      <x:c r="O1061" t="str">
        <x:v>Optimistic</x:v>
      </x:c>
    </x:row>
    <x:row r="1062">
      <x:c r="A1062" t="str">
        <x:v>PJT_1061</x:v>
      </x:c>
      <x:c r="B1062" t="n">
        <x:v>30454940</x:v>
      </x:c>
      <x:c r="C1062" t="n">
        <x:v>32879368</x:v>
      </x:c>
      <x:c r="D1062" t="n">
        <x:v>2424428</x:v>
      </x:c>
      <x:c r="E1062" t="n">
        <x:v>0.0796</x:v>
      </x:c>
      <x:c r="F1062" t="n">
        <x:v>614</x:v>
      </x:c>
      <x:c r="G1062" t="n">
        <x:v>628</x:v>
      </x:c>
      <x:c r="H1062" t="n">
        <x:v>14</x:v>
      </x:c>
      <x:c r="I1062" t="n">
        <x:v>0.0228</x:v>
      </x:c>
      <x:c r="J1062" t="str">
        <x:v>Medium</x:v>
      </x:c>
      <x:c r="K1062" t="n">
        <x:v>48.9</x:v>
      </x:c>
      <x:c r="L1062" t="n">
        <x:v>50.6</x:v>
      </x:c>
      <x:c r="M1062" t="n">
        <x:v>54.7</x:v>
      </x:c>
      <x:c r="N1062" t="str">
        <x:v>Most Likely</x:v>
      </x:c>
      <x:c r="O1062" t="str">
        <x:v>Most Likely</x:v>
      </x:c>
    </x:row>
    <x:row r="1063">
      <x:c r="A1063" t="str">
        <x:v>PJT_1062</x:v>
      </x:c>
      <x:c r="B1063" t="n">
        <x:v>35428200</x:v>
      </x:c>
      <x:c r="C1063" t="n">
        <x:v>37946499</x:v>
      </x:c>
      <x:c r="D1063" t="n">
        <x:v>2518299</x:v>
      </x:c>
      <x:c r="E1063" t="n">
        <x:v>0.0711</x:v>
      </x:c>
      <x:c r="F1063" t="n">
        <x:v>693</x:v>
      </x:c>
      <x:c r="G1063" t="n">
        <x:v>741</x:v>
      </x:c>
      <x:c r="H1063" t="n">
        <x:v>48</x:v>
      </x:c>
      <x:c r="I1063" t="n">
        <x:v>0.0693</x:v>
      </x:c>
      <x:c r="J1063" t="str">
        <x:v>Medium</x:v>
      </x:c>
      <x:c r="K1063" t="n">
        <x:v>53.7</x:v>
      </x:c>
      <x:c r="L1063" t="n">
        <x:v>55.9</x:v>
      </x:c>
      <x:c r="M1063" t="n">
        <x:v>55.7</x:v>
      </x:c>
      <x:c r="N1063" t="str">
        <x:v>Most Likely</x:v>
      </x:c>
      <x:c r="O1063" t="str">
        <x:v>Most Likely</x:v>
      </x:c>
    </x:row>
    <x:row r="1064">
      <x:c r="A1064" t="str">
        <x:v>PJT_1063</x:v>
      </x:c>
      <x:c r="B1064" t="n">
        <x:v>13977200</x:v>
      </x:c>
      <x:c r="C1064" t="n">
        <x:v>14247854</x:v>
      </x:c>
      <x:c r="D1064" t="n">
        <x:v>270654</x:v>
      </x:c>
      <x:c r="E1064" t="n">
        <x:v>0.0194</x:v>
      </x:c>
      <x:c r="F1064" t="n">
        <x:v>248</x:v>
      </x:c>
      <x:c r="G1064" t="n">
        <x:v>239</x:v>
      </x:c>
      <x:c r="H1064" t="n">
        <x:v>-9</x:v>
      </x:c>
      <x:c r="I1064" t="n">
        <x:v>-0.0363</x:v>
      </x:c>
      <x:c r="J1064" t="str">
        <x:v>Low</x:v>
      </x:c>
      <x:c r="K1064" t="n">
        <x:v>38.8</x:v>
      </x:c>
      <x:c r="L1064" t="n">
        <x:v>42.3</x:v>
      </x:c>
      <x:c r="M1064" t="n">
        <x:v>32.7</x:v>
      </x:c>
      <x:c r="N1064" t="str">
        <x:v>Most Likely</x:v>
      </x:c>
      <x:c r="O1064" t="str">
        <x:v>Optimistic</x:v>
      </x:c>
    </x:row>
    <x:row r="1065">
      <x:c r="A1065" t="str">
        <x:v>PJT_1064</x:v>
      </x:c>
      <x:c r="B1065" t="n">
        <x:v>35838960</x:v>
      </x:c>
      <x:c r="C1065" t="n">
        <x:v>36467924</x:v>
      </x:c>
      <x:c r="D1065" t="n">
        <x:v>628964</x:v>
      </x:c>
      <x:c r="E1065" t="n">
        <x:v>0.0175</x:v>
      </x:c>
      <x:c r="F1065" t="n">
        <x:v>678</x:v>
      </x:c>
      <x:c r="G1065" t="n">
        <x:v>729</x:v>
      </x:c>
      <x:c r="H1065" t="n">
        <x:v>51</x:v>
      </x:c>
      <x:c r="I1065" t="n">
        <x:v>0.0752</x:v>
      </x:c>
      <x:c r="J1065" t="str">
        <x:v>Low</x:v>
      </x:c>
      <x:c r="K1065" t="n">
        <x:v>44.5</x:v>
      </x:c>
      <x:c r="L1065" t="n">
        <x:v>46</x:v>
      </x:c>
      <x:c r="M1065" t="n">
        <x:v>42.1</x:v>
      </x:c>
      <x:c r="N1065" t="str">
        <x:v>Most Likely</x:v>
      </x:c>
      <x:c r="O1065" t="str">
        <x:v>Most Likely</x:v>
      </x:c>
    </x:row>
    <x:row r="1066">
      <x:c r="A1066" t="str">
        <x:v>PJT_1065</x:v>
      </x:c>
      <x:c r="B1066" t="n">
        <x:v>75660480</x:v>
      </x:c>
      <x:c r="C1066" t="n">
        <x:v>81605733</x:v>
      </x:c>
      <x:c r="D1066" t="n">
        <x:v>5945253</x:v>
      </x:c>
      <x:c r="E1066" t="n">
        <x:v>0.0786</x:v>
      </x:c>
      <x:c r="F1066" t="n">
        <x:v>1477</x:v>
      </x:c>
      <x:c r="G1066" t="n">
        <x:v>1719</x:v>
      </x:c>
      <x:c r="H1066" t="n">
        <x:v>242</x:v>
      </x:c>
      <x:c r="I1066" t="n">
        <x:v>0.1638</x:v>
      </x:c>
      <x:c r="J1066" t="str">
        <x:v>Medium</x:v>
      </x:c>
      <x:c r="K1066" t="n">
        <x:v>66.1</x:v>
      </x:c>
      <x:c r="L1066" t="n">
        <x:v>62.1</x:v>
      </x:c>
      <x:c r="M1066" t="n">
        <x:v>67.2</x:v>
      </x:c>
      <x:c r="N1066" t="str">
        <x:v>Most Likely</x:v>
      </x:c>
      <x:c r="O1066" t="str">
        <x:v>Pessimistic</x:v>
      </x:c>
    </x:row>
    <x:row r="1067">
      <x:c r="A1067" t="str">
        <x:v>PJT_1066</x:v>
      </x:c>
      <x:c r="B1067" t="n">
        <x:v>15375990</x:v>
      </x:c>
      <x:c r="C1067" t="n">
        <x:v>14653694</x:v>
      </x:c>
      <x:c r="D1067" t="n">
        <x:v>-722296</x:v>
      </x:c>
      <x:c r="E1067" t="n">
        <x:v>-0.047</x:v>
      </x:c>
      <x:c r="F1067" t="n">
        <x:v>354</x:v>
      </x:c>
      <x:c r="G1067" t="n">
        <x:v>367</x:v>
      </x:c>
      <x:c r="H1067" t="n">
        <x:v>13</x:v>
      </x:c>
      <x:c r="I1067" t="n">
        <x:v>0.0367</x:v>
      </x:c>
      <x:c r="J1067" t="str">
        <x:v>Low</x:v>
      </x:c>
      <x:c r="K1067" t="n">
        <x:v>33.1</x:v>
      </x:c>
      <x:c r="L1067" t="n">
        <x:v>34.8</x:v>
      </x:c>
      <x:c r="M1067" t="n">
        <x:v>34.4</x:v>
      </x:c>
      <x:c r="N1067" t="str">
        <x:v>Optimistic</x:v>
      </x:c>
      <x:c r="O1067" t="str">
        <x:v>Most Likely</x:v>
      </x:c>
    </x:row>
    <x:row r="1068">
      <x:c r="A1068" t="str">
        <x:v>PJT_1067</x:v>
      </x:c>
      <x:c r="B1068" t="n">
        <x:v>21621600</x:v>
      </x:c>
      <x:c r="C1068" t="n">
        <x:v>23161709</x:v>
      </x:c>
      <x:c r="D1068" t="n">
        <x:v>1540109</x:v>
      </x:c>
      <x:c r="E1068" t="n">
        <x:v>0.0712</x:v>
      </x:c>
      <x:c r="F1068" t="n">
        <x:v>557</x:v>
      </x:c>
      <x:c r="G1068" t="n">
        <x:v>578</x:v>
      </x:c>
      <x:c r="H1068" t="n">
        <x:v>21</x:v>
      </x:c>
      <x:c r="I1068" t="n">
        <x:v>0.0377</x:v>
      </x:c>
      <x:c r="J1068" t="str">
        <x:v>Low</x:v>
      </x:c>
      <x:c r="K1068" t="n">
        <x:v>43.4</x:v>
      </x:c>
      <x:c r="L1068" t="n">
        <x:v>45.7</x:v>
      </x:c>
      <x:c r="M1068" t="n">
        <x:v>42.5</x:v>
      </x:c>
      <x:c r="N1068" t="str">
        <x:v>Most Likely</x:v>
      </x:c>
      <x:c r="O1068" t="str">
        <x:v>Most Likely</x:v>
      </x:c>
    </x:row>
    <x:row r="1069">
      <x:c r="A1069" t="str">
        <x:v>PJT_1068</x:v>
      </x:c>
      <x:c r="B1069" t="n">
        <x:v>55230840</x:v>
      </x:c>
      <x:c r="C1069" t="n">
        <x:v>60616379</x:v>
      </x:c>
      <x:c r="D1069" t="n">
        <x:v>5385539</x:v>
      </x:c>
      <x:c r="E1069" t="n">
        <x:v>0.0975</x:v>
      </x:c>
      <x:c r="F1069" t="n">
        <x:v>1056</x:v>
      </x:c>
      <x:c r="G1069" t="n">
        <x:v>1082</x:v>
      </x:c>
      <x:c r="H1069" t="n">
        <x:v>26</x:v>
      </x:c>
      <x:c r="I1069" t="n">
        <x:v>0.0246</x:v>
      </x:c>
      <x:c r="J1069" t="str">
        <x:v>Medium</x:v>
      </x:c>
      <x:c r="K1069" t="n">
        <x:v>49.1</x:v>
      </x:c>
      <x:c r="L1069" t="n">
        <x:v>55.7</x:v>
      </x:c>
      <x:c r="M1069" t="n">
        <x:v>49.9</x:v>
      </x:c>
      <x:c r="N1069" t="str">
        <x:v>Most Likely</x:v>
      </x:c>
      <x:c r="O1069" t="str">
        <x:v>Most Likely</x:v>
      </x:c>
    </x:row>
    <x:row r="1070">
      <x:c r="A1070" t="str">
        <x:v>PJT_1069</x:v>
      </x:c>
      <x:c r="B1070" t="n">
        <x:v>80123840</x:v>
      </x:c>
      <x:c r="C1070" t="n">
        <x:v>87724413</x:v>
      </x:c>
      <x:c r="D1070" t="n">
        <x:v>7600573</x:v>
      </x:c>
      <x:c r="E1070" t="n">
        <x:v>0.0949</x:v>
      </x:c>
      <x:c r="F1070" t="n">
        <x:v>1281</x:v>
      </x:c>
      <x:c r="G1070" t="n">
        <x:v>1294</x:v>
      </x:c>
      <x:c r="H1070" t="n">
        <x:v>13</x:v>
      </x:c>
      <x:c r="I1070" t="n">
        <x:v>0.0101</x:v>
      </x:c>
      <x:c r="J1070" t="str">
        <x:v>Medium</x:v>
      </x:c>
      <x:c r="K1070" t="n">
        <x:v>48.8</x:v>
      </x:c>
      <x:c r="L1070" t="n">
        <x:v>52.9</x:v>
      </x:c>
      <x:c r="M1070" t="n">
        <x:v>49.3</x:v>
      </x:c>
      <x:c r="N1070" t="str">
        <x:v>Most Likely</x:v>
      </x:c>
      <x:c r="O1070" t="str">
        <x:v>Most Likely</x:v>
      </x:c>
    </x:row>
    <x:row r="1071">
      <x:c r="A1071" t="str">
        <x:v>PJT_1070</x:v>
      </x:c>
      <x:c r="B1071" t="n">
        <x:v>15338900</x:v>
      </x:c>
      <x:c r="C1071" t="n">
        <x:v>15306351</x:v>
      </x:c>
      <x:c r="D1071" t="n">
        <x:v>-32549</x:v>
      </x:c>
      <x:c r="E1071" t="n">
        <x:v>-0.0021</x:v>
      </x:c>
      <x:c r="F1071" t="n">
        <x:v>253</x:v>
      </x:c>
      <x:c r="G1071" t="n">
        <x:v>244</x:v>
      </x:c>
      <x:c r="H1071" t="n">
        <x:v>-9</x:v>
      </x:c>
      <x:c r="I1071" t="n">
        <x:v>-0.0356</x:v>
      </x:c>
      <x:c r="J1071" t="str">
        <x:v>Low</x:v>
      </x:c>
      <x:c r="K1071" t="n">
        <x:v>33.7</x:v>
      </x:c>
      <x:c r="L1071" t="n">
        <x:v>33.2</x:v>
      </x:c>
      <x:c r="M1071" t="n">
        <x:v>27.1</x:v>
      </x:c>
      <x:c r="N1071" t="str">
        <x:v>Optimistic</x:v>
      </x:c>
      <x:c r="O1071" t="str">
        <x:v>Optimistic</x:v>
      </x:c>
    </x:row>
    <x:row r="1072">
      <x:c r="A1072" t="str">
        <x:v>PJT_1071</x:v>
      </x:c>
      <x:c r="B1072" t="n">
        <x:v>59533760</x:v>
      </x:c>
      <x:c r="C1072" t="n">
        <x:v>60538474</x:v>
      </x:c>
      <x:c r="D1072" t="n">
        <x:v>1004714</x:v>
      </x:c>
      <x:c r="E1072" t="n">
        <x:v>0.0169</x:v>
      </x:c>
      <x:c r="F1072" t="n">
        <x:v>1218</x:v>
      </x:c>
      <x:c r="G1072" t="n">
        <x:v>1345</x:v>
      </x:c>
      <x:c r="H1072" t="n">
        <x:v>127</x:v>
      </x:c>
      <x:c r="I1072" t="n">
        <x:v>0.1043</x:v>
      </x:c>
      <x:c r="J1072" t="str">
        <x:v>Medium</x:v>
      </x:c>
      <x:c r="K1072" t="n">
        <x:v>51.4</x:v>
      </x:c>
      <x:c r="L1072" t="n">
        <x:v>57.6</x:v>
      </x:c>
      <x:c r="M1072" t="n">
        <x:v>57.8</x:v>
      </x:c>
      <x:c r="N1072" t="str">
        <x:v>Most Likely</x:v>
      </x:c>
      <x:c r="O1072" t="str">
        <x:v>Pessimistic</x:v>
      </x:c>
    </x:row>
    <x:row r="1073">
      <x:c r="A1073" t="str">
        <x:v>PJT_1072</x:v>
      </x:c>
      <x:c r="B1073" t="n">
        <x:v>6453980</x:v>
      </x:c>
      <x:c r="C1073" t="n">
        <x:v>6403923</x:v>
      </x:c>
      <x:c r="D1073" t="n">
        <x:v>-50057</x:v>
      </x:c>
      <x:c r="E1073" t="n">
        <x:v>-0.0078</x:v>
      </x:c>
      <x:c r="F1073" t="n">
        <x:v>180</x:v>
      </x:c>
      <x:c r="G1073" t="n">
        <x:v>178</x:v>
      </x:c>
      <x:c r="H1073" t="n">
        <x:v>-2</x:v>
      </x:c>
      <x:c r="I1073" t="n">
        <x:v>-0.0111</x:v>
      </x:c>
      <x:c r="J1073" t="str">
        <x:v>Low</x:v>
      </x:c>
      <x:c r="K1073" t="n">
        <x:v>25.5</x:v>
      </x:c>
      <x:c r="L1073" t="n">
        <x:v>24.2</x:v>
      </x:c>
      <x:c r="M1073" t="n">
        <x:v>23.6</x:v>
      </x:c>
      <x:c r="N1073" t="str">
        <x:v>Optimistic</x:v>
      </x:c>
      <x:c r="O1073" t="str">
        <x:v>Optimistic</x:v>
      </x:c>
    </x:row>
    <x:row r="1074">
      <x:c r="A1074" t="str">
        <x:v>PJT_1073</x:v>
      </x:c>
      <x:c r="B1074" t="n">
        <x:v>69098880</x:v>
      </x:c>
      <x:c r="C1074" t="n">
        <x:v>72068791</x:v>
      </x:c>
      <x:c r="D1074" t="n">
        <x:v>2969911</x:v>
      </x:c>
      <x:c r="E1074" t="n">
        <x:v>0.043</x:v>
      </x:c>
      <x:c r="F1074" t="n">
        <x:v>1209</x:v>
      </x:c>
      <x:c r="G1074" t="n">
        <x:v>1145</x:v>
      </x:c>
      <x:c r="H1074" t="n">
        <x:v>-64</x:v>
      </x:c>
      <x:c r="I1074" t="n">
        <x:v>-0.0529</x:v>
      </x:c>
      <x:c r="J1074" t="str">
        <x:v>Medium</x:v>
      </x:c>
      <x:c r="K1074" t="n">
        <x:v>50.7</x:v>
      </x:c>
      <x:c r="L1074" t="n">
        <x:v>51.7</x:v>
      </x:c>
      <x:c r="M1074" t="n">
        <x:v>49.1</x:v>
      </x:c>
      <x:c r="N1074" t="str">
        <x:v>Most Likely</x:v>
      </x:c>
      <x:c r="O1074" t="str">
        <x:v>Optimistic</x:v>
      </x:c>
    </x:row>
    <x:row r="1075">
      <x:c r="A1075" t="str">
        <x:v>PJT_1074</x:v>
      </x:c>
      <x:c r="B1075" t="n">
        <x:v>40653580</x:v>
      </x:c>
      <x:c r="C1075" t="n">
        <x:v>42238921</x:v>
      </x:c>
      <x:c r="D1075" t="n">
        <x:v>1585341</x:v>
      </x:c>
      <x:c r="E1075" t="n">
        <x:v>0.039</x:v>
      </x:c>
      <x:c r="F1075" t="n">
        <x:v>812</x:v>
      </x:c>
      <x:c r="G1075" t="n">
        <x:v>793</x:v>
      </x:c>
      <x:c r="H1075" t="n">
        <x:v>-19</x:v>
      </x:c>
      <x:c r="I1075" t="n">
        <x:v>-0.0234</x:v>
      </x:c>
      <x:c r="J1075" t="str">
        <x:v>Medium</x:v>
      </x:c>
      <x:c r="K1075" t="n">
        <x:v>52.5</x:v>
      </x:c>
      <x:c r="L1075" t="n">
        <x:v>46.9</x:v>
      </x:c>
      <x:c r="M1075" t="n">
        <x:v>49.8</x:v>
      </x:c>
      <x:c r="N1075" t="str">
        <x:v>Most Likely</x:v>
      </x:c>
      <x:c r="O1075" t="str">
        <x:v>Optimistic</x:v>
      </x:c>
    </x:row>
    <x:row r="1076">
      <x:c r="A1076" t="str">
        <x:v>PJT_1075</x:v>
      </x:c>
      <x:c r="B1076" t="n">
        <x:v>82443680</x:v>
      </x:c>
      <x:c r="C1076" t="n">
        <x:v>89698176</x:v>
      </x:c>
      <x:c r="D1076" t="n">
        <x:v>7254496</x:v>
      </x:c>
      <x:c r="E1076" t="n">
        <x:v>0.088</x:v>
      </x:c>
      <x:c r="F1076" t="n">
        <x:v>1316</x:v>
      </x:c>
      <x:c r="G1076" t="n">
        <x:v>1333</x:v>
      </x:c>
      <x:c r="H1076" t="n">
        <x:v>17</x:v>
      </x:c>
      <x:c r="I1076" t="n">
        <x:v>0.0129</x:v>
      </x:c>
      <x:c r="J1076" t="str">
        <x:v>Medium</x:v>
      </x:c>
      <x:c r="K1076" t="n">
        <x:v>50.9</x:v>
      </x:c>
      <x:c r="L1076" t="n">
        <x:v>49.5</x:v>
      </x:c>
      <x:c r="M1076" t="n">
        <x:v>47.1</x:v>
      </x:c>
      <x:c r="N1076" t="str">
        <x:v>Most Likely</x:v>
      </x:c>
      <x:c r="O1076" t="str">
        <x:v>Most Likely</x:v>
      </x:c>
    </x:row>
    <x:row r="1077">
      <x:c r="A1077" t="str">
        <x:v>PJT_1076</x:v>
      </x:c>
      <x:c r="B1077" t="n">
        <x:v>11869200</x:v>
      </x:c>
      <x:c r="C1077" t="n">
        <x:v>11264929</x:v>
      </x:c>
      <x:c r="D1077" t="n">
        <x:v>-604271</x:v>
      </x:c>
      <x:c r="E1077" t="n">
        <x:v>-0.0509</x:v>
      </x:c>
      <x:c r="F1077" t="n">
        <x:v>293</x:v>
      </x:c>
      <x:c r="G1077" t="n">
        <x:v>279</x:v>
      </x:c>
      <x:c r="H1077" t="n">
        <x:v>-14</x:v>
      </x:c>
      <x:c r="I1077" t="n">
        <x:v>-0.0478</x:v>
      </x:c>
      <x:c r="J1077" t="str">
        <x:v>Low</x:v>
      </x:c>
      <x:c r="K1077" t="n">
        <x:v>24</x:v>
      </x:c>
      <x:c r="L1077" t="n">
        <x:v>22</x:v>
      </x:c>
      <x:c r="M1077" t="n">
        <x:v>22.5</x:v>
      </x:c>
      <x:c r="N1077" t="str">
        <x:v>Optimistic</x:v>
      </x:c>
      <x:c r="O1077" t="str">
        <x:v>Optimistic</x:v>
      </x:c>
    </x:row>
    <x:row r="1078">
      <x:c r="A1078" t="str">
        <x:v>PJT_1077</x:v>
      </x:c>
      <x:c r="B1078" t="n">
        <x:v>65489280</x:v>
      </x:c>
      <x:c r="C1078" t="n">
        <x:v>72853754</x:v>
      </x:c>
      <x:c r="D1078" t="n">
        <x:v>7364474</x:v>
      </x:c>
      <x:c r="E1078" t="n">
        <x:v>0.1125</x:v>
      </x:c>
      <x:c r="F1078" t="n">
        <x:v>1281</x:v>
      </x:c>
      <x:c r="G1078" t="n">
        <x:v>1386</x:v>
      </x:c>
      <x:c r="H1078" t="n">
        <x:v>105</x:v>
      </x:c>
      <x:c r="I1078" t="n">
        <x:v>0.082</x:v>
      </x:c>
      <x:c r="J1078" t="str">
        <x:v>Medium</x:v>
      </x:c>
      <x:c r="K1078" t="n">
        <x:v>56.5</x:v>
      </x:c>
      <x:c r="L1078" t="n">
        <x:v>63.5</x:v>
      </x:c>
      <x:c r="M1078" t="n">
        <x:v>58.8</x:v>
      </x:c>
      <x:c r="N1078" t="str">
        <x:v>Pessimistic</x:v>
      </x:c>
      <x:c r="O1078" t="str">
        <x:v>Most Likely</x:v>
      </x:c>
    </x:row>
    <x:row r="1079">
      <x:c r="A1079" t="str">
        <x:v>PJT_1078</x:v>
      </x:c>
      <x:c r="B1079" t="n">
        <x:v>84562950</x:v>
      </x:c>
      <x:c r="C1079" t="n">
        <x:v>88480597</x:v>
      </x:c>
      <x:c r="D1079" t="n">
        <x:v>3917647</x:v>
      </x:c>
      <x:c r="E1079" t="n">
        <x:v>0.0463</x:v>
      </x:c>
      <x:c r="F1079" t="n">
        <x:v>1615</x:v>
      </x:c>
      <x:c r="G1079" t="n">
        <x:v>1798</x:v>
      </x:c>
      <x:c r="H1079" t="n">
        <x:v>183</x:v>
      </x:c>
      <x:c r="I1079" t="n">
        <x:v>0.1133</x:v>
      </x:c>
      <x:c r="J1079" t="str">
        <x:v>Medium</x:v>
      </x:c>
      <x:c r="K1079" t="n">
        <x:v>57.6</x:v>
      </x:c>
      <x:c r="L1079" t="n">
        <x:v>59.3</x:v>
      </x:c>
      <x:c r="M1079" t="n">
        <x:v>61</x:v>
      </x:c>
      <x:c r="N1079" t="str">
        <x:v>Most Likely</x:v>
      </x:c>
      <x:c r="O1079" t="str">
        <x:v>Pessimistic</x:v>
      </x:c>
    </x:row>
    <x:row r="1080">
      <x:c r="A1080" t="str">
        <x:v>PJT_1079</x:v>
      </x:c>
      <x:c r="B1080" t="n">
        <x:v>40817000</x:v>
      </x:c>
      <x:c r="C1080" t="n">
        <x:v>45918569</x:v>
      </x:c>
      <x:c r="D1080" t="n">
        <x:v>5101569</x:v>
      </x:c>
      <x:c r="E1080" t="n">
        <x:v>0.125</x:v>
      </x:c>
      <x:c r="F1080" t="n">
        <x:v>786</x:v>
      </x:c>
      <x:c r="G1080" t="n">
        <x:v>801</x:v>
      </x:c>
      <x:c r="H1080" t="n">
        <x:v>15</x:v>
      </x:c>
      <x:c r="I1080" t="n">
        <x:v>0.0191</x:v>
      </x:c>
      <x:c r="J1080" t="str">
        <x:v>Low</x:v>
      </x:c>
      <x:c r="K1080" t="n">
        <x:v>44.6</x:v>
      </x:c>
      <x:c r="L1080" t="n">
        <x:v>50.1</x:v>
      </x:c>
      <x:c r="M1080" t="n">
        <x:v>46.2</x:v>
      </x:c>
      <x:c r="N1080" t="str">
        <x:v>Pessimistic</x:v>
      </x:c>
      <x:c r="O1080" t="str">
        <x:v>Most Likely</x:v>
      </x:c>
    </x:row>
    <x:row r="1081">
      <x:c r="A1081" t="str">
        <x:v>PJT_1080</x:v>
      </x:c>
      <x:c r="B1081" t="n">
        <x:v>90691320</x:v>
      </x:c>
      <x:c r="C1081" t="n">
        <x:v>94439619</x:v>
      </x:c>
      <x:c r="D1081" t="n">
        <x:v>3748299</x:v>
      </x:c>
      <x:c r="E1081" t="n">
        <x:v>0.0413</x:v>
      </x:c>
      <x:c r="F1081" t="n">
        <x:v>1729</x:v>
      </x:c>
      <x:c r="G1081" t="n">
        <x:v>1930</x:v>
      </x:c>
      <x:c r="H1081" t="n">
        <x:v>201</x:v>
      </x:c>
      <x:c r="I1081" t="n">
        <x:v>0.1163</x:v>
      </x:c>
      <x:c r="J1081" t="str">
        <x:v>High</x:v>
      </x:c>
      <x:c r="K1081" t="n">
        <x:v>70.8</x:v>
      </x:c>
      <x:c r="L1081" t="n">
        <x:v>76.9</x:v>
      </x:c>
      <x:c r="M1081" t="n">
        <x:v>71.8</x:v>
      </x:c>
      <x:c r="N1081" t="str">
        <x:v>Most Likely</x:v>
      </x:c>
      <x:c r="O1081" t="str">
        <x:v>Pessimistic</x:v>
      </x:c>
    </x:row>
    <x:row r="1082">
      <x:c r="A1082" t="str">
        <x:v>PJT_1081</x:v>
      </x:c>
      <x:c r="B1082" t="n">
        <x:v>88424000</x:v>
      </x:c>
      <x:c r="C1082" t="n">
        <x:v>95101047</x:v>
      </x:c>
      <x:c r="D1082" t="n">
        <x:v>6677047</x:v>
      </x:c>
      <x:c r="E1082" t="n">
        <x:v>0.0755</x:v>
      </x:c>
      <x:c r="F1082" t="n">
        <x:v>1601</x:v>
      </x:c>
      <x:c r="G1082" t="n">
        <x:v>1646</x:v>
      </x:c>
      <x:c r="H1082" t="n">
        <x:v>45</x:v>
      </x:c>
      <x:c r="I1082" t="n">
        <x:v>0.0281</x:v>
      </x:c>
      <x:c r="J1082" t="str">
        <x:v>Medium</x:v>
      </x:c>
      <x:c r="K1082" t="n">
        <x:v>63.5</x:v>
      </x:c>
      <x:c r="L1082" t="n">
        <x:v>61.7</x:v>
      </x:c>
      <x:c r="M1082" t="n">
        <x:v>61.1</x:v>
      </x:c>
      <x:c r="N1082" t="str">
        <x:v>Most Likely</x:v>
      </x:c>
      <x:c r="O1082" t="str">
        <x:v>Most Likely</x:v>
      </x:c>
    </x:row>
    <x:row r="1083">
      <x:c r="A1083" t="str">
        <x:v>PJT_1082</x:v>
      </x:c>
      <x:c r="B1083" t="n">
        <x:v>23891250</x:v>
      </x:c>
      <x:c r="C1083" t="n">
        <x:v>26346053</x:v>
      </x:c>
      <x:c r="D1083" t="n">
        <x:v>2454803</x:v>
      </x:c>
      <x:c r="E1083" t="n">
        <x:v>0.1027</x:v>
      </x:c>
      <x:c r="F1083" t="n">
        <x:v>616</x:v>
      </x:c>
      <x:c r="G1083" t="n">
        <x:v>622</x:v>
      </x:c>
      <x:c r="H1083" t="n">
        <x:v>6</x:v>
      </x:c>
      <x:c r="I1083" t="n">
        <x:v>0.0097</x:v>
      </x:c>
      <x:c r="J1083" t="str">
        <x:v>Medium</x:v>
      </x:c>
      <x:c r="K1083" t="n">
        <x:v>62.1</x:v>
      </x:c>
      <x:c r="L1083" t="n">
        <x:v>60.4</x:v>
      </x:c>
      <x:c r="M1083" t="n">
        <x:v>60.5</x:v>
      </x:c>
      <x:c r="N1083" t="str">
        <x:v>Pessimistic</x:v>
      </x:c>
      <x:c r="O1083" t="str">
        <x:v>Most Likely</x:v>
      </x:c>
    </x:row>
    <x:row r="1084">
      <x:c r="A1084" t="str">
        <x:v>PJT_1083</x:v>
      </x:c>
      <x:c r="B1084" t="n">
        <x:v>19723480</x:v>
      </x:c>
      <x:c r="C1084" t="n">
        <x:v>20637987</x:v>
      </x:c>
      <x:c r="D1084" t="n">
        <x:v>914507</x:v>
      </x:c>
      <x:c r="E1084" t="n">
        <x:v>0.0464</x:v>
      </x:c>
      <x:c r="F1084" t="n">
        <x:v>511</x:v>
      </x:c>
      <x:c r="G1084" t="n">
        <x:v>512</x:v>
      </x:c>
      <x:c r="H1084" t="n">
        <x:v>1</x:v>
      </x:c>
      <x:c r="I1084" t="n">
        <x:v>0.002</x:v>
      </x:c>
      <x:c r="J1084" t="str">
        <x:v>Low</x:v>
      </x:c>
      <x:c r="K1084" t="n">
        <x:v>35.2</x:v>
      </x:c>
      <x:c r="L1084" t="n">
        <x:v>40.5</x:v>
      </x:c>
      <x:c r="M1084" t="n">
        <x:v>40.2</x:v>
      </x:c>
      <x:c r="N1084" t="str">
        <x:v>Most Likely</x:v>
      </x:c>
      <x:c r="O1084" t="str">
        <x:v>Most Likely</x:v>
      </x:c>
    </x:row>
    <x:row r="1085">
      <x:c r="A1085" t="str">
        <x:v>PJT_1084</x:v>
      </x:c>
      <x:c r="B1085" t="n">
        <x:v>58909760</x:v>
      </x:c>
      <x:c r="C1085" t="n">
        <x:v>61319799</x:v>
      </x:c>
      <x:c r="D1085" t="n">
        <x:v>2410039</x:v>
      </x:c>
      <x:c r="E1085" t="n">
        <x:v>0.0409</x:v>
      </x:c>
      <x:c r="F1085" t="n">
        <x:v>946</x:v>
      </x:c>
      <x:c r="G1085" t="n">
        <x:v>1007</x:v>
      </x:c>
      <x:c r="H1085" t="n">
        <x:v>61</x:v>
      </x:c>
      <x:c r="I1085" t="n">
        <x:v>0.0645</x:v>
      </x:c>
      <x:c r="J1085" t="str">
        <x:v>Medium</x:v>
      </x:c>
      <x:c r="K1085" t="n">
        <x:v>52.5</x:v>
      </x:c>
      <x:c r="L1085" t="n">
        <x:v>50.9</x:v>
      </x:c>
      <x:c r="M1085" t="n">
        <x:v>49</x:v>
      </x:c>
      <x:c r="N1085" t="str">
        <x:v>Most Likely</x:v>
      </x:c>
      <x:c r="O1085" t="str">
        <x:v>Most Likely</x:v>
      </x:c>
    </x:row>
    <x:row r="1086">
      <x:c r="A1086" t="str">
        <x:v>PJT_1085</x:v>
      </x:c>
      <x:c r="B1086" t="n">
        <x:v>42443460</x:v>
      </x:c>
      <x:c r="C1086" t="n">
        <x:v>43616900</x:v>
      </x:c>
      <x:c r="D1086" t="n">
        <x:v>1173440</x:v>
      </x:c>
      <x:c r="E1086" t="n">
        <x:v>0.0276</x:v>
      </x:c>
      <x:c r="F1086" t="n">
        <x:v>643</x:v>
      </x:c>
      <x:c r="G1086" t="n">
        <x:v>671</x:v>
      </x:c>
      <x:c r="H1086" t="n">
        <x:v>28</x:v>
      </x:c>
      <x:c r="I1086" t="n">
        <x:v>0.0435</x:v>
      </x:c>
      <x:c r="J1086" t="str">
        <x:v>Low</x:v>
      </x:c>
      <x:c r="K1086" t="n">
        <x:v>38.6</x:v>
      </x:c>
      <x:c r="L1086" t="n">
        <x:v>41.7</x:v>
      </x:c>
      <x:c r="M1086" t="n">
        <x:v>38.4</x:v>
      </x:c>
      <x:c r="N1086" t="str">
        <x:v>Most Likely</x:v>
      </x:c>
      <x:c r="O1086" t="str">
        <x:v>Most Likely</x:v>
      </x:c>
    </x:row>
    <x:row r="1087">
      <x:c r="A1087" t="str">
        <x:v>PJT_1086</x:v>
      </x:c>
      <x:c r="B1087" t="n">
        <x:v>41674080</x:v>
      </x:c>
      <x:c r="C1087" t="n">
        <x:v>41994942</x:v>
      </x:c>
      <x:c r="D1087" t="n">
        <x:v>320862</x:v>
      </x:c>
      <x:c r="E1087" t="n">
        <x:v>0.0077</x:v>
      </x:c>
      <x:c r="F1087" t="n">
        <x:v>790</x:v>
      </x:c>
      <x:c r="G1087" t="n">
        <x:v>857</x:v>
      </x:c>
      <x:c r="H1087" t="n">
        <x:v>67</x:v>
      </x:c>
      <x:c r="I1087" t="n">
        <x:v>0.0848</x:v>
      </x:c>
      <x:c r="J1087" t="str">
        <x:v>Medium</x:v>
      </x:c>
      <x:c r="K1087" t="n">
        <x:v>56.8</x:v>
      </x:c>
      <x:c r="L1087" t="n">
        <x:v>52.5</x:v>
      </x:c>
      <x:c r="M1087" t="n">
        <x:v>55.1</x:v>
      </x:c>
      <x:c r="N1087" t="str">
        <x:v>Most Likely</x:v>
      </x:c>
      <x:c r="O1087" t="str">
        <x:v>Most Likely</x:v>
      </x:c>
    </x:row>
    <x:row r="1088">
      <x:c r="A1088" t="str">
        <x:v>PJT_1087</x:v>
      </x:c>
      <x:c r="B1088" t="n">
        <x:v>18248150</x:v>
      </x:c>
      <x:c r="C1088" t="n">
        <x:v>19071660</x:v>
      </x:c>
      <x:c r="D1088" t="n">
        <x:v>823510</x:v>
      </x:c>
      <x:c r="E1088" t="n">
        <x:v>0.0451</x:v>
      </x:c>
      <x:c r="F1088" t="n">
        <x:v>292</x:v>
      </x:c>
      <x:c r="G1088" t="n">
        <x:v>272</x:v>
      </x:c>
      <x:c r="H1088" t="n">
        <x:v>-20</x:v>
      </x:c>
      <x:c r="I1088" t="n">
        <x:v>-0.0685</x:v>
      </x:c>
      <x:c r="J1088" t="str">
        <x:v>Low</x:v>
      </x:c>
      <x:c r="K1088" t="n">
        <x:v>32.6</x:v>
      </x:c>
      <x:c r="L1088" t="n">
        <x:v>32</x:v>
      </x:c>
      <x:c r="M1088" t="n">
        <x:v>29.4</x:v>
      </x:c>
      <x:c r="N1088" t="str">
        <x:v>Most Likely</x:v>
      </x:c>
      <x:c r="O1088" t="str">
        <x:v>Optimistic</x:v>
      </x:c>
    </x:row>
    <x:row r="1089">
      <x:c r="A1089" t="str">
        <x:v>PJT_1088</x:v>
      </x:c>
      <x:c r="B1089" t="n">
        <x:v>15451080</x:v>
      </x:c>
      <x:c r="C1089" t="n">
        <x:v>14875526</x:v>
      </x:c>
      <x:c r="D1089" t="n">
        <x:v>-575554</x:v>
      </x:c>
      <x:c r="E1089" t="n">
        <x:v>-0.0373</x:v>
      </x:c>
      <x:c r="F1089" t="n">
        <x:v>381</x:v>
      </x:c>
      <x:c r="G1089" t="n">
        <x:v>368</x:v>
      </x:c>
      <x:c r="H1089" t="n">
        <x:v>-13</x:v>
      </x:c>
      <x:c r="I1089" t="n">
        <x:v>-0.0341</x:v>
      </x:c>
      <x:c r="J1089" t="str">
        <x:v>Medium</x:v>
      </x:c>
      <x:c r="K1089" t="n">
        <x:v>50.3</x:v>
      </x:c>
      <x:c r="L1089" t="n">
        <x:v>47.6</x:v>
      </x:c>
      <x:c r="M1089" t="n">
        <x:v>49</x:v>
      </x:c>
      <x:c r="N1089" t="str">
        <x:v>Optimistic</x:v>
      </x:c>
      <x:c r="O1089" t="str">
        <x:v>Optimistic</x:v>
      </x:c>
    </x:row>
    <x:row r="1090">
      <x:c r="A1090" t="str">
        <x:v>PJT_1089</x:v>
      </x:c>
      <x:c r="B1090" t="n">
        <x:v>74746320</x:v>
      </x:c>
      <x:c r="C1090" t="n">
        <x:v>77702880</x:v>
      </x:c>
      <x:c r="D1090" t="n">
        <x:v>2956560</x:v>
      </x:c>
      <x:c r="E1090" t="n">
        <x:v>0.0396</x:v>
      </x:c>
      <x:c r="F1090" t="n">
        <x:v>1472</x:v>
      </x:c>
      <x:c r="G1090" t="n">
        <x:v>1603</x:v>
      </x:c>
      <x:c r="H1090" t="n">
        <x:v>131</x:v>
      </x:c>
      <x:c r="I1090" t="n">
        <x:v>0.089</x:v>
      </x:c>
      <x:c r="J1090" t="str">
        <x:v>Medium</x:v>
      </x:c>
      <x:c r="K1090" t="n">
        <x:v>49.1</x:v>
      </x:c>
      <x:c r="L1090" t="n">
        <x:v>57.3</x:v>
      </x:c>
      <x:c r="M1090" t="n">
        <x:v>53.1</x:v>
      </x:c>
      <x:c r="N1090" t="str">
        <x:v>Most Likely</x:v>
      </x:c>
      <x:c r="O1090" t="str">
        <x:v>Most Likely</x:v>
      </x:c>
    </x:row>
    <x:row r="1091">
      <x:c r="A1091" t="str">
        <x:v>PJT_1090</x:v>
      </x:c>
      <x:c r="B1091" t="n">
        <x:v>121101280</x:v>
      </x:c>
      <x:c r="C1091" t="n">
        <x:v>130813638</x:v>
      </x:c>
      <x:c r="D1091" t="n">
        <x:v>9712358</x:v>
      </x:c>
      <x:c r="E1091" t="n">
        <x:v>0.0802</x:v>
      </x:c>
      <x:c r="F1091" t="n">
        <x:v>2317</x:v>
      </x:c>
      <x:c r="G1091" t="n">
        <x:v>2372</x:v>
      </x:c>
      <x:c r="H1091" t="n">
        <x:v>55</x:v>
      </x:c>
      <x:c r="I1091" t="n">
        <x:v>0.0237</x:v>
      </x:c>
      <x:c r="J1091" t="str">
        <x:v>Medium</x:v>
      </x:c>
      <x:c r="K1091" t="n">
        <x:v>62.8</x:v>
      </x:c>
      <x:c r="L1091" t="n">
        <x:v>63.5</x:v>
      </x:c>
      <x:c r="M1091" t="n">
        <x:v>65.6</x:v>
      </x:c>
      <x:c r="N1091" t="str">
        <x:v>Most Likely</x:v>
      </x:c>
      <x:c r="O1091" t="str">
        <x:v>Most Likely</x:v>
      </x:c>
    </x:row>
    <x:row r="1092">
      <x:c r="A1092" t="str">
        <x:v>PJT_1091</x:v>
      </x:c>
      <x:c r="B1092" t="n">
        <x:v>20422080</x:v>
      </x:c>
      <x:c r="C1092" t="n">
        <x:v>21009211</x:v>
      </x:c>
      <x:c r="D1092" t="n">
        <x:v>587131</x:v>
      </x:c>
      <x:c r="E1092" t="n">
        <x:v>0.0287</x:v>
      </x:c>
      <x:c r="F1092" t="n">
        <x:v>297</x:v>
      </x:c>
      <x:c r="G1092" t="n">
        <x:v>275</x:v>
      </x:c>
      <x:c r="H1092" t="n">
        <x:v>-22</x:v>
      </x:c>
      <x:c r="I1092" t="n">
        <x:v>-0.0741</x:v>
      </x:c>
      <x:c r="J1092" t="str">
        <x:v>Low</x:v>
      </x:c>
      <x:c r="K1092" t="n">
        <x:v>36.1</x:v>
      </x:c>
      <x:c r="L1092" t="n">
        <x:v>38.3</x:v>
      </x:c>
      <x:c r="M1092" t="n">
        <x:v>33.4</x:v>
      </x:c>
      <x:c r="N1092" t="str">
        <x:v>Most Likely</x:v>
      </x:c>
      <x:c r="O1092" t="str">
        <x:v>Optimistic</x:v>
      </x:c>
    </x:row>
    <x:row r="1093">
      <x:c r="A1093" t="str">
        <x:v>PJT_1092</x:v>
      </x:c>
      <x:c r="B1093" t="n">
        <x:v>39853920</x:v>
      </x:c>
      <x:c r="C1093" t="n">
        <x:v>43394119</x:v>
      </x:c>
      <x:c r="D1093" t="n">
        <x:v>3540199</x:v>
      </x:c>
      <x:c r="E1093" t="n">
        <x:v>0.0888</x:v>
      </x:c>
      <x:c r="F1093" t="n">
        <x:v>622</x:v>
      </x:c>
      <x:c r="G1093" t="n">
        <x:v>638</x:v>
      </x:c>
      <x:c r="H1093" t="n">
        <x:v>16</x:v>
      </x:c>
      <x:c r="I1093" t="n">
        <x:v>0.0257</x:v>
      </x:c>
      <x:c r="J1093" t="str">
        <x:v>Medium</x:v>
      </x:c>
      <x:c r="K1093" t="n">
        <x:v>57.5</x:v>
      </x:c>
      <x:c r="L1093" t="n">
        <x:v>56.2</x:v>
      </x:c>
      <x:c r="M1093" t="n">
        <x:v>52.9</x:v>
      </x:c>
      <x:c r="N1093" t="str">
        <x:v>Most Likely</x:v>
      </x:c>
      <x:c r="O1093" t="str">
        <x:v>Most Likely</x:v>
      </x:c>
    </x:row>
    <x:row r="1094">
      <x:c r="A1094" t="str">
        <x:v>PJT_1093</x:v>
      </x:c>
      <x:c r="B1094" t="n">
        <x:v>7120340</x:v>
      </x:c>
      <x:c r="C1094" t="n">
        <x:v>7246327</x:v>
      </x:c>
      <x:c r="D1094" t="n">
        <x:v>125987</x:v>
      </x:c>
      <x:c r="E1094" t="n">
        <x:v>0.0177</x:v>
      </x:c>
      <x:c r="F1094" t="n">
        <x:v>193</x:v>
      </x:c>
      <x:c r="G1094" t="n">
        <x:v>201</x:v>
      </x:c>
      <x:c r="H1094" t="n">
        <x:v>8</x:v>
      </x:c>
      <x:c r="I1094" t="n">
        <x:v>0.0415</x:v>
      </x:c>
      <x:c r="J1094" t="str">
        <x:v>Low</x:v>
      </x:c>
      <x:c r="K1094" t="n">
        <x:v>34.7</x:v>
      </x:c>
      <x:c r="L1094" t="n">
        <x:v>38.1</x:v>
      </x:c>
      <x:c r="M1094" t="n">
        <x:v>33</x:v>
      </x:c>
      <x:c r="N1094" t="str">
        <x:v>Most Likely</x:v>
      </x:c>
      <x:c r="O1094" t="str">
        <x:v>Most Likely</x:v>
      </x:c>
    </x:row>
    <x:row r="1095">
      <x:c r="A1095" t="str">
        <x:v>PJT_1094</x:v>
      </x:c>
      <x:c r="B1095" t="n">
        <x:v>56433300</x:v>
      </x:c>
      <x:c r="C1095" t="n">
        <x:v>59273420</x:v>
      </x:c>
      <x:c r="D1095" t="n">
        <x:v>2840120</x:v>
      </x:c>
      <x:c r="E1095" t="n">
        <x:v>0.0503</x:v>
      </x:c>
      <x:c r="F1095" t="n">
        <x:v>942</x:v>
      </x:c>
      <x:c r="G1095" t="n">
        <x:v>921</x:v>
      </x:c>
      <x:c r="H1095" t="n">
        <x:v>-21</x:v>
      </x:c>
      <x:c r="I1095" t="n">
        <x:v>-0.0223</x:v>
      </x:c>
      <x:c r="J1095" t="str">
        <x:v>Medium</x:v>
      </x:c>
      <x:c r="K1095" t="n">
        <x:v>53.7</x:v>
      </x:c>
      <x:c r="L1095" t="n">
        <x:v>52.4</x:v>
      </x:c>
      <x:c r="M1095" t="n">
        <x:v>46.7</x:v>
      </x:c>
      <x:c r="N1095" t="str">
        <x:v>Most Likely</x:v>
      </x:c>
      <x:c r="O1095" t="str">
        <x:v>Optimistic</x:v>
      </x:c>
    </x:row>
    <x:row r="1096">
      <x:c r="A1096" t="str">
        <x:v>PJT_1095</x:v>
      </x:c>
      <x:c r="B1096" t="n">
        <x:v>69556760</x:v>
      </x:c>
      <x:c r="C1096" t="n">
        <x:v>72111667</x:v>
      </x:c>
      <x:c r="D1096" t="n">
        <x:v>2554907</x:v>
      </x:c>
      <x:c r="E1096" t="n">
        <x:v>0.0367</x:v>
      </x:c>
      <x:c r="F1096" t="n">
        <x:v>1258</x:v>
      </x:c>
      <x:c r="G1096" t="n">
        <x:v>1331</x:v>
      </x:c>
      <x:c r="H1096" t="n">
        <x:v>73</x:v>
      </x:c>
      <x:c r="I1096" t="n">
        <x:v>0.058</x:v>
      </x:c>
      <x:c r="J1096" t="str">
        <x:v>Medium</x:v>
      </x:c>
      <x:c r="K1096" t="n">
        <x:v>53.3</x:v>
      </x:c>
      <x:c r="L1096" t="n">
        <x:v>54.5</x:v>
      </x:c>
      <x:c r="M1096" t="n">
        <x:v>53.1</x:v>
      </x:c>
      <x:c r="N1096" t="str">
        <x:v>Most Likely</x:v>
      </x:c>
      <x:c r="O1096" t="str">
        <x:v>Most Likely</x:v>
      </x:c>
    </x:row>
    <x:row r="1097">
      <x:c r="A1097" t="str">
        <x:v>PJT_1096</x:v>
      </x:c>
      <x:c r="B1097" t="n">
        <x:v>35827800</x:v>
      </x:c>
      <x:c r="C1097" t="n">
        <x:v>38107690</x:v>
      </x:c>
      <x:c r="D1097" t="n">
        <x:v>2279890</x:v>
      </x:c>
      <x:c r="E1097" t="n">
        <x:v>0.0636</x:v>
      </x:c>
      <x:c r="F1097" t="n">
        <x:v>781</x:v>
      </x:c>
      <x:c r="G1097" t="n">
        <x:v>808</x:v>
      </x:c>
      <x:c r="H1097" t="n">
        <x:v>27</x:v>
      </x:c>
      <x:c r="I1097" t="n">
        <x:v>0.0346</x:v>
      </x:c>
      <x:c r="J1097" t="str">
        <x:v>Medium</x:v>
      </x:c>
      <x:c r="K1097" t="n">
        <x:v>47.9</x:v>
      </x:c>
      <x:c r="L1097" t="n">
        <x:v>52.3</x:v>
      </x:c>
      <x:c r="M1097" t="n">
        <x:v>43.8</x:v>
      </x:c>
      <x:c r="N1097" t="str">
        <x:v>Most Likely</x:v>
      </x:c>
      <x:c r="O1097" t="str">
        <x:v>Most Likely</x:v>
      </x:c>
    </x:row>
    <x:row r="1098">
      <x:c r="A1098" t="str">
        <x:v>PJT_1097</x:v>
      </x:c>
      <x:c r="B1098" t="n">
        <x:v>17414320</x:v>
      </x:c>
      <x:c r="C1098" t="n">
        <x:v>17614193</x:v>
      </x:c>
      <x:c r="D1098" t="n">
        <x:v>199873</x:v>
      </x:c>
      <x:c r="E1098" t="n">
        <x:v>0.0115</x:v>
      </x:c>
      <x:c r="F1098" t="n">
        <x:v>409</x:v>
      </x:c>
      <x:c r="G1098" t="n">
        <x:v>429</x:v>
      </x:c>
      <x:c r="H1098" t="n">
        <x:v>20</x:v>
      </x:c>
      <x:c r="I1098" t="n">
        <x:v>0.0489</x:v>
      </x:c>
      <x:c r="J1098" t="str">
        <x:v>Low</x:v>
      </x:c>
      <x:c r="K1098" t="n">
        <x:v>38.1</x:v>
      </x:c>
      <x:c r="L1098" t="n">
        <x:v>40.9</x:v>
      </x:c>
      <x:c r="M1098" t="n">
        <x:v>42.8</x:v>
      </x:c>
      <x:c r="N1098" t="str">
        <x:v>Most Likely</x:v>
      </x:c>
      <x:c r="O1098" t="str">
        <x:v>Most Likely</x:v>
      </x:c>
    </x:row>
    <x:row r="1099">
      <x:c r="A1099" t="str">
        <x:v>PJT_1098</x:v>
      </x:c>
      <x:c r="B1099" t="n">
        <x:v>104618430</x:v>
      </x:c>
      <x:c r="C1099" t="n">
        <x:v>129055887</x:v>
      </x:c>
      <x:c r="D1099" t="n">
        <x:v>24437457</x:v>
      </x:c>
      <x:c r="E1099" t="n">
        <x:v>0.2336</x:v>
      </x:c>
      <x:c r="F1099" t="n">
        <x:v>1837</x:v>
      </x:c>
      <x:c r="G1099" t="n">
        <x:v>2145</x:v>
      </x:c>
      <x:c r="H1099" t="n">
        <x:v>308</x:v>
      </x:c>
      <x:c r="I1099" t="n">
        <x:v>0.1677</x:v>
      </x:c>
      <x:c r="J1099" t="str">
        <x:v>High</x:v>
      </x:c>
      <x:c r="K1099" t="n">
        <x:v>70.8</x:v>
      </x:c>
      <x:c r="L1099" t="n">
        <x:v>76.1</x:v>
      </x:c>
      <x:c r="M1099" t="n">
        <x:v>67.4</x:v>
      </x:c>
      <x:c r="N1099" t="str">
        <x:v>Pessimistic</x:v>
      </x:c>
      <x:c r="O1099" t="str">
        <x:v>Pessimistic</x:v>
      </x:c>
    </x:row>
    <x:row r="1100">
      <x:c r="A1100" t="str">
        <x:v>PJT_1099</x:v>
      </x:c>
      <x:c r="B1100" t="n">
        <x:v>11770450</x:v>
      </x:c>
      <x:c r="C1100" t="n">
        <x:v>11674074</x:v>
      </x:c>
      <x:c r="D1100" t="n">
        <x:v>-96376</x:v>
      </x:c>
      <x:c r="E1100" t="n">
        <x:v>-0.0082</x:v>
      </x:c>
      <x:c r="F1100" t="n">
        <x:v>229</x:v>
      </x:c>
      <x:c r="G1100" t="n">
        <x:v>220</x:v>
      </x:c>
      <x:c r="H1100" t="n">
        <x:v>-9</x:v>
      </x:c>
      <x:c r="I1100" t="n">
        <x:v>-0.0393</x:v>
      </x:c>
      <x:c r="J1100" t="str">
        <x:v>Low</x:v>
      </x:c>
      <x:c r="K1100" t="n">
        <x:v>30.7</x:v>
      </x:c>
      <x:c r="L1100" t="n">
        <x:v>35.7</x:v>
      </x:c>
      <x:c r="M1100" t="n">
        <x:v>31.2</x:v>
      </x:c>
      <x:c r="N1100" t="str">
        <x:v>Optimistic</x:v>
      </x:c>
      <x:c r="O1100" t="str">
        <x:v>Optimistic</x:v>
      </x:c>
    </x:row>
    <x:row r="1101">
      <x:c r="A1101" t="str">
        <x:v>PJT_1100</x:v>
      </x:c>
      <x:c r="B1101" t="n">
        <x:v>37044180</x:v>
      </x:c>
      <x:c r="C1101" t="n">
        <x:v>37043393</x:v>
      </x:c>
      <x:c r="D1101" t="n">
        <x:v>-787</x:v>
      </x:c>
      <x:c r="E1101" t="n">
        <x:v>0</x:v>
      </x:c>
      <x:c r="F1101" t="n">
        <x:v>693</x:v>
      </x:c>
      <x:c r="G1101" t="n">
        <x:v>690</x:v>
      </x:c>
      <x:c r="H1101" t="n">
        <x:v>-3</x:v>
      </x:c>
      <x:c r="I1101" t="n">
        <x:v>-0.0043</x:v>
      </x:c>
      <x:c r="J1101" t="str">
        <x:v>Low</x:v>
      </x:c>
      <x:c r="K1101" t="n">
        <x:v>40.8</x:v>
      </x:c>
      <x:c r="L1101" t="n">
        <x:v>45.6</x:v>
      </x:c>
      <x:c r="M1101" t="n">
        <x:v>38.2</x:v>
      </x:c>
      <x:c r="N1101" t="str">
        <x:v>Optimistic</x:v>
      </x:c>
      <x:c r="O1101" t="str">
        <x:v>Optimistic</x:v>
      </x:c>
    </x:row>
    <x:row r="1102">
      <x:c r="A1102" t="str">
        <x:v>PJT_1101</x:v>
      </x:c>
      <x:c r="B1102" t="n">
        <x:v>26173440</x:v>
      </x:c>
      <x:c r="C1102" t="n">
        <x:v>27254308</x:v>
      </x:c>
      <x:c r="D1102" t="n">
        <x:v>1080868</x:v>
      </x:c>
      <x:c r="E1102" t="n">
        <x:v>0.0413</x:v>
      </x:c>
      <x:c r="F1102" t="n">
        <x:v>518</x:v>
      </x:c>
      <x:c r="G1102" t="n">
        <x:v>552</x:v>
      </x:c>
      <x:c r="H1102" t="n">
        <x:v>34</x:v>
      </x:c>
      <x:c r="I1102" t="n">
        <x:v>0.0656</x:v>
      </x:c>
      <x:c r="J1102" t="str">
        <x:v>Medium</x:v>
      </x:c>
      <x:c r="K1102" t="n">
        <x:v>55.5</x:v>
      </x:c>
      <x:c r="L1102" t="n">
        <x:v>55</x:v>
      </x:c>
      <x:c r="M1102" t="n">
        <x:v>52.5</x:v>
      </x:c>
      <x:c r="N1102" t="str">
        <x:v>Most Likely</x:v>
      </x:c>
      <x:c r="O1102" t="str">
        <x:v>Most Likely</x:v>
      </x:c>
    </x:row>
    <x:row r="1103">
      <x:c r="A1103" t="str">
        <x:v>PJT_1102</x:v>
      </x:c>
      <x:c r="B1103" t="n">
        <x:v>15087800</x:v>
      </x:c>
      <x:c r="C1103" t="n">
        <x:v>15079329</x:v>
      </x:c>
      <x:c r="D1103" t="n">
        <x:v>-8471</x:v>
      </x:c>
      <x:c r="E1103" t="n">
        <x:v>-0.0006</x:v>
      </x:c>
      <x:c r="F1103" t="n">
        <x:v>261</x:v>
      </x:c>
      <x:c r="G1103" t="n">
        <x:v>252</x:v>
      </x:c>
      <x:c r="H1103" t="n">
        <x:v>-9</x:v>
      </x:c>
      <x:c r="I1103" t="n">
        <x:v>-0.0345</x:v>
      </x:c>
      <x:c r="J1103" t="str">
        <x:v>Low</x:v>
      </x:c>
      <x:c r="K1103" t="n">
        <x:v>37.4</x:v>
      </x:c>
      <x:c r="L1103" t="n">
        <x:v>34.5</x:v>
      </x:c>
      <x:c r="M1103" t="n">
        <x:v>32.3</x:v>
      </x:c>
      <x:c r="N1103" t="str">
        <x:v>Optimistic</x:v>
      </x:c>
      <x:c r="O1103" t="str">
        <x:v>Optimistic</x:v>
      </x:c>
    </x:row>
    <x:row r="1104">
      <x:c r="A1104" t="str">
        <x:v>PJT_1103</x:v>
      </x:c>
      <x:c r="B1104" t="n">
        <x:v>15928040</x:v>
      </x:c>
      <x:c r="C1104" t="n">
        <x:v>15333019</x:v>
      </x:c>
      <x:c r="D1104" t="n">
        <x:v>-595021</x:v>
      </x:c>
      <x:c r="E1104" t="n">
        <x:v>-0.0374</x:v>
      </x:c>
      <x:c r="F1104" t="n">
        <x:v>282</x:v>
      </x:c>
      <x:c r="G1104" t="n">
        <x:v>276</x:v>
      </x:c>
      <x:c r="H1104" t="n">
        <x:v>-6</x:v>
      </x:c>
      <x:c r="I1104" t="n">
        <x:v>-0.0213</x:v>
      </x:c>
      <x:c r="J1104" t="str">
        <x:v>Low</x:v>
      </x:c>
      <x:c r="K1104" t="n">
        <x:v>24.7</x:v>
      </x:c>
      <x:c r="L1104" t="n">
        <x:v>26.1</x:v>
      </x:c>
      <x:c r="M1104" t="n">
        <x:v>22</x:v>
      </x:c>
      <x:c r="N1104" t="str">
        <x:v>Optimistic</x:v>
      </x:c>
      <x:c r="O1104" t="str">
        <x:v>Optimistic</x:v>
      </x:c>
    </x:row>
    <x:row r="1105">
      <x:c r="A1105" t="str">
        <x:v>PJT_1104</x:v>
      </x:c>
      <x:c r="B1105" t="n">
        <x:v>43766300</x:v>
      </x:c>
      <x:c r="C1105" t="n">
        <x:v>45475963</x:v>
      </x:c>
      <x:c r="D1105" t="n">
        <x:v>1709663</x:v>
      </x:c>
      <x:c r="E1105" t="n">
        <x:v>0.0391</x:v>
      </x:c>
      <x:c r="F1105" t="n">
        <x:v>771</x:v>
      </x:c>
      <x:c r="G1105" t="n">
        <x:v>796</x:v>
      </x:c>
      <x:c r="H1105" t="n">
        <x:v>25</x:v>
      </x:c>
      <x:c r="I1105" t="n">
        <x:v>0.0324</x:v>
      </x:c>
      <x:c r="J1105" t="str">
        <x:v>Low</x:v>
      </x:c>
      <x:c r="K1105" t="n">
        <x:v>42.2</x:v>
      </x:c>
      <x:c r="L1105" t="n">
        <x:v>50.9</x:v>
      </x:c>
      <x:c r="M1105" t="n">
        <x:v>42.8</x:v>
      </x:c>
      <x:c r="N1105" t="str">
        <x:v>Most Likely</x:v>
      </x:c>
      <x:c r="O1105" t="str">
        <x:v>Most Likely</x:v>
      </x:c>
    </x:row>
    <x:row r="1106">
      <x:c r="A1106" t="str">
        <x:v>PJT_1105</x:v>
      </x:c>
      <x:c r="B1106" t="n">
        <x:v>57139660</x:v>
      </x:c>
      <x:c r="C1106" t="n">
        <x:v>55487888</x:v>
      </x:c>
      <x:c r="D1106" t="n">
        <x:v>-1651772</x:v>
      </x:c>
      <x:c r="E1106" t="n">
        <x:v>-0.0289</x:v>
      </x:c>
      <x:c r="F1106" t="n">
        <x:v>1098</x:v>
      </x:c>
      <x:c r="G1106" t="n">
        <x:v>1168</x:v>
      </x:c>
      <x:c r="H1106" t="n">
        <x:v>70</x:v>
      </x:c>
      <x:c r="I1106" t="n">
        <x:v>0.0638</x:v>
      </x:c>
      <x:c r="J1106" t="str">
        <x:v>Medium</x:v>
      </x:c>
      <x:c r="K1106" t="n">
        <x:v>47</x:v>
      </x:c>
      <x:c r="L1106" t="n">
        <x:v>45.3</x:v>
      </x:c>
      <x:c r="M1106" t="n">
        <x:v>51.1</x:v>
      </x:c>
      <x:c r="N1106" t="str">
        <x:v>Optimistic</x:v>
      </x:c>
      <x:c r="O1106" t="str">
        <x:v>Most Likely</x:v>
      </x:c>
    </x:row>
    <x:row r="1107">
      <x:c r="A1107" t="str">
        <x:v>PJT_1106</x:v>
      </x:c>
      <x:c r="B1107" t="n">
        <x:v>10859520</x:v>
      </x:c>
      <x:c r="C1107" t="n">
        <x:v>9902018</x:v>
      </x:c>
      <x:c r="D1107" t="n">
        <x:v>-957502</x:v>
      </x:c>
      <x:c r="E1107" t="n">
        <x:v>-0.0882</x:v>
      </x:c>
      <x:c r="F1107" t="n">
        <x:v>195</x:v>
      </x:c>
      <x:c r="G1107" t="n">
        <x:v>182</x:v>
      </x:c>
      <x:c r="H1107" t="n">
        <x:v>-13</x:v>
      </x:c>
      <x:c r="I1107" t="n">
        <x:v>-0.0667</x:v>
      </x:c>
      <x:c r="J1107" t="str">
        <x:v>Low</x:v>
      </x:c>
      <x:c r="K1107" t="n">
        <x:v>35.8</x:v>
      </x:c>
      <x:c r="L1107" t="n">
        <x:v>29</x:v>
      </x:c>
      <x:c r="M1107" t="n">
        <x:v>29.9</x:v>
      </x:c>
      <x:c r="N1107" t="str">
        <x:v>Optimistic</x:v>
      </x:c>
      <x:c r="O1107" t="str">
        <x:v>Optimistic</x:v>
      </x:c>
    </x:row>
    <x:row r="1108">
      <x:c r="A1108" t="str">
        <x:v>PJT_1107</x:v>
      </x:c>
      <x:c r="B1108" t="n">
        <x:v>11010280</x:v>
      </x:c>
      <x:c r="C1108" t="n">
        <x:v>10880724</x:v>
      </x:c>
      <x:c r="D1108" t="n">
        <x:v>-129556</x:v>
      </x:c>
      <x:c r="E1108" t="n">
        <x:v>-0.0118</x:v>
      </x:c>
      <x:c r="F1108" t="n">
        <x:v>265</x:v>
      </x:c>
      <x:c r="G1108" t="n">
        <x:v>248</x:v>
      </x:c>
      <x:c r="H1108" t="n">
        <x:v>-17</x:v>
      </x:c>
      <x:c r="I1108" t="n">
        <x:v>-0.0642</x:v>
      </x:c>
      <x:c r="J1108" t="str">
        <x:v>Low</x:v>
      </x:c>
      <x:c r="K1108" t="n">
        <x:v>34.1</x:v>
      </x:c>
      <x:c r="L1108" t="n">
        <x:v>31.3</x:v>
      </x:c>
      <x:c r="M1108" t="n">
        <x:v>27.7</x:v>
      </x:c>
      <x:c r="N1108" t="str">
        <x:v>Optimistic</x:v>
      </x:c>
      <x:c r="O1108" t="str">
        <x:v>Optimistic</x:v>
      </x:c>
    </x:row>
    <x:row r="1109">
      <x:c r="A1109" t="str">
        <x:v>PJT_1108</x:v>
      </x:c>
      <x:c r="B1109" t="n">
        <x:v>86005530</x:v>
      </x:c>
      <x:c r="C1109" t="n">
        <x:v>95742732</x:v>
      </x:c>
      <x:c r="D1109" t="n">
        <x:v>9737202</x:v>
      </x:c>
      <x:c r="E1109" t="n">
        <x:v>0.1132</x:v>
      </x:c>
      <x:c r="F1109" t="n">
        <x:v>1676</x:v>
      </x:c>
      <x:c r="G1109" t="n">
        <x:v>1988</x:v>
      </x:c>
      <x:c r="H1109" t="n">
        <x:v>312</x:v>
      </x:c>
      <x:c r="I1109" t="n">
        <x:v>0.1862</x:v>
      </x:c>
      <x:c r="J1109" t="str">
        <x:v>High</x:v>
      </x:c>
      <x:c r="K1109" t="n">
        <x:v>77.2</x:v>
      </x:c>
      <x:c r="L1109" t="n">
        <x:v>73.1</x:v>
      </x:c>
      <x:c r="M1109" t="n">
        <x:v>78.6</x:v>
      </x:c>
      <x:c r="N1109" t="str">
        <x:v>Pessimistic</x:v>
      </x:c>
      <x:c r="O1109" t="str">
        <x:v>Pessimistic</x:v>
      </x:c>
    </x:row>
    <x:row r="1110">
      <x:c r="A1110" t="str">
        <x:v>PJT_1109</x:v>
      </x:c>
      <x:c r="B1110" t="n">
        <x:v>61021100</x:v>
      </x:c>
      <x:c r="C1110" t="n">
        <x:v>63390302</x:v>
      </x:c>
      <x:c r="D1110" t="n">
        <x:v>2369202</x:v>
      </x:c>
      <x:c r="E1110" t="n">
        <x:v>0.0388</x:v>
      </x:c>
      <x:c r="F1110" t="n">
        <x:v>1178</x:v>
      </x:c>
      <x:c r="G1110" t="n">
        <x:v>1279</x:v>
      </x:c>
      <x:c r="H1110" t="n">
        <x:v>101</x:v>
      </x:c>
      <x:c r="I1110" t="n">
        <x:v>0.0857</x:v>
      </x:c>
      <x:c r="J1110" t="str">
        <x:v>Low</x:v>
      </x:c>
      <x:c r="K1110" t="n">
        <x:v>43.3</x:v>
      </x:c>
      <x:c r="L1110" t="n">
        <x:v>50.7</x:v>
      </x:c>
      <x:c r="M1110" t="n">
        <x:v>43.7</x:v>
      </x:c>
      <x:c r="N1110" t="str">
        <x:v>Most Likely</x:v>
      </x:c>
      <x:c r="O1110" t="str">
        <x:v>Most Likely</x:v>
      </x:c>
    </x:row>
    <x:row r="1111">
      <x:c r="A1111" t="str">
        <x:v>PJT_1110</x:v>
      </x:c>
      <x:c r="B1111" t="n">
        <x:v>37969730</x:v>
      </x:c>
      <x:c r="C1111" t="n">
        <x:v>41339465</x:v>
      </x:c>
      <x:c r="D1111" t="n">
        <x:v>3369735</x:v>
      </x:c>
      <x:c r="E1111" t="n">
        <x:v>0.0887</x:v>
      </x:c>
      <x:c r="F1111" t="n">
        <x:v>759</x:v>
      </x:c>
      <x:c r="G1111" t="n">
        <x:v>798</x:v>
      </x:c>
      <x:c r="H1111" t="n">
        <x:v>39</x:v>
      </x:c>
      <x:c r="I1111" t="n">
        <x:v>0.0514</x:v>
      </x:c>
      <x:c r="J1111" t="str">
        <x:v>Medium</x:v>
      </x:c>
      <x:c r="K1111" t="n">
        <x:v>55.9</x:v>
      </x:c>
      <x:c r="L1111" t="n">
        <x:v>56.1</x:v>
      </x:c>
      <x:c r="M1111" t="n">
        <x:v>47.4</x:v>
      </x:c>
      <x:c r="N1111" t="str">
        <x:v>Most Likely</x:v>
      </x:c>
      <x:c r="O1111" t="str">
        <x:v>Most Likely</x:v>
      </x:c>
    </x:row>
    <x:row r="1112">
      <x:c r="A1112" t="str">
        <x:v>PJT_1111</x:v>
      </x:c>
      <x:c r="B1112" t="n">
        <x:v>48003360</x:v>
      </x:c>
      <x:c r="C1112" t="n">
        <x:v>49124879</x:v>
      </x:c>
      <x:c r="D1112" t="n">
        <x:v>1121519</x:v>
      </x:c>
      <x:c r="E1112" t="n">
        <x:v>0.0234</x:v>
      </x:c>
      <x:c r="F1112" t="n">
        <x:v>953</x:v>
      </x:c>
      <x:c r="G1112" t="n">
        <x:v>987</x:v>
      </x:c>
      <x:c r="H1112" t="n">
        <x:v>34</x:v>
      </x:c>
      <x:c r="I1112" t="n">
        <x:v>0.0357</x:v>
      </x:c>
      <x:c r="J1112" t="str">
        <x:v>Medium</x:v>
      </x:c>
      <x:c r="K1112" t="n">
        <x:v>50</x:v>
      </x:c>
      <x:c r="L1112" t="n">
        <x:v>48.5</x:v>
      </x:c>
      <x:c r="M1112" t="n">
        <x:v>48.2</x:v>
      </x:c>
      <x:c r="N1112" t="str">
        <x:v>Most Likely</x:v>
      </x:c>
      <x:c r="O1112" t="str">
        <x:v>Most Likely</x:v>
      </x:c>
    </x:row>
    <x:row r="1113">
      <x:c r="A1113" t="str">
        <x:v>PJT_1112</x:v>
      </x:c>
      <x:c r="B1113" t="n">
        <x:v>111956520</x:v>
      </x:c>
      <x:c r="C1113" t="n">
        <x:v>132779542</x:v>
      </x:c>
      <x:c r="D1113" t="n">
        <x:v>20823022</x:v>
      </x:c>
      <x:c r="E1113" t="n">
        <x:v>0.186</x:v>
      </x:c>
      <x:c r="F1113" t="n">
        <x:v>1905</x:v>
      </x:c>
      <x:c r="G1113" t="n">
        <x:v>2017</x:v>
      </x:c>
      <x:c r="H1113" t="n">
        <x:v>112</x:v>
      </x:c>
      <x:c r="I1113" t="n">
        <x:v>0.0588</x:v>
      </x:c>
      <x:c r="J1113" t="str">
        <x:v>Medium</x:v>
      </x:c>
      <x:c r="K1113" t="n">
        <x:v>64.3</x:v>
      </x:c>
      <x:c r="L1113" t="n">
        <x:v>67.8</x:v>
      </x:c>
      <x:c r="M1113" t="n">
        <x:v>66.5</x:v>
      </x:c>
      <x:c r="N1113" t="str">
        <x:v>Pessimistic</x:v>
      </x:c>
      <x:c r="O1113" t="str">
        <x:v>Most Likely</x:v>
      </x:c>
    </x:row>
    <x:row r="1114">
      <x:c r="A1114" t="str">
        <x:v>PJT_1113</x:v>
      </x:c>
      <x:c r="B1114" t="n">
        <x:v>34332550</x:v>
      </x:c>
      <x:c r="C1114" t="n">
        <x:v>35777560</x:v>
      </x:c>
      <x:c r="D1114" t="n">
        <x:v>1445010</x:v>
      </x:c>
      <x:c r="E1114" t="n">
        <x:v>0.0421</x:v>
      </x:c>
      <x:c r="F1114" t="n">
        <x:v>634</x:v>
      </x:c>
      <x:c r="G1114" t="n">
        <x:v>673</x:v>
      </x:c>
      <x:c r="H1114" t="n">
        <x:v>39</x:v>
      </x:c>
      <x:c r="I1114" t="n">
        <x:v>0.0615</x:v>
      </x:c>
      <x:c r="J1114" t="str">
        <x:v>Low</x:v>
      </x:c>
      <x:c r="K1114" t="n">
        <x:v>41.2</x:v>
      </x:c>
      <x:c r="L1114" t="n">
        <x:v>41.6</x:v>
      </x:c>
      <x:c r="M1114" t="n">
        <x:v>40.4</x:v>
      </x:c>
      <x:c r="N1114" t="str">
        <x:v>Most Likely</x:v>
      </x:c>
      <x:c r="O1114" t="str">
        <x:v>Most Likely</x:v>
      </x:c>
    </x:row>
    <x:row r="1115">
      <x:c r="A1115" t="str">
        <x:v>PJT_1114</x:v>
      </x:c>
      <x:c r="B1115" t="n">
        <x:v>66894520</x:v>
      </x:c>
      <x:c r="C1115" t="n">
        <x:v>71969735</x:v>
      </x:c>
      <x:c r="D1115" t="n">
        <x:v>5075215</x:v>
      </x:c>
      <x:c r="E1115" t="n">
        <x:v>0.0759</x:v>
      </x:c>
      <x:c r="F1115" t="n">
        <x:v>1317</x:v>
      </x:c>
      <x:c r="G1115" t="n">
        <x:v>1462</x:v>
      </x:c>
      <x:c r="H1115" t="n">
        <x:v>145</x:v>
      </x:c>
      <x:c r="I1115" t="n">
        <x:v>0.1101</x:v>
      </x:c>
      <x:c r="J1115" t="str">
        <x:v>Medium</x:v>
      </x:c>
      <x:c r="K1115" t="n">
        <x:v>56.8</x:v>
      </x:c>
      <x:c r="L1115" t="n">
        <x:v>61.5</x:v>
      </x:c>
      <x:c r="M1115" t="n">
        <x:v>58.8</x:v>
      </x:c>
      <x:c r="N1115" t="str">
        <x:v>Most Likely</x:v>
      </x:c>
      <x:c r="O1115" t="str">
        <x:v>Pessimistic</x:v>
      </x:c>
    </x:row>
    <x:row r="1116">
      <x:c r="A1116" t="str">
        <x:v>PJT_1115</x:v>
      </x:c>
      <x:c r="B1116" t="n">
        <x:v>11641680</x:v>
      </x:c>
      <x:c r="C1116" t="n">
        <x:v>12166675</x:v>
      </x:c>
      <x:c r="D1116" t="n">
        <x:v>524995</x:v>
      </x:c>
      <x:c r="E1116" t="n">
        <x:v>0.0451</x:v>
      </x:c>
      <x:c r="F1116" t="n">
        <x:v>291</x:v>
      </x:c>
      <x:c r="G1116" t="n">
        <x:v>291</x:v>
      </x:c>
      <x:c r="H1116" t="n">
        <x:v>0</x:v>
      </x:c>
      <x:c r="I1116" t="n">
        <x:v>0</x:v>
      </x:c>
      <x:c r="J1116" t="str">
        <x:v>Low</x:v>
      </x:c>
      <x:c r="K1116" t="n">
        <x:v>34.1</x:v>
      </x:c>
      <x:c r="L1116" t="n">
        <x:v>30.4</x:v>
      </x:c>
      <x:c r="M1116" t="n">
        <x:v>28.9</x:v>
      </x:c>
      <x:c r="N1116" t="str">
        <x:v>Most Likely</x:v>
      </x:c>
      <x:c r="O1116" t="str">
        <x:v>Optimistic</x:v>
      </x:c>
    </x:row>
    <x:row r="1117">
      <x:c r="A1117" t="str">
        <x:v>PJT_1116</x:v>
      </x:c>
      <x:c r="B1117" t="n">
        <x:v>63196900</x:v>
      </x:c>
      <x:c r="C1117" t="n">
        <x:v>68834246</x:v>
      </x:c>
      <x:c r="D1117" t="n">
        <x:v>5637346</x:v>
      </x:c>
      <x:c r="E1117" t="n">
        <x:v>0.0892</x:v>
      </x:c>
      <x:c r="F1117" t="n">
        <x:v>1286</x:v>
      </x:c>
      <x:c r="G1117" t="n">
        <x:v>1319</x:v>
      </x:c>
      <x:c r="H1117" t="n">
        <x:v>33</x:v>
      </x:c>
      <x:c r="I1117" t="n">
        <x:v>0.0257</x:v>
      </x:c>
      <x:c r="J1117" t="str">
        <x:v>Medium</x:v>
      </x:c>
      <x:c r="K1117" t="n">
        <x:v>66.5</x:v>
      </x:c>
      <x:c r="L1117" t="n">
        <x:v>64.6</x:v>
      </x:c>
      <x:c r="M1117" t="n">
        <x:v>66.4</x:v>
      </x:c>
      <x:c r="N1117" t="str">
        <x:v>Most Likely</x:v>
      </x:c>
      <x:c r="O1117" t="str">
        <x:v>Most Likely</x:v>
      </x:c>
    </x:row>
    <x:row r="1118">
      <x:c r="A1118" t="str">
        <x:v>PJT_1117</x:v>
      </x:c>
      <x:c r="B1118" t="n">
        <x:v>94648500</x:v>
      </x:c>
      <x:c r="C1118" t="n">
        <x:v>102018416</x:v>
      </x:c>
      <x:c r="D1118" t="n">
        <x:v>7369916</x:v>
      </x:c>
      <x:c r="E1118" t="n">
        <x:v>0.0779</x:v>
      </x:c>
      <x:c r="F1118" t="n">
        <x:v>1926</x:v>
      </x:c>
      <x:c r="G1118" t="n">
        <x:v>2151</x:v>
      </x:c>
      <x:c r="H1118" t="n">
        <x:v>225</x:v>
      </x:c>
      <x:c r="I1118" t="n">
        <x:v>0.1168</x:v>
      </x:c>
      <x:c r="J1118" t="str">
        <x:v>Medium</x:v>
      </x:c>
      <x:c r="K1118" t="n">
        <x:v>62.8</x:v>
      </x:c>
      <x:c r="L1118" t="n">
        <x:v>64.3</x:v>
      </x:c>
      <x:c r="M1118" t="n">
        <x:v>62.7</x:v>
      </x:c>
      <x:c r="N1118" t="str">
        <x:v>Most Likely</x:v>
      </x:c>
      <x:c r="O1118" t="str">
        <x:v>Pessimistic</x:v>
      </x:c>
    </x:row>
    <x:row r="1119">
      <x:c r="A1119" t="str">
        <x:v>PJT_1118</x:v>
      </x:c>
      <x:c r="B1119" t="n">
        <x:v>22735960</x:v>
      </x:c>
      <x:c r="C1119" t="n">
        <x:v>24857529</x:v>
      </x:c>
      <x:c r="D1119" t="n">
        <x:v>2121569</x:v>
      </x:c>
      <x:c r="E1119" t="n">
        <x:v>0.0933</x:v>
      </x:c>
      <x:c r="F1119" t="n">
        <x:v>422</x:v>
      </x:c>
      <x:c r="G1119" t="n">
        <x:v>453</x:v>
      </x:c>
      <x:c r="H1119" t="n">
        <x:v>31</x:v>
      </x:c>
      <x:c r="I1119" t="n">
        <x:v>0.0735</x:v>
      </x:c>
      <x:c r="J1119" t="str">
        <x:v>Medium</x:v>
      </x:c>
      <x:c r="K1119" t="n">
        <x:v>51.2</x:v>
      </x:c>
      <x:c r="L1119" t="n">
        <x:v>45.4</x:v>
      </x:c>
      <x:c r="M1119" t="n">
        <x:v>50.1</x:v>
      </x:c>
      <x:c r="N1119" t="str">
        <x:v>Most Likely</x:v>
      </x:c>
      <x:c r="O1119" t="str">
        <x:v>Most Likely</x:v>
      </x:c>
    </x:row>
    <x:row r="1120">
      <x:c r="A1120" t="str">
        <x:v>PJT_1119</x:v>
      </x:c>
      <x:c r="B1120" t="n">
        <x:v>31554500</x:v>
      </x:c>
      <x:c r="C1120" t="n">
        <x:v>31609696</x:v>
      </x:c>
      <x:c r="D1120" t="n">
        <x:v>55196</x:v>
      </x:c>
      <x:c r="E1120" t="n">
        <x:v>0.0017</x:v>
      </x:c>
      <x:c r="F1120" t="n">
        <x:v>623</x:v>
      </x:c>
      <x:c r="G1120" t="n">
        <x:v>686</x:v>
      </x:c>
      <x:c r="H1120" t="n">
        <x:v>63</x:v>
      </x:c>
      <x:c r="I1120" t="n">
        <x:v>0.1011</x:v>
      </x:c>
      <x:c r="J1120" t="str">
        <x:v>Medium</x:v>
      </x:c>
      <x:c r="K1120" t="n">
        <x:v>51.6</x:v>
      </x:c>
      <x:c r="L1120" t="n">
        <x:v>46.6</x:v>
      </x:c>
      <x:c r="M1120" t="n">
        <x:v>54.3</x:v>
      </x:c>
      <x:c r="N1120" t="str">
        <x:v>Most Likely</x:v>
      </x:c>
      <x:c r="O1120" t="str">
        <x:v>Pessimistic</x:v>
      </x:c>
    </x:row>
    <x:row r="1121">
      <x:c r="A1121" t="str">
        <x:v>PJT_1120</x:v>
      </x:c>
      <x:c r="B1121" t="n">
        <x:v>101823750</x:v>
      </x:c>
      <x:c r="C1121" t="n">
        <x:v>116820211</x:v>
      </x:c>
      <x:c r="D1121" t="n">
        <x:v>14996461</x:v>
      </x:c>
      <x:c r="E1121" t="n">
        <x:v>0.1473</x:v>
      </x:c>
      <x:c r="F1121" t="n">
        <x:v>1782</x:v>
      </x:c>
      <x:c r="G1121" t="n">
        <x:v>1810</x:v>
      </x:c>
      <x:c r="H1121" t="n">
        <x:v>28</x:v>
      </x:c>
      <x:c r="I1121" t="n">
        <x:v>0.0157</x:v>
      </x:c>
      <x:c r="J1121" t="str">
        <x:v>Medium</x:v>
      </x:c>
      <x:c r="K1121" t="n">
        <x:v>60.7</x:v>
      </x:c>
      <x:c r="L1121" t="n">
        <x:v>68.2</x:v>
      </x:c>
      <x:c r="M1121" t="n">
        <x:v>60.9</x:v>
      </x:c>
      <x:c r="N1121" t="str">
        <x:v>Pessimistic</x:v>
      </x:c>
      <x:c r="O1121" t="str">
        <x:v>Most Likely</x:v>
      </x:c>
    </x:row>
    <x:row r="1122">
      <x:c r="A1122" t="str">
        <x:v>PJT_1121</x:v>
      </x:c>
      <x:c r="B1122" t="n">
        <x:v>96669760</x:v>
      </x:c>
      <x:c r="C1122" t="n">
        <x:v>100395268</x:v>
      </x:c>
      <x:c r="D1122" t="n">
        <x:v>3725508</x:v>
      </x:c>
      <x:c r="E1122" t="n">
        <x:v>0.0385</x:v>
      </x:c>
      <x:c r="F1122" t="n">
        <x:v>1966</x:v>
      </x:c>
      <x:c r="G1122" t="n">
        <x:v>2428</x:v>
      </x:c>
      <x:c r="H1122" t="n">
        <x:v>462</x:v>
      </x:c>
      <x:c r="I1122" t="n">
        <x:v>0.235</x:v>
      </x:c>
      <x:c r="J1122" t="str">
        <x:v>High</x:v>
      </x:c>
      <x:c r="K1122" t="n">
        <x:v>71.2</x:v>
      </x:c>
      <x:c r="L1122" t="n">
        <x:v>65.2</x:v>
      </x:c>
      <x:c r="M1122" t="n">
        <x:v>68.1</x:v>
      </x:c>
      <x:c r="N1122" t="str">
        <x:v>Most Likely</x:v>
      </x:c>
      <x:c r="O1122" t="str">
        <x:v>Pessimistic</x:v>
      </x:c>
    </x:row>
    <x:row r="1123">
      <x:c r="A1123" t="str">
        <x:v>PJT_1122</x:v>
      </x:c>
      <x:c r="B1123" t="n">
        <x:v>24960800</x:v>
      </x:c>
      <x:c r="C1123" t="n">
        <x:v>24848063</x:v>
      </x:c>
      <x:c r="D1123" t="n">
        <x:v>-112737</x:v>
      </x:c>
      <x:c r="E1123" t="n">
        <x:v>-0.0045</x:v>
      </x:c>
      <x:c r="F1123" t="n">
        <x:v>629</x:v>
      </x:c>
      <x:c r="G1123" t="n">
        <x:v>675</x:v>
      </x:c>
      <x:c r="H1123" t="n">
        <x:v>46</x:v>
      </x:c>
      <x:c r="I1123" t="n">
        <x:v>0.0731</x:v>
      </x:c>
      <x:c r="J1123" t="str">
        <x:v>Medium</x:v>
      </x:c>
      <x:c r="K1123" t="n">
        <x:v>45.1</x:v>
      </x:c>
      <x:c r="L1123" t="n">
        <x:v>47.4</x:v>
      </x:c>
      <x:c r="M1123" t="n">
        <x:v>45.2</x:v>
      </x:c>
      <x:c r="N1123" t="str">
        <x:v>Optimistic</x:v>
      </x:c>
      <x:c r="O1123" t="str">
        <x:v>Most Likely</x:v>
      </x:c>
    </x:row>
    <x:row r="1124">
      <x:c r="A1124" t="str">
        <x:v>PJT_1123</x:v>
      </x:c>
      <x:c r="B1124" t="n">
        <x:v>28485540</x:v>
      </x:c>
      <x:c r="C1124" t="n">
        <x:v>29706190</x:v>
      </x:c>
      <x:c r="D1124" t="n">
        <x:v>1220650</x:v>
      </x:c>
      <x:c r="E1124" t="n">
        <x:v>0.0429</x:v>
      </x:c>
      <x:c r="F1124" t="n">
        <x:v>673</x:v>
      </x:c>
      <x:c r="G1124" t="n">
        <x:v>670</x:v>
      </x:c>
      <x:c r="H1124" t="n">
        <x:v>-3</x:v>
      </x:c>
      <x:c r="I1124" t="n">
        <x:v>-0.0045</x:v>
      </x:c>
      <x:c r="J1124" t="str">
        <x:v>Low</x:v>
      </x:c>
      <x:c r="K1124" t="n">
        <x:v>38.6</x:v>
      </x:c>
      <x:c r="L1124" t="n">
        <x:v>39.6</x:v>
      </x:c>
      <x:c r="M1124" t="n">
        <x:v>40.6</x:v>
      </x:c>
      <x:c r="N1124" t="str">
        <x:v>Most Likely</x:v>
      </x:c>
      <x:c r="O1124" t="str">
        <x:v>Optimistic</x:v>
      </x:c>
    </x:row>
    <x:row r="1125">
      <x:c r="A1125" t="str">
        <x:v>PJT_1124</x:v>
      </x:c>
      <x:c r="B1125" t="n">
        <x:v>22812480</x:v>
      </x:c>
      <x:c r="C1125" t="n">
        <x:v>24453530</x:v>
      </x:c>
      <x:c r="D1125" t="n">
        <x:v>1641050</x:v>
      </x:c>
      <x:c r="E1125" t="n">
        <x:v>0.0719</x:v>
      </x:c>
      <x:c r="F1125" t="n">
        <x:v>490</x:v>
      </x:c>
      <x:c r="G1125" t="n">
        <x:v>516</x:v>
      </x:c>
      <x:c r="H1125" t="n">
        <x:v>26</x:v>
      </x:c>
      <x:c r="I1125" t="n">
        <x:v>0.0531</x:v>
      </x:c>
      <x:c r="J1125" t="str">
        <x:v>Low</x:v>
      </x:c>
      <x:c r="K1125" t="n">
        <x:v>42.1</x:v>
      </x:c>
      <x:c r="L1125" t="n">
        <x:v>45.8</x:v>
      </x:c>
      <x:c r="M1125" t="n">
        <x:v>35.6</x:v>
      </x:c>
      <x:c r="N1125" t="str">
        <x:v>Most Likely</x:v>
      </x:c>
      <x:c r="O1125" t="str">
        <x:v>Most Likely</x:v>
      </x:c>
    </x:row>
    <x:row r="1126">
      <x:c r="A1126" t="str">
        <x:v>PJT_1125</x:v>
      </x:c>
      <x:c r="B1126" t="n">
        <x:v>14987460</x:v>
      </x:c>
      <x:c r="C1126" t="n">
        <x:v>14882381</x:v>
      </x:c>
      <x:c r="D1126" t="n">
        <x:v>-105079</x:v>
      </x:c>
      <x:c r="E1126" t="n">
        <x:v>-0.007</x:v>
      </x:c>
      <x:c r="F1126" t="n">
        <x:v>437</x:v>
      </x:c>
      <x:c r="G1126" t="n">
        <x:v>458</x:v>
      </x:c>
      <x:c r="H1126" t="n">
        <x:v>21</x:v>
      </x:c>
      <x:c r="I1126" t="n">
        <x:v>0.0481</x:v>
      </x:c>
      <x:c r="J1126" t="str">
        <x:v>Low</x:v>
      </x:c>
      <x:c r="K1126" t="n">
        <x:v>37.1</x:v>
      </x:c>
      <x:c r="L1126" t="n">
        <x:v>35.9</x:v>
      </x:c>
      <x:c r="M1126" t="n">
        <x:v>42.9</x:v>
      </x:c>
      <x:c r="N1126" t="str">
        <x:v>Optimistic</x:v>
      </x:c>
      <x:c r="O1126" t="str">
        <x:v>Most Likely</x:v>
      </x:c>
    </x:row>
    <x:row r="1127">
      <x:c r="A1127" t="str">
        <x:v>PJT_1126</x:v>
      </x:c>
      <x:c r="B1127" t="n">
        <x:v>35700120</x:v>
      </x:c>
      <x:c r="C1127" t="n">
        <x:v>37255801</x:v>
      </x:c>
      <x:c r="D1127" t="n">
        <x:v>1555681</x:v>
      </x:c>
      <x:c r="E1127" t="n">
        <x:v>0.0436</x:v>
      </x:c>
      <x:c r="F1127" t="n">
        <x:v>618</x:v>
      </x:c>
      <x:c r="G1127" t="n">
        <x:v>660</x:v>
      </x:c>
      <x:c r="H1127" t="n">
        <x:v>42</x:v>
      </x:c>
      <x:c r="I1127" t="n">
        <x:v>0.068</x:v>
      </x:c>
      <x:c r="J1127" t="str">
        <x:v>Low</x:v>
      </x:c>
      <x:c r="K1127" t="n">
        <x:v>42</x:v>
      </x:c>
      <x:c r="L1127" t="n">
        <x:v>44.3</x:v>
      </x:c>
      <x:c r="M1127" t="n">
        <x:v>39.9</x:v>
      </x:c>
      <x:c r="N1127" t="str">
        <x:v>Most Likely</x:v>
      </x:c>
      <x:c r="O1127" t="str">
        <x:v>Most Likely</x:v>
      </x:c>
    </x:row>
    <x:row r="1128">
      <x:c r="A1128" t="str">
        <x:v>PJT_1127</x:v>
      </x:c>
      <x:c r="B1128" t="n">
        <x:v>103168230</x:v>
      </x:c>
      <x:c r="C1128" t="n">
        <x:v>109573746</x:v>
      </x:c>
      <x:c r="D1128" t="n">
        <x:v>6405516</x:v>
      </x:c>
      <x:c r="E1128" t="n">
        <x:v>0.0621</x:v>
      </x:c>
      <x:c r="F1128" t="n">
        <x:v>1708</x:v>
      </x:c>
      <x:c r="G1128" t="n">
        <x:v>1754</x:v>
      </x:c>
      <x:c r="H1128" t="n">
        <x:v>46</x:v>
      </x:c>
      <x:c r="I1128" t="n">
        <x:v>0.0269</x:v>
      </x:c>
      <x:c r="J1128" t="str">
        <x:v>Medium</x:v>
      </x:c>
      <x:c r="K1128" t="n">
        <x:v>48.7</x:v>
      </x:c>
      <x:c r="L1128" t="n">
        <x:v>57.2</x:v>
      </x:c>
      <x:c r="M1128" t="n">
        <x:v>51</x:v>
      </x:c>
      <x:c r="N1128" t="str">
        <x:v>Most Likely</x:v>
      </x:c>
      <x:c r="O1128" t="str">
        <x:v>Most Likely</x:v>
      </x:c>
    </x:row>
    <x:row r="1129">
      <x:c r="A1129" t="str">
        <x:v>PJT_1128</x:v>
      </x:c>
      <x:c r="B1129" t="n">
        <x:v>22274070</x:v>
      </x:c>
      <x:c r="C1129" t="n">
        <x:v>24354664</x:v>
      </x:c>
      <x:c r="D1129" t="n">
        <x:v>2080594</x:v>
      </x:c>
      <x:c r="E1129" t="n">
        <x:v>0.0934</x:v>
      </x:c>
      <x:c r="F1129" t="n">
        <x:v>393</x:v>
      </x:c>
      <x:c r="G1129" t="n">
        <x:v>415</x:v>
      </x:c>
      <x:c r="H1129" t="n">
        <x:v>22</x:v>
      </x:c>
      <x:c r="I1129" t="n">
        <x:v>0.056</x:v>
      </x:c>
      <x:c r="J1129" t="str">
        <x:v>Medium</x:v>
      </x:c>
      <x:c r="K1129" t="n">
        <x:v>49.7</x:v>
      </x:c>
      <x:c r="L1129" t="n">
        <x:v>52.4</x:v>
      </x:c>
      <x:c r="M1129" t="n">
        <x:v>49.5</x:v>
      </x:c>
      <x:c r="N1129" t="str">
        <x:v>Most Likely</x:v>
      </x:c>
      <x:c r="O1129" t="str">
        <x:v>Most Likely</x:v>
      </x:c>
    </x:row>
    <x:row r="1130">
      <x:c r="A1130" t="str">
        <x:v>PJT_1129</x:v>
      </x:c>
      <x:c r="B1130" t="n">
        <x:v>20635840</x:v>
      </x:c>
      <x:c r="C1130" t="n">
        <x:v>19367131</x:v>
      </x:c>
      <x:c r="D1130" t="n">
        <x:v>-1268709</x:v>
      </x:c>
      <x:c r="E1130" t="n">
        <x:v>-0.0615</x:v>
      </x:c>
      <x:c r="F1130" t="n">
        <x:v>330</x:v>
      </x:c>
      <x:c r="G1130" t="n">
        <x:v>316</x:v>
      </x:c>
      <x:c r="H1130" t="n">
        <x:v>-14</x:v>
      </x:c>
      <x:c r="I1130" t="n">
        <x:v>-0.0424</x:v>
      </x:c>
      <x:c r="J1130" t="str">
        <x:v>Low</x:v>
      </x:c>
      <x:c r="K1130" t="n">
        <x:v>38.9</x:v>
      </x:c>
      <x:c r="L1130" t="n">
        <x:v>37.9</x:v>
      </x:c>
      <x:c r="M1130" t="n">
        <x:v>34.8</x:v>
      </x:c>
      <x:c r="N1130" t="str">
        <x:v>Optimistic</x:v>
      </x:c>
      <x:c r="O1130" t="str">
        <x:v>Optimistic</x:v>
      </x:c>
    </x:row>
    <x:row r="1131">
      <x:c r="A1131" t="str">
        <x:v>PJT_1130</x:v>
      </x:c>
      <x:c r="B1131" t="n">
        <x:v>15409770</x:v>
      </x:c>
      <x:c r="C1131" t="n">
        <x:v>13560598</x:v>
      </x:c>
      <x:c r="D1131" t="n">
        <x:v>-1849172</x:v>
      </x:c>
      <x:c r="E1131" t="n">
        <x:v>-0.12</x:v>
      </x:c>
      <x:c r="F1131" t="n">
        <x:v>324</x:v>
      </x:c>
      <x:c r="G1131" t="n">
        <x:v>326</x:v>
      </x:c>
      <x:c r="H1131" t="n">
        <x:v>2</x:v>
      </x:c>
      <x:c r="I1131" t="n">
        <x:v>0.0062</x:v>
      </x:c>
      <x:c r="J1131" t="str">
        <x:v>Low</x:v>
      </x:c>
      <x:c r="K1131" t="n">
        <x:v>29.9</x:v>
      </x:c>
      <x:c r="L1131" t="n">
        <x:v>28</x:v>
      </x:c>
      <x:c r="M1131" t="n">
        <x:v>29.7</x:v>
      </x:c>
      <x:c r="N1131" t="str">
        <x:v>Optimistic</x:v>
      </x:c>
      <x:c r="O1131" t="str">
        <x:v>Most Likely</x:v>
      </x:c>
    </x:row>
    <x:row r="1132">
      <x:c r="A1132" t="str">
        <x:v>PJT_1131</x:v>
      </x:c>
      <x:c r="B1132" t="n">
        <x:v>14913640</x:v>
      </x:c>
      <x:c r="C1132" t="n">
        <x:v>14300188</x:v>
      </x:c>
      <x:c r="D1132" t="n">
        <x:v>-613452</x:v>
      </x:c>
      <x:c r="E1132" t="n">
        <x:v>-0.0411</x:v>
      </x:c>
      <x:c r="F1132" t="n">
        <x:v>393</x:v>
      </x:c>
      <x:c r="G1132" t="n">
        <x:v>381</x:v>
      </x:c>
      <x:c r="H1132" t="n">
        <x:v>-12</x:v>
      </x:c>
      <x:c r="I1132" t="n">
        <x:v>-0.0305</x:v>
      </x:c>
      <x:c r="J1132" t="str">
        <x:v>Low</x:v>
      </x:c>
      <x:c r="K1132" t="n">
        <x:v>36.3</x:v>
      </x:c>
      <x:c r="L1132" t="n">
        <x:v>32.7</x:v>
      </x:c>
      <x:c r="M1132" t="n">
        <x:v>33.7</x:v>
      </x:c>
      <x:c r="N1132" t="str">
        <x:v>Optimistic</x:v>
      </x:c>
      <x:c r="O1132" t="str">
        <x:v>Optimistic</x:v>
      </x:c>
    </x:row>
    <x:row r="1133">
      <x:c r="A1133" t="str">
        <x:v>PJT_1132</x:v>
      </x:c>
      <x:c r="B1133" t="n">
        <x:v>62621760</x:v>
      </x:c>
      <x:c r="C1133" t="n">
        <x:v>71509426</x:v>
      </x:c>
      <x:c r="D1133" t="n">
        <x:v>8887666</x:v>
      </x:c>
      <x:c r="E1133" t="n">
        <x:v>0.1419</x:v>
      </x:c>
      <x:c r="F1133" t="n">
        <x:v>1137</x:v>
      </x:c>
      <x:c r="G1133" t="n">
        <x:v>1234</x:v>
      </x:c>
      <x:c r="H1133" t="n">
        <x:v>97</x:v>
      </x:c>
      <x:c r="I1133" t="n">
        <x:v>0.0853</x:v>
      </x:c>
      <x:c r="J1133" t="str">
        <x:v>High</x:v>
      </x:c>
      <x:c r="K1133" t="n">
        <x:v>68.2</x:v>
      </x:c>
      <x:c r="L1133" t="n">
        <x:v>76</x:v>
      </x:c>
      <x:c r="M1133" t="n">
        <x:v>64.6</x:v>
      </x:c>
      <x:c r="N1133" t="str">
        <x:v>Pessimistic</x:v>
      </x:c>
      <x:c r="O1133" t="str">
        <x:v>Most Likely</x:v>
      </x:c>
    </x:row>
    <x:row r="1134">
      <x:c r="A1134" t="str">
        <x:v>PJT_1133</x:v>
      </x:c>
      <x:c r="B1134" t="n">
        <x:v>18649180</x:v>
      </x:c>
      <x:c r="C1134" t="n">
        <x:v>18621078</x:v>
      </x:c>
      <x:c r="D1134" t="n">
        <x:v>-28102</x:v>
      </x:c>
      <x:c r="E1134" t="n">
        <x:v>-0.0015</x:v>
      </x:c>
      <x:c r="F1134" t="n">
        <x:v>344</x:v>
      </x:c>
      <x:c r="G1134" t="n">
        <x:v>330</x:v>
      </x:c>
      <x:c r="H1134" t="n">
        <x:v>-14</x:v>
      </x:c>
      <x:c r="I1134" t="n">
        <x:v>-0.0407</x:v>
      </x:c>
      <x:c r="J1134" t="str">
        <x:v>Low</x:v>
      </x:c>
      <x:c r="K1134" t="n">
        <x:v>25.7</x:v>
      </x:c>
      <x:c r="L1134" t="n">
        <x:v>34.1</x:v>
      </x:c>
      <x:c r="M1134" t="n">
        <x:v>30.2</x:v>
      </x:c>
      <x:c r="N1134" t="str">
        <x:v>Optimistic</x:v>
      </x:c>
      <x:c r="O1134" t="str">
        <x:v>Optimistic</x:v>
      </x:c>
    </x:row>
    <x:row r="1135">
      <x:c r="A1135" t="str">
        <x:v>PJT_1134</x:v>
      </x:c>
      <x:c r="B1135" t="n">
        <x:v>52277160</x:v>
      </x:c>
      <x:c r="C1135" t="n">
        <x:v>57064351</x:v>
      </x:c>
      <x:c r="D1135" t="n">
        <x:v>4787191</x:v>
      </x:c>
      <x:c r="E1135" t="n">
        <x:v>0.0916</x:v>
      </x:c>
      <x:c r="F1135" t="n">
        <x:v>858</x:v>
      </x:c>
      <x:c r="G1135" t="n">
        <x:v>868</x:v>
      </x:c>
      <x:c r="H1135" t="n">
        <x:v>10</x:v>
      </x:c>
      <x:c r="I1135" t="n">
        <x:v>0.0117</x:v>
      </x:c>
      <x:c r="J1135" t="str">
        <x:v>Medium</x:v>
      </x:c>
      <x:c r="K1135" t="n">
        <x:v>61.4</x:v>
      </x:c>
      <x:c r="L1135" t="n">
        <x:v>57.9</x:v>
      </x:c>
      <x:c r="M1135" t="n">
        <x:v>60.9</x:v>
      </x:c>
      <x:c r="N1135" t="str">
        <x:v>Most Likely</x:v>
      </x:c>
      <x:c r="O1135" t="str">
        <x:v>Most Likely</x:v>
      </x:c>
    </x:row>
    <x:row r="1136">
      <x:c r="A1136" t="str">
        <x:v>PJT_1135</x:v>
      </x:c>
      <x:c r="B1136" t="n">
        <x:v>37752800</x:v>
      </x:c>
      <x:c r="C1136" t="n">
        <x:v>39265756</x:v>
      </x:c>
      <x:c r="D1136" t="n">
        <x:v>1512956</x:v>
      </x:c>
      <x:c r="E1136" t="n">
        <x:v>0.0401</x:v>
      </x:c>
      <x:c r="F1136" t="n">
        <x:v>733</x:v>
      </x:c>
      <x:c r="G1136" t="n">
        <x:v>747</x:v>
      </x:c>
      <x:c r="H1136" t="n">
        <x:v>14</x:v>
      </x:c>
      <x:c r="I1136" t="n">
        <x:v>0.0191</x:v>
      </x:c>
      <x:c r="J1136" t="str">
        <x:v>Low</x:v>
      </x:c>
      <x:c r="K1136" t="n">
        <x:v>43.6</x:v>
      </x:c>
      <x:c r="L1136" t="n">
        <x:v>50.7</x:v>
      </x:c>
      <x:c r="M1136" t="n">
        <x:v>47.5</x:v>
      </x:c>
      <x:c r="N1136" t="str">
        <x:v>Most Likely</x:v>
      </x:c>
      <x:c r="O1136" t="str">
        <x:v>Most Likely</x:v>
      </x:c>
    </x:row>
    <x:row r="1137">
      <x:c r="A1137" t="str">
        <x:v>PJT_1136</x:v>
      </x:c>
      <x:c r="B1137" t="n">
        <x:v>132536010</x:v>
      </x:c>
      <x:c r="C1137" t="n">
        <x:v>150992607</x:v>
      </x:c>
      <x:c r="D1137" t="n">
        <x:v>18456597</x:v>
      </x:c>
      <x:c r="E1137" t="n">
        <x:v>0.1393</x:v>
      </x:c>
      <x:c r="F1137" t="n">
        <x:v>2423</x:v>
      </x:c>
      <x:c r="G1137" t="n">
        <x:v>2726</x:v>
      </x:c>
      <x:c r="H1137" t="n">
        <x:v>303</x:v>
      </x:c>
      <x:c r="I1137" t="n">
        <x:v>0.1251</x:v>
      </x:c>
      <x:c r="J1137" t="str">
        <x:v>Medium</x:v>
      </x:c>
      <x:c r="K1137" t="n">
        <x:v>62.9</x:v>
      </x:c>
      <x:c r="L1137" t="n">
        <x:v>68.8</x:v>
      </x:c>
      <x:c r="M1137" t="n">
        <x:v>65.4</x:v>
      </x:c>
      <x:c r="N1137" t="str">
        <x:v>Pessimistic</x:v>
      </x:c>
      <x:c r="O1137" t="str">
        <x:v>Pessimistic</x:v>
      </x:c>
    </x:row>
    <x:row r="1138">
      <x:c r="A1138" t="str">
        <x:v>PJT_1137</x:v>
      </x:c>
      <x:c r="B1138" t="n">
        <x:v>50349000</x:v>
      </x:c>
      <x:c r="C1138" t="n">
        <x:v>55866387</x:v>
      </x:c>
      <x:c r="D1138" t="n">
        <x:v>5517387</x:v>
      </x:c>
      <x:c r="E1138" t="n">
        <x:v>0.1096</x:v>
      </x:c>
      <x:c r="F1138" t="n">
        <x:v>1035</x:v>
      </x:c>
      <x:c r="G1138" t="n">
        <x:v>1131</x:v>
      </x:c>
      <x:c r="H1138" t="n">
        <x:v>96</x:v>
      </x:c>
      <x:c r="I1138" t="n">
        <x:v>0.0928</x:v>
      </x:c>
      <x:c r="J1138" t="str">
        <x:v>Medium</x:v>
      </x:c>
      <x:c r="K1138" t="n">
        <x:v>60.9</x:v>
      </x:c>
      <x:c r="L1138" t="n">
        <x:v>64.7</x:v>
      </x:c>
      <x:c r="M1138" t="n">
        <x:v>63.5</x:v>
      </x:c>
      <x:c r="N1138" t="str">
        <x:v>Pessimistic</x:v>
      </x:c>
      <x:c r="O1138" t="str">
        <x:v>Most Likely</x:v>
      </x:c>
    </x:row>
    <x:row r="1139">
      <x:c r="A1139" t="str">
        <x:v>PJT_1138</x:v>
      </x:c>
      <x:c r="B1139" t="n">
        <x:v>80721420</x:v>
      </x:c>
      <x:c r="C1139" t="n">
        <x:v>90380988</x:v>
      </x:c>
      <x:c r="D1139" t="n">
        <x:v>9659568</x:v>
      </x:c>
      <x:c r="E1139" t="n">
        <x:v>0.1197</x:v>
      </x:c>
      <x:c r="F1139" t="n">
        <x:v>1494</x:v>
      </x:c>
      <x:c r="G1139" t="n">
        <x:v>1596</x:v>
      </x:c>
      <x:c r="H1139" t="n">
        <x:v>102</x:v>
      </x:c>
      <x:c r="I1139" t="n">
        <x:v>0.0683</x:v>
      </x:c>
      <x:c r="J1139" t="str">
        <x:v>Medium</x:v>
      </x:c>
      <x:c r="K1139" t="n">
        <x:v>60.8</x:v>
      </x:c>
      <x:c r="L1139" t="n">
        <x:v>68.5</x:v>
      </x:c>
      <x:c r="M1139" t="n">
        <x:v>59.5</x:v>
      </x:c>
      <x:c r="N1139" t="str">
        <x:v>Pessimistic</x:v>
      </x:c>
      <x:c r="O1139" t="str">
        <x:v>Most Likely</x:v>
      </x:c>
    </x:row>
    <x:row r="1140">
      <x:c r="A1140" t="str">
        <x:v>PJT_1139</x:v>
      </x:c>
      <x:c r="B1140" t="n">
        <x:v>13329360</x:v>
      </x:c>
      <x:c r="C1140" t="n">
        <x:v>12595485</x:v>
      </x:c>
      <x:c r="D1140" t="n">
        <x:v>-733875</x:v>
      </x:c>
      <x:c r="E1140" t="n">
        <x:v>-0.0551</x:v>
      </x:c>
      <x:c r="F1140" t="n">
        <x:v>226</x:v>
      </x:c>
      <x:c r="G1140" t="n">
        <x:v>224</x:v>
      </x:c>
      <x:c r="H1140" t="n">
        <x:v>-2</x:v>
      </x:c>
      <x:c r="I1140" t="n">
        <x:v>-0.0088</x:v>
      </x:c>
      <x:c r="J1140" t="str">
        <x:v>Low</x:v>
      </x:c>
      <x:c r="K1140" t="n">
        <x:v>34.3</x:v>
      </x:c>
      <x:c r="L1140" t="n">
        <x:v>33.7</x:v>
      </x:c>
      <x:c r="M1140" t="n">
        <x:v>29.2</x:v>
      </x:c>
      <x:c r="N1140" t="str">
        <x:v>Optimistic</x:v>
      </x:c>
      <x:c r="O1140" t="str">
        <x:v>Optimistic</x:v>
      </x:c>
    </x:row>
    <x:row r="1141">
      <x:c r="A1141" t="str">
        <x:v>PJT_1140</x:v>
      </x:c>
      <x:c r="B1141" t="n">
        <x:v>37075980</x:v>
      </x:c>
      <x:c r="C1141" t="n">
        <x:v>40550211</x:v>
      </x:c>
      <x:c r="D1141" t="n">
        <x:v>3474231</x:v>
      </x:c>
      <x:c r="E1141" t="n">
        <x:v>0.0937</x:v>
      </x:c>
      <x:c r="F1141" t="n">
        <x:v>666</x:v>
      </x:c>
      <x:c r="G1141" t="n">
        <x:v>672</x:v>
      </x:c>
      <x:c r="H1141" t="n">
        <x:v>6</x:v>
      </x:c>
      <x:c r="I1141" t="n">
        <x:v>0.009</x:v>
      </x:c>
      <x:c r="J1141" t="str">
        <x:v>Medium</x:v>
      </x:c>
      <x:c r="K1141" t="n">
        <x:v>57</x:v>
      </x:c>
      <x:c r="L1141" t="n">
        <x:v>59.5</x:v>
      </x:c>
      <x:c r="M1141" t="n">
        <x:v>60.3</x:v>
      </x:c>
      <x:c r="N1141" t="str">
        <x:v>Most Likely</x:v>
      </x:c>
      <x:c r="O1141" t="str">
        <x:v>Most Likely</x:v>
      </x:c>
    </x:row>
    <x:row r="1142">
      <x:c r="A1142" t="str">
        <x:v>PJT_1141</x:v>
      </x:c>
      <x:c r="B1142" t="n">
        <x:v>44102880</x:v>
      </x:c>
      <x:c r="C1142" t="n">
        <x:v>45188078</x:v>
      </x:c>
      <x:c r="D1142" t="n">
        <x:v>1085198</x:v>
      </x:c>
      <x:c r="E1142" t="n">
        <x:v>0.0246</x:v>
      </x:c>
      <x:c r="F1142" t="n">
        <x:v>752</x:v>
      </x:c>
      <x:c r="G1142" t="n">
        <x:v>766</x:v>
      </x:c>
      <x:c r="H1142" t="n">
        <x:v>14</x:v>
      </x:c>
      <x:c r="I1142" t="n">
        <x:v>0.0186</x:v>
      </x:c>
      <x:c r="J1142" t="str">
        <x:v>Low</x:v>
      </x:c>
      <x:c r="K1142" t="n">
        <x:v>42.5</x:v>
      </x:c>
      <x:c r="L1142" t="n">
        <x:v>45.9</x:v>
      </x:c>
      <x:c r="M1142" t="n">
        <x:v>39.9</x:v>
      </x:c>
      <x:c r="N1142" t="str">
        <x:v>Most Likely</x:v>
      </x:c>
      <x:c r="O1142" t="str">
        <x:v>Most Likely</x:v>
      </x:c>
    </x:row>
    <x:row r="1143">
      <x:c r="A1143" t="str">
        <x:v>PJT_1142</x:v>
      </x:c>
      <x:c r="B1143" t="n">
        <x:v>24620960</x:v>
      </x:c>
      <x:c r="C1143" t="n">
        <x:v>26152093</x:v>
      </x:c>
      <x:c r="D1143" t="n">
        <x:v>1531133</x:v>
      </x:c>
      <x:c r="E1143" t="n">
        <x:v>0.0622</x:v>
      </x:c>
      <x:c r="F1143" t="n">
        <x:v>402</x:v>
      </x:c>
      <x:c r="G1143" t="n">
        <x:v>421</x:v>
      </x:c>
      <x:c r="H1143" t="n">
        <x:v>19</x:v>
      </x:c>
      <x:c r="I1143" t="n">
        <x:v>0.0473</x:v>
      </x:c>
      <x:c r="J1143" t="str">
        <x:v>Medium</x:v>
      </x:c>
      <x:c r="K1143" t="n">
        <x:v>46.5</x:v>
      </x:c>
      <x:c r="L1143" t="n">
        <x:v>44</x:v>
      </x:c>
      <x:c r="M1143" t="n">
        <x:v>40.8</x:v>
      </x:c>
      <x:c r="N1143" t="str">
        <x:v>Most Likely</x:v>
      </x:c>
      <x:c r="O1143" t="str">
        <x:v>Most Likely</x:v>
      </x:c>
    </x:row>
    <x:row r="1144">
      <x:c r="A1144" t="str">
        <x:v>PJT_1143</x:v>
      </x:c>
      <x:c r="B1144" t="n">
        <x:v>40114500</x:v>
      </x:c>
      <x:c r="C1144" t="n">
        <x:v>40534615</x:v>
      </x:c>
      <x:c r="D1144" t="n">
        <x:v>420115</x:v>
      </x:c>
      <x:c r="E1144" t="n">
        <x:v>0.0105</x:v>
      </x:c>
      <x:c r="F1144" t="n">
        <x:v>1048</x:v>
      </x:c>
      <x:c r="G1144" t="n">
        <x:v>1136</x:v>
      </x:c>
      <x:c r="H1144" t="n">
        <x:v>88</x:v>
      </x:c>
      <x:c r="I1144" t="n">
        <x:v>0.084</x:v>
      </x:c>
      <x:c r="J1144" t="str">
        <x:v>Medium</x:v>
      </x:c>
      <x:c r="K1144" t="n">
        <x:v>50.9</x:v>
      </x:c>
      <x:c r="L1144" t="n">
        <x:v>46.2</x:v>
      </x:c>
      <x:c r="M1144" t="n">
        <x:v>52.9</x:v>
      </x:c>
      <x:c r="N1144" t="str">
        <x:v>Most Likely</x:v>
      </x:c>
      <x:c r="O1144" t="str">
        <x:v>Most Likely</x:v>
      </x:c>
    </x:row>
    <x:row r="1145">
      <x:c r="A1145" t="str">
        <x:v>PJT_1144</x:v>
      </x:c>
      <x:c r="B1145" t="n">
        <x:v>15058560</x:v>
      </x:c>
      <x:c r="C1145" t="n">
        <x:v>15329000</x:v>
      </x:c>
      <x:c r="D1145" t="n">
        <x:v>270440</x:v>
      </x:c>
      <x:c r="E1145" t="n">
        <x:v>0.018</x:v>
      </x:c>
      <x:c r="F1145" t="n">
        <x:v>236</x:v>
      </x:c>
      <x:c r="G1145" t="n">
        <x:v>242</x:v>
      </x:c>
      <x:c r="H1145" t="n">
        <x:v>6</x:v>
      </x:c>
      <x:c r="I1145" t="n">
        <x:v>0.0254</x:v>
      </x:c>
      <x:c r="J1145" t="str">
        <x:v>Low</x:v>
      </x:c>
      <x:c r="K1145" t="n">
        <x:v>37.8</x:v>
      </x:c>
      <x:c r="L1145" t="n">
        <x:v>44.4</x:v>
      </x:c>
      <x:c r="M1145" t="n">
        <x:v>35.8</x:v>
      </x:c>
      <x:c r="N1145" t="str">
        <x:v>Most Likely</x:v>
      </x:c>
      <x:c r="O1145" t="str">
        <x:v>Most Likely</x:v>
      </x:c>
    </x:row>
    <x:row r="1146">
      <x:c r="A1146" t="str">
        <x:v>PJT_1145</x:v>
      </x:c>
      <x:c r="B1146" t="n">
        <x:v>46823400</x:v>
      </x:c>
      <x:c r="C1146" t="n">
        <x:v>48934782</x:v>
      </x:c>
      <x:c r="D1146" t="n">
        <x:v>2111382</x:v>
      </x:c>
      <x:c r="E1146" t="n">
        <x:v>0.0451</x:v>
      </x:c>
      <x:c r="F1146" t="n">
        <x:v>914</x:v>
      </x:c>
      <x:c r="G1146" t="n">
        <x:v>993</x:v>
      </x:c>
      <x:c r="H1146" t="n">
        <x:v>79</x:v>
      </x:c>
      <x:c r="I1146" t="n">
        <x:v>0.0864</x:v>
      </x:c>
      <x:c r="J1146" t="str">
        <x:v>Medium</x:v>
      </x:c>
      <x:c r="K1146" t="n">
        <x:v>54.7</x:v>
      </x:c>
      <x:c r="L1146" t="n">
        <x:v>60.1</x:v>
      </x:c>
      <x:c r="M1146" t="n">
        <x:v>56</x:v>
      </x:c>
      <x:c r="N1146" t="str">
        <x:v>Most Likely</x:v>
      </x:c>
      <x:c r="O1146" t="str">
        <x:v>Most Likely</x:v>
      </x:c>
    </x:row>
    <x:row r="1147">
      <x:c r="A1147" t="str">
        <x:v>PJT_1146</x:v>
      </x:c>
      <x:c r="B1147" t="n">
        <x:v>27308880</x:v>
      </x:c>
      <x:c r="C1147" t="n">
        <x:v>27753315</x:v>
      </x:c>
      <x:c r="D1147" t="n">
        <x:v>444435</x:v>
      </x:c>
      <x:c r="E1147" t="n">
        <x:v>0.0163</x:v>
      </x:c>
      <x:c r="F1147" t="n">
        <x:v>496</x:v>
      </x:c>
      <x:c r="G1147" t="n">
        <x:v>527</x:v>
      </x:c>
      <x:c r="H1147" t="n">
        <x:v>31</x:v>
      </x:c>
      <x:c r="I1147" t="n">
        <x:v>0.0625</x:v>
      </x:c>
      <x:c r="J1147" t="str">
        <x:v>Medium</x:v>
      </x:c>
      <x:c r="K1147" t="n">
        <x:v>47.6</x:v>
      </x:c>
      <x:c r="L1147" t="n">
        <x:v>46.5</x:v>
      </x:c>
      <x:c r="M1147" t="n">
        <x:v>52.1</x:v>
      </x:c>
      <x:c r="N1147" t="str">
        <x:v>Most Likely</x:v>
      </x:c>
      <x:c r="O1147" t="str">
        <x:v>Most Likely</x:v>
      </x:c>
    </x:row>
    <x:row r="1148">
      <x:c r="A1148" t="str">
        <x:v>PJT_1147</x:v>
      </x:c>
      <x:c r="B1148" t="n">
        <x:v>49060480</x:v>
      </x:c>
      <x:c r="C1148" t="n">
        <x:v>54404392</x:v>
      </x:c>
      <x:c r="D1148" t="n">
        <x:v>5343912</x:v>
      </x:c>
      <x:c r="E1148" t="n">
        <x:v>0.1089</x:v>
      </x:c>
      <x:c r="F1148" t="n">
        <x:v>908</x:v>
      </x:c>
      <x:c r="G1148" t="n">
        <x:v>940</x:v>
      </x:c>
      <x:c r="H1148" t="n">
        <x:v>32</x:v>
      </x:c>
      <x:c r="I1148" t="n">
        <x:v>0.0352</x:v>
      </x:c>
      <x:c r="J1148" t="str">
        <x:v>Medium</x:v>
      </x:c>
      <x:c r="K1148" t="n">
        <x:v>51.8</x:v>
      </x:c>
      <x:c r="L1148" t="n">
        <x:v>56.7</x:v>
      </x:c>
      <x:c r="M1148" t="n">
        <x:v>52</x:v>
      </x:c>
      <x:c r="N1148" t="str">
        <x:v>Pessimistic</x:v>
      </x:c>
      <x:c r="O1148" t="str">
        <x:v>Most Likely</x:v>
      </x:c>
    </x:row>
    <x:row r="1149">
      <x:c r="A1149" t="str">
        <x:v>PJT_1148</x:v>
      </x:c>
      <x:c r="B1149" t="n">
        <x:v>39758620</x:v>
      </x:c>
      <x:c r="C1149" t="n">
        <x:v>42044821</x:v>
      </x:c>
      <x:c r="D1149" t="n">
        <x:v>2286201</x:v>
      </x:c>
      <x:c r="E1149" t="n">
        <x:v>0.0575</x:v>
      </x:c>
      <x:c r="F1149" t="n">
        <x:v>729</x:v>
      </x:c>
      <x:c r="G1149" t="n">
        <x:v>754</x:v>
      </x:c>
      <x:c r="H1149" t="n">
        <x:v>25</x:v>
      </x:c>
      <x:c r="I1149" t="n">
        <x:v>0.0343</x:v>
      </x:c>
      <x:c r="J1149" t="str">
        <x:v>Medium</x:v>
      </x:c>
      <x:c r="K1149" t="n">
        <x:v>51.3</x:v>
      </x:c>
      <x:c r="L1149" t="n">
        <x:v>57</x:v>
      </x:c>
      <x:c r="M1149" t="n">
        <x:v>56.7</x:v>
      </x:c>
      <x:c r="N1149" t="str">
        <x:v>Most Likely</x:v>
      </x:c>
      <x:c r="O1149" t="str">
        <x:v>Most Likely</x:v>
      </x:c>
    </x:row>
    <x:row r="1150">
      <x:c r="A1150" t="str">
        <x:v>PJT_1149</x:v>
      </x:c>
      <x:c r="B1150" t="n">
        <x:v>59517120</x:v>
      </x:c>
      <x:c r="C1150" t="n">
        <x:v>61726686</x:v>
      </x:c>
      <x:c r="D1150" t="n">
        <x:v>2209566</x:v>
      </x:c>
      <x:c r="E1150" t="n">
        <x:v>0.0371</x:v>
      </x:c>
      <x:c r="F1150" t="n">
        <x:v>1045</x:v>
      </x:c>
      <x:c r="G1150" t="n">
        <x:v>1085</x:v>
      </x:c>
      <x:c r="H1150" t="n">
        <x:v>40</x:v>
      </x:c>
      <x:c r="I1150" t="n">
        <x:v>0.0383</x:v>
      </x:c>
      <x:c r="J1150" t="str">
        <x:v>Medium</x:v>
      </x:c>
      <x:c r="K1150" t="n">
        <x:v>53</x:v>
      </x:c>
      <x:c r="L1150" t="n">
        <x:v>57.9</x:v>
      </x:c>
      <x:c r="M1150" t="n">
        <x:v>52</x:v>
      </x:c>
      <x:c r="N1150" t="str">
        <x:v>Most Likely</x:v>
      </x:c>
      <x:c r="O1150" t="str">
        <x:v>Most Likely</x:v>
      </x:c>
    </x:row>
    <x:row r="1151">
      <x:c r="A1151" t="str">
        <x:v>PJT_1150</x:v>
      </x:c>
      <x:c r="B1151" t="n">
        <x:v>68135800</x:v>
      </x:c>
      <x:c r="C1151" t="n">
        <x:v>75949364</x:v>
      </x:c>
      <x:c r="D1151" t="n">
        <x:v>7813564</x:v>
      </x:c>
      <x:c r="E1151" t="n">
        <x:v>0.1147</x:v>
      </x:c>
      <x:c r="F1151" t="n">
        <x:v>1233</x:v>
      </x:c>
      <x:c r="G1151" t="n">
        <x:v>1346</x:v>
      </x:c>
      <x:c r="H1151" t="n">
        <x:v>113</x:v>
      </x:c>
      <x:c r="I1151" t="n">
        <x:v>0.0916</x:v>
      </x:c>
      <x:c r="J1151" t="str">
        <x:v>High</x:v>
      </x:c>
      <x:c r="K1151" t="n">
        <x:v>70.2</x:v>
      </x:c>
      <x:c r="L1151" t="n">
        <x:v>72.8</x:v>
      </x:c>
      <x:c r="M1151" t="n">
        <x:v>61.1</x:v>
      </x:c>
      <x:c r="N1151" t="str">
        <x:v>Pessimistic</x:v>
      </x:c>
      <x:c r="O1151" t="str">
        <x:v>Most Likely</x:v>
      </x:c>
    </x:row>
    <x:row r="1152">
      <x:c r="A1152" t="str">
        <x:v>PJT_1151</x:v>
      </x:c>
      <x:c r="B1152" t="n">
        <x:v>16124940</x:v>
      </x:c>
      <x:c r="C1152" t="n">
        <x:v>17358051</x:v>
      </x:c>
      <x:c r="D1152" t="n">
        <x:v>1233111</x:v>
      </x:c>
      <x:c r="E1152" t="n">
        <x:v>0.0765</x:v>
      </x:c>
      <x:c r="F1152" t="n">
        <x:v>298</x:v>
      </x:c>
      <x:c r="G1152" t="n">
        <x:v>314</x:v>
      </x:c>
      <x:c r="H1152" t="n">
        <x:v>16</x:v>
      </x:c>
      <x:c r="I1152" t="n">
        <x:v>0.0537</x:v>
      </x:c>
      <x:c r="J1152" t="str">
        <x:v>Medium</x:v>
      </x:c>
      <x:c r="K1152" t="n">
        <x:v>47.2</x:v>
      </x:c>
      <x:c r="L1152" t="n">
        <x:v>50.5</x:v>
      </x:c>
      <x:c r="M1152" t="n">
        <x:v>52</x:v>
      </x:c>
      <x:c r="N1152" t="str">
        <x:v>Most Likely</x:v>
      </x:c>
      <x:c r="O1152" t="str">
        <x:v>Most Likely</x:v>
      </x:c>
    </x:row>
    <x:row r="1153">
      <x:c r="A1153" t="str">
        <x:v>PJT_1152</x:v>
      </x:c>
      <x:c r="B1153" t="n">
        <x:v>15626520</x:v>
      </x:c>
      <x:c r="C1153" t="n">
        <x:v>15621421</x:v>
      </x:c>
      <x:c r="D1153" t="n">
        <x:v>-5099</x:v>
      </x:c>
      <x:c r="E1153" t="n">
        <x:v>-0.0003</x:v>
      </x:c>
      <x:c r="F1153" t="n">
        <x:v>367</x:v>
      </x:c>
      <x:c r="G1153" t="n">
        <x:v>365</x:v>
      </x:c>
      <x:c r="H1153" t="n">
        <x:v>-2</x:v>
      </x:c>
      <x:c r="I1153" t="n">
        <x:v>-0.0054</x:v>
      </x:c>
      <x:c r="J1153" t="str">
        <x:v>Low</x:v>
      </x:c>
      <x:c r="K1153" t="n">
        <x:v>31</x:v>
      </x:c>
      <x:c r="L1153" t="n">
        <x:v>27.9</x:v>
      </x:c>
      <x:c r="M1153" t="n">
        <x:v>27.5</x:v>
      </x:c>
      <x:c r="N1153" t="str">
        <x:v>Optimistic</x:v>
      </x:c>
      <x:c r="O1153" t="str">
        <x:v>Optimistic</x:v>
      </x:c>
    </x:row>
    <x:row r="1154">
      <x:c r="A1154" t="str">
        <x:v>PJT_1153</x:v>
      </x:c>
      <x:c r="B1154" t="n">
        <x:v>19320640</x:v>
      </x:c>
      <x:c r="C1154" t="n">
        <x:v>19117468</x:v>
      </x:c>
      <x:c r="D1154" t="n">
        <x:v>-203172</x:v>
      </x:c>
      <x:c r="E1154" t="n">
        <x:v>-0.0105</x:v>
      </x:c>
      <x:c r="F1154" t="n">
        <x:v>486</x:v>
      </x:c>
      <x:c r="G1154" t="n">
        <x:v>467</x:v>
      </x:c>
      <x:c r="H1154" t="n">
        <x:v>-19</x:v>
      </x:c>
      <x:c r="I1154" t="n">
        <x:v>-0.0391</x:v>
      </x:c>
      <x:c r="J1154" t="str">
        <x:v>Low</x:v>
      </x:c>
      <x:c r="K1154" t="n">
        <x:v>28.5</x:v>
      </x:c>
      <x:c r="L1154" t="n">
        <x:v>30.4</x:v>
      </x:c>
      <x:c r="M1154" t="n">
        <x:v>28.3</x:v>
      </x:c>
      <x:c r="N1154" t="str">
        <x:v>Optimistic</x:v>
      </x:c>
      <x:c r="O1154" t="str">
        <x:v>Optimistic</x:v>
      </x:c>
    </x:row>
    <x:row r="1155">
      <x:c r="A1155" t="str">
        <x:v>PJT_1154</x:v>
      </x:c>
      <x:c r="B1155" t="n">
        <x:v>27309820</x:v>
      </x:c>
      <x:c r="C1155" t="n">
        <x:v>27918546</x:v>
      </x:c>
      <x:c r="D1155" t="n">
        <x:v>608726</x:v>
      </x:c>
      <x:c r="E1155" t="n">
        <x:v>0.0223</x:v>
      </x:c>
      <x:c r="F1155" t="n">
        <x:v>591</x:v>
      </x:c>
      <x:c r="G1155" t="n">
        <x:v>615</x:v>
      </x:c>
      <x:c r="H1155" t="n">
        <x:v>24</x:v>
      </x:c>
      <x:c r="I1155" t="n">
        <x:v>0.0406</x:v>
      </x:c>
      <x:c r="J1155" t="str">
        <x:v>Medium</x:v>
      </x:c>
      <x:c r="K1155" t="n">
        <x:v>51.7</x:v>
      </x:c>
      <x:c r="L1155" t="n">
        <x:v>49</x:v>
      </x:c>
      <x:c r="M1155" t="n">
        <x:v>44</x:v>
      </x:c>
      <x:c r="N1155" t="str">
        <x:v>Most Likely</x:v>
      </x:c>
      <x:c r="O1155" t="str">
        <x:v>Most Likely</x:v>
      </x:c>
    </x:row>
    <x:row r="1156">
      <x:c r="A1156" t="str">
        <x:v>PJT_1155</x:v>
      </x:c>
      <x:c r="B1156" t="n">
        <x:v>31937460</x:v>
      </x:c>
      <x:c r="C1156" t="n">
        <x:v>33824887</x:v>
      </x:c>
      <x:c r="D1156" t="n">
        <x:v>1887427</x:v>
      </x:c>
      <x:c r="E1156" t="n">
        <x:v>0.0591</x:v>
      </x:c>
      <x:c r="F1156" t="n">
        <x:v>508</x:v>
      </x:c>
      <x:c r="G1156" t="n">
        <x:v>529</x:v>
      </x:c>
      <x:c r="H1156" t="n">
        <x:v>21</x:v>
      </x:c>
      <x:c r="I1156" t="n">
        <x:v>0.0413</x:v>
      </x:c>
      <x:c r="J1156" t="str">
        <x:v>Medium</x:v>
      </x:c>
      <x:c r="K1156" t="n">
        <x:v>53.5</x:v>
      </x:c>
      <x:c r="L1156" t="n">
        <x:v>55.6</x:v>
      </x:c>
      <x:c r="M1156" t="n">
        <x:v>49.5</x:v>
      </x:c>
      <x:c r="N1156" t="str">
        <x:v>Most Likely</x:v>
      </x:c>
      <x:c r="O1156" t="str">
        <x:v>Most Likely</x:v>
      </x:c>
    </x:row>
    <x:row r="1157">
      <x:c r="A1157" t="str">
        <x:v>PJT_1156</x:v>
      </x:c>
      <x:c r="B1157" t="n">
        <x:v>22676360</x:v>
      </x:c>
      <x:c r="C1157" t="n">
        <x:v>23236098</x:v>
      </x:c>
      <x:c r="D1157" t="n">
        <x:v>559738</x:v>
      </x:c>
      <x:c r="E1157" t="n">
        <x:v>0.0247</x:v>
      </x:c>
      <x:c r="F1157" t="n">
        <x:v>559</x:v>
      </x:c>
      <x:c r="G1157" t="n">
        <x:v>520</x:v>
      </x:c>
      <x:c r="H1157" t="n">
        <x:v>-39</x:v>
      </x:c>
      <x:c r="I1157" t="n">
        <x:v>-0.0698</x:v>
      </x:c>
      <x:c r="J1157" t="str">
        <x:v>Low</x:v>
      </x:c>
      <x:c r="K1157" t="n">
        <x:v>38.3</x:v>
      </x:c>
      <x:c r="L1157" t="n">
        <x:v>39.2</x:v>
      </x:c>
      <x:c r="M1157" t="n">
        <x:v>35.4</x:v>
      </x:c>
      <x:c r="N1157" t="str">
        <x:v>Most Likely</x:v>
      </x:c>
      <x:c r="O1157" t="str">
        <x:v>Optimistic</x:v>
      </x:c>
    </x:row>
    <x:row r="1158">
      <x:c r="A1158" t="str">
        <x:v>PJT_1157</x:v>
      </x:c>
      <x:c r="B1158" t="n">
        <x:v>24831000</x:v>
      </x:c>
      <x:c r="C1158" t="n">
        <x:v>26048962</x:v>
      </x:c>
      <x:c r="D1158" t="n">
        <x:v>1217962</x:v>
      </x:c>
      <x:c r="E1158" t="n">
        <x:v>0.0491</x:v>
      </x:c>
      <x:c r="F1158" t="n">
        <x:v>497</x:v>
      </x:c>
      <x:c r="G1158" t="n">
        <x:v>544</x:v>
      </x:c>
      <x:c r="H1158" t="n">
        <x:v>47</x:v>
      </x:c>
      <x:c r="I1158" t="n">
        <x:v>0.0946</x:v>
      </x:c>
      <x:c r="J1158" t="str">
        <x:v>Medium</x:v>
      </x:c>
      <x:c r="K1158" t="n">
        <x:v>57</x:v>
      </x:c>
      <x:c r="L1158" t="n">
        <x:v>59.3</x:v>
      </x:c>
      <x:c r="M1158" t="n">
        <x:v>59.5</x:v>
      </x:c>
      <x:c r="N1158" t="str">
        <x:v>Most Likely</x:v>
      </x:c>
      <x:c r="O1158" t="str">
        <x:v>Most Likely</x:v>
      </x:c>
    </x:row>
    <x:row r="1159">
      <x:c r="A1159" t="str">
        <x:v>PJT_1158</x:v>
      </x:c>
      <x:c r="B1159" t="n">
        <x:v>66774640</x:v>
      </x:c>
      <x:c r="C1159" t="n">
        <x:v>71010307</x:v>
      </x:c>
      <x:c r="D1159" t="n">
        <x:v>4235667</x:v>
      </x:c>
      <x:c r="E1159" t="n">
        <x:v>0.0634</x:v>
      </x:c>
      <x:c r="F1159" t="n">
        <x:v>1268</x:v>
      </x:c>
      <x:c r="G1159" t="n">
        <x:v>1310</x:v>
      </x:c>
      <x:c r="H1159" t="n">
        <x:v>42</x:v>
      </x:c>
      <x:c r="I1159" t="n">
        <x:v>0.0331</x:v>
      </x:c>
      <x:c r="J1159" t="str">
        <x:v>Medium</x:v>
      </x:c>
      <x:c r="K1159" t="n">
        <x:v>49.1</x:v>
      </x:c>
      <x:c r="L1159" t="n">
        <x:v>53.4</x:v>
      </x:c>
      <x:c r="M1159" t="n">
        <x:v>54.6</x:v>
      </x:c>
      <x:c r="N1159" t="str">
        <x:v>Most Likely</x:v>
      </x:c>
      <x:c r="O1159" t="str">
        <x:v>Most Likely</x:v>
      </x:c>
    </x:row>
    <x:row r="1160">
      <x:c r="A1160" t="str">
        <x:v>PJT_1159</x:v>
      </x:c>
      <x:c r="B1160" t="n">
        <x:v>53003800</x:v>
      </x:c>
      <x:c r="C1160" t="n">
        <x:v>55530577</x:v>
      </x:c>
      <x:c r="D1160" t="n">
        <x:v>2526777</x:v>
      </x:c>
      <x:c r="E1160" t="n">
        <x:v>0.0477</x:v>
      </x:c>
      <x:c r="F1160" t="n">
        <x:v>972</x:v>
      </x:c>
      <x:c r="G1160" t="n">
        <x:v>1040</x:v>
      </x:c>
      <x:c r="H1160" t="n">
        <x:v>68</x:v>
      </x:c>
      <x:c r="I1160" t="n">
        <x:v>0.07</x:v>
      </x:c>
      <x:c r="J1160" t="str">
        <x:v>Medium</x:v>
      </x:c>
      <x:c r="K1160" t="n">
        <x:v>56.1</x:v>
      </x:c>
      <x:c r="L1160" t="n">
        <x:v>55.6</x:v>
      </x:c>
      <x:c r="M1160" t="n">
        <x:v>56.2</x:v>
      </x:c>
      <x:c r="N1160" t="str">
        <x:v>Most Likely</x:v>
      </x:c>
      <x:c r="O1160" t="str">
        <x:v>Most Likely</x:v>
      </x:c>
    </x:row>
    <x:row r="1161">
      <x:c r="A1161" t="str">
        <x:v>PJT_1160</x:v>
      </x:c>
      <x:c r="B1161" t="n">
        <x:v>67217040</x:v>
      </x:c>
      <x:c r="C1161" t="n">
        <x:v>71022489</x:v>
      </x:c>
      <x:c r="D1161" t="n">
        <x:v>3805449</x:v>
      </x:c>
      <x:c r="E1161" t="n">
        <x:v>0.0566</x:v>
      </x:c>
      <x:c r="F1161" t="n">
        <x:v>1180</x:v>
      </x:c>
      <x:c r="G1161" t="n">
        <x:v>1297</x:v>
      </x:c>
      <x:c r="H1161" t="n">
        <x:v>117</x:v>
      </x:c>
      <x:c r="I1161" t="n">
        <x:v>0.0992</x:v>
      </x:c>
      <x:c r="J1161" t="str">
        <x:v>Medium</x:v>
      </x:c>
      <x:c r="K1161" t="n">
        <x:v>64</x:v>
      </x:c>
      <x:c r="L1161" t="n">
        <x:v>66.9</x:v>
      </x:c>
      <x:c r="M1161" t="n">
        <x:v>59.1</x:v>
      </x:c>
      <x:c r="N1161" t="str">
        <x:v>Most Likely</x:v>
      </x:c>
      <x:c r="O1161" t="str">
        <x:v>Most Likely</x:v>
      </x:c>
    </x:row>
    <x:row r="1162">
      <x:c r="A1162" t="str">
        <x:v>PJT_1161</x:v>
      </x:c>
      <x:c r="B1162" t="n">
        <x:v>22964200</x:v>
      </x:c>
      <x:c r="C1162" t="n">
        <x:v>24467063</x:v>
      </x:c>
      <x:c r="D1162" t="n">
        <x:v>1502863</x:v>
      </x:c>
      <x:c r="E1162" t="n">
        <x:v>0.0654</x:v>
      </x:c>
      <x:c r="F1162" t="n">
        <x:v>645</x:v>
      </x:c>
      <x:c r="G1162" t="n">
        <x:v>666</x:v>
      </x:c>
      <x:c r="H1162" t="n">
        <x:v>21</x:v>
      </x:c>
      <x:c r="I1162" t="n">
        <x:v>0.0326</x:v>
      </x:c>
      <x:c r="J1162" t="str">
        <x:v>Low</x:v>
      </x:c>
      <x:c r="K1162" t="n">
        <x:v>41.1</x:v>
      </x:c>
      <x:c r="L1162" t="n">
        <x:v>43.3</x:v>
      </x:c>
      <x:c r="M1162" t="n">
        <x:v>46.3</x:v>
      </x:c>
      <x:c r="N1162" t="str">
        <x:v>Most Likely</x:v>
      </x:c>
      <x:c r="O1162" t="str">
        <x:v>Most Likely</x:v>
      </x:c>
    </x:row>
    <x:row r="1163">
      <x:c r="A1163" t="str">
        <x:v>PJT_1162</x:v>
      </x:c>
      <x:c r="B1163" t="n">
        <x:v>42490980</x:v>
      </x:c>
      <x:c r="C1163" t="n">
        <x:v>45447666</x:v>
      </x:c>
      <x:c r="D1163" t="n">
        <x:v>2956686</x:v>
      </x:c>
      <x:c r="E1163" t="n">
        <x:v>0.0696</x:v>
      </x:c>
      <x:c r="F1163" t="n">
        <x:v>828</x:v>
      </x:c>
      <x:c r="G1163" t="n">
        <x:v>858</x:v>
      </x:c>
      <x:c r="H1163" t="n">
        <x:v>30</x:v>
      </x:c>
      <x:c r="I1163" t="n">
        <x:v>0.0362</x:v>
      </x:c>
      <x:c r="J1163" t="str">
        <x:v>Low</x:v>
      </x:c>
      <x:c r="K1163" t="n">
        <x:v>42.4</x:v>
      </x:c>
      <x:c r="L1163" t="n">
        <x:v>49.9</x:v>
      </x:c>
      <x:c r="M1163" t="n">
        <x:v>45.1</x:v>
      </x:c>
      <x:c r="N1163" t="str">
        <x:v>Most Likely</x:v>
      </x:c>
      <x:c r="O1163" t="str">
        <x:v>Most Likely</x:v>
      </x:c>
    </x:row>
    <x:row r="1164">
      <x:c r="A1164" t="str">
        <x:v>PJT_1163</x:v>
      </x:c>
      <x:c r="B1164" t="n">
        <x:v>11943360</x:v>
      </x:c>
      <x:c r="C1164" t="n">
        <x:v>10630568</x:v>
      </x:c>
      <x:c r="D1164" t="n">
        <x:v>-1312792</x:v>
      </x:c>
      <x:c r="E1164" t="n">
        <x:v>-0.1099</x:v>
      </x:c>
      <x:c r="F1164" t="n">
        <x:v>218</x:v>
      </x:c>
      <x:c r="G1164" t="n">
        <x:v>218</x:v>
      </x:c>
      <x:c r="H1164" t="n">
        <x:v>0</x:v>
      </x:c>
      <x:c r="I1164" t="n">
        <x:v>0</x:v>
      </x:c>
      <x:c r="J1164" t="str">
        <x:v>Low</x:v>
      </x:c>
      <x:c r="K1164" t="n">
        <x:v>34.4</x:v>
      </x:c>
      <x:c r="L1164" t="n">
        <x:v>32.4</x:v>
      </x:c>
      <x:c r="M1164" t="n">
        <x:v>34.2</x:v>
      </x:c>
      <x:c r="N1164" t="str">
        <x:v>Optimistic</x:v>
      </x:c>
      <x:c r="O1164" t="str">
        <x:v>Optimistic</x:v>
      </x:c>
    </x:row>
    <x:row r="1165">
      <x:c r="A1165" t="str">
        <x:v>PJT_1164</x:v>
      </x:c>
      <x:c r="B1165" t="n">
        <x:v>7624200</x:v>
      </x:c>
      <x:c r="C1165" t="n">
        <x:v>7698253</x:v>
      </x:c>
      <x:c r="D1165" t="n">
        <x:v>74053</x:v>
      </x:c>
      <x:c r="E1165" t="n">
        <x:v>0.0097</x:v>
      </x:c>
      <x:c r="F1165" t="n">
        <x:v>203</x:v>
      </x:c>
      <x:c r="G1165" t="n">
        <x:v>209</x:v>
      </x:c>
      <x:c r="H1165" t="n">
        <x:v>6</x:v>
      </x:c>
      <x:c r="I1165" t="n">
        <x:v>0.0296</x:v>
      </x:c>
      <x:c r="J1165" t="str">
        <x:v>Low</x:v>
      </x:c>
      <x:c r="K1165" t="n">
        <x:v>36.2</x:v>
      </x:c>
      <x:c r="L1165" t="n">
        <x:v>38.5</x:v>
      </x:c>
      <x:c r="M1165" t="n">
        <x:v>39</x:v>
      </x:c>
      <x:c r="N1165" t="str">
        <x:v>Most Likely</x:v>
      </x:c>
      <x:c r="O1165" t="str">
        <x:v>Most Likely</x:v>
      </x:c>
    </x:row>
    <x:row r="1166">
      <x:c r="A1166" t="str">
        <x:v>PJT_1165</x:v>
      </x:c>
      <x:c r="B1166" t="n">
        <x:v>15114540</x:v>
      </x:c>
      <x:c r="C1166" t="n">
        <x:v>14844876</x:v>
      </x:c>
      <x:c r="D1166" t="n">
        <x:v>-269664</x:v>
      </x:c>
      <x:c r="E1166" t="n">
        <x:v>-0.0178</x:v>
      </x:c>
      <x:c r="F1166" t="n">
        <x:v>348</x:v>
      </x:c>
      <x:c r="G1166" t="n">
        <x:v>360</x:v>
      </x:c>
      <x:c r="H1166" t="n">
        <x:v>12</x:v>
      </x:c>
      <x:c r="I1166" t="n">
        <x:v>0.0345</x:v>
      </x:c>
      <x:c r="J1166" t="str">
        <x:v>Low</x:v>
      </x:c>
      <x:c r="K1166" t="n">
        <x:v>24</x:v>
      </x:c>
      <x:c r="L1166" t="n">
        <x:v>25.4</x:v>
      </x:c>
      <x:c r="M1166" t="n">
        <x:v>22</x:v>
      </x:c>
      <x:c r="N1166" t="str">
        <x:v>Optimistic</x:v>
      </x:c>
      <x:c r="O1166" t="str">
        <x:v>Most Likely</x:v>
      </x:c>
    </x:row>
    <x:row r="1167">
      <x:c r="A1167" t="str">
        <x:v>PJT_1166</x:v>
      </x:c>
      <x:c r="B1167" t="n">
        <x:v>80455060</x:v>
      </x:c>
      <x:c r="C1167" t="n">
        <x:v>84128155</x:v>
      </x:c>
      <x:c r="D1167" t="n">
        <x:v>3673095</x:v>
      </x:c>
      <x:c r="E1167" t="n">
        <x:v>0.0457</x:v>
      </x:c>
      <x:c r="F1167" t="n">
        <x:v>1490</x:v>
      </x:c>
      <x:c r="G1167" t="n">
        <x:v>1569</x:v>
      </x:c>
      <x:c r="H1167" t="n">
        <x:v>79</x:v>
      </x:c>
      <x:c r="I1167" t="n">
        <x:v>0.053</x:v>
      </x:c>
      <x:c r="J1167" t="str">
        <x:v>Medium</x:v>
      </x:c>
      <x:c r="K1167" t="n">
        <x:v>55.9</x:v>
      </x:c>
      <x:c r="L1167" t="n">
        <x:v>59.9</x:v>
      </x:c>
      <x:c r="M1167" t="n">
        <x:v>56.5</x:v>
      </x:c>
      <x:c r="N1167" t="str">
        <x:v>Most Likely</x:v>
      </x:c>
      <x:c r="O1167" t="str">
        <x:v>Most Likely</x:v>
      </x:c>
    </x:row>
    <x:row r="1168">
      <x:c r="A1168" t="str">
        <x:v>PJT_1167</x:v>
      </x:c>
      <x:c r="B1168" t="n">
        <x:v>86876790</x:v>
      </x:c>
      <x:c r="C1168" t="n">
        <x:v>91466415</x:v>
      </x:c>
      <x:c r="D1168" t="n">
        <x:v>4589625</x:v>
      </x:c>
      <x:c r="E1168" t="n">
        <x:v>0.0528</x:v>
      </x:c>
      <x:c r="F1168" t="n">
        <x:v>1519</x:v>
      </x:c>
      <x:c r="G1168" t="n">
        <x:v>1672</x:v>
      </x:c>
      <x:c r="H1168" t="n">
        <x:v>153</x:v>
      </x:c>
      <x:c r="I1168" t="n">
        <x:v>0.1007</x:v>
      </x:c>
      <x:c r="J1168" t="str">
        <x:v>Medium</x:v>
      </x:c>
      <x:c r="K1168" t="n">
        <x:v>61.9</x:v>
      </x:c>
      <x:c r="L1168" t="n">
        <x:v>66</x:v>
      </x:c>
      <x:c r="M1168" t="n">
        <x:v>59.8</x:v>
      </x:c>
      <x:c r="N1168" t="str">
        <x:v>Most Likely</x:v>
      </x:c>
      <x:c r="O1168" t="str">
        <x:v>Pessimistic</x:v>
      </x:c>
    </x:row>
    <x:row r="1169">
      <x:c r="A1169" t="str">
        <x:v>PJT_1168</x:v>
      </x:c>
      <x:c r="B1169" t="n">
        <x:v>23299240</x:v>
      </x:c>
      <x:c r="C1169" t="n">
        <x:v>24338647</x:v>
      </x:c>
      <x:c r="D1169" t="n">
        <x:v>1039407</x:v>
      </x:c>
      <x:c r="E1169" t="n">
        <x:v>0.0446</x:v>
      </x:c>
      <x:c r="F1169" t="n">
        <x:v>512</x:v>
      </x:c>
      <x:c r="G1169" t="n">
        <x:v>546</x:v>
      </x:c>
      <x:c r="H1169" t="n">
        <x:v>34</x:v>
      </x:c>
      <x:c r="I1169" t="n">
        <x:v>0.0664</x:v>
      </x:c>
      <x:c r="J1169" t="str">
        <x:v>Medium</x:v>
      </x:c>
      <x:c r="K1169" t="n">
        <x:v>48.3</x:v>
      </x:c>
      <x:c r="L1169" t="n">
        <x:v>48</x:v>
      </x:c>
      <x:c r="M1169" t="n">
        <x:v>44.8</x:v>
      </x:c>
      <x:c r="N1169" t="str">
        <x:v>Most Likely</x:v>
      </x:c>
      <x:c r="O1169" t="str">
        <x:v>Most Likely</x:v>
      </x:c>
    </x:row>
    <x:row r="1170">
      <x:c r="A1170" t="str">
        <x:v>PJT_1169</x:v>
      </x:c>
      <x:c r="B1170" t="n">
        <x:v>80397570</x:v>
      </x:c>
      <x:c r="C1170" t="n">
        <x:v>88587665</x:v>
      </x:c>
      <x:c r="D1170" t="n">
        <x:v>8190095</x:v>
      </x:c>
      <x:c r="E1170" t="n">
        <x:v>0.1019</x:v>
      </x:c>
      <x:c r="F1170" t="n">
        <x:v>1499</x:v>
      </x:c>
      <x:c r="G1170" t="n">
        <x:v>1526</x:v>
      </x:c>
      <x:c r="H1170" t="n">
        <x:v>27</x:v>
      </x:c>
      <x:c r="I1170" t="n">
        <x:v>0.018</x:v>
      </x:c>
      <x:c r="J1170" t="str">
        <x:v>Medium</x:v>
      </x:c>
      <x:c r="K1170" t="n">
        <x:v>58.9</x:v>
      </x:c>
      <x:c r="L1170" t="n">
        <x:v>54</x:v>
      </x:c>
      <x:c r="M1170" t="n">
        <x:v>58.8</x:v>
      </x:c>
      <x:c r="N1170" t="str">
        <x:v>Pessimistic</x:v>
      </x:c>
      <x:c r="O1170" t="str">
        <x:v>Most Likely</x:v>
      </x:c>
    </x:row>
    <x:row r="1171">
      <x:c r="A1171" t="str">
        <x:v>PJT_1170</x:v>
      </x:c>
      <x:c r="B1171" t="n">
        <x:v>17634400</x:v>
      </x:c>
      <x:c r="C1171" t="n">
        <x:v>17242322</x:v>
      </x:c>
      <x:c r="D1171" t="n">
        <x:v>-392078</x:v>
      </x:c>
      <x:c r="E1171" t="n">
        <x:v>-0.0222</x:v>
      </x:c>
      <x:c r="F1171" t="n">
        <x:v>499</x:v>
      </x:c>
      <x:c r="G1171" t="n">
        <x:v>483</x:v>
      </x:c>
      <x:c r="H1171" t="n">
        <x:v>-16</x:v>
      </x:c>
      <x:c r="I1171" t="n">
        <x:v>-0.0321</x:v>
      </x:c>
      <x:c r="J1171" t="str">
        <x:v>Low</x:v>
      </x:c>
      <x:c r="K1171" t="n">
        <x:v>38</x:v>
      </x:c>
      <x:c r="L1171" t="n">
        <x:v>33.4</x:v>
      </x:c>
      <x:c r="M1171" t="n">
        <x:v>35.5</x:v>
      </x:c>
      <x:c r="N1171" t="str">
        <x:v>Optimistic</x:v>
      </x:c>
      <x:c r="O1171" t="str">
        <x:v>Optimistic</x:v>
      </x:c>
    </x:row>
    <x:row r="1172">
      <x:c r="A1172" t="str">
        <x:v>PJT_1171</x:v>
      </x:c>
      <x:c r="B1172" t="n">
        <x:v>84591320</x:v>
      </x:c>
      <x:c r="C1172" t="n">
        <x:v>91522018</x:v>
      </x:c>
      <x:c r="D1172" t="n">
        <x:v>6930698</x:v>
      </x:c>
      <x:c r="E1172" t="n">
        <x:v>0.0819</x:v>
      </x:c>
      <x:c r="F1172" t="n">
        <x:v>1673</x:v>
      </x:c>
      <x:c r="G1172" t="n">
        <x:v>1949</x:v>
      </x:c>
      <x:c r="H1172" t="n">
        <x:v>276</x:v>
      </x:c>
      <x:c r="I1172" t="n">
        <x:v>0.165</x:v>
      </x:c>
      <x:c r="J1172" t="str">
        <x:v>Medium</x:v>
      </x:c>
      <x:c r="K1172" t="n">
        <x:v>61.4</x:v>
      </x:c>
      <x:c r="L1172" t="n">
        <x:v>66.5</x:v>
      </x:c>
      <x:c r="M1172" t="n">
        <x:v>68.9</x:v>
      </x:c>
      <x:c r="N1172" t="str">
        <x:v>Most Likely</x:v>
      </x:c>
      <x:c r="O1172" t="str">
        <x:v>Pessimistic</x:v>
      </x:c>
    </x:row>
    <x:row r="1173">
      <x:c r="A1173" t="str">
        <x:v>PJT_1172</x:v>
      </x:c>
      <x:c r="B1173" t="n">
        <x:v>60937920</x:v>
      </x:c>
      <x:c r="C1173" t="n">
        <x:v>66275158</x:v>
      </x:c>
      <x:c r="D1173" t="n">
        <x:v>5337238</x:v>
      </x:c>
      <x:c r="E1173" t="n">
        <x:v>0.0876</x:v>
      </x:c>
      <x:c r="F1173" t="n">
        <x:v>1112</x:v>
      </x:c>
      <x:c r="G1173" t="n">
        <x:v>1199</x:v>
      </x:c>
      <x:c r="H1173" t="n">
        <x:v>87</x:v>
      </x:c>
      <x:c r="I1173" t="n">
        <x:v>0.0782</x:v>
      </x:c>
      <x:c r="J1173" t="str">
        <x:v>Medium</x:v>
      </x:c>
      <x:c r="K1173" t="n">
        <x:v>58.2</x:v>
      </x:c>
      <x:c r="L1173" t="n">
        <x:v>52.4</x:v>
      </x:c>
      <x:c r="M1173" t="n">
        <x:v>57.4</x:v>
      </x:c>
      <x:c r="N1173" t="str">
        <x:v>Most Likely</x:v>
      </x:c>
      <x:c r="O1173" t="str">
        <x:v>Most Likely</x:v>
      </x:c>
    </x:row>
    <x:row r="1174">
      <x:c r="A1174" t="str">
        <x:v>PJT_1173</x:v>
      </x:c>
      <x:c r="B1174" t="n">
        <x:v>71979840</x:v>
      </x:c>
      <x:c r="C1174" t="n">
        <x:v>74478231</x:v>
      </x:c>
      <x:c r="D1174" t="n">
        <x:v>2498391</x:v>
      </x:c>
      <x:c r="E1174" t="n">
        <x:v>0.0347</x:v>
      </x:c>
      <x:c r="F1174" t="n">
        <x:v>1503</x:v>
      </x:c>
      <x:c r="G1174" t="n">
        <x:v>1607</x:v>
      </x:c>
      <x:c r="H1174" t="n">
        <x:v>104</x:v>
      </x:c>
      <x:c r="I1174" t="n">
        <x:v>0.0692</x:v>
      </x:c>
      <x:c r="J1174" t="str">
        <x:v>Medium</x:v>
      </x:c>
      <x:c r="K1174" t="n">
        <x:v>62.5</x:v>
      </x:c>
      <x:c r="L1174" t="n">
        <x:v>65.4</x:v>
      </x:c>
      <x:c r="M1174" t="n">
        <x:v>72</x:v>
      </x:c>
      <x:c r="N1174" t="str">
        <x:v>Most Likely</x:v>
      </x:c>
      <x:c r="O1174" t="str">
        <x:v>Most Likely</x:v>
      </x:c>
    </x:row>
    <x:row r="1175">
      <x:c r="A1175" t="str">
        <x:v>PJT_1174</x:v>
      </x:c>
      <x:c r="B1175" t="n">
        <x:v>48027840</x:v>
      </x:c>
      <x:c r="C1175" t="n">
        <x:v>49336160</x:v>
      </x:c>
      <x:c r="D1175" t="n">
        <x:v>1308320</x:v>
      </x:c>
      <x:c r="E1175" t="n">
        <x:v>0.0272</x:v>
      </x:c>
      <x:c r="F1175" t="n">
        <x:v>1011</x:v>
      </x:c>
      <x:c r="G1175" t="n">
        <x:v>1082</x:v>
      </x:c>
      <x:c r="H1175" t="n">
        <x:v>71</x:v>
      </x:c>
      <x:c r="I1175" t="n">
        <x:v>0.0702</x:v>
      </x:c>
      <x:c r="J1175" t="str">
        <x:v>Medium</x:v>
      </x:c>
      <x:c r="K1175" t="n">
        <x:v>50.3</x:v>
      </x:c>
      <x:c r="L1175" t="n">
        <x:v>54.5</x:v>
      </x:c>
      <x:c r="M1175" t="n">
        <x:v>56.3</x:v>
      </x:c>
      <x:c r="N1175" t="str">
        <x:v>Most Likely</x:v>
      </x:c>
      <x:c r="O1175" t="str">
        <x:v>Most Likely</x:v>
      </x:c>
    </x:row>
    <x:row r="1176">
      <x:c r="A1176" t="str">
        <x:v>PJT_1175</x:v>
      </x:c>
      <x:c r="B1176" t="n">
        <x:v>9358680</x:v>
      </x:c>
      <x:c r="C1176" t="n">
        <x:v>9626328</x:v>
      </x:c>
      <x:c r="D1176" t="n">
        <x:v>267648</x:v>
      </x:c>
      <x:c r="E1176" t="n">
        <x:v>0.0286</x:v>
      </x:c>
      <x:c r="F1176" t="n">
        <x:v>217</x:v>
      </x:c>
      <x:c r="G1176" t="n">
        <x:v>215</x:v>
      </x:c>
      <x:c r="H1176" t="n">
        <x:v>-2</x:v>
      </x:c>
      <x:c r="I1176" t="n">
        <x:v>-0.0092</x:v>
      </x:c>
      <x:c r="J1176" t="str">
        <x:v>Low</x:v>
      </x:c>
      <x:c r="K1176" t="n">
        <x:v>32.6</x:v>
      </x:c>
      <x:c r="L1176" t="n">
        <x:v>35.9</x:v>
      </x:c>
      <x:c r="M1176" t="n">
        <x:v>33.5</x:v>
      </x:c>
      <x:c r="N1176" t="str">
        <x:v>Most Likely</x:v>
      </x:c>
      <x:c r="O1176" t="str">
        <x:v>Optimistic</x:v>
      </x:c>
    </x:row>
    <x:row r="1177">
      <x:c r="A1177" t="str">
        <x:v>PJT_1176</x:v>
      </x:c>
      <x:c r="B1177" t="n">
        <x:v>68781960</x:v>
      </x:c>
      <x:c r="C1177" t="n">
        <x:v>70492644</x:v>
      </x:c>
      <x:c r="D1177" t="n">
        <x:v>1710684</x:v>
      </x:c>
      <x:c r="E1177" t="n">
        <x:v>0.0249</x:v>
      </x:c>
      <x:c r="F1177" t="n">
        <x:v>1376</x:v>
      </x:c>
      <x:c r="G1177" t="n">
        <x:v>1399</x:v>
      </x:c>
      <x:c r="H1177" t="n">
        <x:v>23</x:v>
      </x:c>
      <x:c r="I1177" t="n">
        <x:v>0.0167</x:v>
      </x:c>
      <x:c r="J1177" t="str">
        <x:v>Medium</x:v>
      </x:c>
      <x:c r="K1177" t="n">
        <x:v>53.9</x:v>
      </x:c>
      <x:c r="L1177" t="n">
        <x:v>48.9</x:v>
      </x:c>
      <x:c r="M1177" t="n">
        <x:v>49.1</x:v>
      </x:c>
      <x:c r="N1177" t="str">
        <x:v>Most Likely</x:v>
      </x:c>
      <x:c r="O1177" t="str">
        <x:v>Most Likely</x:v>
      </x:c>
    </x:row>
    <x:row r="1178">
      <x:c r="A1178" t="str">
        <x:v>PJT_1177</x:v>
      </x:c>
      <x:c r="B1178" t="n">
        <x:v>44322660</x:v>
      </x:c>
      <x:c r="C1178" t="n">
        <x:v>43986124</x:v>
      </x:c>
      <x:c r="D1178" t="n">
        <x:v>-336536</x:v>
      </x:c>
      <x:c r="E1178" t="n">
        <x:v>-0.0076</x:v>
      </x:c>
      <x:c r="F1178" t="n">
        <x:v>811</x:v>
      </x:c>
      <x:c r="G1178" t="n">
        <x:v>835</x:v>
      </x:c>
      <x:c r="H1178" t="n">
        <x:v>24</x:v>
      </x:c>
      <x:c r="I1178" t="n">
        <x:v>0.0296</x:v>
      </x:c>
      <x:c r="J1178" t="str">
        <x:v>Medium</x:v>
      </x:c>
      <x:c r="K1178" t="n">
        <x:v>47.4</x:v>
      </x:c>
      <x:c r="L1178" t="n">
        <x:v>43.3</x:v>
      </x:c>
      <x:c r="M1178" t="n">
        <x:v>41.7</x:v>
      </x:c>
      <x:c r="N1178" t="str">
        <x:v>Optimistic</x:v>
      </x:c>
      <x:c r="O1178" t="str">
        <x:v>Most Likely</x:v>
      </x:c>
    </x:row>
    <x:row r="1179">
      <x:c r="A1179" t="str">
        <x:v>PJT_1178</x:v>
      </x:c>
      <x:c r="B1179" t="n">
        <x:v>19816280</x:v>
      </x:c>
      <x:c r="C1179" t="n">
        <x:v>19548034</x:v>
      </x:c>
      <x:c r="D1179" t="n">
        <x:v>-268246</x:v>
      </x:c>
      <x:c r="E1179" t="n">
        <x:v>-0.0135</x:v>
      </x:c>
      <x:c r="F1179" t="n">
        <x:v>438</x:v>
      </x:c>
      <x:c r="G1179" t="n">
        <x:v>424</x:v>
      </x:c>
      <x:c r="H1179" t="n">
        <x:v>-14</x:v>
      </x:c>
      <x:c r="I1179" t="n">
        <x:v>-0.032</x:v>
      </x:c>
      <x:c r="J1179" t="str">
        <x:v>Low</x:v>
      </x:c>
      <x:c r="K1179" t="n">
        <x:v>32.6</x:v>
      </x:c>
      <x:c r="L1179" t="n">
        <x:v>32.3</x:v>
      </x:c>
      <x:c r="M1179" t="n">
        <x:v>30.6</x:v>
      </x:c>
      <x:c r="N1179" t="str">
        <x:v>Optimistic</x:v>
      </x:c>
      <x:c r="O1179" t="str">
        <x:v>Optimistic</x:v>
      </x:c>
    </x:row>
    <x:row r="1180">
      <x:c r="A1180" t="str">
        <x:v>PJT_1179</x:v>
      </x:c>
      <x:c r="B1180" t="n">
        <x:v>25519200</x:v>
      </x:c>
      <x:c r="C1180" t="n">
        <x:v>26401821</x:v>
      </x:c>
      <x:c r="D1180" t="n">
        <x:v>882621</x:v>
      </x:c>
      <x:c r="E1180" t="n">
        <x:v>0.0346</x:v>
      </x:c>
      <x:c r="F1180" t="n">
        <x:v>691</x:v>
      </x:c>
      <x:c r="G1180" t="n">
        <x:v>719</x:v>
      </x:c>
      <x:c r="H1180" t="n">
        <x:v>28</x:v>
      </x:c>
      <x:c r="I1180" t="n">
        <x:v>0.0405</x:v>
      </x:c>
      <x:c r="J1180" t="str">
        <x:v>Low</x:v>
      </x:c>
      <x:c r="K1180" t="n">
        <x:v>43.9</x:v>
      </x:c>
      <x:c r="L1180" t="n">
        <x:v>42.3</x:v>
      </x:c>
      <x:c r="M1180" t="n">
        <x:v>44.8</x:v>
      </x:c>
      <x:c r="N1180" t="str">
        <x:v>Most Likely</x:v>
      </x:c>
      <x:c r="O1180" t="str">
        <x:v>Most Likely</x:v>
      </x:c>
    </x:row>
    <x:row r="1181">
      <x:c r="A1181" t="str">
        <x:v>PJT_1180</x:v>
      </x:c>
      <x:c r="B1181" t="n">
        <x:v>96758200</x:v>
      </x:c>
      <x:c r="C1181" t="n">
        <x:v>101442015</x:v>
      </x:c>
      <x:c r="D1181" t="n">
        <x:v>4683815</x:v>
      </x:c>
      <x:c r="E1181" t="n">
        <x:v>0.0484</x:v>
      </x:c>
      <x:c r="F1181" t="n">
        <x:v>1943</x:v>
      </x:c>
      <x:c r="G1181" t="n">
        <x:v>2215</x:v>
      </x:c>
      <x:c r="H1181" t="n">
        <x:v>272</x:v>
      </x:c>
      <x:c r="I1181" t="n">
        <x:v>0.14</x:v>
      </x:c>
      <x:c r="J1181" t="str">
        <x:v>Medium</x:v>
      </x:c>
      <x:c r="K1181" t="n">
        <x:v>64.9</x:v>
      </x:c>
      <x:c r="L1181" t="n">
        <x:v>61.4</x:v>
      </x:c>
      <x:c r="M1181" t="n">
        <x:v>68.1</x:v>
      </x:c>
      <x:c r="N1181" t="str">
        <x:v>Most Likely</x:v>
      </x:c>
      <x:c r="O1181" t="str">
        <x:v>Pessimistic</x:v>
      </x:c>
    </x:row>
    <x:row r="1182">
      <x:c r="A1182" t="str">
        <x:v>PJT_1181</x:v>
      </x:c>
      <x:c r="B1182" t="n">
        <x:v>15457090</x:v>
      </x:c>
      <x:c r="C1182" t="n">
        <x:v>14862263</x:v>
      </x:c>
      <x:c r="D1182" t="n">
        <x:v>-594827</x:v>
      </x:c>
      <x:c r="E1182" t="n">
        <x:v>-0.0385</x:v>
      </x:c>
      <x:c r="F1182" t="n">
        <x:v>262</x:v>
      </x:c>
      <x:c r="G1182" t="n">
        <x:v>258</x:v>
      </x:c>
      <x:c r="H1182" t="n">
        <x:v>-4</x:v>
      </x:c>
      <x:c r="I1182" t="n">
        <x:v>-0.0153</x:v>
      </x:c>
      <x:c r="J1182" t="str">
        <x:v>Low</x:v>
      </x:c>
      <x:c r="K1182" t="n">
        <x:v>28.8</x:v>
      </x:c>
      <x:c r="L1182" t="n">
        <x:v>30.9</x:v>
      </x:c>
      <x:c r="M1182" t="n">
        <x:v>29.8</x:v>
      </x:c>
      <x:c r="N1182" t="str">
        <x:v>Optimistic</x:v>
      </x:c>
      <x:c r="O1182" t="str">
        <x:v>Optimistic</x:v>
      </x:c>
    </x:row>
    <x:row r="1183">
      <x:c r="A1183" t="str">
        <x:v>PJT_1182</x:v>
      </x:c>
      <x:c r="B1183" t="n">
        <x:v>25980860</x:v>
      </x:c>
      <x:c r="C1183" t="n">
        <x:v>22863157</x:v>
      </x:c>
      <x:c r="D1183" t="n">
        <x:v>-3117703</x:v>
      </x:c>
      <x:c r="E1183" t="n">
        <x:v>-0.12</x:v>
      </x:c>
      <x:c r="F1183" t="n">
        <x:v>487</x:v>
      </x:c>
      <x:c r="G1183" t="n">
        <x:v>493</x:v>
      </x:c>
      <x:c r="H1183" t="n">
        <x:v>6</x:v>
      </x:c>
      <x:c r="I1183" t="n">
        <x:v>0.0123</x:v>
      </x:c>
      <x:c r="J1183" t="str">
        <x:v>Low</x:v>
      </x:c>
      <x:c r="K1183" t="n">
        <x:v>31.8</x:v>
      </x:c>
      <x:c r="L1183" t="n">
        <x:v>29.8</x:v>
      </x:c>
      <x:c r="M1183" t="n">
        <x:v>32</x:v>
      </x:c>
      <x:c r="N1183" t="str">
        <x:v>Optimistic</x:v>
      </x:c>
      <x:c r="O1183" t="str">
        <x:v>Most Likely</x:v>
      </x:c>
    </x:row>
    <x:row r="1184">
      <x:c r="A1184" t="str">
        <x:v>PJT_1183</x:v>
      </x:c>
      <x:c r="B1184" t="n">
        <x:v>31813600</x:v>
      </x:c>
      <x:c r="C1184" t="n">
        <x:v>34185825</x:v>
      </x:c>
      <x:c r="D1184" t="n">
        <x:v>2372225</x:v>
      </x:c>
      <x:c r="E1184" t="n">
        <x:v>0.0746</x:v>
      </x:c>
      <x:c r="F1184" t="n">
        <x:v>620</x:v>
      </x:c>
      <x:c r="G1184" t="n">
        <x:v>662</x:v>
      </x:c>
      <x:c r="H1184" t="n">
        <x:v>42</x:v>
      </x:c>
      <x:c r="I1184" t="n">
        <x:v>0.0677</x:v>
      </x:c>
      <x:c r="J1184" t="str">
        <x:v>Medium</x:v>
      </x:c>
      <x:c r="K1184" t="n">
        <x:v>45.8</x:v>
      </x:c>
      <x:c r="L1184" t="n">
        <x:v>43.4</x:v>
      </x:c>
      <x:c r="M1184" t="n">
        <x:v>49.9</x:v>
      </x:c>
      <x:c r="N1184" t="str">
        <x:v>Most Likely</x:v>
      </x:c>
      <x:c r="O1184" t="str">
        <x:v>Most Likely</x:v>
      </x:c>
    </x:row>
    <x:row r="1185">
      <x:c r="A1185" t="str">
        <x:v>PJT_1184</x:v>
      </x:c>
      <x:c r="B1185" t="n">
        <x:v>94281000</x:v>
      </x:c>
      <x:c r="C1185" t="n">
        <x:v>98229833</x:v>
      </x:c>
      <x:c r="D1185" t="n">
        <x:v>3948833</x:v>
      </x:c>
      <x:c r="E1185" t="n">
        <x:v>0.0419</x:v>
      </x:c>
      <x:c r="F1185" t="n">
        <x:v>1795</x:v>
      </x:c>
      <x:c r="G1185" t="n">
        <x:v>1897</x:v>
      </x:c>
      <x:c r="H1185" t="n">
        <x:v>102</x:v>
      </x:c>
      <x:c r="I1185" t="n">
        <x:v>0.0568</x:v>
      </x:c>
      <x:c r="J1185" t="str">
        <x:v>Medium</x:v>
      </x:c>
      <x:c r="K1185" t="n">
        <x:v>54.8</x:v>
      </x:c>
      <x:c r="L1185" t="n">
        <x:v>61.4</x:v>
      </x:c>
      <x:c r="M1185" t="n">
        <x:v>51.5</x:v>
      </x:c>
      <x:c r="N1185" t="str">
        <x:v>Most Likely</x:v>
      </x:c>
      <x:c r="O1185" t="str">
        <x:v>Most Likely</x:v>
      </x:c>
    </x:row>
    <x:row r="1186">
      <x:c r="A1186" t="str">
        <x:v>PJT_1185</x:v>
      </x:c>
      <x:c r="B1186" t="n">
        <x:v>11251830</x:v>
      </x:c>
      <x:c r="C1186" t="n">
        <x:v>10795540</x:v>
      </x:c>
      <x:c r="D1186" t="n">
        <x:v>-456290</x:v>
      </x:c>
      <x:c r="E1186" t="n">
        <x:v>-0.0406</x:v>
      </x:c>
      <x:c r="F1186" t="n">
        <x:v>203</x:v>
      </x:c>
      <x:c r="G1186" t="n">
        <x:v>201</x:v>
      </x:c>
      <x:c r="H1186" t="n">
        <x:v>-2</x:v>
      </x:c>
      <x:c r="I1186" t="n">
        <x:v>-0.0099</x:v>
      </x:c>
      <x:c r="J1186" t="str">
        <x:v>Low</x:v>
      </x:c>
      <x:c r="K1186" t="n">
        <x:v>31.8</x:v>
      </x:c>
      <x:c r="L1186" t="n">
        <x:v>35.4</x:v>
      </x:c>
      <x:c r="M1186" t="n">
        <x:v>32.7</x:v>
      </x:c>
      <x:c r="N1186" t="str">
        <x:v>Optimistic</x:v>
      </x:c>
      <x:c r="O1186" t="str">
        <x:v>Optimistic</x:v>
      </x:c>
    </x:row>
    <x:row r="1187">
      <x:c r="A1187" t="str">
        <x:v>PJT_1186</x:v>
      </x:c>
      <x:c r="B1187" t="n">
        <x:v>41761200</x:v>
      </x:c>
      <x:c r="C1187" t="n">
        <x:v>47371839</x:v>
      </x:c>
      <x:c r="D1187" t="n">
        <x:v>5610639</x:v>
      </x:c>
      <x:c r="E1187" t="n">
        <x:v>0.1344</x:v>
      </x:c>
      <x:c r="F1187" t="n">
        <x:v>824</x:v>
      </x:c>
      <x:c r="G1187" t="n">
        <x:v>896</x:v>
      </x:c>
      <x:c r="H1187" t="n">
        <x:v>72</x:v>
      </x:c>
      <x:c r="I1187" t="n">
        <x:v>0.0874</x:v>
      </x:c>
      <x:c r="J1187" t="str">
        <x:v>Medium</x:v>
      </x:c>
      <x:c r="K1187" t="n">
        <x:v>54.1</x:v>
      </x:c>
      <x:c r="L1187" t="n">
        <x:v>56.9</x:v>
      </x:c>
      <x:c r="M1187" t="n">
        <x:v>55</x:v>
      </x:c>
      <x:c r="N1187" t="str">
        <x:v>Pessimistic</x:v>
      </x:c>
      <x:c r="O1187" t="str">
        <x:v>Most Likely</x:v>
      </x:c>
    </x:row>
    <x:row r="1188">
      <x:c r="A1188" t="str">
        <x:v>PJT_1187</x:v>
      </x:c>
      <x:c r="B1188" t="n">
        <x:v>74488380</x:v>
      </x:c>
      <x:c r="C1188" t="n">
        <x:v>82452562</x:v>
      </x:c>
      <x:c r="D1188" t="n">
        <x:v>7964182</x:v>
      </x:c>
      <x:c r="E1188" t="n">
        <x:v>0.1069</x:v>
      </x:c>
      <x:c r="F1188" t="n">
        <x:v>1505</x:v>
      </x:c>
      <x:c r="G1188" t="n">
        <x:v>1561</x:v>
      </x:c>
      <x:c r="H1188" t="n">
        <x:v>56</x:v>
      </x:c>
      <x:c r="I1188" t="n">
        <x:v>0.0372</x:v>
      </x:c>
      <x:c r="J1188" t="str">
        <x:v>Medium</x:v>
      </x:c>
      <x:c r="K1188" t="n">
        <x:v>59.8</x:v>
      </x:c>
      <x:c r="L1188" t="n">
        <x:v>59.5</x:v>
      </x:c>
      <x:c r="M1188" t="n">
        <x:v>62.8</x:v>
      </x:c>
      <x:c r="N1188" t="str">
        <x:v>Pessimistic</x:v>
      </x:c>
      <x:c r="O1188" t="str">
        <x:v>Most Likely</x:v>
      </x:c>
    </x:row>
    <x:row r="1189">
      <x:c r="A1189" t="str">
        <x:v>PJT_1188</x:v>
      </x:c>
      <x:c r="B1189" t="n">
        <x:v>39807990</x:v>
      </x:c>
      <x:c r="C1189" t="n">
        <x:v>41980816</x:v>
      </x:c>
      <x:c r="D1189" t="n">
        <x:v>2172826</x:v>
      </x:c>
      <x:c r="E1189" t="n">
        <x:v>0.0546</x:v>
      </x:c>
      <x:c r="F1189" t="n">
        <x:v>786</x:v>
      </x:c>
      <x:c r="G1189" t="n">
        <x:v>792</x:v>
      </x:c>
      <x:c r="H1189" t="n">
        <x:v>6</x:v>
      </x:c>
      <x:c r="I1189" t="n">
        <x:v>0.0076</x:v>
      </x:c>
      <x:c r="J1189" t="str">
        <x:v>Low</x:v>
      </x:c>
      <x:c r="K1189" t="n">
        <x:v>43.5</x:v>
      </x:c>
      <x:c r="L1189" t="n">
        <x:v>46.1</x:v>
      </x:c>
      <x:c r="M1189" t="n">
        <x:v>45.9</x:v>
      </x:c>
      <x:c r="N1189" t="str">
        <x:v>Most Likely</x:v>
      </x:c>
      <x:c r="O1189" t="str">
        <x:v>Most Likely</x:v>
      </x:c>
    </x:row>
    <x:row r="1190">
      <x:c r="A1190" t="str">
        <x:v>PJT_1189</x:v>
      </x:c>
      <x:c r="B1190" t="n">
        <x:v>10160680</x:v>
      </x:c>
      <x:c r="C1190" t="n">
        <x:v>10198470</x:v>
      </x:c>
      <x:c r="D1190" t="n">
        <x:v>37790</x:v>
      </x:c>
      <x:c r="E1190" t="n">
        <x:v>0.0037</x:v>
      </x:c>
      <x:c r="F1190" t="n">
        <x:v>180</x:v>
      </x:c>
      <x:c r="G1190" t="n">
        <x:v>182</x:v>
      </x:c>
      <x:c r="H1190" t="n">
        <x:v>2</x:v>
      </x:c>
      <x:c r="I1190" t="n">
        <x:v>0.0111</x:v>
      </x:c>
      <x:c r="J1190" t="str">
        <x:v>Low</x:v>
      </x:c>
      <x:c r="K1190" t="n">
        <x:v>30.6</x:v>
      </x:c>
      <x:c r="L1190" t="n">
        <x:v>36.6</x:v>
      </x:c>
      <x:c r="M1190" t="n">
        <x:v>25.6</x:v>
      </x:c>
      <x:c r="N1190" t="str">
        <x:v>Most Likely</x:v>
      </x:c>
      <x:c r="O1190" t="str">
        <x:v>Most Likely</x:v>
      </x:c>
    </x:row>
    <x:row r="1191">
      <x:c r="A1191" t="str">
        <x:v>PJT_1190</x:v>
      </x:c>
      <x:c r="B1191" t="n">
        <x:v>40333200</x:v>
      </x:c>
      <x:c r="C1191" t="n">
        <x:v>44289520</x:v>
      </x:c>
      <x:c r="D1191" t="n">
        <x:v>3956320</x:v>
      </x:c>
      <x:c r="E1191" t="n">
        <x:v>0.0981</x:v>
      </x:c>
      <x:c r="F1191" t="n">
        <x:v>699</x:v>
      </x:c>
      <x:c r="G1191" t="n">
        <x:v>757</x:v>
      </x:c>
      <x:c r="H1191" t="n">
        <x:v>58</x:v>
      </x:c>
      <x:c r="I1191" t="n">
        <x:v>0.083</x:v>
      </x:c>
      <x:c r="J1191" t="str">
        <x:v>Low</x:v>
      </x:c>
      <x:c r="K1191" t="n">
        <x:v>44.7</x:v>
      </x:c>
      <x:c r="L1191" t="n">
        <x:v>51.1</x:v>
      </x:c>
      <x:c r="M1191" t="n">
        <x:v>46</x:v>
      </x:c>
      <x:c r="N1191" t="str">
        <x:v>Most Likely</x:v>
      </x:c>
      <x:c r="O1191" t="str">
        <x:v>Most Likely</x:v>
      </x:c>
    </x:row>
    <x:row r="1192">
      <x:c r="A1192" t="str">
        <x:v>PJT_1191</x:v>
      </x:c>
      <x:c r="B1192" t="n">
        <x:v>35226100</x:v>
      </x:c>
      <x:c r="C1192" t="n">
        <x:v>37612109</x:v>
      </x:c>
      <x:c r="D1192" t="n">
        <x:v>2386009</x:v>
      </x:c>
      <x:c r="E1192" t="n">
        <x:v>0.0677</x:v>
      </x:c>
      <x:c r="F1192" t="n">
        <x:v>838</x:v>
      </x:c>
      <x:c r="G1192" t="n">
        <x:v>854</x:v>
      </x:c>
      <x:c r="H1192" t="n">
        <x:v>16</x:v>
      </x:c>
      <x:c r="I1192" t="n">
        <x:v>0.0191</x:v>
      </x:c>
      <x:c r="J1192" t="str">
        <x:v>Low</x:v>
      </x:c>
      <x:c r="K1192" t="n">
        <x:v>44.3</x:v>
      </x:c>
      <x:c r="L1192" t="n">
        <x:v>49.2</x:v>
      </x:c>
      <x:c r="M1192" t="n">
        <x:v>44.1</x:v>
      </x:c>
      <x:c r="N1192" t="str">
        <x:v>Most Likely</x:v>
      </x:c>
      <x:c r="O1192" t="str">
        <x:v>Most Likely</x:v>
      </x:c>
    </x:row>
    <x:row r="1193">
      <x:c r="A1193" t="str">
        <x:v>PJT_1192</x:v>
      </x:c>
      <x:c r="B1193" t="n">
        <x:v>49549800</x:v>
      </x:c>
      <x:c r="C1193" t="n">
        <x:v>51943674</x:v>
      </x:c>
      <x:c r="D1193" t="n">
        <x:v>2393874</x:v>
      </x:c>
      <x:c r="E1193" t="n">
        <x:v>0.0483</x:v>
      </x:c>
      <x:c r="F1193" t="n">
        <x:v>995</x:v>
      </x:c>
      <x:c r="G1193" t="n">
        <x:v>1091</x:v>
      </x:c>
      <x:c r="H1193" t="n">
        <x:v>96</x:v>
      </x:c>
      <x:c r="I1193" t="n">
        <x:v>0.0965</x:v>
      </x:c>
      <x:c r="J1193" t="str">
        <x:v>Medium</x:v>
      </x:c>
      <x:c r="K1193" t="n">
        <x:v>50.1</x:v>
      </x:c>
      <x:c r="L1193" t="n">
        <x:v>54.4</x:v>
      </x:c>
      <x:c r="M1193" t="n">
        <x:v>52.4</x:v>
      </x:c>
      <x:c r="N1193" t="str">
        <x:v>Most Likely</x:v>
      </x:c>
      <x:c r="O1193" t="str">
        <x:v>Most Likely</x:v>
      </x:c>
    </x:row>
    <x:row r="1194">
      <x:c r="A1194" t="str">
        <x:v>PJT_1193</x:v>
      </x:c>
      <x:c r="B1194" t="n">
        <x:v>17900620</x:v>
      </x:c>
      <x:c r="C1194" t="n">
        <x:v>18567325</x:v>
      </x:c>
      <x:c r="D1194" t="n">
        <x:v>666705</x:v>
      </x:c>
      <x:c r="E1194" t="n">
        <x:v>0.0372</x:v>
      </x:c>
      <x:c r="F1194" t="n">
        <x:v>467</x:v>
      </x:c>
      <x:c r="G1194" t="n">
        <x:v>505</x:v>
      </x:c>
      <x:c r="H1194" t="n">
        <x:v>38</x:v>
      </x:c>
      <x:c r="I1194" t="n">
        <x:v>0.0814</x:v>
      </x:c>
      <x:c r="J1194" t="str">
        <x:v>Medium</x:v>
      </x:c>
      <x:c r="K1194" t="n">
        <x:v>49.3</x:v>
      </x:c>
      <x:c r="L1194" t="n">
        <x:v>49</x:v>
      </x:c>
      <x:c r="M1194" t="n">
        <x:v>50.6</x:v>
      </x:c>
      <x:c r="N1194" t="str">
        <x:v>Most Likely</x:v>
      </x:c>
      <x:c r="O1194" t="str">
        <x:v>Most Likely</x:v>
      </x:c>
    </x:row>
    <x:row r="1195">
      <x:c r="A1195" t="str">
        <x:v>PJT_1194</x:v>
      </x:c>
      <x:c r="B1195" t="n">
        <x:v>21487980</x:v>
      </x:c>
      <x:c r="C1195" t="n">
        <x:v>21300581</x:v>
      </x:c>
      <x:c r="D1195" t="n">
        <x:v>-187399</x:v>
      </x:c>
      <x:c r="E1195" t="n">
        <x:v>-0.0087</x:v>
      </x:c>
      <x:c r="F1195" t="n">
        <x:v>536</x:v>
      </x:c>
      <x:c r="G1195" t="n">
        <x:v>517</x:v>
      </x:c>
      <x:c r="H1195" t="n">
        <x:v>-19</x:v>
      </x:c>
      <x:c r="I1195" t="n">
        <x:v>-0.0354</x:v>
      </x:c>
      <x:c r="J1195" t="str">
        <x:v>Low</x:v>
      </x:c>
      <x:c r="K1195" t="n">
        <x:v>34.4</x:v>
      </x:c>
      <x:c r="L1195" t="n">
        <x:v>34.9</x:v>
      </x:c>
      <x:c r="M1195" t="n">
        <x:v>32</x:v>
      </x:c>
      <x:c r="N1195" t="str">
        <x:v>Optimistic</x:v>
      </x:c>
      <x:c r="O1195" t="str">
        <x:v>Optimistic</x:v>
      </x:c>
    </x:row>
    <x:row r="1196">
      <x:c r="A1196" t="str">
        <x:v>PJT_1195</x:v>
      </x:c>
      <x:c r="B1196" t="n">
        <x:v>15600240</x:v>
      </x:c>
      <x:c r="C1196" t="n">
        <x:v>16147133</x:v>
      </x:c>
      <x:c r="D1196" t="n">
        <x:v>546893</x:v>
      </x:c>
      <x:c r="E1196" t="n">
        <x:v>0.0351</x:v>
      </x:c>
      <x:c r="F1196" t="n">
        <x:v>388</x:v>
      </x:c>
      <x:c r="G1196" t="n">
        <x:v>399</x:v>
      </x:c>
      <x:c r="H1196" t="n">
        <x:v>11</x:v>
      </x:c>
      <x:c r="I1196" t="n">
        <x:v>0.0284</x:v>
      </x:c>
      <x:c r="J1196" t="str">
        <x:v>Low</x:v>
      </x:c>
      <x:c r="K1196" t="n">
        <x:v>38.4</x:v>
      </x:c>
      <x:c r="L1196" t="n">
        <x:v>39.8</x:v>
      </x:c>
      <x:c r="M1196" t="n">
        <x:v>42.7</x:v>
      </x:c>
      <x:c r="N1196" t="str">
        <x:v>Most Likely</x:v>
      </x:c>
      <x:c r="O1196" t="str">
        <x:v>Most Likely</x:v>
      </x:c>
    </x:row>
    <x:row r="1197">
      <x:c r="A1197" t="str">
        <x:v>PJT_1196</x:v>
      </x:c>
      <x:c r="B1197" t="n">
        <x:v>64968180</x:v>
      </x:c>
      <x:c r="C1197" t="n">
        <x:v>66114939</x:v>
      </x:c>
      <x:c r="D1197" t="n">
        <x:v>1146759</x:v>
      </x:c>
      <x:c r="E1197" t="n">
        <x:v>0.0177</x:v>
      </x:c>
      <x:c r="F1197" t="n">
        <x:v>1153</x:v>
      </x:c>
      <x:c r="G1197" t="n">
        <x:v>1180</x:v>
      </x:c>
      <x:c r="H1197" t="n">
        <x:v>27</x:v>
      </x:c>
      <x:c r="I1197" t="n">
        <x:v>0.0234</x:v>
      </x:c>
      <x:c r="J1197" t="str">
        <x:v>Medium</x:v>
      </x:c>
      <x:c r="K1197" t="n">
        <x:v>57.6</x:v>
      </x:c>
      <x:c r="L1197" t="n">
        <x:v>60.3</x:v>
      </x:c>
      <x:c r="M1197" t="n">
        <x:v>61</x:v>
      </x:c>
      <x:c r="N1197" t="str">
        <x:v>Most Likely</x:v>
      </x:c>
      <x:c r="O1197" t="str">
        <x:v>Most Likely</x:v>
      </x:c>
    </x:row>
    <x:row r="1198">
      <x:c r="A1198" t="str">
        <x:v>PJT_1197</x:v>
      </x:c>
      <x:c r="B1198" t="n">
        <x:v>47569920</x:v>
      </x:c>
      <x:c r="C1198" t="n">
        <x:v>50366433</x:v>
      </x:c>
      <x:c r="D1198" t="n">
        <x:v>2796513</x:v>
      </x:c>
      <x:c r="E1198" t="n">
        <x:v>0.0588</x:v>
      </x:c>
      <x:c r="F1198" t="n">
        <x:v>902</x:v>
      </x:c>
      <x:c r="G1198" t="n">
        <x:v>937</x:v>
      </x:c>
      <x:c r="H1198" t="n">
        <x:v>35</x:v>
      </x:c>
      <x:c r="I1198" t="n">
        <x:v>0.0388</x:v>
      </x:c>
      <x:c r="J1198" t="str">
        <x:v>Medium</x:v>
      </x:c>
      <x:c r="K1198" t="n">
        <x:v>46.1</x:v>
      </x:c>
      <x:c r="L1198" t="n">
        <x:v>51.7</x:v>
      </x:c>
      <x:c r="M1198" t="n">
        <x:v>46.5</x:v>
      </x:c>
      <x:c r="N1198" t="str">
        <x:v>Most Likely</x:v>
      </x:c>
      <x:c r="O1198" t="str">
        <x:v>Most Likely</x:v>
      </x:c>
    </x:row>
    <x:row r="1199">
      <x:c r="A1199" t="str">
        <x:v>PJT_1198</x:v>
      </x:c>
      <x:c r="B1199" t="n">
        <x:v>95087860</x:v>
      </x:c>
      <x:c r="C1199" t="n">
        <x:v>109196292</x:v>
      </x:c>
      <x:c r="D1199" t="n">
        <x:v>14108432</x:v>
      </x:c>
      <x:c r="E1199" t="n">
        <x:v>0.1484</x:v>
      </x:c>
      <x:c r="F1199" t="n">
        <x:v>1841</x:v>
      </x:c>
      <x:c r="G1199" t="n">
        <x:v>2079</x:v>
      </x:c>
      <x:c r="H1199" t="n">
        <x:v>238</x:v>
      </x:c>
      <x:c r="I1199" t="n">
        <x:v>0.1293</x:v>
      </x:c>
      <x:c r="J1199" t="str">
        <x:v>High</x:v>
      </x:c>
      <x:c r="K1199" t="n">
        <x:v>67.4</x:v>
      </x:c>
      <x:c r="L1199" t="n">
        <x:v>69.4</x:v>
      </x:c>
      <x:c r="M1199" t="n">
        <x:v>68.9</x:v>
      </x:c>
      <x:c r="N1199" t="str">
        <x:v>Pessimistic</x:v>
      </x:c>
      <x:c r="O1199" t="str">
        <x:v>Pessimistic</x:v>
      </x:c>
    </x:row>
    <x:row r="1200">
      <x:c r="A1200" t="str">
        <x:v>PJT_1199</x:v>
      </x:c>
      <x:c r="B1200" t="n">
        <x:v>98453250</x:v>
      </x:c>
      <x:c r="C1200" t="n">
        <x:v>110221521</x:v>
      </x:c>
      <x:c r="D1200" t="n">
        <x:v>11768271</x:v>
      </x:c>
      <x:c r="E1200" t="n">
        <x:v>0.1195</x:v>
      </x:c>
      <x:c r="F1200" t="n">
        <x:v>1889</x:v>
      </x:c>
      <x:c r="G1200" t="n">
        <x:v>2129</x:v>
      </x:c>
      <x:c r="H1200" t="n">
        <x:v>240</x:v>
      </x:c>
      <x:c r="I1200" t="n">
        <x:v>0.1271</x:v>
      </x:c>
      <x:c r="J1200" t="str">
        <x:v>High</x:v>
      </x:c>
      <x:c r="K1200" t="n">
        <x:v>71.5</x:v>
      </x:c>
      <x:c r="L1200" t="n">
        <x:v>72.6</x:v>
      </x:c>
      <x:c r="M1200" t="n">
        <x:v>68.2</x:v>
      </x:c>
      <x:c r="N1200" t="str">
        <x:v>Pessimistic</x:v>
      </x:c>
      <x:c r="O1200" t="str">
        <x:v>Pessimistic</x:v>
      </x:c>
    </x:row>
    <x:row r="1201">
      <x:c r="A1201" t="str">
        <x:v>PJT_1200</x:v>
      </x:c>
      <x:c r="B1201" t="n">
        <x:v>46358660</x:v>
      </x:c>
      <x:c r="C1201" t="n">
        <x:v>48975229</x:v>
      </x:c>
      <x:c r="D1201" t="n">
        <x:v>2616569</x:v>
      </x:c>
      <x:c r="E1201" t="n">
        <x:v>0.0564</x:v>
      </x:c>
      <x:c r="F1201" t="n">
        <x:v>947</x:v>
      </x:c>
      <x:c r="G1201" t="n">
        <x:v>998</x:v>
      </x:c>
      <x:c r="H1201" t="n">
        <x:v>51</x:v>
      </x:c>
      <x:c r="I1201" t="n">
        <x:v>0.0539</x:v>
      </x:c>
      <x:c r="J1201" t="str">
        <x:v>Medium</x:v>
      </x:c>
      <x:c r="K1201" t="n">
        <x:v>47.8</x:v>
      </x:c>
      <x:c r="L1201" t="n">
        <x:v>52</x:v>
      </x:c>
      <x:c r="M1201" t="n">
        <x:v>52</x:v>
      </x:c>
      <x:c r="N1201" t="str">
        <x:v>Most Likely</x:v>
      </x:c>
      <x:c r="O1201" t="str">
        <x:v>Most Likely</x:v>
      </x:c>
    </x:row>
    <x:row r="1202">
      <x:c r="A1202" t="str">
        <x:v>PJT_1201</x:v>
      </x:c>
      <x:c r="B1202" t="n">
        <x:v>58484290</x:v>
      </x:c>
      <x:c r="C1202" t="n">
        <x:v>59793979</x:v>
      </x:c>
      <x:c r="D1202" t="n">
        <x:v>1309689</x:v>
      </x:c>
      <x:c r="E1202" t="n">
        <x:v>0.0224</x:v>
      </x:c>
      <x:c r="F1202" t="n">
        <x:v>1134</x:v>
      </x:c>
      <x:c r="G1202" t="n">
        <x:v>1199</x:v>
      </x:c>
      <x:c r="H1202" t="n">
        <x:v>65</x:v>
      </x:c>
      <x:c r="I1202" t="n">
        <x:v>0.0573</x:v>
      </x:c>
      <x:c r="J1202" t="str">
        <x:v>Medium</x:v>
      </x:c>
      <x:c r="K1202" t="n">
        <x:v>45.8</x:v>
      </x:c>
      <x:c r="L1202" t="n">
        <x:v>45.7</x:v>
      </x:c>
      <x:c r="M1202" t="n">
        <x:v>49.2</x:v>
      </x:c>
      <x:c r="N1202" t="str">
        <x:v>Most Likely</x:v>
      </x:c>
      <x:c r="O1202" t="str">
        <x:v>Most Likely</x:v>
      </x:c>
    </x:row>
    <x:row r="1203">
      <x:c r="A1203" t="str">
        <x:v>PJT_1202</x:v>
      </x:c>
      <x:c r="B1203" t="n">
        <x:v>42954350</x:v>
      </x:c>
      <x:c r="C1203" t="n">
        <x:v>45612577</x:v>
      </x:c>
      <x:c r="D1203" t="n">
        <x:v>2658227</x:v>
      </x:c>
      <x:c r="E1203" t="n">
        <x:v>0.0619</x:v>
      </x:c>
      <x:c r="F1203" t="n">
        <x:v>865</x:v>
      </x:c>
      <x:c r="G1203" t="n">
        <x:v>942</x:v>
      </x:c>
      <x:c r="H1203" t="n">
        <x:v>77</x:v>
      </x:c>
      <x:c r="I1203" t="n">
        <x:v>0.089</x:v>
      </x:c>
      <x:c r="J1203" t="str">
        <x:v>Medium</x:v>
      </x:c>
      <x:c r="K1203" t="n">
        <x:v>55.9</x:v>
      </x:c>
      <x:c r="L1203" t="n">
        <x:v>56.6</x:v>
      </x:c>
      <x:c r="M1203" t="n">
        <x:v>55.2</x:v>
      </x:c>
      <x:c r="N1203" t="str">
        <x:v>Most Likely</x:v>
      </x:c>
      <x:c r="O1203" t="str">
        <x:v>Most Likely</x:v>
      </x:c>
    </x:row>
    <x:row r="1204">
      <x:c r="A1204" t="str">
        <x:v>PJT_1203</x:v>
      </x:c>
      <x:c r="B1204" t="n">
        <x:v>52490240</x:v>
      </x:c>
      <x:c r="C1204" t="n">
        <x:v>55747812</x:v>
      </x:c>
      <x:c r="D1204" t="n">
        <x:v>3257572</x:v>
      </x:c>
      <x:c r="E1204" t="n">
        <x:v>0.0621</x:v>
      </x:c>
      <x:c r="F1204" t="n">
        <x:v>997</x:v>
      </x:c>
      <x:c r="G1204" t="n">
        <x:v>1036</x:v>
      </x:c>
      <x:c r="H1204" t="n">
        <x:v>39</x:v>
      </x:c>
      <x:c r="I1204" t="n">
        <x:v>0.0391</x:v>
      </x:c>
      <x:c r="J1204" t="str">
        <x:v>Medium</x:v>
      </x:c>
      <x:c r="K1204" t="n">
        <x:v>47.8</x:v>
      </x:c>
      <x:c r="L1204" t="n">
        <x:v>48.3</x:v>
      </x:c>
      <x:c r="M1204" t="n">
        <x:v>49.8</x:v>
      </x:c>
      <x:c r="N1204" t="str">
        <x:v>Most Likely</x:v>
      </x:c>
      <x:c r="O1204" t="str">
        <x:v>Most Likely</x:v>
      </x:c>
    </x:row>
    <x:row r="1205">
      <x:c r="A1205" t="str">
        <x:v>PJT_1204</x:v>
      </x:c>
      <x:c r="B1205" t="n">
        <x:v>87971570</x:v>
      </x:c>
      <x:c r="C1205" t="n">
        <x:v>91483224</x:v>
      </x:c>
      <x:c r="D1205" t="n">
        <x:v>3511654</x:v>
      </x:c>
      <x:c r="E1205" t="n">
        <x:v>0.0399</x:v>
      </x:c>
      <x:c r="F1205" t="n">
        <x:v>1401</x:v>
      </x:c>
      <x:c r="G1205" t="n">
        <x:v>1416</x:v>
      </x:c>
      <x:c r="H1205" t="n">
        <x:v>15</x:v>
      </x:c>
      <x:c r="I1205" t="n">
        <x:v>0.0107</x:v>
      </x:c>
      <x:c r="J1205" t="str">
        <x:v>Medium</x:v>
      </x:c>
      <x:c r="K1205" t="n">
        <x:v>49</x:v>
      </x:c>
      <x:c r="L1205" t="n">
        <x:v>56.2</x:v>
      </x:c>
      <x:c r="M1205" t="n">
        <x:v>48.3</x:v>
      </x:c>
      <x:c r="N1205" t="str">
        <x:v>Most Likely</x:v>
      </x:c>
      <x:c r="O1205" t="str">
        <x:v>Most Likely</x:v>
      </x:c>
    </x:row>
    <x:row r="1206">
      <x:c r="A1206" t="str">
        <x:v>PJT_1205</x:v>
      </x:c>
      <x:c r="B1206" t="n">
        <x:v>27337170</x:v>
      </x:c>
      <x:c r="C1206" t="n">
        <x:v>29239950</x:v>
      </x:c>
      <x:c r="D1206" t="n">
        <x:v>1902780</x:v>
      </x:c>
      <x:c r="E1206" t="n">
        <x:v>0.0696</x:v>
      </x:c>
      <x:c r="F1206" t="n">
        <x:v>486</x:v>
      </x:c>
      <x:c r="G1206" t="n">
        <x:v>498</x:v>
      </x:c>
      <x:c r="H1206" t="n">
        <x:v>12</x:v>
      </x:c>
      <x:c r="I1206" t="n">
        <x:v>0.0247</x:v>
      </x:c>
      <x:c r="J1206" t="str">
        <x:v>Low</x:v>
      </x:c>
      <x:c r="K1206" t="n">
        <x:v>43.6</x:v>
      </x:c>
      <x:c r="L1206" t="n">
        <x:v>53.2</x:v>
      </x:c>
      <x:c r="M1206" t="n">
        <x:v>43.7</x:v>
      </x:c>
      <x:c r="N1206" t="str">
        <x:v>Most Likely</x:v>
      </x:c>
      <x:c r="O1206" t="str">
        <x:v>Most Likely</x:v>
      </x:c>
    </x:row>
    <x:row r="1207">
      <x:c r="A1207" t="str">
        <x:v>PJT_1206</x:v>
      </x:c>
      <x:c r="B1207" t="n">
        <x:v>12700600</x:v>
      </x:c>
      <x:c r="C1207" t="n">
        <x:v>12863550</x:v>
      </x:c>
      <x:c r="D1207" t="n">
        <x:v>162950</x:v>
      </x:c>
      <x:c r="E1207" t="n">
        <x:v>0.0128</x:v>
      </x:c>
      <x:c r="F1207" t="n">
        <x:v>353</x:v>
      </x:c>
      <x:c r="G1207" t="n">
        <x:v>357</x:v>
      </x:c>
      <x:c r="H1207" t="n">
        <x:v>4</x:v>
      </x:c>
      <x:c r="I1207" t="n">
        <x:v>0.0113</x:v>
      </x:c>
      <x:c r="J1207" t="str">
        <x:v>Low</x:v>
      </x:c>
      <x:c r="K1207" t="n">
        <x:v>35.7</x:v>
      </x:c>
      <x:c r="L1207" t="n">
        <x:v>29.4</x:v>
      </x:c>
      <x:c r="M1207" t="n">
        <x:v>36.7</x:v>
      </x:c>
      <x:c r="N1207" t="str">
        <x:v>Most Likely</x:v>
      </x:c>
      <x:c r="O1207" t="str">
        <x:v>Most Likely</x:v>
      </x:c>
    </x:row>
    <x:row r="1208">
      <x:c r="A1208" t="str">
        <x:v>PJT_1207</x:v>
      </x:c>
      <x:c r="B1208" t="n">
        <x:v>57489600</x:v>
      </x:c>
      <x:c r="C1208" t="n">
        <x:v>59263588</x:v>
      </x:c>
      <x:c r="D1208" t="n">
        <x:v>1773988</x:v>
      </x:c>
      <x:c r="E1208" t="n">
        <x:v>0.0309</x:v>
      </x:c>
      <x:c r="F1208" t="n">
        <x:v>984</x:v>
      </x:c>
      <x:c r="G1208" t="n">
        <x:v>1023</x:v>
      </x:c>
      <x:c r="H1208" t="n">
        <x:v>39</x:v>
      </x:c>
      <x:c r="I1208" t="n">
        <x:v>0.0396</x:v>
      </x:c>
      <x:c r="J1208" t="str">
        <x:v>Medium</x:v>
      </x:c>
      <x:c r="K1208" t="n">
        <x:v>49.8</x:v>
      </x:c>
      <x:c r="L1208" t="n">
        <x:v>51.1</x:v>
      </x:c>
      <x:c r="M1208" t="n">
        <x:v>45.6</x:v>
      </x:c>
      <x:c r="N1208" t="str">
        <x:v>Most Likely</x:v>
      </x:c>
      <x:c r="O1208" t="str">
        <x:v>Most Likely</x:v>
      </x:c>
    </x:row>
    <x:row r="1209">
      <x:c r="A1209" t="str">
        <x:v>PJT_1208</x:v>
      </x:c>
      <x:c r="B1209" t="n">
        <x:v>45980260</x:v>
      </x:c>
      <x:c r="C1209" t="n">
        <x:v>50088579</x:v>
      </x:c>
      <x:c r="D1209" t="n">
        <x:v>4108319</x:v>
      </x:c>
      <x:c r="E1209" t="n">
        <x:v>0.0893</x:v>
      </x:c>
      <x:c r="F1209" t="n">
        <x:v>800</x:v>
      </x:c>
      <x:c r="G1209" t="n">
        <x:v>822</x:v>
      </x:c>
      <x:c r="H1209" t="n">
        <x:v>22</x:v>
      </x:c>
      <x:c r="I1209" t="n">
        <x:v>0.0275</x:v>
      </x:c>
      <x:c r="J1209" t="str">
        <x:v>Medium</x:v>
      </x:c>
      <x:c r="K1209" t="n">
        <x:v>49.3</x:v>
      </x:c>
      <x:c r="L1209" t="n">
        <x:v>51.7</x:v>
      </x:c>
      <x:c r="M1209" t="n">
        <x:v>45.1</x:v>
      </x:c>
      <x:c r="N1209" t="str">
        <x:v>Most Likely</x:v>
      </x:c>
      <x:c r="O1209" t="str">
        <x:v>Most Likely</x:v>
      </x:c>
    </x:row>
    <x:row r="1210">
      <x:c r="A1210" t="str">
        <x:v>PJT_1209</x:v>
      </x:c>
      <x:c r="B1210" t="n">
        <x:v>11537420</x:v>
      </x:c>
      <x:c r="C1210" t="n">
        <x:v>10955830</x:v>
      </x:c>
      <x:c r="D1210" t="n">
        <x:v>-581590</x:v>
      </x:c>
      <x:c r="E1210" t="n">
        <x:v>-0.0504</x:v>
      </x:c>
      <x:c r="F1210" t="n">
        <x:v>268</x:v>
      </x:c>
      <x:c r="G1210" t="n">
        <x:v>268</x:v>
      </x:c>
      <x:c r="H1210" t="n">
        <x:v>0</x:v>
      </x:c>
      <x:c r="I1210" t="n">
        <x:v>0</x:v>
      </x:c>
      <x:c r="J1210" t="str">
        <x:v>Medium</x:v>
      </x:c>
      <x:c r="K1210" t="n">
        <x:v>45.3</x:v>
      </x:c>
      <x:c r="L1210" t="n">
        <x:v>36.8</x:v>
      </x:c>
      <x:c r="M1210" t="n">
        <x:v>41.1</x:v>
      </x:c>
      <x:c r="N1210" t="str">
        <x:v>Optimistic</x:v>
      </x:c>
      <x:c r="O1210" t="str">
        <x:v>Optimistic</x:v>
      </x:c>
    </x:row>
    <x:row r="1211">
      <x:c r="A1211" t="str">
        <x:v>PJT_1210</x:v>
      </x:c>
      <x:c r="B1211" t="n">
        <x:v>26328870</x:v>
      </x:c>
      <x:c r="C1211" t="n">
        <x:v>25406039</x:v>
      </x:c>
      <x:c r="D1211" t="n">
        <x:v>-922831</x:v>
      </x:c>
      <x:c r="E1211" t="n">
        <x:v>-0.0351</x:v>
      </x:c>
      <x:c r="F1211" t="n">
        <x:v>619</x:v>
      </x:c>
      <x:c r="G1211" t="n">
        <x:v>647</x:v>
      </x:c>
      <x:c r="H1211" t="n">
        <x:v>28</x:v>
      </x:c>
      <x:c r="I1211" t="n">
        <x:v>0.0452</x:v>
      </x:c>
      <x:c r="J1211" t="str">
        <x:v>Low</x:v>
      </x:c>
      <x:c r="K1211" t="n">
        <x:v>42.6</x:v>
      </x:c>
      <x:c r="L1211" t="n">
        <x:v>32.9</x:v>
      </x:c>
      <x:c r="M1211" t="n">
        <x:v>43.1</x:v>
      </x:c>
      <x:c r="N1211" t="str">
        <x:v>Optimistic</x:v>
      </x:c>
      <x:c r="O1211" t="str">
        <x:v>Most Likely</x:v>
      </x:c>
    </x:row>
    <x:row r="1212">
      <x:c r="A1212" t="str">
        <x:v>PJT_1211</x:v>
      </x:c>
      <x:c r="B1212" t="n">
        <x:v>15128700</x:v>
      </x:c>
      <x:c r="C1212" t="n">
        <x:v>14893588</x:v>
      </x:c>
      <x:c r="D1212" t="n">
        <x:v>-235112</x:v>
      </x:c>
      <x:c r="E1212" t="n">
        <x:v>-0.0155</x:v>
      </x:c>
      <x:c r="F1212" t="n">
        <x:v>370</x:v>
      </x:c>
      <x:c r="G1212" t="n">
        <x:v>370</x:v>
      </x:c>
      <x:c r="H1212" t="n">
        <x:v>0</x:v>
      </x:c>
      <x:c r="I1212" t="n">
        <x:v>0</x:v>
      </x:c>
      <x:c r="J1212" t="str">
        <x:v>Low</x:v>
      </x:c>
      <x:c r="K1212" t="n">
        <x:v>27</x:v>
      </x:c>
      <x:c r="L1212" t="n">
        <x:v>26.8</x:v>
      </x:c>
      <x:c r="M1212" t="n">
        <x:v>27.3</x:v>
      </x:c>
      <x:c r="N1212" t="str">
        <x:v>Optimistic</x:v>
      </x:c>
      <x:c r="O1212" t="str">
        <x:v>Optimistic</x:v>
      </x:c>
    </x:row>
    <x:row r="1213">
      <x:c r="A1213" t="str">
        <x:v>PJT_1212</x:v>
      </x:c>
      <x:c r="B1213" t="n">
        <x:v>73630550</x:v>
      </x:c>
      <x:c r="C1213" t="n">
        <x:v>79469072</x:v>
      </x:c>
      <x:c r="D1213" t="n">
        <x:v>5838522</x:v>
      </x:c>
      <x:c r="E1213" t="n">
        <x:v>0.0793</x:v>
      </x:c>
      <x:c r="F1213" t="n">
        <x:v>1523</x:v>
      </x:c>
      <x:c r="G1213" t="n">
        <x:v>1640</x:v>
      </x:c>
      <x:c r="H1213" t="n">
        <x:v>117</x:v>
      </x:c>
      <x:c r="I1213" t="n">
        <x:v>0.0768</x:v>
      </x:c>
      <x:c r="J1213" t="str">
        <x:v>Medium</x:v>
      </x:c>
      <x:c r="K1213" t="n">
        <x:v>61.9</x:v>
      </x:c>
      <x:c r="L1213" t="n">
        <x:v>58.5</x:v>
      </x:c>
      <x:c r="M1213" t="n">
        <x:v>66</x:v>
      </x:c>
      <x:c r="N1213" t="str">
        <x:v>Most Likely</x:v>
      </x:c>
      <x:c r="O1213" t="str">
        <x:v>Most Likely</x:v>
      </x:c>
    </x:row>
    <x:row r="1214">
      <x:c r="A1214" t="str">
        <x:v>PJT_1213</x:v>
      </x:c>
      <x:c r="B1214" t="n">
        <x:v>58111020</x:v>
      </x:c>
      <x:c r="C1214" t="n">
        <x:v>62625055</x:v>
      </x:c>
      <x:c r="D1214" t="n">
        <x:v>4514035</x:v>
      </x:c>
      <x:c r="E1214" t="n">
        <x:v>0.0777</x:v>
      </x:c>
      <x:c r="F1214" t="n">
        <x:v>1100</x:v>
      </x:c>
      <x:c r="G1214" t="n">
        <x:v>1051</x:v>
      </x:c>
      <x:c r="H1214" t="n">
        <x:v>-49</x:v>
      </x:c>
      <x:c r="I1214" t="n">
        <x:v>-0.0445</x:v>
      </x:c>
      <x:c r="J1214" t="str">
        <x:v>Medium</x:v>
      </x:c>
      <x:c r="K1214" t="n">
        <x:v>55.3</x:v>
      </x:c>
      <x:c r="L1214" t="n">
        <x:v>55.7</x:v>
      </x:c>
      <x:c r="M1214" t="n">
        <x:v>49.9</x:v>
      </x:c>
      <x:c r="N1214" t="str">
        <x:v>Most Likely</x:v>
      </x:c>
      <x:c r="O1214" t="str">
        <x:v>Optimistic</x:v>
      </x:c>
    </x:row>
    <x:row r="1215">
      <x:c r="A1215" t="str">
        <x:v>PJT_1214</x:v>
      </x:c>
      <x:c r="B1215" t="n">
        <x:v>5351220</x:v>
      </x:c>
      <x:c r="C1215" t="n">
        <x:v>5243246</x:v>
      </x:c>
      <x:c r="D1215" t="n">
        <x:v>-107974</x:v>
      </x:c>
      <x:c r="E1215" t="n">
        <x:v>-0.0202</x:v>
      </x:c>
      <x:c r="F1215" t="n">
        <x:v>180</x:v>
      </x:c>
      <x:c r="G1215" t="n">
        <x:v>180</x:v>
      </x:c>
      <x:c r="H1215" t="n">
        <x:v>0</x:v>
      </x:c>
      <x:c r="I1215" t="n">
        <x:v>0</x:v>
      </x:c>
      <x:c r="J1215" t="str">
        <x:v>Low</x:v>
      </x:c>
      <x:c r="K1215" t="n">
        <x:v>26.2</x:v>
      </x:c>
      <x:c r="L1215" t="n">
        <x:v>33.8</x:v>
      </x:c>
      <x:c r="M1215" t="n">
        <x:v>23.4</x:v>
      </x:c>
      <x:c r="N1215" t="str">
        <x:v>Optimistic</x:v>
      </x:c>
      <x:c r="O1215" t="str">
        <x:v>Optimistic</x:v>
      </x:c>
    </x:row>
    <x:row r="1216">
      <x:c r="A1216" t="str">
        <x:v>PJT_1215</x:v>
      </x:c>
      <x:c r="B1216" t="n">
        <x:v>83231610</x:v>
      </x:c>
      <x:c r="C1216" t="n">
        <x:v>90862656</x:v>
      </x:c>
      <x:c r="D1216" t="n">
        <x:v>7631046</x:v>
      </x:c>
      <x:c r="E1216" t="n">
        <x:v>0.0917</x:v>
      </x:c>
      <x:c r="F1216" t="n">
        <x:v>1669</x:v>
      </x:c>
      <x:c r="G1216" t="n">
        <x:v>1821</x:v>
      </x:c>
      <x:c r="H1216" t="n">
        <x:v>152</x:v>
      </x:c>
      <x:c r="I1216" t="n">
        <x:v>0.0911</x:v>
      </x:c>
      <x:c r="J1216" t="str">
        <x:v>High</x:v>
      </x:c>
      <x:c r="K1216" t="n">
        <x:v>68.4</x:v>
      </x:c>
      <x:c r="L1216" t="n">
        <x:v>69.1</x:v>
      </x:c>
      <x:c r="M1216" t="n">
        <x:v>63.5</x:v>
      </x:c>
      <x:c r="N1216" t="str">
        <x:v>Most Likely</x:v>
      </x:c>
      <x:c r="O1216" t="str">
        <x:v>Most Likely</x:v>
      </x:c>
    </x:row>
    <x:row r="1217">
      <x:c r="A1217" t="str">
        <x:v>PJT_1216</x:v>
      </x:c>
      <x:c r="B1217" t="n">
        <x:v>24361060</x:v>
      </x:c>
      <x:c r="C1217" t="n">
        <x:v>25243152</x:v>
      </x:c>
      <x:c r="D1217" t="n">
        <x:v>882092</x:v>
      </x:c>
      <x:c r="E1217" t="n">
        <x:v>0.0362</x:v>
      </x:c>
      <x:c r="F1217" t="n">
        <x:v>427</x:v>
      </x:c>
      <x:c r="G1217" t="n">
        <x:v>438</x:v>
      </x:c>
      <x:c r="H1217" t="n">
        <x:v>11</x:v>
      </x:c>
      <x:c r="I1217" t="n">
        <x:v>0.0258</x:v>
      </x:c>
      <x:c r="J1217" t="str">
        <x:v>Low</x:v>
      </x:c>
      <x:c r="K1217" t="n">
        <x:v>43.2</x:v>
      </x:c>
      <x:c r="L1217" t="n">
        <x:v>48.9</x:v>
      </x:c>
      <x:c r="M1217" t="n">
        <x:v>45.9</x:v>
      </x:c>
      <x:c r="N1217" t="str">
        <x:v>Most Likely</x:v>
      </x:c>
      <x:c r="O1217" t="str">
        <x:v>Most Likely</x:v>
      </x:c>
    </x:row>
    <x:row r="1218">
      <x:c r="A1218" t="str">
        <x:v>PJT_1217</x:v>
      </x:c>
      <x:c r="B1218" t="n">
        <x:v>23806700</x:v>
      </x:c>
      <x:c r="C1218" t="n">
        <x:v>24117121</x:v>
      </x:c>
      <x:c r="D1218" t="n">
        <x:v>310421</x:v>
      </x:c>
      <x:c r="E1218" t="n">
        <x:v>0.013</x:v>
      </x:c>
      <x:c r="F1218" t="n">
        <x:v>617</x:v>
      </x:c>
      <x:c r="G1218" t="n">
        <x:v>643</x:v>
      </x:c>
      <x:c r="H1218" t="n">
        <x:v>26</x:v>
      </x:c>
      <x:c r="I1218" t="n">
        <x:v>0.0421</x:v>
      </x:c>
      <x:c r="J1218" t="str">
        <x:v>Low</x:v>
      </x:c>
      <x:c r="K1218" t="n">
        <x:v>38.8</x:v>
      </x:c>
      <x:c r="L1218" t="n">
        <x:v>43</x:v>
      </x:c>
      <x:c r="M1218" t="n">
        <x:v>40.4</x:v>
      </x:c>
      <x:c r="N1218" t="str">
        <x:v>Most Likely</x:v>
      </x:c>
      <x:c r="O1218" t="str">
        <x:v>Most Likely</x:v>
      </x:c>
    </x:row>
    <x:row r="1219">
      <x:c r="A1219" t="str">
        <x:v>PJT_1218</x:v>
      </x:c>
      <x:c r="B1219" t="n">
        <x:v>15210240</x:v>
      </x:c>
      <x:c r="C1219" t="n">
        <x:v>15352052</x:v>
      </x:c>
      <x:c r="D1219" t="n">
        <x:v>141812</x:v>
      </x:c>
      <x:c r="E1219" t="n">
        <x:v>0.0093</x:v>
      </x:c>
      <x:c r="F1219" t="n">
        <x:v>401</x:v>
      </x:c>
      <x:c r="G1219" t="n">
        <x:v>404</x:v>
      </x:c>
      <x:c r="H1219" t="n">
        <x:v>3</x:v>
      </x:c>
      <x:c r="I1219" t="n">
        <x:v>0.0075</x:v>
      </x:c>
      <x:c r="J1219" t="str">
        <x:v>Low</x:v>
      </x:c>
      <x:c r="K1219" t="n">
        <x:v>33.3</x:v>
      </x:c>
      <x:c r="L1219" t="n">
        <x:v>37.4</x:v>
      </x:c>
      <x:c r="M1219" t="n">
        <x:v>39.9</x:v>
      </x:c>
      <x:c r="N1219" t="str">
        <x:v>Most Likely</x:v>
      </x:c>
      <x:c r="O1219" t="str">
        <x:v>Most Likely</x:v>
      </x:c>
    </x:row>
    <x:row r="1220">
      <x:c r="A1220" t="str">
        <x:v>PJT_1219</x:v>
      </x:c>
      <x:c r="B1220" t="n">
        <x:v>22613120</x:v>
      </x:c>
      <x:c r="C1220" t="n">
        <x:v>22133822</x:v>
      </x:c>
      <x:c r="D1220" t="n">
        <x:v>-479298</x:v>
      </x:c>
      <x:c r="E1220" t="n">
        <x:v>-0.0212</x:v>
      </x:c>
      <x:c r="F1220" t="n">
        <x:v>581</x:v>
      </x:c>
      <x:c r="G1220" t="n">
        <x:v>603</x:v>
      </x:c>
      <x:c r="H1220" t="n">
        <x:v>22</x:v>
      </x:c>
      <x:c r="I1220" t="n">
        <x:v>0.0379</x:v>
      </x:c>
      <x:c r="J1220" t="str">
        <x:v>Low</x:v>
      </x:c>
      <x:c r="K1220" t="n">
        <x:v>39.8</x:v>
      </x:c>
      <x:c r="L1220" t="n">
        <x:v>43.7</x:v>
      </x:c>
      <x:c r="M1220" t="n">
        <x:v>40.8</x:v>
      </x:c>
      <x:c r="N1220" t="str">
        <x:v>Optimistic</x:v>
      </x:c>
      <x:c r="O1220" t="str">
        <x:v>Most Likely</x:v>
      </x:c>
    </x:row>
    <x:row r="1221">
      <x:c r="A1221" t="str">
        <x:v>PJT_1220</x:v>
      </x:c>
      <x:c r="B1221" t="n">
        <x:v>67711410</x:v>
      </x:c>
      <x:c r="C1221" t="n">
        <x:v>73460633</x:v>
      </x:c>
      <x:c r="D1221" t="n">
        <x:v>5749223</x:v>
      </x:c>
      <x:c r="E1221" t="n">
        <x:v>0.0849</x:v>
      </x:c>
      <x:c r="F1221" t="n">
        <x:v>1293</x:v>
      </x:c>
      <x:c r="G1221" t="n">
        <x:v>1260</x:v>
      </x:c>
      <x:c r="H1221" t="n">
        <x:v>-33</x:v>
      </x:c>
      <x:c r="I1221" t="n">
        <x:v>-0.0255</x:v>
      </x:c>
      <x:c r="J1221" t="str">
        <x:v>Medium</x:v>
      </x:c>
      <x:c r="K1221" t="n">
        <x:v>46.1</x:v>
      </x:c>
      <x:c r="L1221" t="n">
        <x:v>52</x:v>
      </x:c>
      <x:c r="M1221" t="n">
        <x:v>45</x:v>
      </x:c>
      <x:c r="N1221" t="str">
        <x:v>Most Likely</x:v>
      </x:c>
      <x:c r="O1221" t="str">
        <x:v>Optimistic</x:v>
      </x:c>
    </x:row>
    <x:row r="1222">
      <x:c r="A1222" t="str">
        <x:v>PJT_1221</x:v>
      </x:c>
      <x:c r="B1222" t="n">
        <x:v>27986620</x:v>
      </x:c>
      <x:c r="C1222" t="n">
        <x:v>26873018</x:v>
      </x:c>
      <x:c r="D1222" t="n">
        <x:v>-1113602</x:v>
      </x:c>
      <x:c r="E1222" t="n">
        <x:v>-0.0398</x:v>
      </x:c>
      <x:c r="F1222" t="n">
        <x:v>729</x:v>
      </x:c>
      <x:c r="G1222" t="n">
        <x:v>739</x:v>
      </x:c>
      <x:c r="H1222" t="n">
        <x:v>10</x:v>
      </x:c>
      <x:c r="I1222" t="n">
        <x:v>0.0137</x:v>
      </x:c>
      <x:c r="J1222" t="str">
        <x:v>Medium</x:v>
      </x:c>
      <x:c r="K1222" t="n">
        <x:v>47.8</x:v>
      </x:c>
      <x:c r="L1222" t="n">
        <x:v>44.6</x:v>
      </x:c>
      <x:c r="M1222" t="n">
        <x:v>48.4</x:v>
      </x:c>
      <x:c r="N1222" t="str">
        <x:v>Optimistic</x:v>
      </x:c>
      <x:c r="O1222" t="str">
        <x:v>Most Likely</x:v>
      </x:c>
    </x:row>
    <x:row r="1223">
      <x:c r="A1223" t="str">
        <x:v>PJT_1222</x:v>
      </x:c>
      <x:c r="B1223" t="n">
        <x:v>20707150</x:v>
      </x:c>
      <x:c r="C1223" t="n">
        <x:v>22181856</x:v>
      </x:c>
      <x:c r="D1223" t="n">
        <x:v>1474706</x:v>
      </x:c>
      <x:c r="E1223" t="n">
        <x:v>0.0712</x:v>
      </x:c>
      <x:c r="F1223" t="n">
        <x:v>495</x:v>
      </x:c>
      <x:c r="G1223" t="n">
        <x:v>504</x:v>
      </x:c>
      <x:c r="H1223" t="n">
        <x:v>9</x:v>
      </x:c>
      <x:c r="I1223" t="n">
        <x:v>0.0182</x:v>
      </x:c>
      <x:c r="J1223" t="str">
        <x:v>Low</x:v>
      </x:c>
      <x:c r="K1223" t="n">
        <x:v>36.7</x:v>
      </x:c>
      <x:c r="L1223" t="n">
        <x:v>37.7</x:v>
      </x:c>
      <x:c r="M1223" t="n">
        <x:v>39.8</x:v>
      </x:c>
      <x:c r="N1223" t="str">
        <x:v>Most Likely</x:v>
      </x:c>
      <x:c r="O1223" t="str">
        <x:v>Most Likely</x:v>
      </x:c>
    </x:row>
    <x:row r="1224">
      <x:c r="A1224" t="str">
        <x:v>PJT_1223</x:v>
      </x:c>
      <x:c r="B1224" t="n">
        <x:v>31763100</x:v>
      </x:c>
      <x:c r="C1224" t="n">
        <x:v>31057952</x:v>
      </x:c>
      <x:c r="D1224" t="n">
        <x:v>-705148</x:v>
      </x:c>
      <x:c r="E1224" t="n">
        <x:v>-0.0222</x:v>
      </x:c>
      <x:c r="F1224" t="n">
        <x:v>570</x:v>
      </x:c>
      <x:c r="G1224" t="n">
        <x:v>592</x:v>
      </x:c>
      <x:c r="H1224" t="n">
        <x:v>22</x:v>
      </x:c>
      <x:c r="I1224" t="n">
        <x:v>0.0386</x:v>
      </x:c>
      <x:c r="J1224" t="str">
        <x:v>Medium</x:v>
      </x:c>
      <x:c r="K1224" t="n">
        <x:v>46.2</x:v>
      </x:c>
      <x:c r="L1224" t="n">
        <x:v>48.4</x:v>
      </x:c>
      <x:c r="M1224" t="n">
        <x:v>42.2</x:v>
      </x:c>
      <x:c r="N1224" t="str">
        <x:v>Optimistic</x:v>
      </x:c>
      <x:c r="O1224" t="str">
        <x:v>Most Likely</x:v>
      </x:c>
    </x:row>
    <x:row r="1225">
      <x:c r="A1225" t="str">
        <x:v>PJT_1224</x:v>
      </x:c>
      <x:c r="B1225" t="n">
        <x:v>7242200</x:v>
      </x:c>
      <x:c r="C1225" t="n">
        <x:v>7670312</x:v>
      </x:c>
      <x:c r="D1225" t="n">
        <x:v>428112</x:v>
      </x:c>
      <x:c r="E1225" t="n">
        <x:v>0.0591</x:v>
      </x:c>
      <x:c r="F1225" t="n">
        <x:v>180</x:v>
      </x:c>
      <x:c r="G1225" t="n">
        <x:v>172</x:v>
      </x:c>
      <x:c r="H1225" t="n">
        <x:v>-8</x:v>
      </x:c>
      <x:c r="I1225" t="n">
        <x:v>-0.0444</x:v>
      </x:c>
      <x:c r="J1225" t="str">
        <x:v>Low</x:v>
      </x:c>
      <x:c r="K1225" t="n">
        <x:v>28.9</x:v>
      </x:c>
      <x:c r="L1225" t="n">
        <x:v>31.6</x:v>
      </x:c>
      <x:c r="M1225" t="n">
        <x:v>31.2</x:v>
      </x:c>
      <x:c r="N1225" t="str">
        <x:v>Most Likely</x:v>
      </x:c>
      <x:c r="O1225" t="str">
        <x:v>Optimistic</x:v>
      </x:c>
    </x:row>
    <x:row r="1226">
      <x:c r="A1226" t="str">
        <x:v>PJT_1225</x:v>
      </x:c>
      <x:c r="B1226" t="n">
        <x:v>33802560</x:v>
      </x:c>
      <x:c r="C1226" t="n">
        <x:v>35054224</x:v>
      </x:c>
      <x:c r="D1226" t="n">
        <x:v>1251664</x:v>
      </x:c>
      <x:c r="E1226" t="n">
        <x:v>0.037</x:v>
      </x:c>
      <x:c r="F1226" t="n">
        <x:v>616</x:v>
      </x:c>
      <x:c r="G1226" t="n">
        <x:v>641</x:v>
      </x:c>
      <x:c r="H1226" t="n">
        <x:v>25</x:v>
      </x:c>
      <x:c r="I1226" t="n">
        <x:v>0.0406</x:v>
      </x:c>
      <x:c r="J1226" t="str">
        <x:v>Low</x:v>
      </x:c>
      <x:c r="K1226" t="n">
        <x:v>36.7</x:v>
      </x:c>
      <x:c r="L1226" t="n">
        <x:v>40.1</x:v>
      </x:c>
      <x:c r="M1226" t="n">
        <x:v>38.2</x:v>
      </x:c>
      <x:c r="N1226" t="str">
        <x:v>Most Likely</x:v>
      </x:c>
      <x:c r="O1226" t="str">
        <x:v>Most Likely</x:v>
      </x:c>
    </x:row>
    <x:row r="1227">
      <x:c r="A1227" t="str">
        <x:v>PJT_1226</x:v>
      </x:c>
      <x:c r="B1227" t="n">
        <x:v>50838780</x:v>
      </x:c>
      <x:c r="C1227" t="n">
        <x:v>54489943</x:v>
      </x:c>
      <x:c r="D1227" t="n">
        <x:v>3651163</x:v>
      </x:c>
      <x:c r="E1227" t="n">
        <x:v>0.0718</x:v>
      </x:c>
      <x:c r="F1227" t="n">
        <x:v>892</x:v>
      </x:c>
      <x:c r="G1227" t="n">
        <x:v>962</x:v>
      </x:c>
      <x:c r="H1227" t="n">
        <x:v>70</x:v>
      </x:c>
      <x:c r="I1227" t="n">
        <x:v>0.0785</x:v>
      </x:c>
      <x:c r="J1227" t="str">
        <x:v>Medium</x:v>
      </x:c>
      <x:c r="K1227" t="n">
        <x:v>50.3</x:v>
      </x:c>
      <x:c r="L1227" t="n">
        <x:v>53.6</x:v>
      </x:c>
      <x:c r="M1227" t="n">
        <x:v>51.6</x:v>
      </x:c>
      <x:c r="N1227" t="str">
        <x:v>Most Likely</x:v>
      </x:c>
      <x:c r="O1227" t="str">
        <x:v>Most Likely</x:v>
      </x:c>
    </x:row>
    <x:row r="1228">
      <x:c r="A1228" t="str">
        <x:v>PJT_1227</x:v>
      </x:c>
      <x:c r="B1228" t="n">
        <x:v>78393850</x:v>
      </x:c>
      <x:c r="C1228" t="n">
        <x:v>84650858</x:v>
      </x:c>
      <x:c r="D1228" t="n">
        <x:v>6257008</x:v>
      </x:c>
      <x:c r="E1228" t="n">
        <x:v>0.0798</x:v>
      </x:c>
      <x:c r="F1228" t="n">
        <x:v>1549</x:v>
      </x:c>
      <x:c r="G1228" t="n">
        <x:v>1665</x:v>
      </x:c>
      <x:c r="H1228" t="n">
        <x:v>116</x:v>
      </x:c>
      <x:c r="I1228" t="n">
        <x:v>0.0749</x:v>
      </x:c>
      <x:c r="J1228" t="str">
        <x:v>High</x:v>
      </x:c>
      <x:c r="K1228" t="n">
        <x:v>68.8</x:v>
      </x:c>
      <x:c r="L1228" t="n">
        <x:v>62.2</x:v>
      </x:c>
      <x:c r="M1228" t="n">
        <x:v>64.4</x:v>
      </x:c>
      <x:c r="N1228" t="str">
        <x:v>Most Likely</x:v>
      </x:c>
      <x:c r="O1228" t="str">
        <x:v>Most Likely</x:v>
      </x:c>
    </x:row>
    <x:row r="1229">
      <x:c r="A1229" t="str">
        <x:v>PJT_1228</x:v>
      </x:c>
      <x:c r="B1229" t="n">
        <x:v>11685280</x:v>
      </x:c>
      <x:c r="C1229" t="n">
        <x:v>11293928</x:v>
      </x:c>
      <x:c r="D1229" t="n">
        <x:v>-391352</x:v>
      </x:c>
      <x:c r="E1229" t="n">
        <x:v>-0.0335</x:v>
      </x:c>
      <x:c r="F1229" t="n">
        <x:v>275</x:v>
      </x:c>
      <x:c r="G1229" t="n">
        <x:v>279</x:v>
      </x:c>
      <x:c r="H1229" t="n">
        <x:v>4</x:v>
      </x:c>
      <x:c r="I1229" t="n">
        <x:v>0.0145</x:v>
      </x:c>
      <x:c r="J1229" t="str">
        <x:v>Low</x:v>
      </x:c>
      <x:c r="K1229" t="n">
        <x:v>41.6</x:v>
      </x:c>
      <x:c r="L1229" t="n">
        <x:v>36.4</x:v>
      </x:c>
      <x:c r="M1229" t="n">
        <x:v>40.8</x:v>
      </x:c>
      <x:c r="N1229" t="str">
        <x:v>Optimistic</x:v>
      </x:c>
      <x:c r="O1229" t="str">
        <x:v>Most Likely</x:v>
      </x:c>
    </x:row>
    <x:row r="1230">
      <x:c r="A1230" t="str">
        <x:v>PJT_1229</x:v>
      </x:c>
      <x:c r="B1230" t="n">
        <x:v>11070290</x:v>
      </x:c>
      <x:c r="C1230" t="n">
        <x:v>11564075</x:v>
      </x:c>
      <x:c r="D1230" t="n">
        <x:v>493785</x:v>
      </x:c>
      <x:c r="E1230" t="n">
        <x:v>0.0446</x:v>
      </x:c>
      <x:c r="F1230" t="n">
        <x:v>291</x:v>
      </x:c>
      <x:c r="G1230" t="n">
        <x:v>281</x:v>
      </x:c>
      <x:c r="H1230" t="n">
        <x:v>-10</x:v>
      </x:c>
      <x:c r="I1230" t="n">
        <x:v>-0.0344</x:v>
      </x:c>
      <x:c r="J1230" t="str">
        <x:v>Low</x:v>
      </x:c>
      <x:c r="K1230" t="n">
        <x:v>36.4</x:v>
      </x:c>
      <x:c r="L1230" t="n">
        <x:v>27.6</x:v>
      </x:c>
      <x:c r="M1230" t="n">
        <x:v>34.7</x:v>
      </x:c>
      <x:c r="N1230" t="str">
        <x:v>Most Likely</x:v>
      </x:c>
      <x:c r="O1230" t="str">
        <x:v>Optimistic</x:v>
      </x:c>
    </x:row>
    <x:row r="1231">
      <x:c r="A1231" t="str">
        <x:v>PJT_1230</x:v>
      </x:c>
      <x:c r="B1231" t="n">
        <x:v>50916570</x:v>
      </x:c>
      <x:c r="C1231" t="n">
        <x:v>51739887</x:v>
      </x:c>
      <x:c r="D1231" t="n">
        <x:v>823317</x:v>
      </x:c>
      <x:c r="E1231" t="n">
        <x:v>0.0162</x:v>
      </x:c>
      <x:c r="F1231" t="n">
        <x:v>797</x:v>
      </x:c>
      <x:c r="G1231" t="n">
        <x:v>766</x:v>
      </x:c>
      <x:c r="H1231" t="n">
        <x:v>-31</x:v>
      </x:c>
      <x:c r="I1231" t="n">
        <x:v>-0.0389</x:v>
      </x:c>
      <x:c r="J1231" t="str">
        <x:v>Low</x:v>
      </x:c>
      <x:c r="K1231" t="n">
        <x:v>40.6</x:v>
      </x:c>
      <x:c r="L1231" t="n">
        <x:v>44.2</x:v>
      </x:c>
      <x:c r="M1231" t="n">
        <x:v>37.7</x:v>
      </x:c>
      <x:c r="N1231" t="str">
        <x:v>Most Likely</x:v>
      </x:c>
      <x:c r="O1231" t="str">
        <x:v>Optimistic</x:v>
      </x:c>
    </x:row>
    <x:row r="1232">
      <x:c r="A1232" t="str">
        <x:v>PJT_1231</x:v>
      </x:c>
      <x:c r="B1232" t="n">
        <x:v>23751660</x:v>
      </x:c>
      <x:c r="C1232" t="n">
        <x:v>24770259</x:v>
      </x:c>
      <x:c r="D1232" t="n">
        <x:v>1018599</x:v>
      </x:c>
      <x:c r="E1232" t="n">
        <x:v>0.0429</x:v>
      </x:c>
      <x:c r="F1232" t="n">
        <x:v>611</x:v>
      </x:c>
      <x:c r="G1232" t="n">
        <x:v>611</x:v>
      </x:c>
      <x:c r="H1232" t="n">
        <x:v>0</x:v>
      </x:c>
      <x:c r="I1232" t="n">
        <x:v>0</x:v>
      </x:c>
      <x:c r="J1232" t="str">
        <x:v>Low</x:v>
      </x:c>
      <x:c r="K1232" t="n">
        <x:v>42.9</x:v>
      </x:c>
      <x:c r="L1232" t="n">
        <x:v>42.8</x:v>
      </x:c>
      <x:c r="M1232" t="n">
        <x:v>46.4</x:v>
      </x:c>
      <x:c r="N1232" t="str">
        <x:v>Most Likely</x:v>
      </x:c>
      <x:c r="O1232" t="str">
        <x:v>Optimistic</x:v>
      </x:c>
    </x:row>
    <x:row r="1233">
      <x:c r="A1233" t="str">
        <x:v>PJT_1232</x:v>
      </x:c>
      <x:c r="B1233" t="n">
        <x:v>6184110</x:v>
      </x:c>
      <x:c r="C1233" t="n">
        <x:v>5962048</x:v>
      </x:c>
      <x:c r="D1233" t="n">
        <x:v>-222062</x:v>
      </x:c>
      <x:c r="E1233" t="n">
        <x:v>-0.0359</x:v>
      </x:c>
      <x:c r="F1233" t="n">
        <x:v>180</x:v>
      </x:c>
      <x:c r="G1233" t="n">
        <x:v>181</x:v>
      </x:c>
      <x:c r="H1233" t="n">
        <x:v>1</x:v>
      </x:c>
      <x:c r="I1233" t="n">
        <x:v>0.0056</x:v>
      </x:c>
      <x:c r="J1233" t="str">
        <x:v>Low</x:v>
      </x:c>
      <x:c r="K1233" t="n">
        <x:v>29.5</x:v>
      </x:c>
      <x:c r="L1233" t="n">
        <x:v>28.3</x:v>
      </x:c>
      <x:c r="M1233" t="n">
        <x:v>24</x:v>
      </x:c>
      <x:c r="N1233" t="str">
        <x:v>Optimistic</x:v>
      </x:c>
      <x:c r="O1233" t="str">
        <x:v>Most Likely</x:v>
      </x:c>
    </x:row>
    <x:row r="1234">
      <x:c r="A1234" t="str">
        <x:v>PJT_1233</x:v>
      </x:c>
      <x:c r="B1234" t="n">
        <x:v>55228470</x:v>
      </x:c>
      <x:c r="C1234" t="n">
        <x:v>57812916</x:v>
      </x:c>
      <x:c r="D1234" t="n">
        <x:v>2584446</x:v>
      </x:c>
      <x:c r="E1234" t="n">
        <x:v>0.0468</x:v>
      </x:c>
      <x:c r="F1234" t="n">
        <x:v>987</x:v>
      </x:c>
      <x:c r="G1234" t="n">
        <x:v>1030</x:v>
      </x:c>
      <x:c r="H1234" t="n">
        <x:v>43</x:v>
      </x:c>
      <x:c r="I1234" t="n">
        <x:v>0.0436</x:v>
      </x:c>
      <x:c r="J1234" t="str">
        <x:v>Medium</x:v>
      </x:c>
      <x:c r="K1234" t="n">
        <x:v>60.6</x:v>
      </x:c>
      <x:c r="L1234" t="n">
        <x:v>61.8</x:v>
      </x:c>
      <x:c r="M1234" t="n">
        <x:v>54.9</x:v>
      </x:c>
      <x:c r="N1234" t="str">
        <x:v>Most Likely</x:v>
      </x:c>
      <x:c r="O1234" t="str">
        <x:v>Most Likely</x:v>
      </x:c>
    </x:row>
    <x:row r="1235">
      <x:c r="A1235" t="str">
        <x:v>PJT_1234</x:v>
      </x:c>
      <x:c r="B1235" t="n">
        <x:v>26706960</x:v>
      </x:c>
      <x:c r="C1235" t="n">
        <x:v>28177539</x:v>
      </x:c>
      <x:c r="D1235" t="n">
        <x:v>1470579</x:v>
      </x:c>
      <x:c r="E1235" t="n">
        <x:v>0.0551</x:v>
      </x:c>
      <x:c r="F1235" t="n">
        <x:v>474</x:v>
      </x:c>
      <x:c r="G1235" t="n">
        <x:v>486</x:v>
      </x:c>
      <x:c r="H1235" t="n">
        <x:v>12</x:v>
      </x:c>
      <x:c r="I1235" t="n">
        <x:v>0.0253</x:v>
      </x:c>
      <x:c r="J1235" t="str">
        <x:v>Medium</x:v>
      </x:c>
      <x:c r="K1235" t="n">
        <x:v>51.1</x:v>
      </x:c>
      <x:c r="L1235" t="n">
        <x:v>49.6</x:v>
      </x:c>
      <x:c r="M1235" t="n">
        <x:v>43</x:v>
      </x:c>
      <x:c r="N1235" t="str">
        <x:v>Most Likely</x:v>
      </x:c>
      <x:c r="O1235" t="str">
        <x:v>Most Likely</x:v>
      </x:c>
    </x:row>
    <x:row r="1236">
      <x:c r="A1236" t="str">
        <x:v>PJT_1235</x:v>
      </x:c>
      <x:c r="B1236" t="n">
        <x:v>26703300</x:v>
      </x:c>
      <x:c r="C1236" t="n">
        <x:v>28298205</x:v>
      </x:c>
      <x:c r="D1236" t="n">
        <x:v>1594905</x:v>
      </x:c>
      <x:c r="E1236" t="n">
        <x:v>0.0597</x:v>
      </x:c>
      <x:c r="F1236" t="n">
        <x:v>566</x:v>
      </x:c>
      <x:c r="G1236" t="n">
        <x:v>596</x:v>
      </x:c>
      <x:c r="H1236" t="n">
        <x:v>30</x:v>
      </x:c>
      <x:c r="I1236" t="n">
        <x:v>0.053</x:v>
      </x:c>
      <x:c r="J1236" t="str">
        <x:v>Medium</x:v>
      </x:c>
      <x:c r="K1236" t="n">
        <x:v>48.4</x:v>
      </x:c>
      <x:c r="L1236" t="n">
        <x:v>52.8</x:v>
      </x:c>
      <x:c r="M1236" t="n">
        <x:v>52</x:v>
      </x:c>
      <x:c r="N1236" t="str">
        <x:v>Most Likely</x:v>
      </x:c>
      <x:c r="O1236" t="str">
        <x:v>Most Likely</x:v>
      </x:c>
    </x:row>
    <x:row r="1237">
      <x:c r="A1237" t="str">
        <x:v>PJT_1236</x:v>
      </x:c>
      <x:c r="B1237" t="n">
        <x:v>92763440</x:v>
      </x:c>
      <x:c r="C1237" t="n">
        <x:v>99341533</x:v>
      </x:c>
      <x:c r="D1237" t="n">
        <x:v>6578093</x:v>
      </x:c>
      <x:c r="E1237" t="n">
        <x:v>0.0709</x:v>
      </x:c>
      <x:c r="F1237" t="n">
        <x:v>1819</x:v>
      </x:c>
      <x:c r="G1237" t="n">
        <x:v>1946</x:v>
      </x:c>
      <x:c r="H1237" t="n">
        <x:v>127</x:v>
      </x:c>
      <x:c r="I1237" t="n">
        <x:v>0.0698</x:v>
      </x:c>
      <x:c r="J1237" t="str">
        <x:v>Medium</x:v>
      </x:c>
      <x:c r="K1237" t="n">
        <x:v>54.1</x:v>
      </x:c>
      <x:c r="L1237" t="n">
        <x:v>55.3</x:v>
      </x:c>
      <x:c r="M1237" t="n">
        <x:v>55.3</x:v>
      </x:c>
      <x:c r="N1237" t="str">
        <x:v>Most Likely</x:v>
      </x:c>
      <x:c r="O1237" t="str">
        <x:v>Most Likely</x:v>
      </x:c>
    </x:row>
    <x:row r="1238">
      <x:c r="A1238" t="str">
        <x:v>PJT_1237</x:v>
      </x:c>
      <x:c r="B1238" t="n">
        <x:v>56259000</x:v>
      </x:c>
      <x:c r="C1238" t="n">
        <x:v>62322982</x:v>
      </x:c>
      <x:c r="D1238" t="n">
        <x:v>6063982</x:v>
      </x:c>
      <x:c r="E1238" t="n">
        <x:v>0.1078</x:v>
      </x:c>
      <x:c r="F1238" t="n">
        <x:v>972</x:v>
      </x:c>
      <x:c r="G1238" t="n">
        <x:v>1045</x:v>
      </x:c>
      <x:c r="H1238" t="n">
        <x:v>73</x:v>
      </x:c>
      <x:c r="I1238" t="n">
        <x:v>0.0751</x:v>
      </x:c>
      <x:c r="J1238" t="str">
        <x:v>Medium</x:v>
      </x:c>
      <x:c r="K1238" t="n">
        <x:v>46.8</x:v>
      </x:c>
      <x:c r="L1238" t="n">
        <x:v>56.5</x:v>
      </x:c>
      <x:c r="M1238" t="n">
        <x:v>51</x:v>
      </x:c>
      <x:c r="N1238" t="str">
        <x:v>Pessimistic</x:v>
      </x:c>
      <x:c r="O1238" t="str">
        <x:v>Most Likely</x:v>
      </x:c>
    </x:row>
    <x:row r="1239">
      <x:c r="A1239" t="str">
        <x:v>PJT_1238</x:v>
      </x:c>
      <x:c r="B1239" t="n">
        <x:v>39064940</x:v>
      </x:c>
      <x:c r="C1239" t="n">
        <x:v>41447925</x:v>
      </x:c>
      <x:c r="D1239" t="n">
        <x:v>2382985</x:v>
      </x:c>
      <x:c r="E1239" t="n">
        <x:v>0.061</x:v>
      </x:c>
      <x:c r="F1239" t="n">
        <x:v>796</x:v>
      </x:c>
      <x:c r="G1239" t="n">
        <x:v>834</x:v>
      </x:c>
      <x:c r="H1239" t="n">
        <x:v>38</x:v>
      </x:c>
      <x:c r="I1239" t="n">
        <x:v>0.0477</x:v>
      </x:c>
      <x:c r="J1239" t="str">
        <x:v>Medium</x:v>
      </x:c>
      <x:c r="K1239" t="n">
        <x:v>52.9</x:v>
      </x:c>
      <x:c r="L1239" t="n">
        <x:v>50</x:v>
      </x:c>
      <x:c r="M1239" t="n">
        <x:v>55.9</x:v>
      </x:c>
      <x:c r="N1239" t="str">
        <x:v>Most Likely</x:v>
      </x:c>
      <x:c r="O1239" t="str">
        <x:v>Most Likely</x:v>
      </x:c>
    </x:row>
    <x:row r="1240">
      <x:c r="A1240" t="str">
        <x:v>PJT_1239</x:v>
      </x:c>
      <x:c r="B1240" t="n">
        <x:v>55138510</x:v>
      </x:c>
      <x:c r="C1240" t="n">
        <x:v>57229405</x:v>
      </x:c>
      <x:c r="D1240" t="n">
        <x:v>2090895</x:v>
      </x:c>
      <x:c r="E1240" t="n">
        <x:v>0.0379</x:v>
      </x:c>
      <x:c r="F1240" t="n">
        <x:v>912</x:v>
      </x:c>
      <x:c r="G1240" t="n">
        <x:v>920</x:v>
      </x:c>
      <x:c r="H1240" t="n">
        <x:v>8</x:v>
      </x:c>
      <x:c r="I1240" t="n">
        <x:v>0.0088</x:v>
      </x:c>
      <x:c r="J1240" t="str">
        <x:v>Low</x:v>
      </x:c>
      <x:c r="K1240" t="n">
        <x:v>38.7</x:v>
      </x:c>
      <x:c r="L1240" t="n">
        <x:v>41.5</x:v>
      </x:c>
      <x:c r="M1240" t="n">
        <x:v>42.1</x:v>
      </x:c>
      <x:c r="N1240" t="str">
        <x:v>Most Likely</x:v>
      </x:c>
      <x:c r="O1240" t="str">
        <x:v>Most Likely</x:v>
      </x:c>
    </x:row>
    <x:row r="1241">
      <x:c r="A1241" t="str">
        <x:v>PJT_1240</x:v>
      </x:c>
      <x:c r="B1241" t="n">
        <x:v>45807330</x:v>
      </x:c>
      <x:c r="C1241" t="n">
        <x:v>47461863</x:v>
      </x:c>
      <x:c r="D1241" t="n">
        <x:v>1654533</x:v>
      </x:c>
      <x:c r="E1241" t="n">
        <x:v>0.0361</x:v>
      </x:c>
      <x:c r="F1241" t="n">
        <x:v>729</x:v>
      </x:c>
      <x:c r="G1241" t="n">
        <x:v>775</x:v>
      </x:c>
      <x:c r="H1241" t="n">
        <x:v>46</x:v>
      </x:c>
      <x:c r="I1241" t="n">
        <x:v>0.0631</x:v>
      </x:c>
      <x:c r="J1241" t="str">
        <x:v>Low</x:v>
      </x:c>
      <x:c r="K1241" t="n">
        <x:v>43.8</x:v>
      </x:c>
      <x:c r="L1241" t="n">
        <x:v>49.4</x:v>
      </x:c>
      <x:c r="M1241" t="n">
        <x:v>46.8</x:v>
      </x:c>
      <x:c r="N1241" t="str">
        <x:v>Most Likely</x:v>
      </x:c>
      <x:c r="O1241" t="str">
        <x:v>Most Likely</x:v>
      </x:c>
    </x:row>
    <x:row r="1242">
      <x:c r="A1242" t="str">
        <x:v>PJT_1241</x:v>
      </x:c>
      <x:c r="B1242" t="n">
        <x:v>39195900</x:v>
      </x:c>
      <x:c r="C1242" t="n">
        <x:v>40687524</x:v>
      </x:c>
      <x:c r="D1242" t="n">
        <x:v>1491624</x:v>
      </x:c>
      <x:c r="E1242" t="n">
        <x:v>0.0381</x:v>
      </x:c>
      <x:c r="F1242" t="n">
        <x:v>776</x:v>
      </x:c>
      <x:c r="G1242" t="n">
        <x:v>822</x:v>
      </x:c>
      <x:c r="H1242" t="n">
        <x:v>46</x:v>
      </x:c>
      <x:c r="I1242" t="n">
        <x:v>0.0593</x:v>
      </x:c>
      <x:c r="J1242" t="str">
        <x:v>Medium</x:v>
      </x:c>
      <x:c r="K1242" t="n">
        <x:v>55.2</x:v>
      </x:c>
      <x:c r="L1242" t="n">
        <x:v>45.9</x:v>
      </x:c>
      <x:c r="M1242" t="n">
        <x:v>55.4</x:v>
      </x:c>
      <x:c r="N1242" t="str">
        <x:v>Most Likely</x:v>
      </x:c>
      <x:c r="O1242" t="str">
        <x:v>Most Likely</x:v>
      </x:c>
    </x:row>
    <x:row r="1243">
      <x:c r="A1243" t="str">
        <x:v>PJT_1242</x:v>
      </x:c>
      <x:c r="B1243" t="n">
        <x:v>44081160</x:v>
      </x:c>
      <x:c r="C1243" t="n">
        <x:v>44404915</x:v>
      </x:c>
      <x:c r="D1243" t="n">
        <x:v>323755</x:v>
      </x:c>
      <x:c r="E1243" t="n">
        <x:v>0.0073</x:v>
      </x:c>
      <x:c r="F1243" t="n">
        <x:v>718</x:v>
      </x:c>
      <x:c r="G1243" t="n">
        <x:v>721</x:v>
      </x:c>
      <x:c r="H1243" t="n">
        <x:v>3</x:v>
      </x:c>
      <x:c r="I1243" t="n">
        <x:v>0.0042</x:v>
      </x:c>
      <x:c r="J1243" t="str">
        <x:v>Medium</x:v>
      </x:c>
      <x:c r="K1243" t="n">
        <x:v>47.9</x:v>
      </x:c>
      <x:c r="L1243" t="n">
        <x:v>48.8</x:v>
      </x:c>
      <x:c r="M1243" t="n">
        <x:v>44.2</x:v>
      </x:c>
      <x:c r="N1243" t="str">
        <x:v>Most Likely</x:v>
      </x:c>
      <x:c r="O1243" t="str">
        <x:v>Most Likely</x:v>
      </x:c>
    </x:row>
    <x:row r="1244">
      <x:c r="A1244" t="str">
        <x:v>PJT_1243</x:v>
      </x:c>
      <x:c r="B1244" t="n">
        <x:v>27644070</x:v>
      </x:c>
      <x:c r="C1244" t="n">
        <x:v>29764402</x:v>
      </x:c>
      <x:c r="D1244" t="n">
        <x:v>2120332</x:v>
      </x:c>
      <x:c r="E1244" t="n">
        <x:v>0.0767</x:v>
      </x:c>
      <x:c r="F1244" t="n">
        <x:v>709</x:v>
      </x:c>
      <x:c r="G1244" t="n">
        <x:v>756</x:v>
      </x:c>
      <x:c r="H1244" t="n">
        <x:v>47</x:v>
      </x:c>
      <x:c r="I1244" t="n">
        <x:v>0.0663</x:v>
      </x:c>
      <x:c r="J1244" t="str">
        <x:v>Medium</x:v>
      </x:c>
      <x:c r="K1244" t="n">
        <x:v>60.3</x:v>
      </x:c>
      <x:c r="L1244" t="n">
        <x:v>57.5</x:v>
      </x:c>
      <x:c r="M1244" t="n">
        <x:v>55.1</x:v>
      </x:c>
      <x:c r="N1244" t="str">
        <x:v>Most Likely</x:v>
      </x:c>
      <x:c r="O1244" t="str">
        <x:v>Most Likely</x:v>
      </x:c>
    </x:row>
    <x:row r="1245">
      <x:c r="A1245" t="str">
        <x:v>PJT_1244</x:v>
      </x:c>
      <x:c r="B1245" t="n">
        <x:v>36352190</x:v>
      </x:c>
      <x:c r="C1245" t="n">
        <x:v>35988611</x:v>
      </x:c>
      <x:c r="D1245" t="n">
        <x:v>-363579</x:v>
      </x:c>
      <x:c r="E1245" t="n">
        <x:v>-0.01</x:v>
      </x:c>
      <x:c r="F1245" t="n">
        <x:v>630</x:v>
      </x:c>
      <x:c r="G1245" t="n">
        <x:v>706</x:v>
      </x:c>
      <x:c r="H1245" t="n">
        <x:v>76</x:v>
      </x:c>
      <x:c r="I1245" t="n">
        <x:v>0.1206</x:v>
      </x:c>
      <x:c r="J1245" t="str">
        <x:v>Low</x:v>
      </x:c>
      <x:c r="K1245" t="n">
        <x:v>44.6</x:v>
      </x:c>
      <x:c r="L1245" t="n">
        <x:v>44.6</x:v>
      </x:c>
      <x:c r="M1245" t="n">
        <x:v>40</x:v>
      </x:c>
      <x:c r="N1245" t="str">
        <x:v>Optimistic</x:v>
      </x:c>
      <x:c r="O1245" t="str">
        <x:v>Pessimistic</x:v>
      </x:c>
    </x:row>
    <x:row r="1246">
      <x:c r="A1246" t="str">
        <x:v>PJT_1245</x:v>
      </x:c>
      <x:c r="B1246" t="n">
        <x:v>20277600</x:v>
      </x:c>
      <x:c r="C1246" t="n">
        <x:v>19875533</x:v>
      </x:c>
      <x:c r="D1246" t="n">
        <x:v>-402067</x:v>
      </x:c>
      <x:c r="E1246" t="n">
        <x:v>-0.0198</x:v>
      </x:c>
      <x:c r="F1246" t="n">
        <x:v>342</x:v>
      </x:c>
      <x:c r="G1246" t="n">
        <x:v>330</x:v>
      </x:c>
      <x:c r="H1246" t="n">
        <x:v>-12</x:v>
      </x:c>
      <x:c r="I1246" t="n">
        <x:v>-0.0351</x:v>
      </x:c>
      <x:c r="J1246" t="str">
        <x:v>Low</x:v>
      </x:c>
      <x:c r="K1246" t="n">
        <x:v>41.6</x:v>
      </x:c>
      <x:c r="L1246" t="n">
        <x:v>35.6</x:v>
      </x:c>
      <x:c r="M1246" t="n">
        <x:v>36</x:v>
      </x:c>
      <x:c r="N1246" t="str">
        <x:v>Optimistic</x:v>
      </x:c>
      <x:c r="O1246" t="str">
        <x:v>Optimistic</x:v>
      </x:c>
    </x:row>
    <x:row r="1247">
      <x:c r="A1247" t="str">
        <x:v>PJT_1246</x:v>
      </x:c>
      <x:c r="B1247" t="n">
        <x:v>8322150</x:v>
      </x:c>
      <x:c r="C1247" t="n">
        <x:v>7941043</x:v>
      </x:c>
      <x:c r="D1247" t="n">
        <x:v>-381107</x:v>
      </x:c>
      <x:c r="E1247" t="n">
        <x:v>-0.0458</x:v>
      </x:c>
      <x:c r="F1247" t="n">
        <x:v>180</x:v>
      </x:c>
      <x:c r="G1247" t="n">
        <x:v>170</x:v>
      </x:c>
      <x:c r="H1247" t="n">
        <x:v>-10</x:v>
      </x:c>
      <x:c r="I1247" t="n">
        <x:v>-0.0556</x:v>
      </x:c>
      <x:c r="J1247" t="str">
        <x:v>Low</x:v>
      </x:c>
      <x:c r="K1247" t="n">
        <x:v>32.1</x:v>
      </x:c>
      <x:c r="L1247" t="n">
        <x:v>29.9</x:v>
      </x:c>
      <x:c r="M1247" t="n">
        <x:v>32.5</x:v>
      </x:c>
      <x:c r="N1247" t="str">
        <x:v>Optimistic</x:v>
      </x:c>
      <x:c r="O1247" t="str">
        <x:v>Optimistic</x:v>
      </x:c>
    </x:row>
    <x:row r="1248">
      <x:c r="A1248" t="str">
        <x:v>PJT_1247</x:v>
      </x:c>
      <x:c r="B1248" t="n">
        <x:v>11008410</x:v>
      </x:c>
      <x:c r="C1248" t="n">
        <x:v>10402327</x:v>
      </x:c>
      <x:c r="D1248" t="n">
        <x:v>-606083</x:v>
      </x:c>
      <x:c r="E1248" t="n">
        <x:v>-0.0551</x:v>
      </x:c>
      <x:c r="F1248" t="n">
        <x:v>195</x:v>
      </x:c>
      <x:c r="G1248" t="n">
        <x:v>197</x:v>
      </x:c>
      <x:c r="H1248" t="n">
        <x:v>2</x:v>
      </x:c>
      <x:c r="I1248" t="n">
        <x:v>0.0103</x:v>
      </x:c>
      <x:c r="J1248" t="str">
        <x:v>Low</x:v>
      </x:c>
      <x:c r="K1248" t="n">
        <x:v>42.3</x:v>
      </x:c>
      <x:c r="L1248" t="n">
        <x:v>36.2</x:v>
      </x:c>
      <x:c r="M1248" t="n">
        <x:v>39.2</x:v>
      </x:c>
      <x:c r="N1248" t="str">
        <x:v>Optimistic</x:v>
      </x:c>
      <x:c r="O1248" t="str">
        <x:v>Most Likely</x:v>
      </x:c>
    </x:row>
    <x:row r="1249">
      <x:c r="A1249" t="str">
        <x:v>PJT_1248</x:v>
      </x:c>
      <x:c r="B1249" t="n">
        <x:v>65925120</x:v>
      </x:c>
      <x:c r="C1249" t="n">
        <x:v>69688046</x:v>
      </x:c>
      <x:c r="D1249" t="n">
        <x:v>3762926</x:v>
      </x:c>
      <x:c r="E1249" t="n">
        <x:v>0.0571</x:v>
      </x:c>
      <x:c r="F1249" t="n">
        <x:v>1087</x:v>
      </x:c>
      <x:c r="G1249" t="n">
        <x:v>1136</x:v>
      </x:c>
      <x:c r="H1249" t="n">
        <x:v>49</x:v>
      </x:c>
      <x:c r="I1249" t="n">
        <x:v>0.0451</x:v>
      </x:c>
      <x:c r="J1249" t="str">
        <x:v>Medium</x:v>
      </x:c>
      <x:c r="K1249" t="n">
        <x:v>58.8</x:v>
      </x:c>
      <x:c r="L1249" t="n">
        <x:v>63.3</x:v>
      </x:c>
      <x:c r="M1249" t="n">
        <x:v>60.9</x:v>
      </x:c>
      <x:c r="N1249" t="str">
        <x:v>Most Likely</x:v>
      </x:c>
      <x:c r="O1249" t="str">
        <x:v>Most Likely</x:v>
      </x:c>
    </x:row>
    <x:row r="1250">
      <x:c r="A1250" t="str">
        <x:v>PJT_1249</x:v>
      </x:c>
      <x:c r="B1250" t="n">
        <x:v>36509920</x:v>
      </x:c>
      <x:c r="C1250" t="n">
        <x:v>37893995</x:v>
      </x:c>
      <x:c r="D1250" t="n">
        <x:v>1384075</x:v>
      </x:c>
      <x:c r="E1250" t="n">
        <x:v>0.0379</x:v>
      </x:c>
      <x:c r="F1250" t="n">
        <x:v>597</x:v>
      </x:c>
      <x:c r="G1250" t="n">
        <x:v>612</x:v>
      </x:c>
      <x:c r="H1250" t="n">
        <x:v>15</x:v>
      </x:c>
      <x:c r="I1250" t="n">
        <x:v>0.0251</x:v>
      </x:c>
      <x:c r="J1250" t="str">
        <x:v>Medium</x:v>
      </x:c>
      <x:c r="K1250" t="n">
        <x:v>48.2</x:v>
      </x:c>
      <x:c r="L1250" t="n">
        <x:v>50.9</x:v>
      </x:c>
      <x:c r="M1250" t="n">
        <x:v>47.8</x:v>
      </x:c>
      <x:c r="N1250" t="str">
        <x:v>Most Likely</x:v>
      </x:c>
      <x:c r="O1250" t="str">
        <x:v>Most Likely</x:v>
      </x:c>
    </x:row>
    <x:row r="1251">
      <x:c r="A1251" t="str">
        <x:v>PJT_1250</x:v>
      </x:c>
      <x:c r="B1251" t="n">
        <x:v>41863950</x:v>
      </x:c>
      <x:c r="C1251" t="n">
        <x:v>44134767</x:v>
      </x:c>
      <x:c r="D1251" t="n">
        <x:v>2270817</x:v>
      </x:c>
      <x:c r="E1251" t="n">
        <x:v>0.0542</x:v>
      </x:c>
      <x:c r="F1251" t="n">
        <x:v>675</x:v>
      </x:c>
      <x:c r="G1251" t="n">
        <x:v>682</x:v>
      </x:c>
      <x:c r="H1251" t="n">
        <x:v>7</x:v>
      </x:c>
      <x:c r="I1251" t="n">
        <x:v>0.0104</x:v>
      </x:c>
      <x:c r="J1251" t="str">
        <x:v>Low</x:v>
      </x:c>
      <x:c r="K1251" t="n">
        <x:v>44</x:v>
      </x:c>
      <x:c r="L1251" t="n">
        <x:v>46</x:v>
      </x:c>
      <x:c r="M1251" t="n">
        <x:v>45.8</x:v>
      </x:c>
      <x:c r="N1251" t="str">
        <x:v>Most Likely</x:v>
      </x:c>
      <x:c r="O1251" t="str">
        <x:v>Most Likely</x:v>
      </x:c>
    </x:row>
    <x:row r="1252">
      <x:c r="A1252" t="str">
        <x:v>PJT_1251</x:v>
      </x:c>
      <x:c r="B1252" t="n">
        <x:v>21969290</x:v>
      </x:c>
      <x:c r="C1252" t="n">
        <x:v>22526353</x:v>
      </x:c>
      <x:c r="D1252" t="n">
        <x:v>557063</x:v>
      </x:c>
      <x:c r="E1252" t="n">
        <x:v>0.0254</x:v>
      </x:c>
      <x:c r="F1252" t="n">
        <x:v>455</x:v>
      </x:c>
      <x:c r="G1252" t="n">
        <x:v>456</x:v>
      </x:c>
      <x:c r="H1252" t="n">
        <x:v>1</x:v>
      </x:c>
      <x:c r="I1252" t="n">
        <x:v>0.0022</x:v>
      </x:c>
      <x:c r="J1252" t="str">
        <x:v>Low</x:v>
      </x:c>
      <x:c r="K1252" t="n">
        <x:v>40.8</x:v>
      </x:c>
      <x:c r="L1252" t="n">
        <x:v>42.2</x:v>
      </x:c>
      <x:c r="M1252" t="n">
        <x:v>47.1</x:v>
      </x:c>
      <x:c r="N1252" t="str">
        <x:v>Most Likely</x:v>
      </x:c>
      <x:c r="O1252" t="str">
        <x:v>Most Likely</x:v>
      </x:c>
    </x:row>
    <x:row r="1253">
      <x:c r="A1253" t="str">
        <x:v>PJT_1252</x:v>
      </x:c>
      <x:c r="B1253" t="n">
        <x:v>32327230</x:v>
      </x:c>
      <x:c r="C1253" t="n">
        <x:v>29949709</x:v>
      </x:c>
      <x:c r="D1253" t="n">
        <x:v>-2377521</x:v>
      </x:c>
      <x:c r="E1253" t="n">
        <x:v>-0.0735</x:v>
      </x:c>
      <x:c r="F1253" t="n">
        <x:v>777</x:v>
      </x:c>
      <x:c r="G1253" t="n">
        <x:v>827</x:v>
      </x:c>
      <x:c r="H1253" t="n">
        <x:v>50</x:v>
      </x:c>
      <x:c r="I1253" t="n">
        <x:v>0.0644</x:v>
      </x:c>
      <x:c r="J1253" t="str">
        <x:v>Medium</x:v>
      </x:c>
      <x:c r="K1253" t="n">
        <x:v>58.1</x:v>
      </x:c>
      <x:c r="L1253" t="n">
        <x:v>49.2</x:v>
      </x:c>
      <x:c r="M1253" t="n">
        <x:v>56</x:v>
      </x:c>
      <x:c r="N1253" t="str">
        <x:v>Optimistic</x:v>
      </x:c>
      <x:c r="O1253" t="str">
        <x:v>Most Likely</x:v>
      </x:c>
    </x:row>
    <x:row r="1254">
      <x:c r="A1254" t="str">
        <x:v>PJT_1253</x:v>
      </x:c>
      <x:c r="B1254" t="n">
        <x:v>35094960</x:v>
      </x:c>
      <x:c r="C1254" t="n">
        <x:v>37470225</x:v>
      </x:c>
      <x:c r="D1254" t="n">
        <x:v>2375265</x:v>
      </x:c>
      <x:c r="E1254" t="n">
        <x:v>0.0677</x:v>
      </x:c>
      <x:c r="F1254" t="n">
        <x:v>674</x:v>
      </x:c>
      <x:c r="G1254" t="n">
        <x:v>736</x:v>
      </x:c>
      <x:c r="H1254" t="n">
        <x:v>62</x:v>
      </x:c>
      <x:c r="I1254" t="n">
        <x:v>0.092</x:v>
      </x:c>
      <x:c r="J1254" t="str">
        <x:v>Medium</x:v>
      </x:c>
      <x:c r="K1254" t="n">
        <x:v>52.9</x:v>
      </x:c>
      <x:c r="L1254" t="n">
        <x:v>56.1</x:v>
      </x:c>
      <x:c r="M1254" t="n">
        <x:v>51.7</x:v>
      </x:c>
      <x:c r="N1254" t="str">
        <x:v>Most Likely</x:v>
      </x:c>
      <x:c r="O1254" t="str">
        <x:v>Most Likely</x:v>
      </x:c>
    </x:row>
    <x:row r="1255">
      <x:c r="A1255" t="str">
        <x:v>PJT_1254</x:v>
      </x:c>
      <x:c r="B1255" t="n">
        <x:v>19960290</x:v>
      </x:c>
      <x:c r="C1255" t="n">
        <x:v>19283472</x:v>
      </x:c>
      <x:c r="D1255" t="n">
        <x:v>-676818</x:v>
      </x:c>
      <x:c r="E1255" t="n">
        <x:v>-0.0339</x:v>
      </x:c>
      <x:c r="F1255" t="n">
        <x:v>494</x:v>
      </x:c>
      <x:c r="G1255" t="n">
        <x:v>485</x:v>
      </x:c>
      <x:c r="H1255" t="n">
        <x:v>-9</x:v>
      </x:c>
      <x:c r="I1255" t="n">
        <x:v>-0.0182</x:v>
      </x:c>
      <x:c r="J1255" t="str">
        <x:v>Medium</x:v>
      </x:c>
      <x:c r="K1255" t="n">
        <x:v>47.1</x:v>
      </x:c>
      <x:c r="L1255" t="n">
        <x:v>46.7</x:v>
      </x:c>
      <x:c r="M1255" t="n">
        <x:v>45.1</x:v>
      </x:c>
      <x:c r="N1255" t="str">
        <x:v>Optimistic</x:v>
      </x:c>
      <x:c r="O1255" t="str">
        <x:v>Optimistic</x:v>
      </x:c>
    </x:row>
    <x:row r="1256">
      <x:c r="A1256" t="str">
        <x:v>PJT_1255</x:v>
      </x:c>
      <x:c r="B1256" t="n">
        <x:v>31536000</x:v>
      </x:c>
      <x:c r="C1256" t="n">
        <x:v>31715792</x:v>
      </x:c>
      <x:c r="D1256" t="n">
        <x:v>179792</x:v>
      </x:c>
      <x:c r="E1256" t="n">
        <x:v>0.0057</x:v>
      </x:c>
      <x:c r="F1256" t="n">
        <x:v>806</x:v>
      </x:c>
      <x:c r="G1256" t="n">
        <x:v>790</x:v>
      </x:c>
      <x:c r="H1256" t="n">
        <x:v>-16</x:v>
      </x:c>
      <x:c r="I1256" t="n">
        <x:v>-0.0199</x:v>
      </x:c>
      <x:c r="J1256" t="str">
        <x:v>Low</x:v>
      </x:c>
      <x:c r="K1256" t="n">
        <x:v>36.6</x:v>
      </x:c>
      <x:c r="L1256" t="n">
        <x:v>42.1</x:v>
      </x:c>
      <x:c r="M1256" t="n">
        <x:v>35.9</x:v>
      </x:c>
      <x:c r="N1256" t="str">
        <x:v>Most Likely</x:v>
      </x:c>
      <x:c r="O1256" t="str">
        <x:v>Optimistic</x:v>
      </x:c>
    </x:row>
    <x:row r="1257">
      <x:c r="A1257" t="str">
        <x:v>PJT_1256</x:v>
      </x:c>
      <x:c r="B1257" t="n">
        <x:v>22863120</x:v>
      </x:c>
      <x:c r="C1257" t="n">
        <x:v>23866306</x:v>
      </x:c>
      <x:c r="D1257" t="n">
        <x:v>1003186</x:v>
      </x:c>
      <x:c r="E1257" t="n">
        <x:v>0.0439</x:v>
      </x:c>
      <x:c r="F1257" t="n">
        <x:v>370</x:v>
      </x:c>
      <x:c r="G1257" t="n">
        <x:v>377</x:v>
      </x:c>
      <x:c r="H1257" t="n">
        <x:v>7</x:v>
      </x:c>
      <x:c r="I1257" t="n">
        <x:v>0.0189</x:v>
      </x:c>
      <x:c r="J1257" t="str">
        <x:v>Low</x:v>
      </x:c>
      <x:c r="K1257" t="n">
        <x:v>42.7</x:v>
      </x:c>
      <x:c r="L1257" t="n">
        <x:v>43.8</x:v>
      </x:c>
      <x:c r="M1257" t="n">
        <x:v>40.5</x:v>
      </x:c>
      <x:c r="N1257" t="str">
        <x:v>Most Likely</x:v>
      </x:c>
      <x:c r="O1257" t="str">
        <x:v>Most Likely</x:v>
      </x:c>
    </x:row>
    <x:row r="1258">
      <x:c r="A1258" t="str">
        <x:v>PJT_1257</x:v>
      </x:c>
      <x:c r="B1258" t="n">
        <x:v>76870800</x:v>
      </x:c>
      <x:c r="C1258" t="n">
        <x:v>95000030</x:v>
      </x:c>
      <x:c r="D1258" t="n">
        <x:v>18129230</x:v>
      </x:c>
      <x:c r="E1258" t="n">
        <x:v>0.2358</x:v>
      </x:c>
      <x:c r="F1258" t="n">
        <x:v>1360</x:v>
      </x:c>
      <x:c r="G1258" t="n">
        <x:v>1542</x:v>
      </x:c>
      <x:c r="H1258" t="n">
        <x:v>182</x:v>
      </x:c>
      <x:c r="I1258" t="n">
        <x:v>0.1338</x:v>
      </x:c>
      <x:c r="J1258" t="str">
        <x:v>Medium</x:v>
      </x:c>
      <x:c r="K1258" t="n">
        <x:v>66.3</x:v>
      </x:c>
      <x:c r="L1258" t="n">
        <x:v>72.2</x:v>
      </x:c>
      <x:c r="M1258" t="n">
        <x:v>68.5</x:v>
      </x:c>
      <x:c r="N1258" t="str">
        <x:v>Pessimistic</x:v>
      </x:c>
      <x:c r="O1258" t="str">
        <x:v>Pessimistic</x:v>
      </x:c>
    </x:row>
    <x:row r="1259">
      <x:c r="A1259" t="str">
        <x:v>PJT_1258</x:v>
      </x:c>
      <x:c r="B1259" t="n">
        <x:v>58510400</x:v>
      </x:c>
      <x:c r="C1259" t="n">
        <x:v>63568268</x:v>
      </x:c>
      <x:c r="D1259" t="n">
        <x:v>5057868</x:v>
      </x:c>
      <x:c r="E1259" t="n">
        <x:v>0.0864</x:v>
      </x:c>
      <x:c r="F1259" t="n">
        <x:v>1100</x:v>
      </x:c>
      <x:c r="G1259" t="n">
        <x:v>1257</x:v>
      </x:c>
      <x:c r="H1259" t="n">
        <x:v>157</x:v>
      </x:c>
      <x:c r="I1259" t="n">
        <x:v>0.1427</x:v>
      </x:c>
      <x:c r="J1259" t="str">
        <x:v>Medium</x:v>
      </x:c>
      <x:c r="K1259" t="n">
        <x:v>62.4</x:v>
      </x:c>
      <x:c r="L1259" t="n">
        <x:v>67.8</x:v>
      </x:c>
      <x:c r="M1259" t="n">
        <x:v>57.1</x:v>
      </x:c>
      <x:c r="N1259" t="str">
        <x:v>Most Likely</x:v>
      </x:c>
      <x:c r="O1259" t="str">
        <x:v>Pessimistic</x:v>
      </x:c>
    </x:row>
    <x:row r="1260">
      <x:c r="A1260" t="str">
        <x:v>PJT_1259</x:v>
      </x:c>
      <x:c r="B1260" t="n">
        <x:v>23120000</x:v>
      </x:c>
      <x:c r="C1260" t="n">
        <x:v>22004200</x:v>
      </x:c>
      <x:c r="D1260" t="n">
        <x:v>-1115800</x:v>
      </x:c>
      <x:c r="E1260" t="n">
        <x:v>-0.0483</x:v>
      </x:c>
      <x:c r="F1260" t="n">
        <x:v>426</x:v>
      </x:c>
      <x:c r="G1260" t="n">
        <x:v>440</x:v>
      </x:c>
      <x:c r="H1260" t="n">
        <x:v>14</x:v>
      </x:c>
      <x:c r="I1260" t="n">
        <x:v>0.0329</x:v>
      </x:c>
      <x:c r="J1260" t="str">
        <x:v>Low</x:v>
      </x:c>
      <x:c r="K1260" t="n">
        <x:v>35.9</x:v>
      </x:c>
      <x:c r="L1260" t="n">
        <x:v>30.7</x:v>
      </x:c>
      <x:c r="M1260" t="n">
        <x:v>33.9</x:v>
      </x:c>
      <x:c r="N1260" t="str">
        <x:v>Optimistic</x:v>
      </x:c>
      <x:c r="O1260" t="str">
        <x:v>Most Likely</x:v>
      </x:c>
    </x:row>
    <x:row r="1261">
      <x:c r="A1261" t="str">
        <x:v>PJT_1260</x:v>
      </x:c>
      <x:c r="B1261" t="n">
        <x:v>46918760</x:v>
      </x:c>
      <x:c r="C1261" t="n">
        <x:v>49581869</x:v>
      </x:c>
      <x:c r="D1261" t="n">
        <x:v>2663109</x:v>
      </x:c>
      <x:c r="E1261" t="n">
        <x:v>0.0568</x:v>
      </x:c>
      <x:c r="F1261" t="n">
        <x:v>934</x:v>
      </x:c>
      <x:c r="G1261" t="n">
        <x:v>1057</x:v>
      </x:c>
      <x:c r="H1261" t="n">
        <x:v>123</x:v>
      </x:c>
      <x:c r="I1261" t="n">
        <x:v>0.1317</x:v>
      </x:c>
      <x:c r="J1261" t="str">
        <x:v>Medium</x:v>
      </x:c>
      <x:c r="K1261" t="n">
        <x:v>64.8</x:v>
      </x:c>
      <x:c r="L1261" t="n">
        <x:v>64.1</x:v>
      </x:c>
      <x:c r="M1261" t="n">
        <x:v>71.5</x:v>
      </x:c>
      <x:c r="N1261" t="str">
        <x:v>Most Likely</x:v>
      </x:c>
      <x:c r="O1261" t="str">
        <x:v>Pessimistic</x:v>
      </x:c>
    </x:row>
    <x:row r="1262">
      <x:c r="A1262" t="str">
        <x:v>PJT_1261</x:v>
      </x:c>
      <x:c r="B1262" t="n">
        <x:v>39430400</x:v>
      </x:c>
      <x:c r="C1262" t="n">
        <x:v>42088537</x:v>
      </x:c>
      <x:c r="D1262" t="n">
        <x:v>2658137</x:v>
      </x:c>
      <x:c r="E1262" t="n">
        <x:v>0.0674</x:v>
      </x:c>
      <x:c r="F1262" t="n">
        <x:v>709</x:v>
      </x:c>
      <x:c r="G1262" t="n">
        <x:v>784</x:v>
      </x:c>
      <x:c r="H1262" t="n">
        <x:v>75</x:v>
      </x:c>
      <x:c r="I1262" t="n">
        <x:v>0.1058</x:v>
      </x:c>
      <x:c r="J1262" t="str">
        <x:v>Medium</x:v>
      </x:c>
      <x:c r="K1262" t="n">
        <x:v>56.5</x:v>
      </x:c>
      <x:c r="L1262" t="n">
        <x:v>51.5</x:v>
      </x:c>
      <x:c r="M1262" t="n">
        <x:v>55</x:v>
      </x:c>
      <x:c r="N1262" t="str">
        <x:v>Most Likely</x:v>
      </x:c>
      <x:c r="O1262" t="str">
        <x:v>Pessimistic</x:v>
      </x:c>
    </x:row>
    <x:row r="1263">
      <x:c r="A1263" t="str">
        <x:v>PJT_1262</x:v>
      </x:c>
      <x:c r="B1263" t="n">
        <x:v>33729840</x:v>
      </x:c>
      <x:c r="C1263" t="n">
        <x:v>36211066</x:v>
      </x:c>
      <x:c r="D1263" t="n">
        <x:v>2481226</x:v>
      </x:c>
      <x:c r="E1263" t="n">
        <x:v>0.0736</x:v>
      </x:c>
      <x:c r="F1263" t="n">
        <x:v>579</x:v>
      </x:c>
      <x:c r="G1263" t="n">
        <x:v>599</x:v>
      </x:c>
      <x:c r="H1263" t="n">
        <x:v>20</x:v>
      </x:c>
      <x:c r="I1263" t="n">
        <x:v>0.0345</x:v>
      </x:c>
      <x:c r="J1263" t="str">
        <x:v>Medium</x:v>
      </x:c>
      <x:c r="K1263" t="n">
        <x:v>49.3</x:v>
      </x:c>
      <x:c r="L1263" t="n">
        <x:v>50.5</x:v>
      </x:c>
      <x:c r="M1263" t="n">
        <x:v>47.2</x:v>
      </x:c>
      <x:c r="N1263" t="str">
        <x:v>Most Likely</x:v>
      </x:c>
      <x:c r="O1263" t="str">
        <x:v>Most Likely</x:v>
      </x:c>
    </x:row>
    <x:row r="1264">
      <x:c r="A1264" t="str">
        <x:v>PJT_1263</x:v>
      </x:c>
      <x:c r="B1264" t="n">
        <x:v>65223520</x:v>
      </x:c>
      <x:c r="C1264" t="n">
        <x:v>71351997</x:v>
      </x:c>
      <x:c r="D1264" t="n">
        <x:v>6128477</x:v>
      </x:c>
      <x:c r="E1264" t="n">
        <x:v>0.094</x:v>
      </x:c>
      <x:c r="F1264" t="n">
        <x:v>1325</x:v>
      </x:c>
      <x:c r="G1264" t="n">
        <x:v>1501</x:v>
      </x:c>
      <x:c r="H1264" t="n">
        <x:v>176</x:v>
      </x:c>
      <x:c r="I1264" t="n">
        <x:v>0.1328</x:v>
      </x:c>
      <x:c r="J1264" t="str">
        <x:v>Medium</x:v>
      </x:c>
      <x:c r="K1264" t="n">
        <x:v>62.9</x:v>
      </x:c>
      <x:c r="L1264" t="n">
        <x:v>59.5</x:v>
      </x:c>
      <x:c r="M1264" t="n">
        <x:v>64</x:v>
      </x:c>
      <x:c r="N1264" t="str">
        <x:v>Most Likely</x:v>
      </x:c>
      <x:c r="O1264" t="str">
        <x:v>Pessimistic</x:v>
      </x:c>
    </x:row>
    <x:row r="1265">
      <x:c r="A1265" t="str">
        <x:v>PJT_1264</x:v>
      </x:c>
      <x:c r="B1265" t="n">
        <x:v>88706660</x:v>
      </x:c>
      <x:c r="C1265" t="n">
        <x:v>105968424</x:v>
      </x:c>
      <x:c r="D1265" t="n">
        <x:v>17261764</x:v>
      </x:c>
      <x:c r="E1265" t="n">
        <x:v>0.1946</x:v>
      </x:c>
      <x:c r="F1265" t="n">
        <x:v>1529</x:v>
      </x:c>
      <x:c r="G1265" t="n">
        <x:v>1746</x:v>
      </x:c>
      <x:c r="H1265" t="n">
        <x:v>217</x:v>
      </x:c>
      <x:c r="I1265" t="n">
        <x:v>0.1419</x:v>
      </x:c>
      <x:c r="J1265" t="str">
        <x:v>Medium</x:v>
      </x:c>
      <x:c r="K1265" t="n">
        <x:v>63.2</x:v>
      </x:c>
      <x:c r="L1265" t="n">
        <x:v>69.3</x:v>
      </x:c>
      <x:c r="M1265" t="n">
        <x:v>61.4</x:v>
      </x:c>
      <x:c r="N1265" t="str">
        <x:v>Pessimistic</x:v>
      </x:c>
      <x:c r="O1265" t="str">
        <x:v>Pessimistic</x:v>
      </x:c>
    </x:row>
    <x:row r="1266">
      <x:c r="A1266" t="str">
        <x:v>PJT_1265</x:v>
      </x:c>
      <x:c r="B1266" t="n">
        <x:v>25866100</x:v>
      </x:c>
      <x:c r="C1266" t="n">
        <x:v>26459257</x:v>
      </x:c>
      <x:c r="D1266" t="n">
        <x:v>593157</x:v>
      </x:c>
      <x:c r="E1266" t="n">
        <x:v>0.0229</x:v>
      </x:c>
      <x:c r="F1266" t="n">
        <x:v>500</x:v>
      </x:c>
      <x:c r="G1266" t="n">
        <x:v>525</x:v>
      </x:c>
      <x:c r="H1266" t="n">
        <x:v>25</x:v>
      </x:c>
      <x:c r="I1266" t="n">
        <x:v>0.05</x:v>
      </x:c>
      <x:c r="J1266" t="str">
        <x:v>Low</x:v>
      </x:c>
      <x:c r="K1266" t="n">
        <x:v>37.4</x:v>
      </x:c>
      <x:c r="L1266" t="n">
        <x:v>39.9</x:v>
      </x:c>
      <x:c r="M1266" t="n">
        <x:v>41.4</x:v>
      </x:c>
      <x:c r="N1266" t="str">
        <x:v>Most Likely</x:v>
      </x:c>
      <x:c r="O1266" t="str">
        <x:v>Most Likely</x:v>
      </x:c>
    </x:row>
    <x:row r="1267">
      <x:c r="A1267" t="str">
        <x:v>PJT_1266</x:v>
      </x:c>
      <x:c r="B1267" t="n">
        <x:v>31788330</x:v>
      </x:c>
      <x:c r="C1267" t="n">
        <x:v>32744337</x:v>
      </x:c>
      <x:c r="D1267" t="n">
        <x:v>956007</x:v>
      </x:c>
      <x:c r="E1267" t="n">
        <x:v>0.0301</x:v>
      </x:c>
      <x:c r="F1267" t="n">
        <x:v>716</x:v>
      </x:c>
      <x:c r="G1267" t="n">
        <x:v>761</x:v>
      </x:c>
      <x:c r="H1267" t="n">
        <x:v>45</x:v>
      </x:c>
      <x:c r="I1267" t="n">
        <x:v>0.0628</x:v>
      </x:c>
      <x:c r="J1267" t="str">
        <x:v>Medium</x:v>
      </x:c>
      <x:c r="K1267" t="n">
        <x:v>55.2</x:v>
      </x:c>
      <x:c r="L1267" t="n">
        <x:v>51</x:v>
      </x:c>
      <x:c r="M1267" t="n">
        <x:v>47.5</x:v>
      </x:c>
      <x:c r="N1267" t="str">
        <x:v>Most Likely</x:v>
      </x:c>
      <x:c r="O1267" t="str">
        <x:v>Most Likely</x:v>
      </x:c>
    </x:row>
    <x:row r="1268">
      <x:c r="A1268" t="str">
        <x:v>PJT_1267</x:v>
      </x:c>
      <x:c r="B1268" t="n">
        <x:v>79638400</x:v>
      </x:c>
      <x:c r="C1268" t="n">
        <x:v>83212083</x:v>
      </x:c>
      <x:c r="D1268" t="n">
        <x:v>3573683</x:v>
      </x:c>
      <x:c r="E1268" t="n">
        <x:v>0.0449</x:v>
      </x:c>
      <x:c r="F1268" t="n">
        <x:v>1518</x:v>
      </x:c>
      <x:c r="G1268" t="n">
        <x:v>1583</x:v>
      </x:c>
      <x:c r="H1268" t="n">
        <x:v>65</x:v>
      </x:c>
      <x:c r="I1268" t="n">
        <x:v>0.0428</x:v>
      </x:c>
      <x:c r="J1268" t="str">
        <x:v>Medium</x:v>
      </x:c>
      <x:c r="K1268" t="n">
        <x:v>52.4</x:v>
      </x:c>
      <x:c r="L1268" t="n">
        <x:v>53.1</x:v>
      </x:c>
      <x:c r="M1268" t="n">
        <x:v>52.7</x:v>
      </x:c>
      <x:c r="N1268" t="str">
        <x:v>Most Likely</x:v>
      </x:c>
      <x:c r="O1268" t="str">
        <x:v>Most Likely</x:v>
      </x:c>
    </x:row>
    <x:row r="1269">
      <x:c r="A1269" t="str">
        <x:v>PJT_1268</x:v>
      </x:c>
      <x:c r="B1269" t="n">
        <x:v>28350150</x:v>
      </x:c>
      <x:c r="C1269" t="n">
        <x:v>29642500</x:v>
      </x:c>
      <x:c r="D1269" t="n">
        <x:v>1292350</x:v>
      </x:c>
      <x:c r="E1269" t="n">
        <x:v>0.0456</x:v>
      </x:c>
      <x:c r="F1269" t="n">
        <x:v>640</x:v>
      </x:c>
      <x:c r="G1269" t="n">
        <x:v>684</x:v>
      </x:c>
      <x:c r="H1269" t="n">
        <x:v>44</x:v>
      </x:c>
      <x:c r="I1269" t="n">
        <x:v>0.0688</x:v>
      </x:c>
      <x:c r="J1269" t="str">
        <x:v>Medium</x:v>
      </x:c>
      <x:c r="K1269" t="n">
        <x:v>48.8</x:v>
      </x:c>
      <x:c r="L1269" t="n">
        <x:v>50.9</x:v>
      </x:c>
      <x:c r="M1269" t="n">
        <x:v>44</x:v>
      </x:c>
      <x:c r="N1269" t="str">
        <x:v>Most Likely</x:v>
      </x:c>
      <x:c r="O1269" t="str">
        <x:v>Most Likely</x:v>
      </x:c>
    </x:row>
    <x:row r="1270">
      <x:c r="A1270" t="str">
        <x:v>PJT_1269</x:v>
      </x:c>
      <x:c r="B1270" t="n">
        <x:v>11148060</x:v>
      </x:c>
      <x:c r="C1270" t="n">
        <x:v>10865414</x:v>
      </x:c>
      <x:c r="D1270" t="n">
        <x:v>-282646</x:v>
      </x:c>
      <x:c r="E1270" t="n">
        <x:v>-0.0254</x:v>
      </x:c>
      <x:c r="F1270" t="n">
        <x:v>286</x:v>
      </x:c>
      <x:c r="G1270" t="n">
        <x:v>295</x:v>
      </x:c>
      <x:c r="H1270" t="n">
        <x:v>9</x:v>
      </x:c>
      <x:c r="I1270" t="n">
        <x:v>0.0315</x:v>
      </x:c>
      <x:c r="J1270" t="str">
        <x:v>Low</x:v>
      </x:c>
      <x:c r="K1270" t="n">
        <x:v>37.7</x:v>
      </x:c>
      <x:c r="L1270" t="n">
        <x:v>37.4</x:v>
      </x:c>
      <x:c r="M1270" t="n">
        <x:v>38.9</x:v>
      </x:c>
      <x:c r="N1270" t="str">
        <x:v>Optimistic</x:v>
      </x:c>
      <x:c r="O1270" t="str">
        <x:v>Most Likely</x:v>
      </x:c>
    </x:row>
    <x:row r="1271">
      <x:c r="A1271" t="str">
        <x:v>PJT_1270</x:v>
      </x:c>
      <x:c r="B1271" t="n">
        <x:v>38164580</x:v>
      </x:c>
      <x:c r="C1271" t="n">
        <x:v>41177522</x:v>
      </x:c>
      <x:c r="D1271" t="n">
        <x:v>3012942</x:v>
      </x:c>
      <x:c r="E1271" t="n">
        <x:v>0.0789</x:v>
      </x:c>
      <x:c r="F1271" t="n">
        <x:v>887</x:v>
      </x:c>
      <x:c r="G1271" t="n">
        <x:v>892</x:v>
      </x:c>
      <x:c r="H1271" t="n">
        <x:v>5</x:v>
      </x:c>
      <x:c r="I1271" t="n">
        <x:v>0.0056</x:v>
      </x:c>
      <x:c r="J1271" t="str">
        <x:v>Medium</x:v>
      </x:c>
      <x:c r="K1271" t="n">
        <x:v>48.1</x:v>
      </x:c>
      <x:c r="L1271" t="n">
        <x:v>50.6</x:v>
      </x:c>
      <x:c r="M1271" t="n">
        <x:v>49.3</x:v>
      </x:c>
      <x:c r="N1271" t="str">
        <x:v>Most Likely</x:v>
      </x:c>
      <x:c r="O1271" t="str">
        <x:v>Most Likely</x:v>
      </x:c>
    </x:row>
    <x:row r="1272">
      <x:c r="A1272" t="str">
        <x:v>PJT_1271</x:v>
      </x:c>
      <x:c r="B1272" t="n">
        <x:v>11909100</x:v>
      </x:c>
      <x:c r="C1272" t="n">
        <x:v>11422816</x:v>
      </x:c>
      <x:c r="D1272" t="n">
        <x:v>-486284</x:v>
      </x:c>
      <x:c r="E1272" t="n">
        <x:v>-0.0408</x:v>
      </x:c>
      <x:c r="F1272" t="n">
        <x:v>214</x:v>
      </x:c>
      <x:c r="G1272" t="n">
        <x:v>225</x:v>
      </x:c>
      <x:c r="H1272" t="n">
        <x:v>11</x:v>
      </x:c>
      <x:c r="I1272" t="n">
        <x:v>0.0514</x:v>
      </x:c>
      <x:c r="J1272" t="str">
        <x:v>Low</x:v>
      </x:c>
      <x:c r="K1272" t="n">
        <x:v>31.8</x:v>
      </x:c>
      <x:c r="L1272" t="n">
        <x:v>25.2</x:v>
      </x:c>
      <x:c r="M1272" t="n">
        <x:v>24.2</x:v>
      </x:c>
      <x:c r="N1272" t="str">
        <x:v>Optimistic</x:v>
      </x:c>
      <x:c r="O1272" t="str">
        <x:v>Most Likely</x:v>
      </x:c>
    </x:row>
    <x:row r="1273">
      <x:c r="A1273" t="str">
        <x:v>PJT_1272</x:v>
      </x:c>
      <x:c r="B1273" t="n">
        <x:v>70106550</x:v>
      </x:c>
      <x:c r="C1273" t="n">
        <x:v>74702887</x:v>
      </x:c>
      <x:c r="D1273" t="n">
        <x:v>4596337</x:v>
      </x:c>
      <x:c r="E1273" t="n">
        <x:v>0.0656</x:v>
      </x:c>
      <x:c r="F1273" t="n">
        <x:v>1326</x:v>
      </x:c>
      <x:c r="G1273" t="n">
        <x:v>1469</x:v>
      </x:c>
      <x:c r="H1273" t="n">
        <x:v>143</x:v>
      </x:c>
      <x:c r="I1273" t="n">
        <x:v>0.1078</x:v>
      </x:c>
      <x:c r="J1273" t="str">
        <x:v>Medium</x:v>
      </x:c>
      <x:c r="K1273" t="n">
        <x:v>62.7</x:v>
      </x:c>
      <x:c r="L1273" t="n">
        <x:v>64.2</x:v>
      </x:c>
      <x:c r="M1273" t="n">
        <x:v>58.8</x:v>
      </x:c>
      <x:c r="N1273" t="str">
        <x:v>Most Likely</x:v>
      </x:c>
      <x:c r="O1273" t="str">
        <x:v>Pessimistic</x:v>
      </x:c>
    </x:row>
    <x:row r="1274">
      <x:c r="A1274" t="str">
        <x:v>PJT_1273</x:v>
      </x:c>
      <x:c r="B1274" t="n">
        <x:v>76546120</x:v>
      </x:c>
      <x:c r="C1274" t="n">
        <x:v>87962978</x:v>
      </x:c>
      <x:c r="D1274" t="n">
        <x:v>11416858</x:v>
      </x:c>
      <x:c r="E1274" t="n">
        <x:v>0.1492</x:v>
      </x:c>
      <x:c r="F1274" t="n">
        <x:v>1356</x:v>
      </x:c>
      <x:c r="G1274" t="n">
        <x:v>1496</x:v>
      </x:c>
      <x:c r="H1274" t="n">
        <x:v>140</x:v>
      </x:c>
      <x:c r="I1274" t="n">
        <x:v>0.1032</x:v>
      </x:c>
      <x:c r="J1274" t="str">
        <x:v>High</x:v>
      </x:c>
      <x:c r="K1274" t="n">
        <x:v>70.9</x:v>
      </x:c>
      <x:c r="L1274" t="n">
        <x:v>72.2</x:v>
      </x:c>
      <x:c r="M1274" t="n">
        <x:v>69.7</x:v>
      </x:c>
      <x:c r="N1274" t="str">
        <x:v>Pessimistic</x:v>
      </x:c>
      <x:c r="O1274" t="str">
        <x:v>Pessimistic</x:v>
      </x:c>
    </x:row>
    <x:row r="1275">
      <x:c r="A1275" t="str">
        <x:v>PJT_1274</x:v>
      </x:c>
      <x:c r="B1275" t="n">
        <x:v>30521400</x:v>
      </x:c>
      <x:c r="C1275" t="n">
        <x:v>32192365</x:v>
      </x:c>
      <x:c r="D1275" t="n">
        <x:v>1670965</x:v>
      </x:c>
      <x:c r="E1275" t="n">
        <x:v>0.0547</x:v>
      </x:c>
      <x:c r="F1275" t="n">
        <x:v>648</x:v>
      </x:c>
      <x:c r="G1275" t="n">
        <x:v>680</x:v>
      </x:c>
      <x:c r="H1275" t="n">
        <x:v>32</x:v>
      </x:c>
      <x:c r="I1275" t="n">
        <x:v>0.0494</x:v>
      </x:c>
      <x:c r="J1275" t="str">
        <x:v>Medium</x:v>
      </x:c>
      <x:c r="K1275" t="n">
        <x:v>46.4</x:v>
      </x:c>
      <x:c r="L1275" t="n">
        <x:v>46.8</x:v>
      </x:c>
      <x:c r="M1275" t="n">
        <x:v>49.4</x:v>
      </x:c>
      <x:c r="N1275" t="str">
        <x:v>Most Likely</x:v>
      </x:c>
      <x:c r="O1275" t="str">
        <x:v>Most Likely</x:v>
      </x:c>
    </x:row>
    <x:row r="1276">
      <x:c r="A1276" t="str">
        <x:v>PJT_1275</x:v>
      </x:c>
      <x:c r="B1276" t="n">
        <x:v>6553660</x:v>
      </x:c>
      <x:c r="C1276" t="n">
        <x:v>6609746</x:v>
      </x:c>
      <x:c r="D1276" t="n">
        <x:v>56086</x:v>
      </x:c>
      <x:c r="E1276" t="n">
        <x:v>0.0086</x:v>
      </x:c>
      <x:c r="F1276" t="n">
        <x:v>180</x:v>
      </x:c>
      <x:c r="G1276" t="n">
        <x:v>190</x:v>
      </x:c>
      <x:c r="H1276" t="n">
        <x:v>10</x:v>
      </x:c>
      <x:c r="I1276" t="n">
        <x:v>0.0556</x:v>
      </x:c>
      <x:c r="J1276" t="str">
        <x:v>Low</x:v>
      </x:c>
      <x:c r="K1276" t="n">
        <x:v>27.8</x:v>
      </x:c>
      <x:c r="L1276" t="n">
        <x:v>22</x:v>
      </x:c>
      <x:c r="M1276" t="n">
        <x:v>27.4</x:v>
      </x:c>
      <x:c r="N1276" t="str">
        <x:v>Most Likely</x:v>
      </x:c>
      <x:c r="O1276" t="str">
        <x:v>Most Likely</x:v>
      </x:c>
    </x:row>
    <x:row r="1277">
      <x:c r="A1277" t="str">
        <x:v>PJT_1276</x:v>
      </x:c>
      <x:c r="B1277" t="n">
        <x:v>12610070</x:v>
      </x:c>
      <x:c r="C1277" t="n">
        <x:v>12521404</x:v>
      </x:c>
      <x:c r="D1277" t="n">
        <x:v>-88666</x:v>
      </x:c>
      <x:c r="E1277" t="n">
        <x:v>-0.007</x:v>
      </x:c>
      <x:c r="F1277" t="n">
        <x:v>215</x:v>
      </x:c>
      <x:c r="G1277" t="n">
        <x:v>208</x:v>
      </x:c>
      <x:c r="H1277" t="n">
        <x:v>-7</x:v>
      </x:c>
      <x:c r="I1277" t="n">
        <x:v>-0.0326</x:v>
      </x:c>
      <x:c r="J1277" t="str">
        <x:v>Low</x:v>
      </x:c>
      <x:c r="K1277" t="n">
        <x:v>24</x:v>
      </x:c>
      <x:c r="L1277" t="n">
        <x:v>31.2</x:v>
      </x:c>
      <x:c r="M1277" t="n">
        <x:v>23</x:v>
      </x:c>
      <x:c r="N1277" t="str">
        <x:v>Optimistic</x:v>
      </x:c>
      <x:c r="O1277" t="str">
        <x:v>Optimistic</x:v>
      </x:c>
    </x:row>
    <x:row r="1278">
      <x:c r="A1278" t="str">
        <x:v>PJT_1277</x:v>
      </x:c>
      <x:c r="B1278" t="n">
        <x:v>24298370</x:v>
      </x:c>
      <x:c r="C1278" t="n">
        <x:v>25545502</x:v>
      </x:c>
      <x:c r="D1278" t="n">
        <x:v>1247132</x:v>
      </x:c>
      <x:c r="E1278" t="n">
        <x:v>0.0513</x:v>
      </x:c>
      <x:c r="F1278" t="n">
        <x:v>453</x:v>
      </x:c>
      <x:c r="G1278" t="n">
        <x:v>469</x:v>
      </x:c>
      <x:c r="H1278" t="n">
        <x:v>16</x:v>
      </x:c>
      <x:c r="I1278" t="n">
        <x:v>0.0353</x:v>
      </x:c>
      <x:c r="J1278" t="str">
        <x:v>Medium</x:v>
      </x:c>
      <x:c r="K1278" t="n">
        <x:v>54.5</x:v>
      </x:c>
      <x:c r="L1278" t="n">
        <x:v>53.4</x:v>
      </x:c>
      <x:c r="M1278" t="n">
        <x:v>58.2</x:v>
      </x:c>
      <x:c r="N1278" t="str">
        <x:v>Most Likely</x:v>
      </x:c>
      <x:c r="O1278" t="str">
        <x:v>Most Likely</x:v>
      </x:c>
    </x:row>
    <x:row r="1279">
      <x:c r="A1279" t="str">
        <x:v>PJT_1278</x:v>
      </x:c>
      <x:c r="B1279" t="n">
        <x:v>37957500</x:v>
      </x:c>
      <x:c r="C1279" t="n">
        <x:v>40229223</x:v>
      </x:c>
      <x:c r="D1279" t="n">
        <x:v>2271723</x:v>
      </x:c>
      <x:c r="E1279" t="n">
        <x:v>0.0598</x:v>
      </x:c>
      <x:c r="F1279" t="n">
        <x:v>723</x:v>
      </x:c>
      <x:c r="G1279" t="n">
        <x:v>701</x:v>
      </x:c>
      <x:c r="H1279" t="n">
        <x:v>-22</x:v>
      </x:c>
      <x:c r="I1279" t="n">
        <x:v>-0.0304</x:v>
      </x:c>
      <x:c r="J1279" t="str">
        <x:v>Medium</x:v>
      </x:c>
      <x:c r="K1279" t="n">
        <x:v>58.3</x:v>
      </x:c>
      <x:c r="L1279" t="n">
        <x:v>56.4</x:v>
      </x:c>
      <x:c r="M1279" t="n">
        <x:v>53.6</x:v>
      </x:c>
      <x:c r="N1279" t="str">
        <x:v>Most Likely</x:v>
      </x:c>
      <x:c r="O1279" t="str">
        <x:v>Optimistic</x:v>
      </x:c>
    </x:row>
    <x:row r="1280">
      <x:c r="A1280" t="str">
        <x:v>PJT_1279</x:v>
      </x:c>
      <x:c r="B1280" t="n">
        <x:v>65535360</x:v>
      </x:c>
      <x:c r="C1280" t="n">
        <x:v>67086265</x:v>
      </x:c>
      <x:c r="D1280" t="n">
        <x:v>1550905</x:v>
      </x:c>
      <x:c r="E1280" t="n">
        <x:v>0.0237</x:v>
      </x:c>
      <x:c r="F1280" t="n">
        <x:v>1176</x:v>
      </x:c>
      <x:c r="G1280" t="n">
        <x:v>1259</x:v>
      </x:c>
      <x:c r="H1280" t="n">
        <x:v>83</x:v>
      </x:c>
      <x:c r="I1280" t="n">
        <x:v>0.0706</x:v>
      </x:c>
      <x:c r="J1280" t="str">
        <x:v>Medium</x:v>
      </x:c>
      <x:c r="K1280" t="n">
        <x:v>45.7</x:v>
      </x:c>
      <x:c r="L1280" t="n">
        <x:v>45.8</x:v>
      </x:c>
      <x:c r="M1280" t="n">
        <x:v>53.3</x:v>
      </x:c>
      <x:c r="N1280" t="str">
        <x:v>Most Likely</x:v>
      </x:c>
      <x:c r="O1280" t="str">
        <x:v>Most Likely</x:v>
      </x:c>
    </x:row>
    <x:row r="1281">
      <x:c r="A1281" t="str">
        <x:v>PJT_1280</x:v>
      </x:c>
      <x:c r="B1281" t="n">
        <x:v>17812120</x:v>
      </x:c>
      <x:c r="C1281" t="n">
        <x:v>18658158</x:v>
      </x:c>
      <x:c r="D1281" t="n">
        <x:v>846038</x:v>
      </x:c>
      <x:c r="E1281" t="n">
        <x:v>0.0475</x:v>
      </x:c>
      <x:c r="F1281" t="n">
        <x:v>312</x:v>
      </x:c>
      <x:c r="G1281" t="n">
        <x:v>334</x:v>
      </x:c>
      <x:c r="H1281" t="n">
        <x:v>22</x:v>
      </x:c>
      <x:c r="I1281" t="n">
        <x:v>0.0705</x:v>
      </x:c>
      <x:c r="J1281" t="str">
        <x:v>Medium</x:v>
      </x:c>
      <x:c r="K1281" t="n">
        <x:v>46.2</x:v>
      </x:c>
      <x:c r="L1281" t="n">
        <x:v>47.5</x:v>
      </x:c>
      <x:c r="M1281" t="n">
        <x:v>42.6</x:v>
      </x:c>
      <x:c r="N1281" t="str">
        <x:v>Most Likely</x:v>
      </x:c>
      <x:c r="O1281" t="str">
        <x:v>Most Likely</x:v>
      </x:c>
    </x:row>
    <x:row r="1282">
      <x:c r="A1282" t="str">
        <x:v>PJT_1281</x:v>
      </x:c>
      <x:c r="B1282" t="n">
        <x:v>39918300</x:v>
      </x:c>
      <x:c r="C1282" t="n">
        <x:v>44891288</x:v>
      </x:c>
      <x:c r="D1282" t="n">
        <x:v>4972988</x:v>
      </x:c>
      <x:c r="E1282" t="n">
        <x:v>0.1246</x:v>
      </x:c>
      <x:c r="F1282" t="n">
        <x:v>793</x:v>
      </x:c>
      <x:c r="G1282" t="n">
        <x:v>784</x:v>
      </x:c>
      <x:c r="H1282" t="n">
        <x:v>-9</x:v>
      </x:c>
      <x:c r="I1282" t="n">
        <x:v>-0.0113</x:v>
      </x:c>
      <x:c r="J1282" t="str">
        <x:v>Medium</x:v>
      </x:c>
      <x:c r="K1282" t="n">
        <x:v>46.5</x:v>
      </x:c>
      <x:c r="L1282" t="n">
        <x:v>54.4</x:v>
      </x:c>
      <x:c r="M1282" t="n">
        <x:v>45.1</x:v>
      </x:c>
      <x:c r="N1282" t="str">
        <x:v>Pessimistic</x:v>
      </x:c>
      <x:c r="O1282" t="str">
        <x:v>Optimistic</x:v>
      </x:c>
    </x:row>
    <x:row r="1283">
      <x:c r="A1283" t="str">
        <x:v>PJT_1282</x:v>
      </x:c>
      <x:c r="B1283" t="n">
        <x:v>19331370</x:v>
      </x:c>
      <x:c r="C1283" t="n">
        <x:v>20533100</x:v>
      </x:c>
      <x:c r="D1283" t="n">
        <x:v>1201730</x:v>
      </x:c>
      <x:c r="E1283" t="n">
        <x:v>0.0622</x:v>
      </x:c>
      <x:c r="F1283" t="n">
        <x:v>306</x:v>
      </x:c>
      <x:c r="G1283" t="n">
        <x:v>335</x:v>
      </x:c>
      <x:c r="H1283" t="n">
        <x:v>29</x:v>
      </x:c>
      <x:c r="I1283" t="n">
        <x:v>0.0948</x:v>
      </x:c>
      <x:c r="J1283" t="str">
        <x:v>Low</x:v>
      </x:c>
      <x:c r="K1283" t="n">
        <x:v>39.3</x:v>
      </x:c>
      <x:c r="L1283" t="n">
        <x:v>38.9</x:v>
      </x:c>
      <x:c r="M1283" t="n">
        <x:v>40.7</x:v>
      </x:c>
      <x:c r="N1283" t="str">
        <x:v>Most Likely</x:v>
      </x:c>
      <x:c r="O1283" t="str">
        <x:v>Most Likely</x:v>
      </x:c>
    </x:row>
    <x:row r="1284">
      <x:c r="A1284" t="str">
        <x:v>PJT_1283</x:v>
      </x:c>
      <x:c r="B1284" t="n">
        <x:v>20235600</x:v>
      </x:c>
      <x:c r="C1284" t="n">
        <x:v>19916321</x:v>
      </x:c>
      <x:c r="D1284" t="n">
        <x:v>-319279</x:v>
      </x:c>
      <x:c r="E1284" t="n">
        <x:v>-0.0158</x:v>
      </x:c>
      <x:c r="F1284" t="n">
        <x:v>545</x:v>
      </x:c>
      <x:c r="G1284" t="n">
        <x:v>521</x:v>
      </x:c>
      <x:c r="H1284" t="n">
        <x:v>-24</x:v>
      </x:c>
      <x:c r="I1284" t="n">
        <x:v>-0.044</x:v>
      </x:c>
      <x:c r="J1284" t="str">
        <x:v>Low</x:v>
      </x:c>
      <x:c r="K1284" t="n">
        <x:v>27.4</x:v>
      </x:c>
      <x:c r="L1284" t="n">
        <x:v>29.5</x:v>
      </x:c>
      <x:c r="M1284" t="n">
        <x:v>24.8</x:v>
      </x:c>
      <x:c r="N1284" t="str">
        <x:v>Optimistic</x:v>
      </x:c>
      <x:c r="O1284" t="str">
        <x:v>Optimistic</x:v>
      </x:c>
    </x:row>
    <x:row r="1285">
      <x:c r="A1285" t="str">
        <x:v>PJT_1284</x:v>
      </x:c>
      <x:c r="B1285" t="n">
        <x:v>25898960</x:v>
      </x:c>
      <x:c r="C1285" t="n">
        <x:v>27788942</x:v>
      </x:c>
      <x:c r="D1285" t="n">
        <x:v>1889982</x:v>
      </x:c>
      <x:c r="E1285" t="n">
        <x:v>0.073</x:v>
      </x:c>
      <x:c r="F1285" t="n">
        <x:v>551</x:v>
      </x:c>
      <x:c r="G1285" t="n">
        <x:v>578</x:v>
      </x:c>
      <x:c r="H1285" t="n">
        <x:v>27</x:v>
      </x:c>
      <x:c r="I1285" t="n">
        <x:v>0.049</x:v>
      </x:c>
      <x:c r="J1285" t="str">
        <x:v>Low</x:v>
      </x:c>
      <x:c r="K1285" t="n">
        <x:v>42.4</x:v>
      </x:c>
      <x:c r="L1285" t="n">
        <x:v>41.6</x:v>
      </x:c>
      <x:c r="M1285" t="n">
        <x:v>49.3</x:v>
      </x:c>
      <x:c r="N1285" t="str">
        <x:v>Most Likely</x:v>
      </x:c>
      <x:c r="O1285" t="str">
        <x:v>Most Likely</x:v>
      </x:c>
    </x:row>
    <x:row r="1286">
      <x:c r="A1286" t="str">
        <x:v>PJT_1285</x:v>
      </x:c>
      <x:c r="B1286" t="n">
        <x:v>66143460</x:v>
      </x:c>
      <x:c r="C1286" t="n">
        <x:v>72391824</x:v>
      </x:c>
      <x:c r="D1286" t="n">
        <x:v>6248364</x:v>
      </x:c>
      <x:c r="E1286" t="n">
        <x:v>0.0945</x:v>
      </x:c>
      <x:c r="F1286" t="n">
        <x:v>1315</x:v>
      </x:c>
      <x:c r="G1286" t="n">
        <x:v>1398</x:v>
      </x:c>
      <x:c r="H1286" t="n">
        <x:v>83</x:v>
      </x:c>
      <x:c r="I1286" t="n">
        <x:v>0.0631</x:v>
      </x:c>
      <x:c r="J1286" t="str">
        <x:v>Medium</x:v>
      </x:c>
      <x:c r="K1286" t="n">
        <x:v>56.8</x:v>
      </x:c>
      <x:c r="L1286" t="n">
        <x:v>52.1</x:v>
      </x:c>
      <x:c r="M1286" t="n">
        <x:v>56.9</x:v>
      </x:c>
      <x:c r="N1286" t="str">
        <x:v>Most Likely</x:v>
      </x:c>
      <x:c r="O1286" t="str">
        <x:v>Most Likely</x:v>
      </x:c>
    </x:row>
    <x:row r="1287">
      <x:c r="A1287" t="str">
        <x:v>PJT_1286</x:v>
      </x:c>
      <x:c r="B1287" t="n">
        <x:v>16961420</x:v>
      </x:c>
      <x:c r="C1287" t="n">
        <x:v>16288451</x:v>
      </x:c>
      <x:c r="D1287" t="n">
        <x:v>-672969</x:v>
      </x:c>
      <x:c r="E1287" t="n">
        <x:v>-0.0397</x:v>
      </x:c>
      <x:c r="F1287" t="n">
        <x:v>446</x:v>
      </x:c>
      <x:c r="G1287" t="n">
        <x:v>452</x:v>
      </x:c>
      <x:c r="H1287" t="n">
        <x:v>6</x:v>
      </x:c>
      <x:c r="I1287" t="n">
        <x:v>0.0135</x:v>
      </x:c>
      <x:c r="J1287" t="str">
        <x:v>Low</x:v>
      </x:c>
      <x:c r="K1287" t="n">
        <x:v>35.7</x:v>
      </x:c>
      <x:c r="L1287" t="n">
        <x:v>33.5</x:v>
      </x:c>
      <x:c r="M1287" t="n">
        <x:v>38.1</x:v>
      </x:c>
      <x:c r="N1287" t="str">
        <x:v>Optimistic</x:v>
      </x:c>
      <x:c r="O1287" t="str">
        <x:v>Most Likely</x:v>
      </x:c>
    </x:row>
    <x:row r="1288">
      <x:c r="A1288" t="str">
        <x:v>PJT_1287</x:v>
      </x:c>
      <x:c r="B1288" t="n">
        <x:v>87782800</x:v>
      </x:c>
      <x:c r="C1288" t="n">
        <x:v>91245665</x:v>
      </x:c>
      <x:c r="D1288" t="n">
        <x:v>3462865</x:v>
      </x:c>
      <x:c r="E1288" t="n">
        <x:v>0.0394</x:v>
      </x:c>
      <x:c r="F1288" t="n">
        <x:v>1621</x:v>
      </x:c>
      <x:c r="G1288" t="n">
        <x:v>1719</x:v>
      </x:c>
      <x:c r="H1288" t="n">
        <x:v>98</x:v>
      </x:c>
      <x:c r="I1288" t="n">
        <x:v>0.0605</x:v>
      </x:c>
      <x:c r="J1288" t="str">
        <x:v>Medium</x:v>
      </x:c>
      <x:c r="K1288" t="n">
        <x:v>60.9</x:v>
      </x:c>
      <x:c r="L1288" t="n">
        <x:v>66.7</x:v>
      </x:c>
      <x:c r="M1288" t="n">
        <x:v>59.6</x:v>
      </x:c>
      <x:c r="N1288" t="str">
        <x:v>Most Likely</x:v>
      </x:c>
      <x:c r="O1288" t="str">
        <x:v>Most Likely</x:v>
      </x:c>
    </x:row>
    <x:row r="1289">
      <x:c r="A1289" t="str">
        <x:v>PJT_1288</x:v>
      </x:c>
      <x:c r="B1289" t="n">
        <x:v>84904460</x:v>
      </x:c>
      <x:c r="C1289" t="n">
        <x:v>89871247</x:v>
      </x:c>
      <x:c r="D1289" t="n">
        <x:v>4966787</x:v>
      </x:c>
      <x:c r="E1289" t="n">
        <x:v>0.0585</x:v>
      </x:c>
      <x:c r="F1289" t="n">
        <x:v>1432</x:v>
      </x:c>
      <x:c r="G1289" t="n">
        <x:v>1496</x:v>
      </x:c>
      <x:c r="H1289" t="n">
        <x:v>64</x:v>
      </x:c>
      <x:c r="I1289" t="n">
        <x:v>0.0447</x:v>
      </x:c>
      <x:c r="J1289" t="str">
        <x:v>Medium</x:v>
      </x:c>
      <x:c r="K1289" t="n">
        <x:v>59.7</x:v>
      </x:c>
      <x:c r="L1289" t="n">
        <x:v>63.6</x:v>
      </x:c>
      <x:c r="M1289" t="n">
        <x:v>61.9</x:v>
      </x:c>
      <x:c r="N1289" t="str">
        <x:v>Most Likely</x:v>
      </x:c>
      <x:c r="O1289" t="str">
        <x:v>Most Likely</x:v>
      </x:c>
    </x:row>
    <x:row r="1290">
      <x:c r="A1290" t="str">
        <x:v>PJT_1289</x:v>
      </x:c>
      <x:c r="B1290" t="n">
        <x:v>103398360</x:v>
      </x:c>
      <x:c r="C1290" t="n">
        <x:v>108232173</x:v>
      </x:c>
      <x:c r="D1290" t="n">
        <x:v>4833813</x:v>
      </x:c>
      <x:c r="E1290" t="n">
        <x:v>0.0467</x:v>
      </x:c>
      <x:c r="F1290" t="n">
        <x:v>1903</x:v>
      </x:c>
      <x:c r="G1290" t="n">
        <x:v>1992</x:v>
      </x:c>
      <x:c r="H1290" t="n">
        <x:v>89</x:v>
      </x:c>
      <x:c r="I1290" t="n">
        <x:v>0.0468</x:v>
      </x:c>
      <x:c r="J1290" t="str">
        <x:v>Medium</x:v>
      </x:c>
      <x:c r="K1290" t="n">
        <x:v>64.4</x:v>
      </x:c>
      <x:c r="L1290" t="n">
        <x:v>61.7</x:v>
      </x:c>
      <x:c r="M1290" t="n">
        <x:v>60.4</x:v>
      </x:c>
      <x:c r="N1290" t="str">
        <x:v>Most Likely</x:v>
      </x:c>
      <x:c r="O1290" t="str">
        <x:v>Most Likely</x:v>
      </x:c>
    </x:row>
    <x:row r="1291">
      <x:c r="A1291" t="str">
        <x:v>PJT_1290</x:v>
      </x:c>
      <x:c r="B1291" t="n">
        <x:v>70494000</x:v>
      </x:c>
      <x:c r="C1291" t="n">
        <x:v>76010306</x:v>
      </x:c>
      <x:c r="D1291" t="n">
        <x:v>5516306</x:v>
      </x:c>
      <x:c r="E1291" t="n">
        <x:v>0.0783</x:v>
      </x:c>
      <x:c r="F1291" t="n">
        <x:v>1069</x:v>
      </x:c>
      <x:c r="G1291" t="n">
        <x:v>1167</x:v>
      </x:c>
      <x:c r="H1291" t="n">
        <x:v>98</x:v>
      </x:c>
      <x:c r="I1291" t="n">
        <x:v>0.0917</x:v>
      </x:c>
      <x:c r="J1291" t="str">
        <x:v>Medium</x:v>
      </x:c>
      <x:c r="K1291" t="n">
        <x:v>47</x:v>
      </x:c>
      <x:c r="L1291" t="n">
        <x:v>52.8</x:v>
      </x:c>
      <x:c r="M1291" t="n">
        <x:v>51.8</x:v>
      </x:c>
      <x:c r="N1291" t="str">
        <x:v>Most Likely</x:v>
      </x:c>
      <x:c r="O1291" t="str">
        <x:v>Most Likely</x:v>
      </x:c>
    </x:row>
    <x:row r="1292">
      <x:c r="A1292" t="str">
        <x:v>PJT_1291</x:v>
      </x:c>
      <x:c r="B1292" t="n">
        <x:v>43932760</x:v>
      </x:c>
      <x:c r="C1292" t="n">
        <x:v>47395163</x:v>
      </x:c>
      <x:c r="D1292" t="n">
        <x:v>3462403</x:v>
      </x:c>
      <x:c r="E1292" t="n">
        <x:v>0.0788</x:v>
      </x:c>
      <x:c r="F1292" t="n">
        <x:v>840</x:v>
      </x:c>
      <x:c r="G1292" t="n">
        <x:v>872</x:v>
      </x:c>
      <x:c r="H1292" t="n">
        <x:v>32</x:v>
      </x:c>
      <x:c r="I1292" t="n">
        <x:v>0.0381</x:v>
      </x:c>
      <x:c r="J1292" t="str">
        <x:v>Medium</x:v>
      </x:c>
      <x:c r="K1292" t="n">
        <x:v>49.7</x:v>
      </x:c>
      <x:c r="L1292" t="n">
        <x:v>51.9</x:v>
      </x:c>
      <x:c r="M1292" t="n">
        <x:v>55.5</x:v>
      </x:c>
      <x:c r="N1292" t="str">
        <x:v>Most Likely</x:v>
      </x:c>
      <x:c r="O1292" t="str">
        <x:v>Most Likely</x:v>
      </x:c>
    </x:row>
    <x:row r="1293">
      <x:c r="A1293" t="str">
        <x:v>PJT_1292</x:v>
      </x:c>
      <x:c r="B1293" t="n">
        <x:v>27004920</x:v>
      </x:c>
      <x:c r="C1293" t="n">
        <x:v>26853673</x:v>
      </x:c>
      <x:c r="D1293" t="n">
        <x:v>-151247</x:v>
      </x:c>
      <x:c r="E1293" t="n">
        <x:v>-0.0056</x:v>
      </x:c>
      <x:c r="F1293" t="n">
        <x:v>570</x:v>
      </x:c>
      <x:c r="G1293" t="n">
        <x:v>575</x:v>
      </x:c>
      <x:c r="H1293" t="n">
        <x:v>5</x:v>
      </x:c>
      <x:c r="I1293" t="n">
        <x:v>0.0088</x:v>
      </x:c>
      <x:c r="J1293" t="str">
        <x:v>Low</x:v>
      </x:c>
      <x:c r="K1293" t="n">
        <x:v>42.9</x:v>
      </x:c>
      <x:c r="L1293" t="n">
        <x:v>43</x:v>
      </x:c>
      <x:c r="M1293" t="n">
        <x:v>40.8</x:v>
      </x:c>
      <x:c r="N1293" t="str">
        <x:v>Optimistic</x:v>
      </x:c>
      <x:c r="O1293" t="str">
        <x:v>Most Likely</x:v>
      </x:c>
    </x:row>
    <x:row r="1294">
      <x:c r="A1294" t="str">
        <x:v>PJT_1293</x:v>
      </x:c>
      <x:c r="B1294" t="n">
        <x:v>22612320</x:v>
      </x:c>
      <x:c r="C1294" t="n">
        <x:v>23794955</x:v>
      </x:c>
      <x:c r="D1294" t="n">
        <x:v>1182635</x:v>
      </x:c>
      <x:c r="E1294" t="n">
        <x:v>0.0523</x:v>
      </x:c>
      <x:c r="F1294" t="n">
        <x:v>561</x:v>
      </x:c>
      <x:c r="G1294" t="n">
        <x:v>583</x:v>
      </x:c>
      <x:c r="H1294" t="n">
        <x:v>22</x:v>
      </x:c>
      <x:c r="I1294" t="n">
        <x:v>0.0392</x:v>
      </x:c>
      <x:c r="J1294" t="str">
        <x:v>Low</x:v>
      </x:c>
      <x:c r="K1294" t="n">
        <x:v>44.8</x:v>
      </x:c>
      <x:c r="L1294" t="n">
        <x:v>50.1</x:v>
      </x:c>
      <x:c r="M1294" t="n">
        <x:v>42.2</x:v>
      </x:c>
      <x:c r="N1294" t="str">
        <x:v>Most Likely</x:v>
      </x:c>
      <x:c r="O1294" t="str">
        <x:v>Most Likely</x:v>
      </x:c>
    </x:row>
    <x:row r="1295">
      <x:c r="A1295" t="str">
        <x:v>PJT_1294</x:v>
      </x:c>
      <x:c r="B1295" t="n">
        <x:v>15005900</x:v>
      </x:c>
      <x:c r="C1295" t="n">
        <x:v>14344536</x:v>
      </x:c>
      <x:c r="D1295" t="n">
        <x:v>-661364</x:v>
      </x:c>
      <x:c r="E1295" t="n">
        <x:v>-0.0441</x:v>
      </x:c>
      <x:c r="F1295" t="n">
        <x:v>389</x:v>
      </x:c>
      <x:c r="G1295" t="n">
        <x:v>374</x:v>
      </x:c>
      <x:c r="H1295" t="n">
        <x:v>-15</x:v>
      </x:c>
      <x:c r="I1295" t="n">
        <x:v>-0.0386</x:v>
      </x:c>
      <x:c r="J1295" t="str">
        <x:v>Low</x:v>
      </x:c>
      <x:c r="K1295" t="n">
        <x:v>34.3</x:v>
      </x:c>
      <x:c r="L1295" t="n">
        <x:v>29.6</x:v>
      </x:c>
      <x:c r="M1295" t="n">
        <x:v>32</x:v>
      </x:c>
      <x:c r="N1295" t="str">
        <x:v>Optimistic</x:v>
      </x:c>
      <x:c r="O1295" t="str">
        <x:v>Optimistic</x:v>
      </x:c>
    </x:row>
    <x:row r="1296">
      <x:c r="A1296" t="str">
        <x:v>PJT_1295</x:v>
      </x:c>
      <x:c r="B1296" t="n">
        <x:v>13307520</x:v>
      </x:c>
      <x:c r="C1296" t="n">
        <x:v>13133761</x:v>
      </x:c>
      <x:c r="D1296" t="n">
        <x:v>-173759</x:v>
      </x:c>
      <x:c r="E1296" t="n">
        <x:v>-0.0131</x:v>
      </x:c>
      <x:c r="F1296" t="n">
        <x:v>278</x:v>
      </x:c>
      <x:c r="G1296" t="n">
        <x:v>280</x:v>
      </x:c>
      <x:c r="H1296" t="n">
        <x:v>2</x:v>
      </x:c>
      <x:c r="I1296" t="n">
        <x:v>0.0072</x:v>
      </x:c>
      <x:c r="J1296" t="str">
        <x:v>Low</x:v>
      </x:c>
      <x:c r="K1296" t="n">
        <x:v>30.2</x:v>
      </x:c>
      <x:c r="L1296" t="n">
        <x:v>28.4</x:v>
      </x:c>
      <x:c r="M1296" t="n">
        <x:v>26.8</x:v>
      </x:c>
      <x:c r="N1296" t="str">
        <x:v>Optimistic</x:v>
      </x:c>
      <x:c r="O1296" t="str">
        <x:v>Most Likely</x:v>
      </x:c>
    </x:row>
    <x:row r="1297">
      <x:c r="A1297" t="str">
        <x:v>PJT_1296</x:v>
      </x:c>
      <x:c r="B1297" t="n">
        <x:v>77529180</x:v>
      </x:c>
      <x:c r="C1297" t="n">
        <x:v>82822841</x:v>
      </x:c>
      <x:c r="D1297" t="n">
        <x:v>5293661</x:v>
      </x:c>
      <x:c r="E1297" t="n">
        <x:v>0.0683</x:v>
      </x:c>
      <x:c r="F1297" t="n">
        <x:v>1337</x:v>
      </x:c>
      <x:c r="G1297" t="n">
        <x:v>1439</x:v>
      </x:c>
      <x:c r="H1297" t="n">
        <x:v>102</x:v>
      </x:c>
      <x:c r="I1297" t="n">
        <x:v>0.0763</x:v>
      </x:c>
      <x:c r="J1297" t="str">
        <x:v>Medium</x:v>
      </x:c>
      <x:c r="K1297" t="n">
        <x:v>49.1</x:v>
      </x:c>
      <x:c r="L1297" t="n">
        <x:v>54.5</x:v>
      </x:c>
      <x:c r="M1297" t="n">
        <x:v>52.9</x:v>
      </x:c>
      <x:c r="N1297" t="str">
        <x:v>Most Likely</x:v>
      </x:c>
      <x:c r="O1297" t="str">
        <x:v>Most Likely</x:v>
      </x:c>
    </x:row>
    <x:row r="1298">
      <x:c r="A1298" t="str">
        <x:v>PJT_1297</x:v>
      </x:c>
      <x:c r="B1298" t="n">
        <x:v>81239040</x:v>
      </x:c>
      <x:c r="C1298" t="n">
        <x:v>87050246</x:v>
      </x:c>
      <x:c r="D1298" t="n">
        <x:v>5811206</x:v>
      </x:c>
      <x:c r="E1298" t="n">
        <x:v>0.0715</x:v>
      </x:c>
      <x:c r="F1298" t="n">
        <x:v>1511</x:v>
      </x:c>
      <x:c r="G1298" t="n">
        <x:v>1701</x:v>
      </x:c>
      <x:c r="H1298" t="n">
        <x:v>190</x:v>
      </x:c>
      <x:c r="I1298" t="n">
        <x:v>0.1257</x:v>
      </x:c>
      <x:c r="J1298" t="str">
        <x:v>Medium</x:v>
      </x:c>
      <x:c r="K1298" t="n">
        <x:v>63.3</x:v>
      </x:c>
      <x:c r="L1298" t="n">
        <x:v>66.8</x:v>
      </x:c>
      <x:c r="M1298" t="n">
        <x:v>60.7</x:v>
      </x:c>
      <x:c r="N1298" t="str">
        <x:v>Most Likely</x:v>
      </x:c>
      <x:c r="O1298" t="str">
        <x:v>Pessimistic</x:v>
      </x:c>
    </x:row>
    <x:row r="1299">
      <x:c r="A1299" t="str">
        <x:v>PJT_1298</x:v>
      </x:c>
      <x:c r="B1299" t="n">
        <x:v>55146450</x:v>
      </x:c>
      <x:c r="C1299" t="n">
        <x:v>59827574</x:v>
      </x:c>
      <x:c r="D1299" t="n">
        <x:v>4681124</x:v>
      </x:c>
      <x:c r="E1299" t="n">
        <x:v>0.0849</x:v>
      </x:c>
      <x:c r="F1299" t="n">
        <x:v>1118</x:v>
      </x:c>
      <x:c r="G1299" t="n">
        <x:v>1171</x:v>
      </x:c>
      <x:c r="H1299" t="n">
        <x:v>53</x:v>
      </x:c>
      <x:c r="I1299" t="n">
        <x:v>0.0474</x:v>
      </x:c>
      <x:c r="J1299" t="str">
        <x:v>Medium</x:v>
      </x:c>
      <x:c r="K1299" t="n">
        <x:v>54.5</x:v>
      </x:c>
      <x:c r="L1299" t="n">
        <x:v>56.9</x:v>
      </x:c>
      <x:c r="M1299" t="n">
        <x:v>48.6</x:v>
      </x:c>
      <x:c r="N1299" t="str">
        <x:v>Most Likely</x:v>
      </x:c>
      <x:c r="O1299" t="str">
        <x:v>Most Likely</x:v>
      </x:c>
    </x:row>
    <x:row r="1300">
      <x:c r="A1300" t="str">
        <x:v>PJT_1299</x:v>
      </x:c>
      <x:c r="B1300" t="n">
        <x:v>15549600</x:v>
      </x:c>
      <x:c r="C1300" t="n">
        <x:v>14401101</x:v>
      </x:c>
      <x:c r="D1300" t="n">
        <x:v>-1148499</x:v>
      </x:c>
      <x:c r="E1300" t="n">
        <x:v>-0.0739</x:v>
      </x:c>
      <x:c r="F1300" t="n">
        <x:v>278</x:v>
      </x:c>
      <x:c r="G1300" t="n">
        <x:v>276</x:v>
      </x:c>
      <x:c r="H1300" t="n">
        <x:v>-2</x:v>
      </x:c>
      <x:c r="I1300" t="n">
        <x:v>-0.0072</x:v>
      </x:c>
      <x:c r="J1300" t="str">
        <x:v>Low</x:v>
      </x:c>
      <x:c r="K1300" t="n">
        <x:v>31.1</x:v>
      </x:c>
      <x:c r="L1300" t="n">
        <x:v>25.3</x:v>
      </x:c>
      <x:c r="M1300" t="n">
        <x:v>28.4</x:v>
      </x:c>
      <x:c r="N1300" t="str">
        <x:v>Optimistic</x:v>
      </x:c>
      <x:c r="O1300" t="str">
        <x:v>Optimistic</x:v>
      </x:c>
    </x:row>
    <x:row r="1301">
      <x:c r="A1301" t="str">
        <x:v>PJT_1300</x:v>
      </x:c>
      <x:c r="B1301" t="n">
        <x:v>17250240</x:v>
      </x:c>
      <x:c r="C1301" t="n">
        <x:v>17635312</x:v>
      </x:c>
      <x:c r="D1301" t="n">
        <x:v>385072</x:v>
      </x:c>
      <x:c r="E1301" t="n">
        <x:v>0.0223</x:v>
      </x:c>
      <x:c r="F1301" t="n">
        <x:v>312</x:v>
      </x:c>
      <x:c r="G1301" t="n">
        <x:v>307</x:v>
      </x:c>
      <x:c r="H1301" t="n">
        <x:v>-5</x:v>
      </x:c>
      <x:c r="I1301" t="n">
        <x:v>-0.016</x:v>
      </x:c>
      <x:c r="J1301" t="str">
        <x:v>Low</x:v>
      </x:c>
      <x:c r="K1301" t="n">
        <x:v>24</x:v>
      </x:c>
      <x:c r="L1301" t="n">
        <x:v>24.1</x:v>
      </x:c>
      <x:c r="M1301" t="n">
        <x:v>28.8</x:v>
      </x:c>
      <x:c r="N1301" t="str">
        <x:v>Most Likely</x:v>
      </x:c>
      <x:c r="O1301" t="str">
        <x:v>Optimistic</x:v>
      </x:c>
    </x:row>
    <x:row r="1302">
      <x:c r="A1302" t="str">
        <x:v>PJT_1301</x:v>
      </x:c>
      <x:c r="B1302" t="n">
        <x:v>12304880</x:v>
      </x:c>
      <x:c r="C1302" t="n">
        <x:v>12304706</x:v>
      </x:c>
      <x:c r="D1302" t="n">
        <x:v>-174</x:v>
      </x:c>
      <x:c r="E1302" t="n">
        <x:v>0</x:v>
      </x:c>
      <x:c r="F1302" t="n">
        <x:v>256</x:v>
      </x:c>
      <x:c r="G1302" t="n">
        <x:v>271</x:v>
      </x:c>
      <x:c r="H1302" t="n">
        <x:v>15</x:v>
      </x:c>
      <x:c r="I1302" t="n">
        <x:v>0.0586</x:v>
      </x:c>
      <x:c r="J1302" t="str">
        <x:v>Medium</x:v>
      </x:c>
      <x:c r="K1302" t="n">
        <x:v>45</x:v>
      </x:c>
      <x:c r="L1302" t="n">
        <x:v>47.4</x:v>
      </x:c>
      <x:c r="M1302" t="n">
        <x:v>46.3</x:v>
      </x:c>
      <x:c r="N1302" t="str">
        <x:v>Optimistic</x:v>
      </x:c>
      <x:c r="O1302" t="str">
        <x:v>Most Likely</x:v>
      </x:c>
    </x:row>
    <x:row r="1303">
      <x:c r="A1303" t="str">
        <x:v>PJT_1302</x:v>
      </x:c>
      <x:c r="B1303" t="n">
        <x:v>14255200</x:v>
      </x:c>
      <x:c r="C1303" t="n">
        <x:v>13569619</x:v>
      </x:c>
      <x:c r="D1303" t="n">
        <x:v>-685581</x:v>
      </x:c>
      <x:c r="E1303" t="n">
        <x:v>-0.0481</x:v>
      </x:c>
      <x:c r="F1303" t="n">
        <x:v>277</x:v>
      </x:c>
      <x:c r="G1303" t="n">
        <x:v>273</x:v>
      </x:c>
      <x:c r="H1303" t="n">
        <x:v>-4</x:v>
      </x:c>
      <x:c r="I1303" t="n">
        <x:v>-0.0144</x:v>
      </x:c>
      <x:c r="J1303" t="str">
        <x:v>Low</x:v>
      </x:c>
      <x:c r="K1303" t="n">
        <x:v>32.6</x:v>
      </x:c>
      <x:c r="L1303" t="n">
        <x:v>28.2</x:v>
      </x:c>
      <x:c r="M1303" t="n">
        <x:v>33.4</x:v>
      </x:c>
      <x:c r="N1303" t="str">
        <x:v>Optimistic</x:v>
      </x:c>
      <x:c r="O1303" t="str">
        <x:v>Optimistic</x:v>
      </x:c>
    </x:row>
    <x:row r="1304">
      <x:c r="A1304" t="str">
        <x:v>PJT_1303</x:v>
      </x:c>
      <x:c r="B1304" t="n">
        <x:v>6233220</x:v>
      </x:c>
      <x:c r="C1304" t="n">
        <x:v>6021780</x:v>
      </x:c>
      <x:c r="D1304" t="n">
        <x:v>-211440</x:v>
      </x:c>
      <x:c r="E1304" t="n">
        <x:v>-0.0339</x:v>
      </x:c>
      <x:c r="F1304" t="n">
        <x:v>180</x:v>
      </x:c>
      <x:c r="G1304" t="n">
        <x:v>179</x:v>
      </x:c>
      <x:c r="H1304" t="n">
        <x:v>-1</x:v>
      </x:c>
      <x:c r="I1304" t="n">
        <x:v>-0.0056</x:v>
      </x:c>
      <x:c r="J1304" t="str">
        <x:v>Low</x:v>
      </x:c>
      <x:c r="K1304" t="n">
        <x:v>29.8</x:v>
      </x:c>
      <x:c r="L1304" t="n">
        <x:v>32.7</x:v>
      </x:c>
      <x:c r="M1304" t="n">
        <x:v>26.3</x:v>
      </x:c>
      <x:c r="N1304" t="str">
        <x:v>Optimistic</x:v>
      </x:c>
      <x:c r="O1304" t="str">
        <x:v>Optimistic</x:v>
      </x:c>
    </x:row>
    <x:row r="1305">
      <x:c r="A1305" t="str">
        <x:v>PJT_1304</x:v>
      </x:c>
      <x:c r="B1305" t="n">
        <x:v>70513560</x:v>
      </x:c>
      <x:c r="C1305" t="n">
        <x:v>77488693</x:v>
      </x:c>
      <x:c r="D1305" t="n">
        <x:v>6975133</x:v>
      </x:c>
      <x:c r="E1305" t="n">
        <x:v>0.0989</x:v>
      </x:c>
      <x:c r="F1305" t="n">
        <x:v>1380</x:v>
      </x:c>
      <x:c r="G1305" t="n">
        <x:v>1447</x:v>
      </x:c>
      <x:c r="H1305" t="n">
        <x:v>67</x:v>
      </x:c>
      <x:c r="I1305" t="n">
        <x:v>0.0486</x:v>
      </x:c>
      <x:c r="J1305" t="str">
        <x:v>High</x:v>
      </x:c>
      <x:c r="K1305" t="n">
        <x:v>67.5</x:v>
      </x:c>
      <x:c r="L1305" t="n">
        <x:v>70.2</x:v>
      </x:c>
      <x:c r="M1305" t="n">
        <x:v>65.2</x:v>
      </x:c>
      <x:c r="N1305" t="str">
        <x:v>Most Likely</x:v>
      </x:c>
      <x:c r="O1305" t="str">
        <x:v>Most Likely</x:v>
      </x:c>
    </x:row>
    <x:row r="1306">
      <x:c r="A1306" t="str">
        <x:v>PJT_1305</x:v>
      </x:c>
      <x:c r="B1306" t="n">
        <x:v>77562720</x:v>
      </x:c>
      <x:c r="C1306" t="n">
        <x:v>80758696</x:v>
      </x:c>
      <x:c r="D1306" t="n">
        <x:v>3195976</x:v>
      </x:c>
      <x:c r="E1306" t="n">
        <x:v>0.0412</x:v>
      </x:c>
      <x:c r="F1306" t="n">
        <x:v>1420</x:v>
      </x:c>
      <x:c r="G1306" t="n">
        <x:v>1554</x:v>
      </x:c>
      <x:c r="H1306" t="n">
        <x:v>134</x:v>
      </x:c>
      <x:c r="I1306" t="n">
        <x:v>0.0944</x:v>
      </x:c>
      <x:c r="J1306" t="str">
        <x:v>Medium</x:v>
      </x:c>
      <x:c r="K1306" t="n">
        <x:v>52.9</x:v>
      </x:c>
      <x:c r="L1306" t="n">
        <x:v>54.2</x:v>
      </x:c>
      <x:c r="M1306" t="n">
        <x:v>56.5</x:v>
      </x:c>
      <x:c r="N1306" t="str">
        <x:v>Most Likely</x:v>
      </x:c>
      <x:c r="O1306" t="str">
        <x:v>Most Likely</x:v>
      </x:c>
    </x:row>
    <x:row r="1307">
      <x:c r="A1307" t="str">
        <x:v>PJT_1306</x:v>
      </x:c>
      <x:c r="B1307" t="n">
        <x:v>102718050</x:v>
      </x:c>
      <x:c r="C1307" t="n">
        <x:v>116973692</x:v>
      </x:c>
      <x:c r="D1307" t="n">
        <x:v>14255642</x:v>
      </x:c>
      <x:c r="E1307" t="n">
        <x:v>0.1388</x:v>
      </x:c>
      <x:c r="F1307" t="n">
        <x:v>1821</x:v>
      </x:c>
      <x:c r="G1307" t="n">
        <x:v>1952</x:v>
      </x:c>
      <x:c r="H1307" t="n">
        <x:v>131</x:v>
      </x:c>
      <x:c r="I1307" t="n">
        <x:v>0.0719</x:v>
      </x:c>
      <x:c r="J1307" t="str">
        <x:v>Medium</x:v>
      </x:c>
      <x:c r="K1307" t="n">
        <x:v>64.5</x:v>
      </x:c>
      <x:c r="L1307" t="n">
        <x:v>72.8</x:v>
      </x:c>
      <x:c r="M1307" t="n">
        <x:v>65.3</x:v>
      </x:c>
      <x:c r="N1307" t="str">
        <x:v>Pessimistic</x:v>
      </x:c>
      <x:c r="O1307" t="str">
        <x:v>Most Likely</x:v>
      </x:c>
    </x:row>
    <x:row r="1308">
      <x:c r="A1308" t="str">
        <x:v>PJT_1307</x:v>
      </x:c>
      <x:c r="B1308" t="n">
        <x:v>42360780</x:v>
      </x:c>
      <x:c r="C1308" t="n">
        <x:v>43638969</x:v>
      </x:c>
      <x:c r="D1308" t="n">
        <x:v>1278189</x:v>
      </x:c>
      <x:c r="E1308" t="n">
        <x:v>0.0302</x:v>
      </x:c>
      <x:c r="F1308" t="n">
        <x:v>847</x:v>
      </x:c>
      <x:c r="G1308" t="n">
        <x:v>859</x:v>
      </x:c>
      <x:c r="H1308" t="n">
        <x:v>12</x:v>
      </x:c>
      <x:c r="I1308" t="n">
        <x:v>0.0142</x:v>
      </x:c>
      <x:c r="J1308" t="str">
        <x:v>Medium</x:v>
      </x:c>
      <x:c r="K1308" t="n">
        <x:v>45.7</x:v>
      </x:c>
      <x:c r="L1308" t="n">
        <x:v>52.2</x:v>
      </x:c>
      <x:c r="M1308" t="n">
        <x:v>45.8</x:v>
      </x:c>
      <x:c r="N1308" t="str">
        <x:v>Most Likely</x:v>
      </x:c>
      <x:c r="O1308" t="str">
        <x:v>Most Likely</x:v>
      </x:c>
    </x:row>
    <x:row r="1309">
      <x:c r="A1309" t="str">
        <x:v>PJT_1308</x:v>
      </x:c>
      <x:c r="B1309" t="n">
        <x:v>34037000</x:v>
      </x:c>
      <x:c r="C1309" t="n">
        <x:v>34327644</x:v>
      </x:c>
      <x:c r="D1309" t="n">
        <x:v>290644</x:v>
      </x:c>
      <x:c r="E1309" t="n">
        <x:v>0.0085</x:v>
      </x:c>
      <x:c r="F1309" t="n">
        <x:v>563</x:v>
      </x:c>
      <x:c r="G1309" t="n">
        <x:v>631</x:v>
      </x:c>
      <x:c r="H1309" t="n">
        <x:v>68</x:v>
      </x:c>
      <x:c r="I1309" t="n">
        <x:v>0.1208</x:v>
      </x:c>
      <x:c r="J1309" t="str">
        <x:v>Low</x:v>
      </x:c>
      <x:c r="K1309" t="n">
        <x:v>43.8</x:v>
      </x:c>
      <x:c r="L1309" t="n">
        <x:v>47.6</x:v>
      </x:c>
      <x:c r="M1309" t="n">
        <x:v>41.7</x:v>
      </x:c>
      <x:c r="N1309" t="str">
        <x:v>Most Likely</x:v>
      </x:c>
      <x:c r="O1309" t="str">
        <x:v>Pessimistic</x:v>
      </x:c>
    </x:row>
    <x:row r="1310">
      <x:c r="A1310" t="str">
        <x:v>PJT_1309</x:v>
      </x:c>
      <x:c r="B1310" t="n">
        <x:v>62100150</x:v>
      </x:c>
      <x:c r="C1310" t="n">
        <x:v>65118679</x:v>
      </x:c>
      <x:c r="D1310" t="n">
        <x:v>3018529</x:v>
      </x:c>
      <x:c r="E1310" t="n">
        <x:v>0.0486</x:v>
      </x:c>
      <x:c r="F1310" t="n">
        <x:v>1121</x:v>
      </x:c>
      <x:c r="G1310" t="n">
        <x:v>1204</x:v>
      </x:c>
      <x:c r="H1310" t="n">
        <x:v>83</x:v>
      </x:c>
      <x:c r="I1310" t="n">
        <x:v>0.074</x:v>
      </x:c>
      <x:c r="J1310" t="str">
        <x:v>Medium</x:v>
      </x:c>
      <x:c r="K1310" t="n">
        <x:v>49.6</x:v>
      </x:c>
      <x:c r="L1310" t="n">
        <x:v>49.1</x:v>
      </x:c>
      <x:c r="M1310" t="n">
        <x:v>46.6</x:v>
      </x:c>
      <x:c r="N1310" t="str">
        <x:v>Most Likely</x:v>
      </x:c>
      <x:c r="O1310" t="str">
        <x:v>Most Likely</x:v>
      </x:c>
    </x:row>
    <x:row r="1311">
      <x:c r="A1311" t="str">
        <x:v>PJT_1310</x:v>
      </x:c>
      <x:c r="B1311" t="n">
        <x:v>24461400</x:v>
      </x:c>
      <x:c r="C1311" t="n">
        <x:v>25509328</x:v>
      </x:c>
      <x:c r="D1311" t="n">
        <x:v>1047928</x:v>
      </x:c>
      <x:c r="E1311" t="n">
        <x:v>0.0428</x:v>
      </x:c>
      <x:c r="F1311" t="n">
        <x:v>520</x:v>
      </x:c>
      <x:c r="G1311" t="n">
        <x:v>542</x:v>
      </x:c>
      <x:c r="H1311" t="n">
        <x:v>22</x:v>
      </x:c>
      <x:c r="I1311" t="n">
        <x:v>0.0423</x:v>
      </x:c>
      <x:c r="J1311" t="str">
        <x:v>Medium</x:v>
      </x:c>
      <x:c r="K1311" t="n">
        <x:v>46</x:v>
      </x:c>
      <x:c r="L1311" t="n">
        <x:v>48.9</x:v>
      </x:c>
      <x:c r="M1311" t="n">
        <x:v>45.2</x:v>
      </x:c>
      <x:c r="N1311" t="str">
        <x:v>Most Likely</x:v>
      </x:c>
      <x:c r="O1311" t="str">
        <x:v>Most Likely</x:v>
      </x:c>
    </x:row>
    <x:row r="1312">
      <x:c r="A1312" t="str">
        <x:v>PJT_1311</x:v>
      </x:c>
      <x:c r="B1312" t="n">
        <x:v>18243610</x:v>
      </x:c>
      <x:c r="C1312" t="n">
        <x:v>19033727</x:v>
      </x:c>
      <x:c r="D1312" t="n">
        <x:v>790117</x:v>
      </x:c>
      <x:c r="E1312" t="n">
        <x:v>0.0433</x:v>
      </x:c>
      <x:c r="F1312" t="n">
        <x:v>383</x:v>
      </x:c>
      <x:c r="G1312" t="n">
        <x:v>384</x:v>
      </x:c>
      <x:c r="H1312" t="n">
        <x:v>1</x:v>
      </x:c>
      <x:c r="I1312" t="n">
        <x:v>0.0026</x:v>
      </x:c>
      <x:c r="J1312" t="str">
        <x:v>Low</x:v>
      </x:c>
      <x:c r="K1312" t="n">
        <x:v>37</x:v>
      </x:c>
      <x:c r="L1312" t="n">
        <x:v>40.1</x:v>
      </x:c>
      <x:c r="M1312" t="n">
        <x:v>31.9</x:v>
      </x:c>
      <x:c r="N1312" t="str">
        <x:v>Most Likely</x:v>
      </x:c>
      <x:c r="O1312" t="str">
        <x:v>Most Likely</x:v>
      </x:c>
    </x:row>
    <x:row r="1313">
      <x:c r="A1313" t="str">
        <x:v>PJT_1312</x:v>
      </x:c>
      <x:c r="B1313" t="n">
        <x:v>56383580</x:v>
      </x:c>
      <x:c r="C1313" t="n">
        <x:v>60310655</x:v>
      </x:c>
      <x:c r="D1313" t="n">
        <x:v>3927075</x:v>
      </x:c>
      <x:c r="E1313" t="n">
        <x:v>0.0696</x:v>
      </x:c>
      <x:c r="F1313" t="n">
        <x:v>1175</x:v>
      </x:c>
      <x:c r="G1313" t="n">
        <x:v>1218</x:v>
      </x:c>
      <x:c r="H1313" t="n">
        <x:v>43</x:v>
      </x:c>
      <x:c r="I1313" t="n">
        <x:v>0.0366</x:v>
      </x:c>
      <x:c r="J1313" t="str">
        <x:v>High</x:v>
      </x:c>
      <x:c r="K1313" t="n">
        <x:v>67.3</x:v>
      </x:c>
      <x:c r="L1313" t="n">
        <x:v>63.8</x:v>
      </x:c>
      <x:c r="M1313" t="n">
        <x:v>63.2</x:v>
      </x:c>
      <x:c r="N1313" t="str">
        <x:v>Most Likely</x:v>
      </x:c>
      <x:c r="O1313" t="str">
        <x:v>Most Likely</x:v>
      </x:c>
    </x:row>
    <x:row r="1314">
      <x:c r="A1314" t="str">
        <x:v>PJT_1313</x:v>
      </x:c>
      <x:c r="B1314" t="n">
        <x:v>73760050</x:v>
      </x:c>
      <x:c r="C1314" t="n">
        <x:v>81588412</x:v>
      </x:c>
      <x:c r="D1314" t="n">
        <x:v>7828362</x:v>
      </x:c>
      <x:c r="E1314" t="n">
        <x:v>0.1061</x:v>
      </x:c>
      <x:c r="F1314" t="n">
        <x:v>1462</x:v>
      </x:c>
      <x:c r="G1314" t="n">
        <x:v>1614</x:v>
      </x:c>
      <x:c r="H1314" t="n">
        <x:v>152</x:v>
      </x:c>
      <x:c r="I1314" t="n">
        <x:v>0.104</x:v>
      </x:c>
      <x:c r="J1314" t="str">
        <x:v>Medium</x:v>
      </x:c>
      <x:c r="K1314" t="n">
        <x:v>58.5</x:v>
      </x:c>
      <x:c r="L1314" t="n">
        <x:v>69.7</x:v>
      </x:c>
      <x:c r="M1314" t="n">
        <x:v>62.7</x:v>
      </x:c>
      <x:c r="N1314" t="str">
        <x:v>Pessimistic</x:v>
      </x:c>
      <x:c r="O1314" t="str">
        <x:v>Pessimistic</x:v>
      </x:c>
    </x:row>
    <x:row r="1315">
      <x:c r="A1315" t="str">
        <x:v>PJT_1314</x:v>
      </x:c>
      <x:c r="B1315" t="n">
        <x:v>39637250</x:v>
      </x:c>
      <x:c r="C1315" t="n">
        <x:v>38699375</x:v>
      </x:c>
      <x:c r="D1315" t="n">
        <x:v>-937875</x:v>
      </x:c>
      <x:c r="E1315" t="n">
        <x:v>-0.0237</x:v>
      </x:c>
      <x:c r="F1315" t="n">
        <x:v>672</x:v>
      </x:c>
      <x:c r="G1315" t="n">
        <x:v>709</x:v>
      </x:c>
      <x:c r="H1315" t="n">
        <x:v>37</x:v>
      </x:c>
      <x:c r="I1315" t="n">
        <x:v>0.0551</x:v>
      </x:c>
      <x:c r="J1315" t="str">
        <x:v>Medium</x:v>
      </x:c>
      <x:c r="K1315" t="n">
        <x:v>49</x:v>
      </x:c>
      <x:c r="L1315" t="n">
        <x:v>49.8</x:v>
      </x:c>
      <x:c r="M1315" t="n">
        <x:v>42.2</x:v>
      </x:c>
      <x:c r="N1315" t="str">
        <x:v>Optimistic</x:v>
      </x:c>
      <x:c r="O1315" t="str">
        <x:v>Most Likely</x:v>
      </x:c>
    </x:row>
    <x:row r="1316">
      <x:c r="A1316" t="str">
        <x:v>PJT_1315</x:v>
      </x:c>
      <x:c r="B1316" t="n">
        <x:v>14654640</x:v>
      </x:c>
      <x:c r="C1316" t="n">
        <x:v>13940966</x:v>
      </x:c>
      <x:c r="D1316" t="n">
        <x:v>-713674</x:v>
      </x:c>
      <x:c r="E1316" t="n">
        <x:v>-0.0487</x:v>
      </x:c>
      <x:c r="F1316" t="n">
        <x:v>391</x:v>
      </x:c>
      <x:c r="G1316" t="n">
        <x:v>412</x:v>
      </x:c>
      <x:c r="H1316" t="n">
        <x:v>21</x:v>
      </x:c>
      <x:c r="I1316" t="n">
        <x:v>0.0537</x:v>
      </x:c>
      <x:c r="J1316" t="str">
        <x:v>Low</x:v>
      </x:c>
      <x:c r="K1316" t="n">
        <x:v>28.2</x:v>
      </x:c>
      <x:c r="L1316" t="n">
        <x:v>30.2</x:v>
      </x:c>
      <x:c r="M1316" t="n">
        <x:v>37</x:v>
      </x:c>
      <x:c r="N1316" t="str">
        <x:v>Optimistic</x:v>
      </x:c>
      <x:c r="O1316" t="str">
        <x:v>Most Likely</x:v>
      </x:c>
    </x:row>
    <x:row r="1317">
      <x:c r="A1317" t="str">
        <x:v>PJT_1316</x:v>
      </x:c>
      <x:c r="B1317" t="n">
        <x:v>95228700</x:v>
      </x:c>
      <x:c r="C1317" t="n">
        <x:v>111521342</x:v>
      </x:c>
      <x:c r="D1317" t="n">
        <x:v>16292642</x:v>
      </x:c>
      <x:c r="E1317" t="n">
        <x:v>0.1711</x:v>
      </x:c>
      <x:c r="F1317" t="n">
        <x:v>1615</x:v>
      </x:c>
      <x:c r="G1317" t="n">
        <x:v>1714</x:v>
      </x:c>
      <x:c r="H1317" t="n">
        <x:v>99</x:v>
      </x:c>
      <x:c r="I1317" t="n">
        <x:v>0.0613</x:v>
      </x:c>
      <x:c r="J1317" t="str">
        <x:v>High</x:v>
      </x:c>
      <x:c r="K1317" t="n">
        <x:v>70.7</x:v>
      </x:c>
      <x:c r="L1317" t="n">
        <x:v>72.5</x:v>
      </x:c>
      <x:c r="M1317" t="n">
        <x:v>61.9</x:v>
      </x:c>
      <x:c r="N1317" t="str">
        <x:v>Pessimistic</x:v>
      </x:c>
      <x:c r="O1317" t="str">
        <x:v>Most Likely</x:v>
      </x:c>
    </x:row>
    <x:row r="1318">
      <x:c r="A1318" t="str">
        <x:v>PJT_1317</x:v>
      </x:c>
      <x:c r="B1318" t="n">
        <x:v>72989160</x:v>
      </x:c>
      <x:c r="C1318" t="n">
        <x:v>76425487</x:v>
      </x:c>
      <x:c r="D1318" t="n">
        <x:v>3436327</x:v>
      </x:c>
      <x:c r="E1318" t="n">
        <x:v>0.0471</x:v>
      </x:c>
      <x:c r="F1318" t="n">
        <x:v>1459</x:v>
      </x:c>
      <x:c r="G1318" t="n">
        <x:v>1673</x:v>
      </x:c>
      <x:c r="H1318" t="n">
        <x:v>214</x:v>
      </x:c>
      <x:c r="I1318" t="n">
        <x:v>0.1467</x:v>
      </x:c>
      <x:c r="J1318" t="str">
        <x:v>High</x:v>
      </x:c>
      <x:c r="K1318" t="n">
        <x:v>68.9</x:v>
      </x:c>
      <x:c r="L1318" t="n">
        <x:v>67.7</x:v>
      </x:c>
      <x:c r="M1318" t="n">
        <x:v>68</x:v>
      </x:c>
      <x:c r="N1318" t="str">
        <x:v>Most Likely</x:v>
      </x:c>
      <x:c r="O1318" t="str">
        <x:v>Pessimistic</x:v>
      </x:c>
    </x:row>
    <x:row r="1319">
      <x:c r="A1319" t="str">
        <x:v>PJT_1318</x:v>
      </x:c>
      <x:c r="B1319" t="n">
        <x:v>51204720</x:v>
      </x:c>
      <x:c r="C1319" t="n">
        <x:v>50964149</x:v>
      </x:c>
      <x:c r="D1319" t="n">
        <x:v>-240571</x:v>
      </x:c>
      <x:c r="E1319" t="n">
        <x:v>-0.0047</x:v>
      </x:c>
      <x:c r="F1319" t="n">
        <x:v>902</x:v>
      </x:c>
      <x:c r="G1319" t="n">
        <x:v>892</x:v>
      </x:c>
      <x:c r="H1319" t="n">
        <x:v>-10</x:v>
      </x:c>
      <x:c r="I1319" t="n">
        <x:v>-0.0111</x:v>
      </x:c>
      <x:c r="J1319" t="str">
        <x:v>Low</x:v>
      </x:c>
      <x:c r="K1319" t="n">
        <x:v>39.5</x:v>
      </x:c>
      <x:c r="L1319" t="n">
        <x:v>47.1</x:v>
      </x:c>
      <x:c r="M1319" t="n">
        <x:v>39.7</x:v>
      </x:c>
      <x:c r="N1319" t="str">
        <x:v>Optimistic</x:v>
      </x:c>
      <x:c r="O1319" t="str">
        <x:v>Optimistic</x:v>
      </x:c>
    </x:row>
    <x:row r="1320">
      <x:c r="A1320" t="str">
        <x:v>PJT_1319</x:v>
      </x:c>
      <x:c r="B1320" t="n">
        <x:v>109157640</x:v>
      </x:c>
      <x:c r="C1320" t="n">
        <x:v>110282849</x:v>
      </x:c>
      <x:c r="D1320" t="n">
        <x:v>1125209</x:v>
      </x:c>
      <x:c r="E1320" t="n">
        <x:v>0.0103</x:v>
      </x:c>
      <x:c r="F1320" t="n">
        <x:v>2232</x:v>
      </x:c>
      <x:c r="G1320" t="n">
        <x:v>2421</x:v>
      </x:c>
      <x:c r="H1320" t="n">
        <x:v>189</x:v>
      </x:c>
      <x:c r="I1320" t="n">
        <x:v>0.0847</x:v>
      </x:c>
      <x:c r="J1320" t="str">
        <x:v>Medium</x:v>
      </x:c>
      <x:c r="K1320" t="n">
        <x:v>61.9</x:v>
      </x:c>
      <x:c r="L1320" t="n">
        <x:v>57.2</x:v>
      </x:c>
      <x:c r="M1320" t="n">
        <x:v>63.6</x:v>
      </x:c>
      <x:c r="N1320" t="str">
        <x:v>Most Likely</x:v>
      </x:c>
      <x:c r="O1320" t="str">
        <x:v>Most Likely</x:v>
      </x:c>
    </x:row>
    <x:row r="1321">
      <x:c r="A1321" t="str">
        <x:v>PJT_1320</x:v>
      </x:c>
      <x:c r="B1321" t="n">
        <x:v>10746080</x:v>
      </x:c>
      <x:c r="C1321" t="n">
        <x:v>10025906</x:v>
      </x:c>
      <x:c r="D1321" t="n">
        <x:v>-720174</x:v>
      </x:c>
      <x:c r="E1321" t="n">
        <x:v>-0.067</x:v>
      </x:c>
      <x:c r="F1321" t="n">
        <x:v>228</x:v>
      </x:c>
      <x:c r="G1321" t="n">
        <x:v>231</x:v>
      </x:c>
      <x:c r="H1321" t="n">
        <x:v>3</x:v>
      </x:c>
      <x:c r="I1321" t="n">
        <x:v>0.0132</x:v>
      </x:c>
      <x:c r="J1321" t="str">
        <x:v>Low</x:v>
      </x:c>
      <x:c r="K1321" t="n">
        <x:v>36.7</x:v>
      </x:c>
      <x:c r="L1321" t="n">
        <x:v>29.8</x:v>
      </x:c>
      <x:c r="M1321" t="n">
        <x:v>34.5</x:v>
      </x:c>
      <x:c r="N1321" t="str">
        <x:v>Optimistic</x:v>
      </x:c>
      <x:c r="O1321" t="str">
        <x:v>Most Likely</x:v>
      </x:c>
    </x:row>
    <x:row r="1322">
      <x:c r="A1322" t="str">
        <x:v>PJT_1321</x:v>
      </x:c>
      <x:c r="B1322" t="n">
        <x:v>32649120</x:v>
      </x:c>
      <x:c r="C1322" t="n">
        <x:v>33295437</x:v>
      </x:c>
      <x:c r="D1322" t="n">
        <x:v>646317</x:v>
      </x:c>
      <x:c r="E1322" t="n">
        <x:v>0.0198</x:v>
      </x:c>
      <x:c r="F1322" t="n">
        <x:v>543</x:v>
      </x:c>
      <x:c r="G1322" t="n">
        <x:v>551</x:v>
      </x:c>
      <x:c r="H1322" t="n">
        <x:v>8</x:v>
      </x:c>
      <x:c r="I1322" t="n">
        <x:v>0.0147</x:v>
      </x:c>
      <x:c r="J1322" t="str">
        <x:v>Low</x:v>
      </x:c>
      <x:c r="K1322" t="n">
        <x:v>43.9</x:v>
      </x:c>
      <x:c r="L1322" t="n">
        <x:v>49.5</x:v>
      </x:c>
      <x:c r="M1322" t="n">
        <x:v>40.7</x:v>
      </x:c>
      <x:c r="N1322" t="str">
        <x:v>Most Likely</x:v>
      </x:c>
      <x:c r="O1322" t="str">
        <x:v>Most Likely</x:v>
      </x:c>
    </x:row>
    <x:row r="1323">
      <x:c r="A1323" t="str">
        <x:v>PJT_1322</x:v>
      </x:c>
      <x:c r="B1323" t="n">
        <x:v>76922670</x:v>
      </x:c>
      <x:c r="C1323" t="n">
        <x:v>83044841</x:v>
      </x:c>
      <x:c r="D1323" t="n">
        <x:v>6122171</x:v>
      </x:c>
      <x:c r="E1323" t="n">
        <x:v>0.0796</x:v>
      </x:c>
      <x:c r="F1323" t="n">
        <x:v>1469</x:v>
      </x:c>
      <x:c r="G1323" t="n">
        <x:v>1546</x:v>
      </x:c>
      <x:c r="H1323" t="n">
        <x:v>77</x:v>
      </x:c>
      <x:c r="I1323" t="n">
        <x:v>0.0524</x:v>
      </x:c>
      <x:c r="J1323" t="str">
        <x:v>High</x:v>
      </x:c>
      <x:c r="K1323" t="n">
        <x:v>67.1</x:v>
      </x:c>
      <x:c r="L1323" t="n">
        <x:v>58.7</x:v>
      </x:c>
      <x:c r="M1323" t="n">
        <x:v>63.8</x:v>
      </x:c>
      <x:c r="N1323" t="str">
        <x:v>Most Likely</x:v>
      </x:c>
      <x:c r="O1323" t="str">
        <x:v>Most Likely</x:v>
      </x:c>
    </x:row>
    <x:row r="1324">
      <x:c r="A1324" t="str">
        <x:v>PJT_1323</x:v>
      </x:c>
      <x:c r="B1324" t="n">
        <x:v>29076740</x:v>
      </x:c>
      <x:c r="C1324" t="n">
        <x:v>31532231</x:v>
      </x:c>
      <x:c r="D1324" t="n">
        <x:v>2455491</x:v>
      </x:c>
      <x:c r="E1324" t="n">
        <x:v>0.0844</x:v>
      </x:c>
      <x:c r="F1324" t="n">
        <x:v>718</x:v>
      </x:c>
      <x:c r="G1324" t="n">
        <x:v>757</x:v>
      </x:c>
      <x:c r="H1324" t="n">
        <x:v>39</x:v>
      </x:c>
      <x:c r="I1324" t="n">
        <x:v>0.0543</x:v>
      </x:c>
      <x:c r="J1324" t="str">
        <x:v>Medium</x:v>
      </x:c>
      <x:c r="K1324" t="n">
        <x:v>45.2</x:v>
      </x:c>
      <x:c r="L1324" t="n">
        <x:v>51.4</x:v>
      </x:c>
      <x:c r="M1324" t="n">
        <x:v>48.4</x:v>
      </x:c>
      <x:c r="N1324" t="str">
        <x:v>Most Likely</x:v>
      </x:c>
      <x:c r="O1324" t="str">
        <x:v>Most Likely</x:v>
      </x:c>
    </x:row>
    <x:row r="1325">
      <x:c r="A1325" t="str">
        <x:v>PJT_1324</x:v>
      </x:c>
      <x:c r="B1325" t="n">
        <x:v>12649840</x:v>
      </x:c>
      <x:c r="C1325" t="n">
        <x:v>12328306</x:v>
      </x:c>
      <x:c r="D1325" t="n">
        <x:v>-321534</x:v>
      </x:c>
      <x:c r="E1325" t="n">
        <x:v>-0.0254</x:v>
      </x:c>
      <x:c r="F1325" t="n">
        <x:v>295</x:v>
      </x:c>
      <x:c r="G1325" t="n">
        <x:v>282</x:v>
      </x:c>
      <x:c r="H1325" t="n">
        <x:v>-13</x:v>
      </x:c>
      <x:c r="I1325" t="n">
        <x:v>-0.0441</x:v>
      </x:c>
      <x:c r="J1325" t="str">
        <x:v>Low</x:v>
      </x:c>
      <x:c r="K1325" t="n">
        <x:v>25.9</x:v>
      </x:c>
      <x:c r="L1325" t="n">
        <x:v>22.2</x:v>
      </x:c>
      <x:c r="M1325" t="n">
        <x:v>29.9</x:v>
      </x:c>
      <x:c r="N1325" t="str">
        <x:v>Optimistic</x:v>
      </x:c>
      <x:c r="O1325" t="str">
        <x:v>Optimistic</x:v>
      </x:c>
    </x:row>
    <x:row r="1326">
      <x:c r="A1326" t="str">
        <x:v>PJT_1325</x:v>
      </x:c>
      <x:c r="B1326" t="n">
        <x:v>32210910</x:v>
      </x:c>
      <x:c r="C1326" t="n">
        <x:v>33570535</x:v>
      </x:c>
      <x:c r="D1326" t="n">
        <x:v>1359625</x:v>
      </x:c>
      <x:c r="E1326" t="n">
        <x:v>0.0422</x:v>
      </x:c>
      <x:c r="F1326" t="n">
        <x:v>599</x:v>
      </x:c>
      <x:c r="G1326" t="n">
        <x:v>611</x:v>
      </x:c>
      <x:c r="H1326" t="n">
        <x:v>12</x:v>
      </x:c>
      <x:c r="I1326" t="n">
        <x:v>0.02</x:v>
      </x:c>
      <x:c r="J1326" t="str">
        <x:v>Medium</x:v>
      </x:c>
      <x:c r="K1326" t="n">
        <x:v>48.4</x:v>
      </x:c>
      <x:c r="L1326" t="n">
        <x:v>48.5</x:v>
      </x:c>
      <x:c r="M1326" t="n">
        <x:v>49.6</x:v>
      </x:c>
      <x:c r="N1326" t="str">
        <x:v>Most Likely</x:v>
      </x:c>
      <x:c r="O1326" t="str">
        <x:v>Most Likely</x:v>
      </x:c>
    </x:row>
    <x:row r="1327">
      <x:c r="A1327" t="str">
        <x:v>PJT_1326</x:v>
      </x:c>
      <x:c r="B1327" t="n">
        <x:v>77150750</x:v>
      </x:c>
      <x:c r="C1327" t="n">
        <x:v>86792507</x:v>
      </x:c>
      <x:c r="D1327" t="n">
        <x:v>9641757</x:v>
      </x:c>
      <x:c r="E1327" t="n">
        <x:v>0.125</x:v>
      </x:c>
      <x:c r="F1327" t="n">
        <x:v>1584</x:v>
      </x:c>
      <x:c r="G1327" t="n">
        <x:v>1741</x:v>
      </x:c>
      <x:c r="H1327" t="n">
        <x:v>157</x:v>
      </x:c>
      <x:c r="I1327" t="n">
        <x:v>0.0991</x:v>
      </x:c>
      <x:c r="J1327" t="str">
        <x:v>High</x:v>
      </x:c>
      <x:c r="K1327" t="n">
        <x:v>67.2</x:v>
      </x:c>
      <x:c r="L1327" t="n">
        <x:v>67.2</x:v>
      </x:c>
      <x:c r="M1327" t="n">
        <x:v>68.4</x:v>
      </x:c>
      <x:c r="N1327" t="str">
        <x:v>Pessimistic</x:v>
      </x:c>
      <x:c r="O1327" t="str">
        <x:v>Most Likely</x:v>
      </x:c>
    </x:row>
    <x:row r="1328">
      <x:c r="A1328" t="str">
        <x:v>PJT_1327</x:v>
      </x:c>
      <x:c r="B1328" t="n">
        <x:v>7314140</x:v>
      </x:c>
      <x:c r="C1328" t="n">
        <x:v>6957633</x:v>
      </x:c>
      <x:c r="D1328" t="n">
        <x:v>-356507</x:v>
      </x:c>
      <x:c r="E1328" t="n">
        <x:v>-0.0487</x:v>
      </x:c>
      <x:c r="F1328" t="n">
        <x:v>180</x:v>
      </x:c>
      <x:c r="G1328" t="n">
        <x:v>175</x:v>
      </x:c>
      <x:c r="H1328" t="n">
        <x:v>-5</x:v>
      </x:c>
      <x:c r="I1328" t="n">
        <x:v>-0.0278</x:v>
      </x:c>
      <x:c r="J1328" t="str">
        <x:v>Low</x:v>
      </x:c>
      <x:c r="K1328" t="n">
        <x:v>39.7</x:v>
      </x:c>
      <x:c r="L1328" t="n">
        <x:v>33.1</x:v>
      </x:c>
      <x:c r="M1328" t="n">
        <x:v>36.2</x:v>
      </x:c>
      <x:c r="N1328" t="str">
        <x:v>Optimistic</x:v>
      </x:c>
      <x:c r="O1328" t="str">
        <x:v>Optimistic</x:v>
      </x:c>
    </x:row>
    <x:row r="1329">
      <x:c r="A1329" t="str">
        <x:v>PJT_1328</x:v>
      </x:c>
      <x:c r="B1329" t="n">
        <x:v>13771520</x:v>
      </x:c>
      <x:c r="C1329" t="n">
        <x:v>13158315</x:v>
      </x:c>
      <x:c r="D1329" t="n">
        <x:v>-613205</x:v>
      </x:c>
      <x:c r="E1329" t="n">
        <x:v>-0.0445</x:v>
      </x:c>
      <x:c r="F1329" t="n">
        <x:v>216</x:v>
      </x:c>
      <x:c r="G1329" t="n">
        <x:v>215</x:v>
      </x:c>
      <x:c r="H1329" t="n">
        <x:v>-1</x:v>
      </x:c>
      <x:c r="I1329" t="n">
        <x:v>-0.0046</x:v>
      </x:c>
      <x:c r="J1329" t="str">
        <x:v>Low</x:v>
      </x:c>
      <x:c r="K1329" t="n">
        <x:v>29.3</x:v>
      </x:c>
      <x:c r="L1329" t="n">
        <x:v>28.8</x:v>
      </x:c>
      <x:c r="M1329" t="n">
        <x:v>23.3</x:v>
      </x:c>
      <x:c r="N1329" t="str">
        <x:v>Optimistic</x:v>
      </x:c>
      <x:c r="O1329" t="str">
        <x:v>Optimistic</x:v>
      </x:c>
    </x:row>
    <x:row r="1330">
      <x:c r="A1330" t="str">
        <x:v>PJT_1329</x:v>
      </x:c>
      <x:c r="B1330" t="n">
        <x:v>27155720</x:v>
      </x:c>
      <x:c r="C1330" t="n">
        <x:v>27819153</x:v>
      </x:c>
      <x:c r="D1330" t="n">
        <x:v>663433</x:v>
      </x:c>
      <x:c r="E1330" t="n">
        <x:v>0.0244</x:v>
      </x:c>
      <x:c r="F1330" t="n">
        <x:v>624</x:v>
      </x:c>
      <x:c r="G1330" t="n">
        <x:v>622</x:v>
      </x:c>
      <x:c r="H1330" t="n">
        <x:v>-2</x:v>
      </x:c>
      <x:c r="I1330" t="n">
        <x:v>-0.0032</x:v>
      </x:c>
      <x:c r="J1330" t="str">
        <x:v>Medium</x:v>
      </x:c>
      <x:c r="K1330" t="n">
        <x:v>48.5</x:v>
      </x:c>
      <x:c r="L1330" t="n">
        <x:v>49.1</x:v>
      </x:c>
      <x:c r="M1330" t="n">
        <x:v>45.2</x:v>
      </x:c>
      <x:c r="N1330" t="str">
        <x:v>Most Likely</x:v>
      </x:c>
      <x:c r="O1330" t="str">
        <x:v>Optimistic</x:v>
      </x:c>
    </x:row>
    <x:row r="1331">
      <x:c r="A1331" t="str">
        <x:v>PJT_1330</x:v>
      </x:c>
      <x:c r="B1331" t="n">
        <x:v>22751970</x:v>
      </x:c>
      <x:c r="C1331" t="n">
        <x:v>23728024</x:v>
      </x:c>
      <x:c r="D1331" t="n">
        <x:v>976054</x:v>
      </x:c>
      <x:c r="E1331" t="n">
        <x:v>0.0429</x:v>
      </x:c>
      <x:c r="F1331" t="n">
        <x:v>393</x:v>
      </x:c>
      <x:c r="G1331" t="n">
        <x:v>414</x:v>
      </x:c>
      <x:c r="H1331" t="n">
        <x:v>21</x:v>
      </x:c>
      <x:c r="I1331" t="n">
        <x:v>0.0534</x:v>
      </x:c>
      <x:c r="J1331" t="str">
        <x:v>Low</x:v>
      </x:c>
      <x:c r="K1331" t="n">
        <x:v>44.5</x:v>
      </x:c>
      <x:c r="L1331" t="n">
        <x:v>48.9</x:v>
      </x:c>
      <x:c r="M1331" t="n">
        <x:v>44.7</x:v>
      </x:c>
      <x:c r="N1331" t="str">
        <x:v>Most Likely</x:v>
      </x:c>
      <x:c r="O1331" t="str">
        <x:v>Most Likely</x:v>
      </x:c>
    </x:row>
    <x:row r="1332">
      <x:c r="A1332" t="str">
        <x:v>PJT_1331</x:v>
      </x:c>
      <x:c r="B1332" t="n">
        <x:v>30324090</x:v>
      </x:c>
      <x:c r="C1332" t="n">
        <x:v>31073092</x:v>
      </x:c>
      <x:c r="D1332" t="n">
        <x:v>749002</x:v>
      </x:c>
      <x:c r="E1332" t="n">
        <x:v>0.0247</x:v>
      </x:c>
      <x:c r="F1332" t="n">
        <x:v>732</x:v>
      </x:c>
      <x:c r="G1332" t="n">
        <x:v>738</x:v>
      </x:c>
      <x:c r="H1332" t="n">
        <x:v>6</x:v>
      </x:c>
      <x:c r="I1332" t="n">
        <x:v>0.0082</x:v>
      </x:c>
      <x:c r="J1332" t="str">
        <x:v>Medium</x:v>
      </x:c>
      <x:c r="K1332" t="n">
        <x:v>47.8</x:v>
      </x:c>
      <x:c r="L1332" t="n">
        <x:v>42.3</x:v>
      </x:c>
      <x:c r="M1332" t="n">
        <x:v>43.7</x:v>
      </x:c>
      <x:c r="N1332" t="str">
        <x:v>Most Likely</x:v>
      </x:c>
      <x:c r="O1332" t="str">
        <x:v>Most Likely</x:v>
      </x:c>
    </x:row>
    <x:row r="1333">
      <x:c r="A1333" t="str">
        <x:v>PJT_1332</x:v>
      </x:c>
      <x:c r="B1333" t="n">
        <x:v>8424000</x:v>
      </x:c>
      <x:c r="C1333" t="n">
        <x:v>8165758</x:v>
      </x:c>
      <x:c r="D1333" t="n">
        <x:v>-258242</x:v>
      </x:c>
      <x:c r="E1333" t="n">
        <x:v>-0.0307</x:v>
      </x:c>
      <x:c r="F1333" t="n">
        <x:v>180</x:v>
      </x:c>
      <x:c r="G1333" t="n">
        <x:v>179</x:v>
      </x:c>
      <x:c r="H1333" t="n">
        <x:v>-1</x:v>
      </x:c>
      <x:c r="I1333" t="n">
        <x:v>-0.0056</x:v>
      </x:c>
      <x:c r="J1333" t="str">
        <x:v>Low</x:v>
      </x:c>
      <x:c r="K1333" t="n">
        <x:v>28.7</x:v>
      </x:c>
      <x:c r="L1333" t="n">
        <x:v>36.5</x:v>
      </x:c>
      <x:c r="M1333" t="n">
        <x:v>28.4</x:v>
      </x:c>
      <x:c r="N1333" t="str">
        <x:v>Optimistic</x:v>
      </x:c>
      <x:c r="O1333" t="str">
        <x:v>Optimistic</x:v>
      </x:c>
    </x:row>
    <x:row r="1334">
      <x:c r="A1334" t="str">
        <x:v>PJT_1333</x:v>
      </x:c>
      <x:c r="B1334" t="n">
        <x:v>60578620</x:v>
      </x:c>
      <x:c r="C1334" t="n">
        <x:v>62576283</x:v>
      </x:c>
      <x:c r="D1334" t="n">
        <x:v>1997663</x:v>
      </x:c>
      <x:c r="E1334" t="n">
        <x:v>0.033</x:v>
      </x:c>
      <x:c r="F1334" t="n">
        <x:v>1135</x:v>
      </x:c>
      <x:c r="G1334" t="n">
        <x:v>1132</x:v>
      </x:c>
      <x:c r="H1334" t="n">
        <x:v>-3</x:v>
      </x:c>
      <x:c r="I1334" t="n">
        <x:v>-0.0026</x:v>
      </x:c>
      <x:c r="J1334" t="str">
        <x:v>Medium</x:v>
      </x:c>
      <x:c r="K1334" t="n">
        <x:v>46.3</x:v>
      </x:c>
      <x:c r="L1334" t="n">
        <x:v>47.3</x:v>
      </x:c>
      <x:c r="M1334" t="n">
        <x:v>42</x:v>
      </x:c>
      <x:c r="N1334" t="str">
        <x:v>Most Likely</x:v>
      </x:c>
      <x:c r="O1334" t="str">
        <x:v>Optimistic</x:v>
      </x:c>
    </x:row>
    <x:row r="1335">
      <x:c r="A1335" t="str">
        <x:v>PJT_1334</x:v>
      </x:c>
      <x:c r="B1335" t="n">
        <x:v>44115840</x:v>
      </x:c>
      <x:c r="C1335" t="n">
        <x:v>44854893</x:v>
      </x:c>
      <x:c r="D1335" t="n">
        <x:v>739053</x:v>
      </x:c>
      <x:c r="E1335" t="n">
        <x:v>0.0168</x:v>
      </x:c>
      <x:c r="F1335" t="n">
        <x:v>739</x:v>
      </x:c>
      <x:c r="G1335" t="n">
        <x:v>794</x:v>
      </x:c>
      <x:c r="H1335" t="n">
        <x:v>55</x:v>
      </x:c>
      <x:c r="I1335" t="n">
        <x:v>0.0744</x:v>
      </x:c>
      <x:c r="J1335" t="str">
        <x:v>Medium</x:v>
      </x:c>
      <x:c r="K1335" t="n">
        <x:v>52.2</x:v>
      </x:c>
      <x:c r="L1335" t="n">
        <x:v>47.7</x:v>
      </x:c>
      <x:c r="M1335" t="n">
        <x:v>45.5</x:v>
      </x:c>
      <x:c r="N1335" t="str">
        <x:v>Most Likely</x:v>
      </x:c>
      <x:c r="O1335" t="str">
        <x:v>Most Likely</x:v>
      </x:c>
    </x:row>
    <x:row r="1336">
      <x:c r="A1336" t="str">
        <x:v>PJT_1335</x:v>
      </x:c>
      <x:c r="B1336" t="n">
        <x:v>91531440</x:v>
      </x:c>
      <x:c r="C1336" t="n">
        <x:v>105593096</x:v>
      </x:c>
      <x:c r="D1336" t="n">
        <x:v>14061656</x:v>
      </x:c>
      <x:c r="E1336" t="n">
        <x:v>0.1536</x:v>
      </x:c>
      <x:c r="F1336" t="n">
        <x:v>1664</x:v>
      </x:c>
      <x:c r="G1336" t="n">
        <x:v>1936</x:v>
      </x:c>
      <x:c r="H1336" t="n">
        <x:v>272</x:v>
      </x:c>
      <x:c r="I1336" t="n">
        <x:v>0.1635</x:v>
      </x:c>
      <x:c r="J1336" t="str">
        <x:v>High</x:v>
      </x:c>
      <x:c r="K1336" t="n">
        <x:v>67.1</x:v>
      </x:c>
      <x:c r="L1336" t="n">
        <x:v>71.9</x:v>
      </x:c>
      <x:c r="M1336" t="n">
        <x:v>65.1</x:v>
      </x:c>
      <x:c r="N1336" t="str">
        <x:v>Pessimistic</x:v>
      </x:c>
      <x:c r="O1336" t="str">
        <x:v>Pessimistic</x:v>
      </x:c>
    </x:row>
    <x:row r="1337">
      <x:c r="A1337" t="str">
        <x:v>PJT_1336</x:v>
      </x:c>
      <x:c r="B1337" t="n">
        <x:v>78691320</x:v>
      </x:c>
      <x:c r="C1337" t="n">
        <x:v>82246315</x:v>
      </x:c>
      <x:c r="D1337" t="n">
        <x:v>3554995</x:v>
      </x:c>
      <x:c r="E1337" t="n">
        <x:v>0.0452</x:v>
      </x:c>
      <x:c r="F1337" t="n">
        <x:v>1631</x:v>
      </x:c>
      <x:c r="G1337" t="n">
        <x:v>1735</x:v>
      </x:c>
      <x:c r="H1337" t="n">
        <x:v>104</x:v>
      </x:c>
      <x:c r="I1337" t="n">
        <x:v>0.0638</x:v>
      </x:c>
      <x:c r="J1337" t="str">
        <x:v>Medium</x:v>
      </x:c>
      <x:c r="K1337" t="n">
        <x:v>57.5</x:v>
      </x:c>
      <x:c r="L1337" t="n">
        <x:v>61.7</x:v>
      </x:c>
      <x:c r="M1337" t="n">
        <x:v>55.8</x:v>
      </x:c>
      <x:c r="N1337" t="str">
        <x:v>Most Likely</x:v>
      </x:c>
      <x:c r="O1337" t="str">
        <x:v>Most Likely</x:v>
      </x:c>
    </x:row>
    <x:row r="1338">
      <x:c r="A1338" t="str">
        <x:v>PJT_1337</x:v>
      </x:c>
      <x:c r="B1338" t="n">
        <x:v>37824600</x:v>
      </x:c>
      <x:c r="C1338" t="n">
        <x:v>41017087</x:v>
      </x:c>
      <x:c r="D1338" t="n">
        <x:v>3192487</x:v>
      </x:c>
      <x:c r="E1338" t="n">
        <x:v>0.0844</x:v>
      </x:c>
      <x:c r="F1338" t="n">
        <x:v>694</x:v>
      </x:c>
      <x:c r="G1338" t="n">
        <x:v>744</x:v>
      </x:c>
      <x:c r="H1338" t="n">
        <x:v>50</x:v>
      </x:c>
      <x:c r="I1338" t="n">
        <x:v>0.072</x:v>
      </x:c>
      <x:c r="J1338" t="str">
        <x:v>Low</x:v>
      </x:c>
      <x:c r="K1338" t="n">
        <x:v>43.6</x:v>
      </x:c>
      <x:c r="L1338" t="n">
        <x:v>46</x:v>
      </x:c>
      <x:c r="M1338" t="n">
        <x:v>45.7</x:v>
      </x:c>
      <x:c r="N1338" t="str">
        <x:v>Most Likely</x:v>
      </x:c>
      <x:c r="O1338" t="str">
        <x:v>Most Likely</x:v>
      </x:c>
    </x:row>
    <x:row r="1339">
      <x:c r="A1339" t="str">
        <x:v>PJT_1338</x:v>
      </x:c>
      <x:c r="B1339" t="n">
        <x:v>6414520</x:v>
      </x:c>
      <x:c r="C1339" t="n">
        <x:v>5926008</x:v>
      </x:c>
      <x:c r="D1339" t="n">
        <x:v>-488512</x:v>
      </x:c>
      <x:c r="E1339" t="n">
        <x:v>-0.0762</x:v>
      </x:c>
      <x:c r="F1339" t="n">
        <x:v>180</x:v>
      </x:c>
      <x:c r="G1339" t="n">
        <x:v>171</x:v>
      </x:c>
      <x:c r="H1339" t="n">
        <x:v>-9</x:v>
      </x:c>
      <x:c r="I1339" t="n">
        <x:v>-0.05</x:v>
      </x:c>
      <x:c r="J1339" t="str">
        <x:v>Low</x:v>
      </x:c>
      <x:c r="K1339" t="n">
        <x:v>33</x:v>
      </x:c>
      <x:c r="L1339" t="n">
        <x:v>34.7</x:v>
      </x:c>
      <x:c r="M1339" t="n">
        <x:v>35.9</x:v>
      </x:c>
      <x:c r="N1339" t="str">
        <x:v>Optimistic</x:v>
      </x:c>
      <x:c r="O1339" t="str">
        <x:v>Optimistic</x:v>
      </x:c>
    </x:row>
    <x:row r="1340">
      <x:c r="A1340" t="str">
        <x:v>PJT_1339</x:v>
      </x:c>
      <x:c r="B1340" t="n">
        <x:v>28534800</x:v>
      </x:c>
      <x:c r="C1340" t="n">
        <x:v>29455739</x:v>
      </x:c>
      <x:c r="D1340" t="n">
        <x:v>920939</x:v>
      </x:c>
      <x:c r="E1340" t="n">
        <x:v>0.0323</x:v>
      </x:c>
      <x:c r="F1340" t="n">
        <x:v>524</x:v>
      </x:c>
      <x:c r="G1340" t="n">
        <x:v>548</x:v>
      </x:c>
      <x:c r="H1340" t="n">
        <x:v>24</x:v>
      </x:c>
      <x:c r="I1340" t="n">
        <x:v>0.0458</x:v>
      </x:c>
      <x:c r="J1340" t="str">
        <x:v>Medium</x:v>
      </x:c>
      <x:c r="K1340" t="n">
        <x:v>51.3</x:v>
      </x:c>
      <x:c r="L1340" t="n">
        <x:v>51.8</x:v>
      </x:c>
      <x:c r="M1340" t="n">
        <x:v>49.2</x:v>
      </x:c>
      <x:c r="N1340" t="str">
        <x:v>Most Likely</x:v>
      </x:c>
      <x:c r="O1340" t="str">
        <x:v>Most Likely</x:v>
      </x:c>
    </x:row>
    <x:row r="1341">
      <x:c r="A1341" t="str">
        <x:v>PJT_1340</x:v>
      </x:c>
      <x:c r="B1341" t="n">
        <x:v>76904640</x:v>
      </x:c>
      <x:c r="C1341" t="n">
        <x:v>84470152</x:v>
      </x:c>
      <x:c r="D1341" t="n">
        <x:v>7565512</x:v>
      </x:c>
      <x:c r="E1341" t="n">
        <x:v>0.0984</x:v>
      </x:c>
      <x:c r="F1341" t="n">
        <x:v>1386</x:v>
      </x:c>
      <x:c r="G1341" t="n">
        <x:v>1566</x:v>
      </x:c>
      <x:c r="H1341" t="n">
        <x:v>180</x:v>
      </x:c>
      <x:c r="I1341" t="n">
        <x:v>0.1299</x:v>
      </x:c>
      <x:c r="J1341" t="str">
        <x:v>High</x:v>
      </x:c>
      <x:c r="K1341" t="n">
        <x:v>74.7</x:v>
      </x:c>
      <x:c r="L1341" t="n">
        <x:v>73.8</x:v>
      </x:c>
      <x:c r="M1341" t="n">
        <x:v>71.4</x:v>
      </x:c>
      <x:c r="N1341" t="str">
        <x:v>Most Likely</x:v>
      </x:c>
      <x:c r="O1341" t="str">
        <x:v>Pessimistic</x:v>
      </x:c>
    </x:row>
    <x:row r="1342">
      <x:c r="A1342" t="str">
        <x:v>PJT_1341</x:v>
      </x:c>
      <x:c r="B1342" t="n">
        <x:v>20946790</x:v>
      </x:c>
      <x:c r="C1342" t="n">
        <x:v>21637003</x:v>
      </x:c>
      <x:c r="D1342" t="n">
        <x:v>690213</x:v>
      </x:c>
      <x:c r="E1342" t="n">
        <x:v>0.033</x:v>
      </x:c>
      <x:c r="F1342" t="n">
        <x:v>536</x:v>
      </x:c>
      <x:c r="G1342" t="n">
        <x:v>549</x:v>
      </x:c>
      <x:c r="H1342" t="n">
        <x:v>13</x:v>
      </x:c>
      <x:c r="I1342" t="n">
        <x:v>0.0243</x:v>
      </x:c>
      <x:c r="J1342" t="str">
        <x:v>Low</x:v>
      </x:c>
      <x:c r="K1342" t="n">
        <x:v>41.1</x:v>
      </x:c>
      <x:c r="L1342" t="n">
        <x:v>41.9</x:v>
      </x:c>
      <x:c r="M1342" t="n">
        <x:v>42.6</x:v>
      </x:c>
      <x:c r="N1342" t="str">
        <x:v>Most Likely</x:v>
      </x:c>
      <x:c r="O1342" t="str">
        <x:v>Most Likely</x:v>
      </x:c>
    </x:row>
    <x:row r="1343">
      <x:c r="A1343" t="str">
        <x:v>PJT_1342</x:v>
      </x:c>
      <x:c r="B1343" t="n">
        <x:v>80110560</x:v>
      </x:c>
      <x:c r="C1343" t="n">
        <x:v>87925415</x:v>
      </x:c>
      <x:c r="D1343" t="n">
        <x:v>7814855</x:v>
      </x:c>
      <x:c r="E1343" t="n">
        <x:v>0.0976</x:v>
      </x:c>
      <x:c r="F1343" t="n">
        <x:v>1263</x:v>
      </x:c>
      <x:c r="G1343" t="n">
        <x:v>1310</x:v>
      </x:c>
      <x:c r="H1343" t="n">
        <x:v>47</x:v>
      </x:c>
      <x:c r="I1343" t="n">
        <x:v>0.0372</x:v>
      </x:c>
      <x:c r="J1343" t="str">
        <x:v>Medium</x:v>
      </x:c>
      <x:c r="K1343" t="n">
        <x:v>52.9</x:v>
      </x:c>
      <x:c r="L1343" t="n">
        <x:v>51.6</x:v>
      </x:c>
      <x:c r="M1343" t="n">
        <x:v>46.3</x:v>
      </x:c>
      <x:c r="N1343" t="str">
        <x:v>Most Likely</x:v>
      </x:c>
      <x:c r="O1343" t="str">
        <x:v>Most Likely</x:v>
      </x:c>
    </x:row>
    <x:row r="1344">
      <x:c r="A1344" t="str">
        <x:v>PJT_1343</x:v>
      </x:c>
      <x:c r="B1344" t="n">
        <x:v>11730600</x:v>
      </x:c>
      <x:c r="C1344" t="n">
        <x:v>12724120</x:v>
      </x:c>
      <x:c r="D1344" t="n">
        <x:v>993520</x:v>
      </x:c>
      <x:c r="E1344" t="n">
        <x:v>0.0847</x:v>
      </x:c>
      <x:c r="F1344" t="n">
        <x:v>202</x:v>
      </x:c>
      <x:c r="G1344" t="n">
        <x:v>213</x:v>
      </x:c>
      <x:c r="H1344" t="n">
        <x:v>11</x:v>
      </x:c>
      <x:c r="I1344" t="n">
        <x:v>0.0545</x:v>
      </x:c>
      <x:c r="J1344" t="str">
        <x:v>Medium</x:v>
      </x:c>
      <x:c r="K1344" t="n">
        <x:v>50.2</x:v>
      </x:c>
      <x:c r="L1344" t="n">
        <x:v>51.3</x:v>
      </x:c>
      <x:c r="M1344" t="n">
        <x:v>40.7</x:v>
      </x:c>
      <x:c r="N1344" t="str">
        <x:v>Most Likely</x:v>
      </x:c>
      <x:c r="O1344" t="str">
        <x:v>Most Likely</x:v>
      </x:c>
    </x:row>
    <x:row r="1345">
      <x:c r="A1345" t="str">
        <x:v>PJT_1344</x:v>
      </x:c>
      <x:c r="B1345" t="n">
        <x:v>71479680</x:v>
      </x:c>
      <x:c r="C1345" t="n">
        <x:v>74831726</x:v>
      </x:c>
      <x:c r="D1345" t="n">
        <x:v>3352046</x:v>
      </x:c>
      <x:c r="E1345" t="n">
        <x:v>0.0469</x:v>
      </x:c>
      <x:c r="F1345" t="n">
        <x:v>1310</x:v>
      </x:c>
      <x:c r="G1345" t="n">
        <x:v>1440</x:v>
      </x:c>
      <x:c r="H1345" t="n">
        <x:v>130</x:v>
      </x:c>
      <x:c r="I1345" t="n">
        <x:v>0.0992</x:v>
      </x:c>
      <x:c r="J1345" t="str">
        <x:v>Medium</x:v>
      </x:c>
      <x:c r="K1345" t="n">
        <x:v>56.5</x:v>
      </x:c>
      <x:c r="L1345" t="n">
        <x:v>53.2</x:v>
      </x:c>
      <x:c r="M1345" t="n">
        <x:v>57.4</x:v>
      </x:c>
      <x:c r="N1345" t="str">
        <x:v>Most Likely</x:v>
      </x:c>
      <x:c r="O1345" t="str">
        <x:v>Most Likely</x:v>
      </x:c>
    </x:row>
    <x:row r="1346">
      <x:c r="A1346" t="str">
        <x:v>PJT_1345</x:v>
      </x:c>
      <x:c r="B1346" t="n">
        <x:v>67092480</x:v>
      </x:c>
      <x:c r="C1346" t="n">
        <x:v>68697553</x:v>
      </x:c>
      <x:c r="D1346" t="n">
        <x:v>1605073</x:v>
      </x:c>
      <x:c r="E1346" t="n">
        <x:v>0.0239</x:v>
      </x:c>
      <x:c r="F1346" t="n">
        <x:v>1233</x:v>
      </x:c>
      <x:c r="G1346" t="n">
        <x:v>1359</x:v>
      </x:c>
      <x:c r="H1346" t="n">
        <x:v>126</x:v>
      </x:c>
      <x:c r="I1346" t="n">
        <x:v>0.1022</x:v>
      </x:c>
      <x:c r="J1346" t="str">
        <x:v>Medium</x:v>
      </x:c>
      <x:c r="K1346" t="n">
        <x:v>51</x:v>
      </x:c>
      <x:c r="L1346" t="n">
        <x:v>48.6</x:v>
      </x:c>
      <x:c r="M1346" t="n">
        <x:v>51.4</x:v>
      </x:c>
      <x:c r="N1346" t="str">
        <x:v>Most Likely</x:v>
      </x:c>
      <x:c r="O1346" t="str">
        <x:v>Pessimistic</x:v>
      </x:c>
    </x:row>
    <x:row r="1347">
      <x:c r="A1347" t="str">
        <x:v>PJT_1346</x:v>
      </x:c>
      <x:c r="B1347" t="n">
        <x:v>37402620</x:v>
      </x:c>
      <x:c r="C1347" t="n">
        <x:v>36892228</x:v>
      </x:c>
      <x:c r="D1347" t="n">
        <x:v>-510392</x:v>
      </x:c>
      <x:c r="E1347" t="n">
        <x:v>-0.0136</x:v>
      </x:c>
      <x:c r="F1347" t="n">
        <x:v>746</x:v>
      </x:c>
      <x:c r="G1347" t="n">
        <x:v>813</x:v>
      </x:c>
      <x:c r="H1347" t="n">
        <x:v>67</x:v>
      </x:c>
      <x:c r="I1347" t="n">
        <x:v>0.0898</x:v>
      </x:c>
      <x:c r="J1347" t="str">
        <x:v>Medium</x:v>
      </x:c>
      <x:c r="K1347" t="n">
        <x:v>53.1</x:v>
      </x:c>
      <x:c r="L1347" t="n">
        <x:v>49.2</x:v>
      </x:c>
      <x:c r="M1347" t="n">
        <x:v>57.1</x:v>
      </x:c>
      <x:c r="N1347" t="str">
        <x:v>Optimistic</x:v>
      </x:c>
      <x:c r="O1347" t="str">
        <x:v>Most Likely</x:v>
      </x:c>
    </x:row>
    <x:row r="1348">
      <x:c r="A1348" t="str">
        <x:v>PJT_1347</x:v>
      </x:c>
      <x:c r="B1348" t="n">
        <x:v>32896530</x:v>
      </x:c>
      <x:c r="C1348" t="n">
        <x:v>31336796</x:v>
      </x:c>
      <x:c r="D1348" t="n">
        <x:v>-1559734</x:v>
      </x:c>
      <x:c r="E1348" t="n">
        <x:v>-0.0474</x:v>
      </x:c>
      <x:c r="F1348" t="n">
        <x:v>587</x:v>
      </x:c>
      <x:c r="G1348" t="n">
        <x:v>615</x:v>
      </x:c>
      <x:c r="H1348" t="n">
        <x:v>28</x:v>
      </x:c>
      <x:c r="I1348" t="n">
        <x:v>0.0477</x:v>
      </x:c>
      <x:c r="J1348" t="str">
        <x:v>Low</x:v>
      </x:c>
      <x:c r="K1348" t="n">
        <x:v>43.4</x:v>
      </x:c>
      <x:c r="L1348" t="n">
        <x:v>46</x:v>
      </x:c>
      <x:c r="M1348" t="n">
        <x:v>45.5</x:v>
      </x:c>
      <x:c r="N1348" t="str">
        <x:v>Optimistic</x:v>
      </x:c>
      <x:c r="O1348" t="str">
        <x:v>Most Likely</x:v>
      </x:c>
    </x:row>
    <x:row r="1349">
      <x:c r="A1349" t="str">
        <x:v>PJT_1348</x:v>
      </x:c>
      <x:c r="B1349" t="n">
        <x:v>57043480</x:v>
      </x:c>
      <x:c r="C1349" t="n">
        <x:v>64413728</x:v>
      </x:c>
      <x:c r="D1349" t="n">
        <x:v>7370248</x:v>
      </x:c>
      <x:c r="E1349" t="n">
        <x:v>0.1292</x:v>
      </x:c>
      <x:c r="F1349" t="n">
        <x:v>979</x:v>
      </x:c>
      <x:c r="G1349" t="n">
        <x:v>969</x:v>
      </x:c>
      <x:c r="H1349" t="n">
        <x:v>-10</x:v>
      </x:c>
      <x:c r="I1349" t="n">
        <x:v>-0.0102</x:v>
      </x:c>
      <x:c r="J1349" t="str">
        <x:v>Medium</x:v>
      </x:c>
      <x:c r="K1349" t="n">
        <x:v>55.9</x:v>
      </x:c>
      <x:c r="L1349" t="n">
        <x:v>55.4</x:v>
      </x:c>
      <x:c r="M1349" t="n">
        <x:v>52.5</x:v>
      </x:c>
      <x:c r="N1349" t="str">
        <x:v>Pessimistic</x:v>
      </x:c>
      <x:c r="O1349" t="str">
        <x:v>Optimistic</x:v>
      </x:c>
    </x:row>
    <x:row r="1350">
      <x:c r="A1350" t="str">
        <x:v>PJT_1349</x:v>
      </x:c>
      <x:c r="B1350" t="n">
        <x:v>56608300</x:v>
      </x:c>
      <x:c r="C1350" t="n">
        <x:v>62100635</x:v>
      </x:c>
      <x:c r="D1350" t="n">
        <x:v>5492335</x:v>
      </x:c>
      <x:c r="E1350" t="n">
        <x:v>0.097</x:v>
      </x:c>
      <x:c r="F1350" t="n">
        <x:v>1116</x:v>
      </x:c>
      <x:c r="G1350" t="n">
        <x:v>1216</x:v>
      </x:c>
      <x:c r="H1350" t="n">
        <x:v>100</x:v>
      </x:c>
      <x:c r="I1350" t="n">
        <x:v>0.0896</x:v>
      </x:c>
      <x:c r="J1350" t="str">
        <x:v>Medium</x:v>
      </x:c>
      <x:c r="K1350" t="n">
        <x:v>57.2</x:v>
      </x:c>
      <x:c r="L1350" t="n">
        <x:v>55.4</x:v>
      </x:c>
      <x:c r="M1350" t="n">
        <x:v>58.3</x:v>
      </x:c>
      <x:c r="N1350" t="str">
        <x:v>Most Likely</x:v>
      </x:c>
      <x:c r="O1350" t="str">
        <x:v>Most Likely</x:v>
      </x:c>
    </x:row>
    <x:row r="1351">
      <x:c r="A1351" t="str">
        <x:v>PJT_1350</x:v>
      </x:c>
      <x:c r="B1351" t="n">
        <x:v>8502000</x:v>
      </x:c>
      <x:c r="C1351" t="n">
        <x:v>8388493</x:v>
      </x:c>
      <x:c r="D1351" t="n">
        <x:v>-113507</x:v>
      </x:c>
      <x:c r="E1351" t="n">
        <x:v>-0.0134</x:v>
      </x:c>
      <x:c r="F1351" t="n">
        <x:v>180</x:v>
      </x:c>
      <x:c r="G1351" t="n">
        <x:v>176</x:v>
      </x:c>
      <x:c r="H1351" t="n">
        <x:v>-4</x:v>
      </x:c>
      <x:c r="I1351" t="n">
        <x:v>-0.0222</x:v>
      </x:c>
      <x:c r="J1351" t="str">
        <x:v>Low</x:v>
      </x:c>
      <x:c r="K1351" t="n">
        <x:v>37.7</x:v>
      </x:c>
      <x:c r="L1351" t="n">
        <x:v>37.4</x:v>
      </x:c>
      <x:c r="M1351" t="n">
        <x:v>34.8</x:v>
      </x:c>
      <x:c r="N1351" t="str">
        <x:v>Optimistic</x:v>
      </x:c>
      <x:c r="O1351" t="str">
        <x:v>Optimistic</x:v>
      </x:c>
    </x:row>
    <x:row r="1352">
      <x:c r="A1352" t="str">
        <x:v>PJT_1351</x:v>
      </x:c>
      <x:c r="B1352" t="n">
        <x:v>74275000</x:v>
      </x:c>
      <x:c r="C1352" t="n">
        <x:v>77706028</x:v>
      </x:c>
      <x:c r="D1352" t="n">
        <x:v>3431028</x:v>
      </x:c>
      <x:c r="E1352" t="n">
        <x:v>0.0462</x:v>
      </x:c>
      <x:c r="F1352" t="n">
        <x:v>1325</x:v>
      </x:c>
      <x:c r="G1352" t="n">
        <x:v>1359</x:v>
      </x:c>
      <x:c r="H1352" t="n">
        <x:v>34</x:v>
      </x:c>
      <x:c r="I1352" t="n">
        <x:v>0.0257</x:v>
      </x:c>
      <x:c r="J1352" t="str">
        <x:v>Medium</x:v>
      </x:c>
      <x:c r="K1352" t="n">
        <x:v>64.3</x:v>
      </x:c>
      <x:c r="L1352" t="n">
        <x:v>65.5</x:v>
      </x:c>
      <x:c r="M1352" t="n">
        <x:v>63.6</x:v>
      </x:c>
      <x:c r="N1352" t="str">
        <x:v>Most Likely</x:v>
      </x:c>
      <x:c r="O1352" t="str">
        <x:v>Most Likely</x:v>
      </x:c>
    </x:row>
    <x:row r="1353">
      <x:c r="A1353" t="str">
        <x:v>PJT_1352</x:v>
      </x:c>
      <x:c r="B1353" t="n">
        <x:v>20404760</x:v>
      </x:c>
      <x:c r="C1353" t="n">
        <x:v>19432461</x:v>
      </x:c>
      <x:c r="D1353" t="n">
        <x:v>-972299</x:v>
      </x:c>
      <x:c r="E1353" t="n">
        <x:v>-0.0477</x:v>
      </x:c>
      <x:c r="F1353" t="n">
        <x:v>581</x:v>
      </x:c>
      <x:c r="G1353" t="n">
        <x:v>578</x:v>
      </x:c>
      <x:c r="H1353" t="n">
        <x:v>-3</x:v>
      </x:c>
      <x:c r="I1353" t="n">
        <x:v>-0.0052</x:v>
      </x:c>
      <x:c r="J1353" t="str">
        <x:v>Low</x:v>
      </x:c>
      <x:c r="K1353" t="n">
        <x:v>28.3</x:v>
      </x:c>
      <x:c r="L1353" t="n">
        <x:v>24.8</x:v>
      </x:c>
      <x:c r="M1353" t="n">
        <x:v>35.3</x:v>
      </x:c>
      <x:c r="N1353" t="str">
        <x:v>Optimistic</x:v>
      </x:c>
      <x:c r="O1353" t="str">
        <x:v>Optimistic</x:v>
      </x:c>
    </x:row>
    <x:row r="1354">
      <x:c r="A1354" t="str">
        <x:v>PJT_1353</x:v>
      </x:c>
      <x:c r="B1354" t="n">
        <x:v>12312640</x:v>
      </x:c>
      <x:c r="C1354" t="n">
        <x:v>11782624</x:v>
      </x:c>
      <x:c r="D1354" t="n">
        <x:v>-530016</x:v>
      </x:c>
      <x:c r="E1354" t="n">
        <x:v>-0.043</x:v>
      </x:c>
      <x:c r="F1354" t="n">
        <x:v>205</x:v>
      </x:c>
      <x:c r="G1354" t="n">
        <x:v>198</x:v>
      </x:c>
      <x:c r="H1354" t="n">
        <x:v>-7</x:v>
      </x:c>
      <x:c r="I1354" t="n">
        <x:v>-0.0341</x:v>
      </x:c>
      <x:c r="J1354" t="str">
        <x:v>Low</x:v>
      </x:c>
      <x:c r="K1354" t="n">
        <x:v>29.4</x:v>
      </x:c>
      <x:c r="L1354" t="n">
        <x:v>33</x:v>
      </x:c>
      <x:c r="M1354" t="n">
        <x:v>32.1</x:v>
      </x:c>
      <x:c r="N1354" t="str">
        <x:v>Optimistic</x:v>
      </x:c>
      <x:c r="O1354" t="str">
        <x:v>Optimistic</x:v>
      </x:c>
    </x:row>
    <x:row r="1355">
      <x:c r="A1355" t="str">
        <x:v>PJT_1354</x:v>
      </x:c>
      <x:c r="B1355" t="n">
        <x:v>16085720</x:v>
      </x:c>
      <x:c r="C1355" t="n">
        <x:v>16942144</x:v>
      </x:c>
      <x:c r="D1355" t="n">
        <x:v>856424</x:v>
      </x:c>
      <x:c r="E1355" t="n">
        <x:v>0.0532</x:v>
      </x:c>
      <x:c r="F1355" t="n">
        <x:v>354</x:v>
      </x:c>
      <x:c r="G1355" t="n">
        <x:v>344</x:v>
      </x:c>
      <x:c r="H1355" t="n">
        <x:v>-10</x:v>
      </x:c>
      <x:c r="I1355" t="n">
        <x:v>-0.0282</x:v>
      </x:c>
      <x:c r="J1355" t="str">
        <x:v>Low</x:v>
      </x:c>
      <x:c r="K1355" t="n">
        <x:v>27.8</x:v>
      </x:c>
      <x:c r="L1355" t="n">
        <x:v>32.8</x:v>
      </x:c>
      <x:c r="M1355" t="n">
        <x:v>30.4</x:v>
      </x:c>
      <x:c r="N1355" t="str">
        <x:v>Most Likely</x:v>
      </x:c>
      <x:c r="O1355" t="str">
        <x:v>Optimistic</x:v>
      </x:c>
    </x:row>
    <x:row r="1356">
      <x:c r="A1356" t="str">
        <x:v>PJT_1355</x:v>
      </x:c>
      <x:c r="B1356" t="n">
        <x:v>24874650</x:v>
      </x:c>
      <x:c r="C1356" t="n">
        <x:v>26871092</x:v>
      </x:c>
      <x:c r="D1356" t="n">
        <x:v>1996442</x:v>
      </x:c>
      <x:c r="E1356" t="n">
        <x:v>0.0803</x:v>
      </x:c>
      <x:c r="F1356" t="n">
        <x:v>615</x:v>
      </x:c>
      <x:c r="G1356" t="n">
        <x:v>650</x:v>
      </x:c>
      <x:c r="H1356" t="n">
        <x:v>35</x:v>
      </x:c>
      <x:c r="I1356" t="n">
        <x:v>0.0569</x:v>
      </x:c>
      <x:c r="J1356" t="str">
        <x:v>Medium</x:v>
      </x:c>
      <x:c r="K1356" t="n">
        <x:v>54</x:v>
      </x:c>
      <x:c r="L1356" t="n">
        <x:v>52.5</x:v>
      </x:c>
      <x:c r="M1356" t="n">
        <x:v>49.4</x:v>
      </x:c>
      <x:c r="N1356" t="str">
        <x:v>Most Likely</x:v>
      </x:c>
      <x:c r="O1356" t="str">
        <x:v>Most Likely</x:v>
      </x:c>
    </x:row>
    <x:row r="1357">
      <x:c r="A1357" t="str">
        <x:v>PJT_1356</x:v>
      </x:c>
      <x:c r="B1357" t="n">
        <x:v>33495760</x:v>
      </x:c>
      <x:c r="C1357" t="n">
        <x:v>32198703</x:v>
      </x:c>
      <x:c r="D1357" t="n">
        <x:v>-1297057</x:v>
      </x:c>
      <x:c r="E1357" t="n">
        <x:v>-0.0387</x:v>
      </x:c>
      <x:c r="F1357" t="n">
        <x:v>603</x:v>
      </x:c>
      <x:c r="G1357" t="n">
        <x:v>608</x:v>
      </x:c>
      <x:c r="H1357" t="n">
        <x:v>5</x:v>
      </x:c>
      <x:c r="I1357" t="n">
        <x:v>0.0083</x:v>
      </x:c>
      <x:c r="J1357" t="str">
        <x:v>Medium</x:v>
      </x:c>
      <x:c r="K1357" t="n">
        <x:v>48.4</x:v>
      </x:c>
      <x:c r="L1357" t="n">
        <x:v>48</x:v>
      </x:c>
      <x:c r="M1357" t="n">
        <x:v>45.6</x:v>
      </x:c>
      <x:c r="N1357" t="str">
        <x:v>Optimistic</x:v>
      </x:c>
      <x:c r="O1357" t="str">
        <x:v>Most Likely</x:v>
      </x:c>
    </x:row>
    <x:row r="1358">
      <x:c r="A1358" t="str">
        <x:v>PJT_1357</x:v>
      </x:c>
      <x:c r="B1358" t="n">
        <x:v>33843690</x:v>
      </x:c>
      <x:c r="C1358" t="n">
        <x:v>32909495</x:v>
      </x:c>
      <x:c r="D1358" t="n">
        <x:v>-934195</x:v>
      </x:c>
      <x:c r="E1358" t="n">
        <x:v>-0.0276</x:v>
      </x:c>
      <x:c r="F1358" t="n">
        <x:v>651</x:v>
      </x:c>
      <x:c r="G1358" t="n">
        <x:v>644</x:v>
      </x:c>
      <x:c r="H1358" t="n">
        <x:v>-7</x:v>
      </x:c>
      <x:c r="I1358" t="n">
        <x:v>-0.0108</x:v>
      </x:c>
      <x:c r="J1358" t="str">
        <x:v>Low</x:v>
      </x:c>
      <x:c r="K1358" t="n">
        <x:v>42.6</x:v>
      </x:c>
      <x:c r="L1358" t="n">
        <x:v>48.3</x:v>
      </x:c>
      <x:c r="M1358" t="n">
        <x:v>42.8</x:v>
      </x:c>
      <x:c r="N1358" t="str">
        <x:v>Optimistic</x:v>
      </x:c>
      <x:c r="O1358" t="str">
        <x:v>Optimistic</x:v>
      </x:c>
    </x:row>
    <x:row r="1359">
      <x:c r="A1359" t="str">
        <x:v>PJT_1358</x:v>
      </x:c>
      <x:c r="B1359" t="n">
        <x:v>21975420</x:v>
      </x:c>
      <x:c r="C1359" t="n">
        <x:v>22518322</x:v>
      </x:c>
      <x:c r="D1359" t="n">
        <x:v>542902</x:v>
      </x:c>
      <x:c r="E1359" t="n">
        <x:v>0.0247</x:v>
      </x:c>
      <x:c r="F1359" t="n">
        <x:v>505</x:v>
      </x:c>
      <x:c r="G1359" t="n">
        <x:v>546</x:v>
      </x:c>
      <x:c r="H1359" t="n">
        <x:v>41</x:v>
      </x:c>
      <x:c r="I1359" t="n">
        <x:v>0.0812</x:v>
      </x:c>
      <x:c r="J1359" t="str">
        <x:v>Medium</x:v>
      </x:c>
      <x:c r="K1359" t="n">
        <x:v>53.1</x:v>
      </x:c>
      <x:c r="L1359" t="n">
        <x:v>45.5</x:v>
      </x:c>
      <x:c r="M1359" t="n">
        <x:v>45</x:v>
      </x:c>
      <x:c r="N1359" t="str">
        <x:v>Most Likely</x:v>
      </x:c>
      <x:c r="O1359" t="str">
        <x:v>Most Likely</x:v>
      </x:c>
    </x:row>
    <x:row r="1360">
      <x:c r="A1360" t="str">
        <x:v>PJT_1359</x:v>
      </x:c>
      <x:c r="B1360" t="n">
        <x:v>76637800</x:v>
      </x:c>
      <x:c r="C1360" t="n">
        <x:v>80644932</x:v>
      </x:c>
      <x:c r="D1360" t="n">
        <x:v>4007132</x:v>
      </x:c>
      <x:c r="E1360" t="n">
        <x:v>0.0523</x:v>
      </x:c>
      <x:c r="F1360" t="n">
        <x:v>1457</x:v>
      </x:c>
      <x:c r="G1360" t="n">
        <x:v>1582</x:v>
      </x:c>
      <x:c r="H1360" t="n">
        <x:v>125</x:v>
      </x:c>
      <x:c r="I1360" t="n">
        <x:v>0.0858</x:v>
      </x:c>
      <x:c r="J1360" t="str">
        <x:v>Medium</x:v>
      </x:c>
      <x:c r="K1360" t="n">
        <x:v>56.4</x:v>
      </x:c>
      <x:c r="L1360" t="n">
        <x:v>58.6</x:v>
      </x:c>
      <x:c r="M1360" t="n">
        <x:v>54.1</x:v>
      </x:c>
      <x:c r="N1360" t="str">
        <x:v>Most Likely</x:v>
      </x:c>
      <x:c r="O1360" t="str">
        <x:v>Most Likely</x:v>
      </x:c>
    </x:row>
    <x:row r="1361">
      <x:c r="A1361" t="str">
        <x:v>PJT_1360</x:v>
      </x:c>
      <x:c r="B1361" t="n">
        <x:v>57825040</x:v>
      </x:c>
      <x:c r="C1361" t="n">
        <x:v>62572765</x:v>
      </x:c>
      <x:c r="D1361" t="n">
        <x:v>4747725</x:v>
      </x:c>
      <x:c r="E1361" t="n">
        <x:v>0.0821</x:v>
      </x:c>
      <x:c r="F1361" t="n">
        <x:v>1079</x:v>
      </x:c>
      <x:c r="G1361" t="n">
        <x:v>1113</x:v>
      </x:c>
      <x:c r="H1361" t="n">
        <x:v>34</x:v>
      </x:c>
      <x:c r="I1361" t="n">
        <x:v>0.0315</x:v>
      </x:c>
      <x:c r="J1361" t="str">
        <x:v>Medium</x:v>
      </x:c>
      <x:c r="K1361" t="n">
        <x:v>54.1</x:v>
      </x:c>
      <x:c r="L1361" t="n">
        <x:v>52.9</x:v>
      </x:c>
      <x:c r="M1361" t="n">
        <x:v>52.3</x:v>
      </x:c>
      <x:c r="N1361" t="str">
        <x:v>Most Likely</x:v>
      </x:c>
      <x:c r="O1361" t="str">
        <x:v>Most Likely</x:v>
      </x:c>
    </x:row>
    <x:row r="1362">
      <x:c r="A1362" t="str">
        <x:v>PJT_1361</x:v>
      </x:c>
      <x:c r="B1362" t="n">
        <x:v>63859040</x:v>
      </x:c>
      <x:c r="C1362" t="n">
        <x:v>70130560</x:v>
      </x:c>
      <x:c r="D1362" t="n">
        <x:v>6271520</x:v>
      </x:c>
      <x:c r="E1362" t="n">
        <x:v>0.0982</x:v>
      </x:c>
      <x:c r="F1362" t="n">
        <x:v>1200</x:v>
      </x:c>
      <x:c r="G1362" t="n">
        <x:v>1192</x:v>
      </x:c>
      <x:c r="H1362" t="n">
        <x:v>-8</x:v>
      </x:c>
      <x:c r="I1362" t="n">
        <x:v>-0.0067</x:v>
      </x:c>
      <x:c r="J1362" t="str">
        <x:v>Medium</x:v>
      </x:c>
      <x:c r="K1362" t="n">
        <x:v>46.3</x:v>
      </x:c>
      <x:c r="L1362" t="n">
        <x:v>52.9</x:v>
      </x:c>
      <x:c r="M1362" t="n">
        <x:v>49.3</x:v>
      </x:c>
      <x:c r="N1362" t="str">
        <x:v>Most Likely</x:v>
      </x:c>
      <x:c r="O1362" t="str">
        <x:v>Optimistic</x:v>
      </x:c>
    </x:row>
    <x:row r="1363">
      <x:c r="A1363" t="str">
        <x:v>PJT_1362</x:v>
      </x:c>
      <x:c r="B1363" t="n">
        <x:v>20819560</x:v>
      </x:c>
      <x:c r="C1363" t="n">
        <x:v>21860029</x:v>
      </x:c>
      <x:c r="D1363" t="n">
        <x:v>1040469</x:v>
      </x:c>
      <x:c r="E1363" t="n">
        <x:v>0.05</x:v>
      </x:c>
      <x:c r="F1363" t="n">
        <x:v>388</x:v>
      </x:c>
      <x:c r="G1363" t="n">
        <x:v>416</x:v>
      </x:c>
      <x:c r="H1363" t="n">
        <x:v>28</x:v>
      </x:c>
      <x:c r="I1363" t="n">
        <x:v>0.0722</x:v>
      </x:c>
      <x:c r="J1363" t="str">
        <x:v>Low</x:v>
      </x:c>
      <x:c r="K1363" t="n">
        <x:v>40.2</x:v>
      </x:c>
      <x:c r="L1363" t="n">
        <x:v>46</x:v>
      </x:c>
      <x:c r="M1363" t="n">
        <x:v>41.3</x:v>
      </x:c>
      <x:c r="N1363" t="str">
        <x:v>Most Likely</x:v>
      </x:c>
      <x:c r="O1363" t="str">
        <x:v>Most Likely</x:v>
      </x:c>
    </x:row>
    <x:row r="1364">
      <x:c r="A1364" t="str">
        <x:v>PJT_1363</x:v>
      </x:c>
      <x:c r="B1364" t="n">
        <x:v>26216680</x:v>
      </x:c>
      <x:c r="C1364" t="n">
        <x:v>26848060</x:v>
      </x:c>
      <x:c r="D1364" t="n">
        <x:v>631380</x:v>
      </x:c>
      <x:c r="E1364" t="n">
        <x:v>0.0241</x:v>
      </x:c>
      <x:c r="F1364" t="n">
        <x:v>722</x:v>
      </x:c>
      <x:c r="G1364" t="n">
        <x:v>777</x:v>
      </x:c>
      <x:c r="H1364" t="n">
        <x:v>55</x:v>
      </x:c>
      <x:c r="I1364" t="n">
        <x:v>0.0762</x:v>
      </x:c>
      <x:c r="J1364" t="str">
        <x:v>Medium</x:v>
      </x:c>
      <x:c r="K1364" t="n">
        <x:v>49.6</x:v>
      </x:c>
      <x:c r="L1364" t="n">
        <x:v>51</x:v>
      </x:c>
      <x:c r="M1364" t="n">
        <x:v>49.7</x:v>
      </x:c>
      <x:c r="N1364" t="str">
        <x:v>Most Likely</x:v>
      </x:c>
      <x:c r="O1364" t="str">
        <x:v>Most Likely</x:v>
      </x:c>
    </x:row>
    <x:row r="1365">
      <x:c r="A1365" t="str">
        <x:v>PJT_1364</x:v>
      </x:c>
      <x:c r="B1365" t="n">
        <x:v>74963700</x:v>
      </x:c>
      <x:c r="C1365" t="n">
        <x:v>82013423</x:v>
      </x:c>
      <x:c r="D1365" t="n">
        <x:v>7049723</x:v>
      </x:c>
      <x:c r="E1365" t="n">
        <x:v>0.094</x:v>
      </x:c>
      <x:c r="F1365" t="n">
        <x:v>1479</x:v>
      </x:c>
      <x:c r="G1365" t="n">
        <x:v>1511</x:v>
      </x:c>
      <x:c r="H1365" t="n">
        <x:v>32</x:v>
      </x:c>
      <x:c r="I1365" t="n">
        <x:v>0.0216</x:v>
      </x:c>
      <x:c r="J1365" t="str">
        <x:v>Medium</x:v>
      </x:c>
      <x:c r="K1365" t="n">
        <x:v>56</x:v>
      </x:c>
      <x:c r="L1365" t="n">
        <x:v>51.2</x:v>
      </x:c>
      <x:c r="M1365" t="n">
        <x:v>56.8</x:v>
      </x:c>
      <x:c r="N1365" t="str">
        <x:v>Most Likely</x:v>
      </x:c>
      <x:c r="O1365" t="str">
        <x:v>Most Likely</x:v>
      </x:c>
    </x:row>
    <x:row r="1366">
      <x:c r="A1366" t="str">
        <x:v>PJT_1365</x:v>
      </x:c>
      <x:c r="B1366" t="n">
        <x:v>41865160</x:v>
      </x:c>
      <x:c r="C1366" t="n">
        <x:v>42660441</x:v>
      </x:c>
      <x:c r="D1366" t="n">
        <x:v>795281</x:v>
      </x:c>
      <x:c r="E1366" t="n">
        <x:v>0.019</x:v>
      </x:c>
      <x:c r="F1366" t="n">
        <x:v>746</x:v>
      </x:c>
      <x:c r="G1366" t="n">
        <x:v>803</x:v>
      </x:c>
      <x:c r="H1366" t="n">
        <x:v>57</x:v>
      </x:c>
      <x:c r="I1366" t="n">
        <x:v>0.0764</x:v>
      </x:c>
      <x:c r="J1366" t="str">
        <x:v>Medium</x:v>
      </x:c>
      <x:c r="K1366" t="n">
        <x:v>52.4</x:v>
      </x:c>
      <x:c r="L1366" t="n">
        <x:v>51.2</x:v>
      </x:c>
      <x:c r="M1366" t="n">
        <x:v>52.1</x:v>
      </x:c>
      <x:c r="N1366" t="str">
        <x:v>Most Likely</x:v>
      </x:c>
      <x:c r="O1366" t="str">
        <x:v>Most Likely</x:v>
      </x:c>
    </x:row>
    <x:row r="1367">
      <x:c r="A1367" t="str">
        <x:v>PJT_1366</x:v>
      </x:c>
      <x:c r="B1367" t="n">
        <x:v>15664180</x:v>
      </x:c>
      <x:c r="C1367" t="n">
        <x:v>16104590</x:v>
      </x:c>
      <x:c r="D1367" t="n">
        <x:v>440410</x:v>
      </x:c>
      <x:c r="E1367" t="n">
        <x:v>0.0281</x:v>
      </x:c>
      <x:c r="F1367" t="n">
        <x:v>252</x:v>
      </x:c>
      <x:c r="G1367" t="n">
        <x:v>236</x:v>
      </x:c>
      <x:c r="H1367" t="n">
        <x:v>-16</x:v>
      </x:c>
      <x:c r="I1367" t="n">
        <x:v>-0.0635</x:v>
      </x:c>
      <x:c r="J1367" t="str">
        <x:v>Low</x:v>
      </x:c>
      <x:c r="K1367" t="n">
        <x:v>37.4</x:v>
      </x:c>
      <x:c r="L1367" t="n">
        <x:v>39.6</x:v>
      </x:c>
      <x:c r="M1367" t="n">
        <x:v>30.7</x:v>
      </x:c>
      <x:c r="N1367" t="str">
        <x:v>Most Likely</x:v>
      </x:c>
      <x:c r="O1367" t="str">
        <x:v>Optimistic</x:v>
      </x:c>
    </x:row>
    <x:row r="1368">
      <x:c r="A1368" t="str">
        <x:v>PJT_1367</x:v>
      </x:c>
      <x:c r="B1368" t="n">
        <x:v>60394140</x:v>
      </x:c>
      <x:c r="C1368" t="n">
        <x:v>62947018</x:v>
      </x:c>
      <x:c r="D1368" t="n">
        <x:v>2552878</x:v>
      </x:c>
      <x:c r="E1368" t="n">
        <x:v>0.0423</x:v>
      </x:c>
      <x:c r="F1368" t="n">
        <x:v>1114</x:v>
      </x:c>
      <x:c r="G1368" t="n">
        <x:v>1094</x:v>
      </x:c>
      <x:c r="H1368" t="n">
        <x:v>-20</x:v>
      </x:c>
      <x:c r="I1368" t="n">
        <x:v>-0.018</x:v>
      </x:c>
      <x:c r="J1368" t="str">
        <x:v>Medium</x:v>
      </x:c>
      <x:c r="K1368" t="n">
        <x:v>52.8</x:v>
      </x:c>
      <x:c r="L1368" t="n">
        <x:v>49.7</x:v>
      </x:c>
      <x:c r="M1368" t="n">
        <x:v>44.2</x:v>
      </x:c>
      <x:c r="N1368" t="str">
        <x:v>Most Likely</x:v>
      </x:c>
      <x:c r="O1368" t="str">
        <x:v>Optimistic</x:v>
      </x:c>
    </x:row>
    <x:row r="1369">
      <x:c r="A1369" t="str">
        <x:v>PJT_1368</x:v>
      </x:c>
      <x:c r="B1369" t="n">
        <x:v>27269250</x:v>
      </x:c>
      <x:c r="C1369" t="n">
        <x:v>28229964</x:v>
      </x:c>
      <x:c r="D1369" t="n">
        <x:v>960714</x:v>
      </x:c>
      <x:c r="E1369" t="n">
        <x:v>0.0352</x:v>
      </x:c>
      <x:c r="F1369" t="n">
        <x:v>650</x:v>
      </x:c>
      <x:c r="G1369" t="n">
        <x:v>646</x:v>
      </x:c>
      <x:c r="H1369" t="n">
        <x:v>-4</x:v>
      </x:c>
      <x:c r="I1369" t="n">
        <x:v>-0.0062</x:v>
      </x:c>
      <x:c r="J1369" t="str">
        <x:v>Low</x:v>
      </x:c>
      <x:c r="K1369" t="n">
        <x:v>38.2</x:v>
      </x:c>
      <x:c r="L1369" t="n">
        <x:v>43.4</x:v>
      </x:c>
      <x:c r="M1369" t="n">
        <x:v>39.3</x:v>
      </x:c>
      <x:c r="N1369" t="str">
        <x:v>Most Likely</x:v>
      </x:c>
      <x:c r="O1369" t="str">
        <x:v>Optimistic</x:v>
      </x:c>
    </x:row>
    <x:row r="1370">
      <x:c r="A1370" t="str">
        <x:v>PJT_1369</x:v>
      </x:c>
      <x:c r="B1370" t="n">
        <x:v>34009210</x:v>
      </x:c>
      <x:c r="C1370" t="n">
        <x:v>35335892</x:v>
      </x:c>
      <x:c r="D1370" t="n">
        <x:v>1326682</x:v>
      </x:c>
      <x:c r="E1370" t="n">
        <x:v>0.039</x:v>
      </x:c>
      <x:c r="F1370" t="n">
        <x:v>607</x:v>
      </x:c>
      <x:c r="G1370" t="n">
        <x:v>610</x:v>
      </x:c>
      <x:c r="H1370" t="n">
        <x:v>3</x:v>
      </x:c>
      <x:c r="I1370" t="n">
        <x:v>0.0049</x:v>
      </x:c>
      <x:c r="J1370" t="str">
        <x:v>Medium</x:v>
      </x:c>
      <x:c r="K1370" t="n">
        <x:v>46.5</x:v>
      </x:c>
      <x:c r="L1370" t="n">
        <x:v>55.6</x:v>
      </x:c>
      <x:c r="M1370" t="n">
        <x:v>45.8</x:v>
      </x:c>
      <x:c r="N1370" t="str">
        <x:v>Most Likely</x:v>
      </x:c>
      <x:c r="O1370" t="str">
        <x:v>Most Likely</x:v>
      </x:c>
    </x:row>
    <x:row r="1371">
      <x:c r="A1371" t="str">
        <x:v>PJT_1370</x:v>
      </x:c>
      <x:c r="B1371" t="n">
        <x:v>63145500</x:v>
      </x:c>
      <x:c r="C1371" t="n">
        <x:v>67783591</x:v>
      </x:c>
      <x:c r="D1371" t="n">
        <x:v>4638091</x:v>
      </x:c>
      <x:c r="E1371" t="n">
        <x:v>0.0735</x:v>
      </x:c>
      <x:c r="F1371" t="n">
        <x:v>1048</x:v>
      </x:c>
      <x:c r="G1371" t="n">
        <x:v>1138</x:v>
      </x:c>
      <x:c r="H1371" t="n">
        <x:v>90</x:v>
      </x:c>
      <x:c r="I1371" t="n">
        <x:v>0.0859</x:v>
      </x:c>
      <x:c r="J1371" t="str">
        <x:v>Medium</x:v>
      </x:c>
      <x:c r="K1371" t="n">
        <x:v>54.5</x:v>
      </x:c>
      <x:c r="L1371" t="n">
        <x:v>59.3</x:v>
      </x:c>
      <x:c r="M1371" t="n">
        <x:v>50.8</x:v>
      </x:c>
      <x:c r="N1371" t="str">
        <x:v>Most Likely</x:v>
      </x:c>
      <x:c r="O1371" t="str">
        <x:v>Most Likely</x:v>
      </x:c>
    </x:row>
    <x:row r="1372">
      <x:c r="A1372" t="str">
        <x:v>PJT_1371</x:v>
      </x:c>
      <x:c r="B1372" t="n">
        <x:v>51640050</x:v>
      </x:c>
      <x:c r="C1372" t="n">
        <x:v>55266674</x:v>
      </x:c>
      <x:c r="D1372" t="n">
        <x:v>3626624</x:v>
      </x:c>
      <x:c r="E1372" t="n">
        <x:v>0.0702</x:v>
      </x:c>
      <x:c r="F1372" t="n">
        <x:v>994</x:v>
      </x:c>
      <x:c r="G1372" t="n">
        <x:v>1010</x:v>
      </x:c>
      <x:c r="H1372" t="n">
        <x:v>16</x:v>
      </x:c>
      <x:c r="I1372" t="n">
        <x:v>0.0161</x:v>
      </x:c>
      <x:c r="J1372" t="str">
        <x:v>Medium</x:v>
      </x:c>
      <x:c r="K1372" t="n">
        <x:v>63.3</x:v>
      </x:c>
      <x:c r="L1372" t="n">
        <x:v>64.1</x:v>
      </x:c>
      <x:c r="M1372" t="n">
        <x:v>60.3</x:v>
      </x:c>
      <x:c r="N1372" t="str">
        <x:v>Most Likely</x:v>
      </x:c>
      <x:c r="O1372" t="str">
        <x:v>Most Likely</x:v>
      </x:c>
    </x:row>
    <x:row r="1373">
      <x:c r="A1373" t="str">
        <x:v>PJT_1372</x:v>
      </x:c>
      <x:c r="B1373" t="n">
        <x:v>20311720</x:v>
      </x:c>
      <x:c r="C1373" t="n">
        <x:v>21181749</x:v>
      </x:c>
      <x:c r="D1373" t="n">
        <x:v>870029</x:v>
      </x:c>
      <x:c r="E1373" t="n">
        <x:v>0.0428</x:v>
      </x:c>
      <x:c r="F1373" t="n">
        <x:v>522</x:v>
      </x:c>
      <x:c r="G1373" t="n">
        <x:v>559</x:v>
      </x:c>
      <x:c r="H1373" t="n">
        <x:v>37</x:v>
      </x:c>
      <x:c r="I1373" t="n">
        <x:v>0.0709</x:v>
      </x:c>
      <x:c r="J1373" t="str">
        <x:v>Low</x:v>
      </x:c>
      <x:c r="K1373" t="n">
        <x:v>40.3</x:v>
      </x:c>
      <x:c r="L1373" t="n">
        <x:v>38.3</x:v>
      </x:c>
      <x:c r="M1373" t="n">
        <x:v>38.4</x:v>
      </x:c>
      <x:c r="N1373" t="str">
        <x:v>Most Likely</x:v>
      </x:c>
      <x:c r="O1373" t="str">
        <x:v>Most Likely</x:v>
      </x:c>
    </x:row>
    <x:row r="1374">
      <x:c r="A1374" t="str">
        <x:v>PJT_1373</x:v>
      </x:c>
      <x:c r="B1374" t="n">
        <x:v>45990250</x:v>
      </x:c>
      <x:c r="C1374" t="n">
        <x:v>51146819</x:v>
      </x:c>
      <x:c r="D1374" t="n">
        <x:v>5156569</x:v>
      </x:c>
      <x:c r="E1374" t="n">
        <x:v>0.1121</x:v>
      </x:c>
      <x:c r="F1374" t="n">
        <x:v>848</x:v>
      </x:c>
      <x:c r="G1374" t="n">
        <x:v>880</x:v>
      </x:c>
      <x:c r="H1374" t="n">
        <x:v>32</x:v>
      </x:c>
      <x:c r="I1374" t="n">
        <x:v>0.0377</x:v>
      </x:c>
      <x:c r="J1374" t="str">
        <x:v>Medium</x:v>
      </x:c>
      <x:c r="K1374" t="n">
        <x:v>48.1</x:v>
      </x:c>
      <x:c r="L1374" t="n">
        <x:v>57.5</x:v>
      </x:c>
      <x:c r="M1374" t="n">
        <x:v>47.2</x:v>
      </x:c>
      <x:c r="N1374" t="str">
        <x:v>Pessimistic</x:v>
      </x:c>
      <x:c r="O1374" t="str">
        <x:v>Most Likely</x:v>
      </x:c>
    </x:row>
    <x:row r="1375">
      <x:c r="A1375" t="str">
        <x:v>PJT_1374</x:v>
      </x:c>
      <x:c r="B1375" t="n">
        <x:v>44233600</x:v>
      </x:c>
      <x:c r="C1375" t="n">
        <x:v>43812060</x:v>
      </x:c>
      <x:c r="D1375" t="n">
        <x:v>-421540</x:v>
      </x:c>
      <x:c r="E1375" t="n">
        <x:v>-0.0095</x:v>
      </x:c>
      <x:c r="F1375" t="n">
        <x:v>676</x:v>
      </x:c>
      <x:c r="G1375" t="n">
        <x:v>687</x:v>
      </x:c>
      <x:c r="H1375" t="n">
        <x:v>11</x:v>
      </x:c>
      <x:c r="I1375" t="n">
        <x:v>0.0163</x:v>
      </x:c>
      <x:c r="J1375" t="str">
        <x:v>Low</x:v>
      </x:c>
      <x:c r="K1375" t="n">
        <x:v>40.7</x:v>
      </x:c>
      <x:c r="L1375" t="n">
        <x:v>47.5</x:v>
      </x:c>
      <x:c r="M1375" t="n">
        <x:v>45.1</x:v>
      </x:c>
      <x:c r="N1375" t="str">
        <x:v>Optimistic</x:v>
      </x:c>
      <x:c r="O1375" t="str">
        <x:v>Most Likely</x:v>
      </x:c>
    </x:row>
    <x:row r="1376">
      <x:c r="A1376" t="str">
        <x:v>PJT_1375</x:v>
      </x:c>
      <x:c r="B1376" t="n">
        <x:v>41934410</x:v>
      </x:c>
      <x:c r="C1376" t="n">
        <x:v>43260149</x:v>
      </x:c>
      <x:c r="D1376" t="n">
        <x:v>1325739</x:v>
      </x:c>
      <x:c r="E1376" t="n">
        <x:v>0.0316</x:v>
      </x:c>
      <x:c r="F1376" t="n">
        <x:v>716</x:v>
      </x:c>
      <x:c r="G1376" t="n">
        <x:v>751</x:v>
      </x:c>
      <x:c r="H1376" t="n">
        <x:v>35</x:v>
      </x:c>
      <x:c r="I1376" t="n">
        <x:v>0.0489</x:v>
      </x:c>
      <x:c r="J1376" t="str">
        <x:v>Low</x:v>
      </x:c>
      <x:c r="K1376" t="n">
        <x:v>41.4</x:v>
      </x:c>
      <x:c r="L1376" t="n">
        <x:v>48</x:v>
      </x:c>
      <x:c r="M1376" t="n">
        <x:v>43.7</x:v>
      </x:c>
      <x:c r="N1376" t="str">
        <x:v>Most Likely</x:v>
      </x:c>
      <x:c r="O1376" t="str">
        <x:v>Most Likely</x:v>
      </x:c>
    </x:row>
    <x:row r="1377">
      <x:c r="A1377" t="str">
        <x:v>PJT_1376</x:v>
      </x:c>
      <x:c r="B1377" t="n">
        <x:v>116949350</x:v>
      </x:c>
      <x:c r="C1377" t="n">
        <x:v>136363430</x:v>
      </x:c>
      <x:c r="D1377" t="n">
        <x:v>19414080</x:v>
      </x:c>
      <x:c r="E1377" t="n">
        <x:v>0.166</x:v>
      </x:c>
      <x:c r="F1377" t="n">
        <x:v>2294</x:v>
      </x:c>
      <x:c r="G1377" t="n">
        <x:v>2540</x:v>
      </x:c>
      <x:c r="H1377" t="n">
        <x:v>246</x:v>
      </x:c>
      <x:c r="I1377" t="n">
        <x:v>0.1072</x:v>
      </x:c>
      <x:c r="J1377" t="str">
        <x:v>High</x:v>
      </x:c>
      <x:c r="K1377" t="n">
        <x:v>73.4</x:v>
      </x:c>
      <x:c r="L1377" t="n">
        <x:v>80.8</x:v>
      </x:c>
      <x:c r="M1377" t="n">
        <x:v>77.8</x:v>
      </x:c>
      <x:c r="N1377" t="str">
        <x:v>Pessimistic</x:v>
      </x:c>
      <x:c r="O1377" t="str">
        <x:v>Pessimistic</x:v>
      </x:c>
    </x:row>
    <x:row r="1378">
      <x:c r="A1378" t="str">
        <x:v>PJT_1377</x:v>
      </x:c>
      <x:c r="B1378" t="n">
        <x:v>80901120</x:v>
      </x:c>
      <x:c r="C1378" t="n">
        <x:v>84590143</x:v>
      </x:c>
      <x:c r="D1378" t="n">
        <x:v>3689023</x:v>
      </x:c>
      <x:c r="E1378" t="n">
        <x:v>0.0456</x:v>
      </x:c>
      <x:c r="F1378" t="n">
        <x:v>1561</x:v>
      </x:c>
      <x:c r="G1378" t="n">
        <x:v>1690</x:v>
      </x:c>
      <x:c r="H1378" t="n">
        <x:v>129</x:v>
      </x:c>
      <x:c r="I1378" t="n">
        <x:v>0.0826</x:v>
      </x:c>
      <x:c r="J1378" t="str">
        <x:v>Medium</x:v>
      </x:c>
      <x:c r="K1378" t="n">
        <x:v>61.8</x:v>
      </x:c>
      <x:c r="L1378" t="n">
        <x:v>66</x:v>
      </x:c>
      <x:c r="M1378" t="n">
        <x:v>63.5</x:v>
      </x:c>
      <x:c r="N1378" t="str">
        <x:v>Most Likely</x:v>
      </x:c>
      <x:c r="O1378" t="str">
        <x:v>Most Likely</x:v>
      </x:c>
    </x:row>
    <x:row r="1379">
      <x:c r="A1379" t="str">
        <x:v>PJT_1378</x:v>
      </x:c>
      <x:c r="B1379" t="n">
        <x:v>47403140</x:v>
      </x:c>
      <x:c r="C1379" t="n">
        <x:v>49435024</x:v>
      </x:c>
      <x:c r="D1379" t="n">
        <x:v>2031884</x:v>
      </x:c>
      <x:c r="E1379" t="n">
        <x:v>0.0429</x:v>
      </x:c>
      <x:c r="F1379" t="n">
        <x:v>930</x:v>
      </x:c>
      <x:c r="G1379" t="n">
        <x:v>1043</x:v>
      </x:c>
      <x:c r="H1379" t="n">
        <x:v>113</x:v>
      </x:c>
      <x:c r="I1379" t="n">
        <x:v>0.1215</x:v>
      </x:c>
      <x:c r="J1379" t="str">
        <x:v>Medium</x:v>
      </x:c>
      <x:c r="K1379" t="n">
        <x:v>59.5</x:v>
      </x:c>
      <x:c r="L1379" t="n">
        <x:v>62.2</x:v>
      </x:c>
      <x:c r="M1379" t="n">
        <x:v>60.7</x:v>
      </x:c>
      <x:c r="N1379" t="str">
        <x:v>Most Likely</x:v>
      </x:c>
      <x:c r="O1379" t="str">
        <x:v>Pessimistic</x:v>
      </x:c>
    </x:row>
    <x:row r="1380">
      <x:c r="A1380" t="str">
        <x:v>PJT_1379</x:v>
      </x:c>
      <x:c r="B1380" t="n">
        <x:v>42528020</x:v>
      </x:c>
      <x:c r="C1380" t="n">
        <x:v>45235538</x:v>
      </x:c>
      <x:c r="D1380" t="n">
        <x:v>2707518</x:v>
      </x:c>
      <x:c r="E1380" t="n">
        <x:v>0.0637</x:v>
      </x:c>
      <x:c r="F1380" t="n">
        <x:v>720</x:v>
      </x:c>
      <x:c r="G1380" t="n">
        <x:v>794</x:v>
      </x:c>
      <x:c r="H1380" t="n">
        <x:v>74</x:v>
      </x:c>
      <x:c r="I1380" t="n">
        <x:v>0.1028</x:v>
      </x:c>
      <x:c r="J1380" t="str">
        <x:v>Medium</x:v>
      </x:c>
      <x:c r="K1380" t="n">
        <x:v>62.9</x:v>
      </x:c>
      <x:c r="L1380" t="n">
        <x:v>65.8</x:v>
      </x:c>
      <x:c r="M1380" t="n">
        <x:v>65.1</x:v>
      </x:c>
      <x:c r="N1380" t="str">
        <x:v>Most Likely</x:v>
      </x:c>
      <x:c r="O1380" t="str">
        <x:v>Pessimistic</x:v>
      </x:c>
    </x:row>
    <x:row r="1381">
      <x:c r="A1381" t="str">
        <x:v>PJT_1380</x:v>
      </x:c>
      <x:c r="B1381" t="n">
        <x:v>26455530</x:v>
      </x:c>
      <x:c r="C1381" t="n">
        <x:v>27612063</x:v>
      </x:c>
      <x:c r="D1381" t="n">
        <x:v>1156533</x:v>
      </x:c>
      <x:c r="E1381" t="n">
        <x:v>0.0437</x:v>
      </x:c>
      <x:c r="F1381" t="n">
        <x:v>479</x:v>
      </x:c>
      <x:c r="G1381" t="n">
        <x:v>483</x:v>
      </x:c>
      <x:c r="H1381" t="n">
        <x:v>4</x:v>
      </x:c>
      <x:c r="I1381" t="n">
        <x:v>0.0084</x:v>
      </x:c>
      <x:c r="J1381" t="str">
        <x:v>Low</x:v>
      </x:c>
      <x:c r="K1381" t="n">
        <x:v>41.4</x:v>
      </x:c>
      <x:c r="L1381" t="n">
        <x:v>49.2</x:v>
      </x:c>
      <x:c r="M1381" t="n">
        <x:v>39.7</x:v>
      </x:c>
      <x:c r="N1381" t="str">
        <x:v>Most Likely</x:v>
      </x:c>
      <x:c r="O1381" t="str">
        <x:v>Most Likely</x:v>
      </x:c>
    </x:row>
    <x:row r="1382">
      <x:c r="A1382" t="str">
        <x:v>PJT_1381</x:v>
      </x:c>
      <x:c r="B1382" t="n">
        <x:v>70709260</x:v>
      </x:c>
      <x:c r="C1382" t="n">
        <x:v>85868719</x:v>
      </x:c>
      <x:c r="D1382" t="n">
        <x:v>15159459</x:v>
      </x:c>
      <x:c r="E1382" t="n">
        <x:v>0.2144</x:v>
      </x:c>
      <x:c r="F1382" t="n">
        <x:v>1346</x:v>
      </x:c>
      <x:c r="G1382" t="n">
        <x:v>1447</x:v>
      </x:c>
      <x:c r="H1382" t="n">
        <x:v>101</x:v>
      </x:c>
      <x:c r="I1382" t="n">
        <x:v>0.075</x:v>
      </x:c>
      <x:c r="J1382" t="str">
        <x:v>Medium</x:v>
      </x:c>
      <x:c r="K1382" t="n">
        <x:v>65.2</x:v>
      </x:c>
      <x:c r="L1382" t="n">
        <x:v>67.9</x:v>
      </x:c>
      <x:c r="M1382" t="n">
        <x:v>60.9</x:v>
      </x:c>
      <x:c r="N1382" t="str">
        <x:v>Pessimistic</x:v>
      </x:c>
      <x:c r="O1382" t="str">
        <x:v>Most Likely</x:v>
      </x:c>
    </x:row>
    <x:row r="1383">
      <x:c r="A1383" t="str">
        <x:v>PJT_1382</x:v>
      </x:c>
      <x:c r="B1383" t="n">
        <x:v>26447660</x:v>
      </x:c>
      <x:c r="C1383" t="n">
        <x:v>25563328</x:v>
      </x:c>
      <x:c r="D1383" t="n">
        <x:v>-884332</x:v>
      </x:c>
      <x:c r="E1383" t="n">
        <x:v>-0.0334</x:v>
      </x:c>
      <x:c r="F1383" t="n">
        <x:v>459</x:v>
      </x:c>
      <x:c r="G1383" t="n">
        <x:v>454</x:v>
      </x:c>
      <x:c r="H1383" t="n">
        <x:v>-5</x:v>
      </x:c>
      <x:c r="I1383" t="n">
        <x:v>-0.0109</x:v>
      </x:c>
      <x:c r="J1383" t="str">
        <x:v>Low</x:v>
      </x:c>
      <x:c r="K1383" t="n">
        <x:v>25.3</x:v>
      </x:c>
      <x:c r="L1383" t="n">
        <x:v>30.6</x:v>
      </x:c>
      <x:c r="M1383" t="n">
        <x:v>31.8</x:v>
      </x:c>
      <x:c r="N1383" t="str">
        <x:v>Optimistic</x:v>
      </x:c>
      <x:c r="O1383" t="str">
        <x:v>Optimistic</x:v>
      </x:c>
    </x:row>
    <x:row r="1384">
      <x:c r="A1384" t="str">
        <x:v>PJT_1383</x:v>
      </x:c>
      <x:c r="B1384" t="n">
        <x:v>26654400</x:v>
      </x:c>
      <x:c r="C1384" t="n">
        <x:v>29638281</x:v>
      </x:c>
      <x:c r="D1384" t="n">
        <x:v>2983881</x:v>
      </x:c>
      <x:c r="E1384" t="n">
        <x:v>0.1119</x:v>
      </x:c>
      <x:c r="F1384" t="n">
        <x:v>590</x:v>
      </x:c>
      <x:c r="G1384" t="n">
        <x:v>622</x:v>
      </x:c>
      <x:c r="H1384" t="n">
        <x:v>32</x:v>
      </x:c>
      <x:c r="I1384" t="n">
        <x:v>0.0542</x:v>
      </x:c>
      <x:c r="J1384" t="str">
        <x:v>Medium</x:v>
      </x:c>
      <x:c r="K1384" t="n">
        <x:v>55</x:v>
      </x:c>
      <x:c r="L1384" t="n">
        <x:v>48.4</x:v>
      </x:c>
      <x:c r="M1384" t="n">
        <x:v>50.3</x:v>
      </x:c>
      <x:c r="N1384" t="str">
        <x:v>Pessimistic</x:v>
      </x:c>
      <x:c r="O1384" t="str">
        <x:v>Most Likely</x:v>
      </x:c>
    </x:row>
    <x:row r="1385">
      <x:c r="A1385" t="str">
        <x:v>PJT_1384</x:v>
      </x:c>
      <x:c r="B1385" t="n">
        <x:v>76911570</x:v>
      </x:c>
      <x:c r="C1385" t="n">
        <x:v>78427861</x:v>
      </x:c>
      <x:c r="D1385" t="n">
        <x:v>1516291</x:v>
      </x:c>
      <x:c r="E1385" t="n">
        <x:v>0.0197</x:v>
      </x:c>
      <x:c r="F1385" t="n">
        <x:v>1307</x:v>
      </x:c>
      <x:c r="G1385" t="n">
        <x:v>1334</x:v>
      </x:c>
      <x:c r="H1385" t="n">
        <x:v>27</x:v>
      </x:c>
      <x:c r="I1385" t="n">
        <x:v>0.0207</x:v>
      </x:c>
      <x:c r="J1385" t="str">
        <x:v>Medium</x:v>
      </x:c>
      <x:c r="K1385" t="n">
        <x:v>53.1</x:v>
      </x:c>
      <x:c r="L1385" t="n">
        <x:v>52.3</x:v>
      </x:c>
      <x:c r="M1385" t="n">
        <x:v>50.1</x:v>
      </x:c>
      <x:c r="N1385" t="str">
        <x:v>Most Likely</x:v>
      </x:c>
      <x:c r="O1385" t="str">
        <x:v>Most Likely</x:v>
      </x:c>
    </x:row>
    <x:row r="1386">
      <x:c r="A1386" t="str">
        <x:v>PJT_1385</x:v>
      </x:c>
      <x:c r="B1386" t="n">
        <x:v>17962880</x:v>
      </x:c>
      <x:c r="C1386" t="n">
        <x:v>19952908</x:v>
      </x:c>
      <x:c r="D1386" t="n">
        <x:v>1990028</x:v>
      </x:c>
      <x:c r="E1386" t="n">
        <x:v>0.1108</x:v>
      </x:c>
      <x:c r="F1386" t="n">
        <x:v>351</x:v>
      </x:c>
      <x:c r="G1386" t="n">
        <x:v>376</x:v>
      </x:c>
      <x:c r="H1386" t="n">
        <x:v>25</x:v>
      </x:c>
      <x:c r="I1386" t="n">
        <x:v>0.0712</x:v>
      </x:c>
      <x:c r="J1386" t="str">
        <x:v>Medium</x:v>
      </x:c>
      <x:c r="K1386" t="n">
        <x:v>56.9</x:v>
      </x:c>
      <x:c r="L1386" t="n">
        <x:v>55.2</x:v>
      </x:c>
      <x:c r="M1386" t="n">
        <x:v>55.9</x:v>
      </x:c>
      <x:c r="N1386" t="str">
        <x:v>Pessimistic</x:v>
      </x:c>
      <x:c r="O1386" t="str">
        <x:v>Most Likely</x:v>
      </x:c>
    </x:row>
    <x:row r="1387">
      <x:c r="A1387" t="str">
        <x:v>PJT_1386</x:v>
      </x:c>
      <x:c r="B1387" t="n">
        <x:v>8469780</x:v>
      </x:c>
      <x:c r="C1387" t="n">
        <x:v>8549744</x:v>
      </x:c>
      <x:c r="D1387" t="n">
        <x:v>79964</x:v>
      </x:c>
      <x:c r="E1387" t="n">
        <x:v>0.0094</x:v>
      </x:c>
      <x:c r="F1387" t="n">
        <x:v>185</x:v>
      </x:c>
      <x:c r="G1387" t="n">
        <x:v>193</x:v>
      </x:c>
      <x:c r="H1387" t="n">
        <x:v>8</x:v>
      </x:c>
      <x:c r="I1387" t="n">
        <x:v>0.0432</x:v>
      </x:c>
      <x:c r="J1387" t="str">
        <x:v>Low</x:v>
      </x:c>
      <x:c r="K1387" t="n">
        <x:v>24</x:v>
      </x:c>
      <x:c r="L1387" t="n">
        <x:v>25.9</x:v>
      </x:c>
      <x:c r="M1387" t="n">
        <x:v>22.1</x:v>
      </x:c>
      <x:c r="N1387" t="str">
        <x:v>Most Likely</x:v>
      </x:c>
      <x:c r="O1387" t="str">
        <x:v>Most Likely</x:v>
      </x:c>
    </x:row>
    <x:row r="1388">
      <x:c r="A1388" t="str">
        <x:v>PJT_1387</x:v>
      </x:c>
      <x:c r="B1388" t="n">
        <x:v>22673400</x:v>
      </x:c>
      <x:c r="C1388" t="n">
        <x:v>24020942</x:v>
      </x:c>
      <x:c r="D1388" t="n">
        <x:v>1347542</x:v>
      </x:c>
      <x:c r="E1388" t="n">
        <x:v>0.0594</x:v>
      </x:c>
      <x:c r="F1388" t="n">
        <x:v>593</x:v>
      </x:c>
      <x:c r="G1388" t="n">
        <x:v>618</x:v>
      </x:c>
      <x:c r="H1388" t="n">
        <x:v>25</x:v>
      </x:c>
      <x:c r="I1388" t="n">
        <x:v>0.0422</x:v>
      </x:c>
      <x:c r="J1388" t="str">
        <x:v>Medium</x:v>
      </x:c>
      <x:c r="K1388" t="n">
        <x:v>53.7</x:v>
      </x:c>
      <x:c r="L1388" t="n">
        <x:v>50.3</x:v>
      </x:c>
      <x:c r="M1388" t="n">
        <x:v>47.2</x:v>
      </x:c>
      <x:c r="N1388" t="str">
        <x:v>Most Likely</x:v>
      </x:c>
      <x:c r="O1388" t="str">
        <x:v>Most Likely</x:v>
      </x:c>
    </x:row>
    <x:row r="1389">
      <x:c r="A1389" t="str">
        <x:v>PJT_1388</x:v>
      </x:c>
      <x:c r="B1389" t="n">
        <x:v>12340900</x:v>
      </x:c>
      <x:c r="C1389" t="n">
        <x:v>13139120</x:v>
      </x:c>
      <x:c r="D1389" t="n">
        <x:v>798220</x:v>
      </x:c>
      <x:c r="E1389" t="n">
        <x:v>0.0647</x:v>
      </x:c>
      <x:c r="F1389" t="n">
        <x:v>343</x:v>
      </x:c>
      <x:c r="G1389" t="n">
        <x:v>369</x:v>
      </x:c>
      <x:c r="H1389" t="n">
        <x:v>26</x:v>
      </x:c>
      <x:c r="I1389" t="n">
        <x:v>0.0758</x:v>
      </x:c>
      <x:c r="J1389" t="str">
        <x:v>Low</x:v>
      </x:c>
      <x:c r="K1389" t="n">
        <x:v>43.6</x:v>
      </x:c>
      <x:c r="L1389" t="n">
        <x:v>39.6</x:v>
      </x:c>
      <x:c r="M1389" t="n">
        <x:v>42.6</x:v>
      </x:c>
      <x:c r="N1389" t="str">
        <x:v>Most Likely</x:v>
      </x:c>
      <x:c r="O1389" t="str">
        <x:v>Most Likely</x:v>
      </x:c>
    </x:row>
    <x:row r="1390">
      <x:c r="A1390" t="str">
        <x:v>PJT_1389</x:v>
      </x:c>
      <x:c r="B1390" t="n">
        <x:v>24963240</x:v>
      </x:c>
      <x:c r="C1390" t="n">
        <x:v>25057251</x:v>
      </x:c>
      <x:c r="D1390" t="n">
        <x:v>94011</x:v>
      </x:c>
      <x:c r="E1390" t="n">
        <x:v>0.0038</x:v>
      </x:c>
      <x:c r="F1390" t="n">
        <x:v>688</x:v>
      </x:c>
      <x:c r="G1390" t="n">
        <x:v>718</x:v>
      </x:c>
      <x:c r="H1390" t="n">
        <x:v>30</x:v>
      </x:c>
      <x:c r="I1390" t="n">
        <x:v>0.0436</x:v>
      </x:c>
      <x:c r="J1390" t="str">
        <x:v>Medium</x:v>
      </x:c>
      <x:c r="K1390" t="n">
        <x:v>52.3</x:v>
      </x:c>
      <x:c r="L1390" t="n">
        <x:v>47.3</x:v>
      </x:c>
      <x:c r="M1390" t="n">
        <x:v>50</x:v>
      </x:c>
      <x:c r="N1390" t="str">
        <x:v>Most Likely</x:v>
      </x:c>
      <x:c r="O1390" t="str">
        <x:v>Most Likely</x:v>
      </x:c>
    </x:row>
    <x:row r="1391">
      <x:c r="A1391" t="str">
        <x:v>PJT_1390</x:v>
      </x:c>
      <x:c r="B1391" t="n">
        <x:v>25232280</x:v>
      </x:c>
      <x:c r="C1391" t="n">
        <x:v>25638454</x:v>
      </x:c>
      <x:c r="D1391" t="n">
        <x:v>406174</x:v>
      </x:c>
      <x:c r="E1391" t="n">
        <x:v>0.0161</x:v>
      </x:c>
      <x:c r="F1391" t="n">
        <x:v>466</x:v>
      </x:c>
      <x:c r="G1391" t="n">
        <x:v>477</x:v>
      </x:c>
      <x:c r="H1391" t="n">
        <x:v>11</x:v>
      </x:c>
      <x:c r="I1391" t="n">
        <x:v>0.0236</x:v>
      </x:c>
      <x:c r="J1391" t="str">
        <x:v>Medium</x:v>
      </x:c>
      <x:c r="K1391" t="n">
        <x:v>47.5</x:v>
      </x:c>
      <x:c r="L1391" t="n">
        <x:v>49</x:v>
      </x:c>
      <x:c r="M1391" t="n">
        <x:v>44</x:v>
      </x:c>
      <x:c r="N1391" t="str">
        <x:v>Most Likely</x:v>
      </x:c>
      <x:c r="O1391" t="str">
        <x:v>Most Likely</x:v>
      </x:c>
    </x:row>
    <x:row r="1392">
      <x:c r="A1392" t="str">
        <x:v>PJT_1391</x:v>
      </x:c>
      <x:c r="B1392" t="n">
        <x:v>77431770</x:v>
      </x:c>
      <x:c r="C1392" t="n">
        <x:v>81754485</x:v>
      </x:c>
      <x:c r="D1392" t="n">
        <x:v>4322715</x:v>
      </x:c>
      <x:c r="E1392" t="n">
        <x:v>0.0558</x:v>
      </x:c>
      <x:c r="F1392" t="n">
        <x:v>1379</x:v>
      </x:c>
      <x:c r="G1392" t="n">
        <x:v>1528</x:v>
      </x:c>
      <x:c r="H1392" t="n">
        <x:v>149</x:v>
      </x:c>
      <x:c r="I1392" t="n">
        <x:v>0.108</x:v>
      </x:c>
      <x:c r="J1392" t="str">
        <x:v>Medium</x:v>
      </x:c>
      <x:c r="K1392" t="n">
        <x:v>62.5</x:v>
      </x:c>
      <x:c r="L1392" t="n">
        <x:v>63.1</x:v>
      </x:c>
      <x:c r="M1392" t="n">
        <x:v>60.3</x:v>
      </x:c>
      <x:c r="N1392" t="str">
        <x:v>Most Likely</x:v>
      </x:c>
      <x:c r="O1392" t="str">
        <x:v>Pessimistic</x:v>
      </x:c>
    </x:row>
    <x:row r="1393">
      <x:c r="A1393" t="str">
        <x:v>PJT_1392</x:v>
      </x:c>
      <x:c r="B1393" t="n">
        <x:v>51870000</x:v>
      </x:c>
      <x:c r="C1393" t="n">
        <x:v>55378947</x:v>
      </x:c>
      <x:c r="D1393" t="n">
        <x:v>3508947</x:v>
      </x:c>
      <x:c r="E1393" t="n">
        <x:v>0.0676</x:v>
      </x:c>
      <x:c r="F1393" t="n">
        <x:v>989</x:v>
      </x:c>
      <x:c r="G1393" t="n">
        <x:v>982</x:v>
      </x:c>
      <x:c r="H1393" t="n">
        <x:v>-7</x:v>
      </x:c>
      <x:c r="I1393" t="n">
        <x:v>-0.0071</x:v>
      </x:c>
      <x:c r="J1393" t="str">
        <x:v>Medium</x:v>
      </x:c>
      <x:c r="K1393" t="n">
        <x:v>51.2</x:v>
      </x:c>
      <x:c r="L1393" t="n">
        <x:v>60.8</x:v>
      </x:c>
      <x:c r="M1393" t="n">
        <x:v>48.1</x:v>
      </x:c>
      <x:c r="N1393" t="str">
        <x:v>Most Likely</x:v>
      </x:c>
      <x:c r="O1393" t="str">
        <x:v>Optimistic</x:v>
      </x:c>
    </x:row>
    <x:row r="1394">
      <x:c r="A1394" t="str">
        <x:v>PJT_1393</x:v>
      </x:c>
      <x:c r="B1394" t="n">
        <x:v>22039430</x:v>
      </x:c>
      <x:c r="C1394" t="n">
        <x:v>21827025</x:v>
      </x:c>
      <x:c r="D1394" t="n">
        <x:v>-212405</x:v>
      </x:c>
      <x:c r="E1394" t="n">
        <x:v>-0.0096</x:v>
      </x:c>
      <x:c r="F1394" t="n">
        <x:v>517</x:v>
      </x:c>
      <x:c r="G1394" t="n">
        <x:v>552</x:v>
      </x:c>
      <x:c r="H1394" t="n">
        <x:v>35</x:v>
      </x:c>
      <x:c r="I1394" t="n">
        <x:v>0.0677</x:v>
      </x:c>
      <x:c r="J1394" t="str">
        <x:v>Medium</x:v>
      </x:c>
      <x:c r="K1394" t="n">
        <x:v>47</x:v>
      </x:c>
      <x:c r="L1394" t="n">
        <x:v>48.3</x:v>
      </x:c>
      <x:c r="M1394" t="n">
        <x:v>43.9</x:v>
      </x:c>
      <x:c r="N1394" t="str">
        <x:v>Optimistic</x:v>
      </x:c>
      <x:c r="O1394" t="str">
        <x:v>Most Likely</x:v>
      </x:c>
    </x:row>
    <x:row r="1395">
      <x:c r="A1395" t="str">
        <x:v>PJT_1394</x:v>
      </x:c>
      <x:c r="B1395" t="n">
        <x:v>8430160</x:v>
      </x:c>
      <x:c r="C1395" t="n">
        <x:v>7950617</x:v>
      </x:c>
      <x:c r="D1395" t="n">
        <x:v>-479543</x:v>
      </x:c>
      <x:c r="E1395" t="n">
        <x:v>-0.0569</x:v>
      </x:c>
      <x:c r="F1395" t="n">
        <x:v>197</x:v>
      </x:c>
      <x:c r="G1395" t="n">
        <x:v>196</x:v>
      </x:c>
      <x:c r="H1395" t="n">
        <x:v>-1</x:v>
      </x:c>
      <x:c r="I1395" t="n">
        <x:v>-0.0051</x:v>
      </x:c>
      <x:c r="J1395" t="str">
        <x:v>Low</x:v>
      </x:c>
      <x:c r="K1395" t="n">
        <x:v>32.6</x:v>
      </x:c>
      <x:c r="L1395" t="n">
        <x:v>27.4</x:v>
      </x:c>
      <x:c r="M1395" t="n">
        <x:v>30.3</x:v>
      </x:c>
      <x:c r="N1395" t="str">
        <x:v>Optimistic</x:v>
      </x:c>
      <x:c r="O1395" t="str">
        <x:v>Optimistic</x:v>
      </x:c>
    </x:row>
    <x:row r="1396">
      <x:c r="A1396" t="str">
        <x:v>PJT_1395</x:v>
      </x:c>
      <x:c r="B1396" t="n">
        <x:v>82810000</x:v>
      </x:c>
      <x:c r="C1396" t="n">
        <x:v>91316301</x:v>
      </x:c>
      <x:c r="D1396" t="n">
        <x:v>8506301</x:v>
      </x:c>
      <x:c r="E1396" t="n">
        <x:v>0.1027</x:v>
      </x:c>
      <x:c r="F1396" t="n">
        <x:v>1421</x:v>
      </x:c>
      <x:c r="G1396" t="n">
        <x:v>1731</x:v>
      </x:c>
      <x:c r="H1396" t="n">
        <x:v>310</x:v>
      </x:c>
      <x:c r="I1396" t="n">
        <x:v>0.2182</x:v>
      </x:c>
      <x:c r="J1396" t="str">
        <x:v>High</x:v>
      </x:c>
      <x:c r="K1396" t="n">
        <x:v>72.4</x:v>
      </x:c>
      <x:c r="L1396" t="n">
        <x:v>74.5</x:v>
      </x:c>
      <x:c r="M1396" t="n">
        <x:v>67.2</x:v>
      </x:c>
      <x:c r="N1396" t="str">
        <x:v>Pessimistic</x:v>
      </x:c>
      <x:c r="O1396" t="str">
        <x:v>Pessimistic</x:v>
      </x:c>
    </x:row>
    <x:row r="1397">
      <x:c r="A1397" t="str">
        <x:v>PJT_1396</x:v>
      </x:c>
      <x:c r="B1397" t="n">
        <x:v>11280300</x:v>
      </x:c>
      <x:c r="C1397" t="n">
        <x:v>11470493</x:v>
      </x:c>
      <x:c r="D1397" t="n">
        <x:v>190193</x:v>
      </x:c>
      <x:c r="E1397" t="n">
        <x:v>0.0169</x:v>
      </x:c>
      <x:c r="F1397" t="n">
        <x:v>185</x:v>
      </x:c>
      <x:c r="G1397" t="n">
        <x:v>202</x:v>
      </x:c>
      <x:c r="H1397" t="n">
        <x:v>17</x:v>
      </x:c>
      <x:c r="I1397" t="n">
        <x:v>0.0919</x:v>
      </x:c>
      <x:c r="J1397" t="str">
        <x:v>Low</x:v>
      </x:c>
      <x:c r="K1397" t="n">
        <x:v>39.3</x:v>
      </x:c>
      <x:c r="L1397" t="n">
        <x:v>38.8</x:v>
      </x:c>
      <x:c r="M1397" t="n">
        <x:v>41.5</x:v>
      </x:c>
      <x:c r="N1397" t="str">
        <x:v>Most Likely</x:v>
      </x:c>
      <x:c r="O1397" t="str">
        <x:v>Most Likely</x:v>
      </x:c>
    </x:row>
    <x:row r="1398">
      <x:c r="A1398" t="str">
        <x:v>PJT_1397</x:v>
      </x:c>
      <x:c r="B1398" t="n">
        <x:v>53667400</x:v>
      </x:c>
      <x:c r="C1398" t="n">
        <x:v>58232719</x:v>
      </x:c>
      <x:c r="D1398" t="n">
        <x:v>4565319</x:v>
      </x:c>
      <x:c r="E1398" t="n">
        <x:v>0.0851</x:v>
      </x:c>
      <x:c r="F1398" t="n">
        <x:v>950</x:v>
      </x:c>
      <x:c r="G1398" t="n">
        <x:v>1060</x:v>
      </x:c>
      <x:c r="H1398" t="n">
        <x:v>110</x:v>
      </x:c>
      <x:c r="I1398" t="n">
        <x:v>0.1158</x:v>
      </x:c>
      <x:c r="J1398" t="str">
        <x:v>Medium</x:v>
      </x:c>
      <x:c r="K1398" t="n">
        <x:v>54.8</x:v>
      </x:c>
      <x:c r="L1398" t="n">
        <x:v>51.8</x:v>
      </x:c>
      <x:c r="M1398" t="n">
        <x:v>50.1</x:v>
      </x:c>
      <x:c r="N1398" t="str">
        <x:v>Most Likely</x:v>
      </x:c>
      <x:c r="O1398" t="str">
        <x:v>Pessimistic</x:v>
      </x:c>
    </x:row>
    <x:row r="1399">
      <x:c r="A1399" t="str">
        <x:v>PJT_1398</x:v>
      </x:c>
      <x:c r="B1399" t="n">
        <x:v>29365360</x:v>
      </x:c>
      <x:c r="C1399" t="n">
        <x:v>31729351</x:v>
      </x:c>
      <x:c r="D1399" t="n">
        <x:v>2363991</x:v>
      </x:c>
      <x:c r="E1399" t="n">
        <x:v>0.0805</x:v>
      </x:c>
      <x:c r="F1399" t="n">
        <x:v>522</x:v>
      </x:c>
      <x:c r="G1399" t="n">
        <x:v>459</x:v>
      </x:c>
      <x:c r="H1399" t="n">
        <x:v>-63</x:v>
      </x:c>
      <x:c r="I1399" t="n">
        <x:v>-0.1207</x:v>
      </x:c>
      <x:c r="J1399" t="str">
        <x:v>Low</x:v>
      </x:c>
      <x:c r="K1399" t="n">
        <x:v>44.2</x:v>
      </x:c>
      <x:c r="L1399" t="n">
        <x:v>44.6</x:v>
      </x:c>
      <x:c r="M1399" t="n">
        <x:v>36.2</x:v>
      </x:c>
      <x:c r="N1399" t="str">
        <x:v>Most Likely</x:v>
      </x:c>
      <x:c r="O1399" t="str">
        <x:v>Optimistic</x:v>
      </x:c>
    </x:row>
    <x:row r="1400">
      <x:c r="A1400" t="str">
        <x:v>PJT_1399</x:v>
      </x:c>
      <x:c r="B1400" t="n">
        <x:v>33611260</x:v>
      </x:c>
      <x:c r="C1400" t="n">
        <x:v>36996330</x:v>
      </x:c>
      <x:c r="D1400" t="n">
        <x:v>3385070</x:v>
      </x:c>
      <x:c r="E1400" t="n">
        <x:v>0.1007</x:v>
      </x:c>
      <x:c r="F1400" t="n">
        <x:v>593</x:v>
      </x:c>
      <x:c r="G1400" t="n">
        <x:v>614</x:v>
      </x:c>
      <x:c r="H1400" t="n">
        <x:v>21</x:v>
      </x:c>
      <x:c r="I1400" t="n">
        <x:v>0.0354</x:v>
      </x:c>
      <x:c r="J1400" t="str">
        <x:v>Low</x:v>
      </x:c>
      <x:c r="K1400" t="n">
        <x:v>39.4</x:v>
      </x:c>
      <x:c r="L1400" t="n">
        <x:v>43.1</x:v>
      </x:c>
      <x:c r="M1400" t="n">
        <x:v>40.7</x:v>
      </x:c>
      <x:c r="N1400" t="str">
        <x:v>Pessimistic</x:v>
      </x:c>
      <x:c r="O1400" t="str">
        <x:v>Most Likely</x:v>
      </x:c>
    </x:row>
    <x:row r="1401">
      <x:c r="A1401" t="str">
        <x:v>PJT_1400</x:v>
      </x:c>
      <x:c r="B1401" t="n">
        <x:v>92264040</x:v>
      </x:c>
      <x:c r="C1401" t="n">
        <x:v>102220533</x:v>
      </x:c>
      <x:c r="D1401" t="n">
        <x:v>9956493</x:v>
      </x:c>
      <x:c r="E1401" t="n">
        <x:v>0.1079</x:v>
      </x:c>
      <x:c r="F1401" t="n">
        <x:v>1659</x:v>
      </x:c>
      <x:c r="G1401" t="n">
        <x:v>1813</x:v>
      </x:c>
      <x:c r="H1401" t="n">
        <x:v>154</x:v>
      </x:c>
      <x:c r="I1401" t="n">
        <x:v>0.0928</x:v>
      </x:c>
      <x:c r="J1401" t="str">
        <x:v>Medium</x:v>
      </x:c>
      <x:c r="K1401" t="n">
        <x:v>66.8</x:v>
      </x:c>
      <x:c r="L1401" t="n">
        <x:v>74.3</x:v>
      </x:c>
      <x:c r="M1401" t="n">
        <x:v>65.5</x:v>
      </x:c>
      <x:c r="N1401" t="str">
        <x:v>Pessimistic</x:v>
      </x:c>
      <x:c r="O1401" t="str">
        <x:v>Most Likely</x:v>
      </x:c>
    </x:row>
    <x:row r="1402">
      <x:c r="A1402" t="str">
        <x:v>PJT_1401</x:v>
      </x:c>
      <x:c r="B1402" t="n">
        <x:v>84699540</x:v>
      </x:c>
      <x:c r="C1402" t="n">
        <x:v>90194916</x:v>
      </x:c>
      <x:c r="D1402" t="n">
        <x:v>5495376</x:v>
      </x:c>
      <x:c r="E1402" t="n">
        <x:v>0.0649</x:v>
      </x:c>
      <x:c r="F1402" t="n">
        <x:v>1574</x:v>
      </x:c>
      <x:c r="G1402" t="n">
        <x:v>1731</x:v>
      </x:c>
      <x:c r="H1402" t="n">
        <x:v>157</x:v>
      </x:c>
      <x:c r="I1402" t="n">
        <x:v>0.0997</x:v>
      </x:c>
      <x:c r="J1402" t="str">
        <x:v>Medium</x:v>
      </x:c>
      <x:c r="K1402" t="n">
        <x:v>63.2</x:v>
      </x:c>
      <x:c r="L1402" t="n">
        <x:v>65.6</x:v>
      </x:c>
      <x:c r="M1402" t="n">
        <x:v>63</x:v>
      </x:c>
      <x:c r="N1402" t="str">
        <x:v>Most Likely</x:v>
      </x:c>
      <x:c r="O1402" t="str">
        <x:v>Most Likely</x:v>
      </x:c>
    </x:row>
    <x:row r="1403">
      <x:c r="A1403" t="str">
        <x:v>PJT_1402</x:v>
      </x:c>
      <x:c r="B1403" t="n">
        <x:v>81218420</x:v>
      </x:c>
      <x:c r="C1403" t="n">
        <x:v>92432815</x:v>
      </x:c>
      <x:c r="D1403" t="n">
        <x:v>11214395</x:v>
      </x:c>
      <x:c r="E1403" t="n">
        <x:v>0.1381</x:v>
      </x:c>
      <x:c r="F1403" t="n">
        <x:v>1333</x:v>
      </x:c>
      <x:c r="G1403" t="n">
        <x:v>1389</x:v>
      </x:c>
      <x:c r="H1403" t="n">
        <x:v>56</x:v>
      </x:c>
      <x:c r="I1403" t="n">
        <x:v>0.042</x:v>
      </x:c>
      <x:c r="J1403" t="str">
        <x:v>Medium</x:v>
      </x:c>
      <x:c r="K1403" t="n">
        <x:v>51.9</x:v>
      </x:c>
      <x:c r="L1403" t="n">
        <x:v>60.7</x:v>
      </x:c>
      <x:c r="M1403" t="n">
        <x:v>54.4</x:v>
      </x:c>
      <x:c r="N1403" t="str">
        <x:v>Pessimistic</x:v>
      </x:c>
      <x:c r="O1403" t="str">
        <x:v>Most Likely</x:v>
      </x:c>
    </x:row>
    <x:row r="1404">
      <x:c r="A1404" t="str">
        <x:v>PJT_1403</x:v>
      </x:c>
      <x:c r="B1404" t="n">
        <x:v>42920920</x:v>
      </x:c>
      <x:c r="C1404" t="n">
        <x:v>45280141</x:v>
      </x:c>
      <x:c r="D1404" t="n">
        <x:v>2359221</x:v>
      </x:c>
      <x:c r="E1404" t="n">
        <x:v>0.055</x:v>
      </x:c>
      <x:c r="F1404" t="n">
        <x:v>880</x:v>
      </x:c>
      <x:c r="G1404" t="n">
        <x:v>955</x:v>
      </x:c>
      <x:c r="H1404" t="n">
        <x:v>75</x:v>
      </x:c>
      <x:c r="I1404" t="n">
        <x:v>0.0852</x:v>
      </x:c>
      <x:c r="J1404" t="str">
        <x:v>Medium</x:v>
      </x:c>
      <x:c r="K1404" t="n">
        <x:v>50.6</x:v>
      </x:c>
      <x:c r="L1404" t="n">
        <x:v>52.1</x:v>
      </x:c>
      <x:c r="M1404" t="n">
        <x:v>53.3</x:v>
      </x:c>
      <x:c r="N1404" t="str">
        <x:v>Most Likely</x:v>
      </x:c>
      <x:c r="O1404" t="str">
        <x:v>Most Likely</x:v>
      </x:c>
    </x:row>
    <x:row r="1405">
      <x:c r="A1405" t="str">
        <x:v>PJT_1404</x:v>
      </x:c>
      <x:c r="B1405" t="n">
        <x:v>14594030</x:v>
      </x:c>
      <x:c r="C1405" t="n">
        <x:v>14483055</x:v>
      </x:c>
      <x:c r="D1405" t="n">
        <x:v>-110975</x:v>
      </x:c>
      <x:c r="E1405" t="n">
        <x:v>-0.0076</x:v>
      </x:c>
      <x:c r="F1405" t="n">
        <x:v>274</x:v>
      </x:c>
      <x:c r="G1405" t="n">
        <x:v>287</x:v>
      </x:c>
      <x:c r="H1405" t="n">
        <x:v>13</x:v>
      </x:c>
      <x:c r="I1405" t="n">
        <x:v>0.0474</x:v>
      </x:c>
      <x:c r="J1405" t="str">
        <x:v>Low</x:v>
      </x:c>
      <x:c r="K1405" t="n">
        <x:v>32.4</x:v>
      </x:c>
      <x:c r="L1405" t="n">
        <x:v>34.6</x:v>
      </x:c>
      <x:c r="M1405" t="n">
        <x:v>31.9</x:v>
      </x:c>
      <x:c r="N1405" t="str">
        <x:v>Optimistic</x:v>
      </x:c>
      <x:c r="O1405" t="str">
        <x:v>Most Likely</x:v>
      </x:c>
    </x:row>
    <x:row r="1406">
      <x:c r="A1406" t="str">
        <x:v>PJT_1405</x:v>
      </x:c>
      <x:c r="B1406" t="n">
        <x:v>14391600</x:v>
      </x:c>
      <x:c r="C1406" t="n">
        <x:v>13376063</x:v>
      </x:c>
      <x:c r="D1406" t="n">
        <x:v>-1015537</x:v>
      </x:c>
      <x:c r="E1406" t="n">
        <x:v>-0.0706</x:v>
      </x:c>
      <x:c r="F1406" t="n">
        <x:v>266</x:v>
      </x:c>
      <x:c r="G1406" t="n">
        <x:v>274</x:v>
      </x:c>
      <x:c r="H1406" t="n">
        <x:v>8</x:v>
      </x:c>
      <x:c r="I1406" t="n">
        <x:v>0.0301</x:v>
      </x:c>
      <x:c r="J1406" t="str">
        <x:v>Low</x:v>
      </x:c>
      <x:c r="K1406" t="n">
        <x:v>37</x:v>
      </x:c>
      <x:c r="L1406" t="n">
        <x:v>30.9</x:v>
      </x:c>
      <x:c r="M1406" t="n">
        <x:v>34.1</x:v>
      </x:c>
      <x:c r="N1406" t="str">
        <x:v>Optimistic</x:v>
      </x:c>
      <x:c r="O1406" t="str">
        <x:v>Most Likely</x:v>
      </x:c>
    </x:row>
    <x:row r="1407">
      <x:c r="A1407" t="str">
        <x:v>PJT_1406</x:v>
      </x:c>
      <x:c r="B1407" t="n">
        <x:v>21499720</x:v>
      </x:c>
      <x:c r="C1407" t="n">
        <x:v>21612362</x:v>
      </x:c>
      <x:c r="D1407" t="n">
        <x:v>112642</x:v>
      </x:c>
      <x:c r="E1407" t="n">
        <x:v>0.0052</x:v>
      </x:c>
      <x:c r="F1407" t="n">
        <x:v>558</x:v>
      </x:c>
      <x:c r="G1407" t="n">
        <x:v>594</x:v>
      </x:c>
      <x:c r="H1407" t="n">
        <x:v>36</x:v>
      </x:c>
      <x:c r="I1407" t="n">
        <x:v>0.0645</x:v>
      </x:c>
      <x:c r="J1407" t="str">
        <x:v>Medium</x:v>
      </x:c>
      <x:c r="K1407" t="n">
        <x:v>47.7</x:v>
      </x:c>
      <x:c r="L1407" t="n">
        <x:v>47.3</x:v>
      </x:c>
      <x:c r="M1407" t="n">
        <x:v>43.4</x:v>
      </x:c>
      <x:c r="N1407" t="str">
        <x:v>Most Likely</x:v>
      </x:c>
      <x:c r="O1407" t="str">
        <x:v>Most Likely</x:v>
      </x:c>
    </x:row>
    <x:row r="1408">
      <x:c r="A1408" t="str">
        <x:v>PJT_1407</x:v>
      </x:c>
      <x:c r="B1408" t="n">
        <x:v>7387380</x:v>
      </x:c>
      <x:c r="C1408" t="n">
        <x:v>6818006</x:v>
      </x:c>
      <x:c r="D1408" t="n">
        <x:v>-569374</x:v>
      </x:c>
      <x:c r="E1408" t="n">
        <x:v>-0.0771</x:v>
      </x:c>
      <x:c r="F1408" t="n">
        <x:v>180</x:v>
      </x:c>
      <x:c r="G1408" t="n">
        <x:v>182</x:v>
      </x:c>
      <x:c r="H1408" t="n">
        <x:v>2</x:v>
      </x:c>
      <x:c r="I1408" t="n">
        <x:v>0.0111</x:v>
      </x:c>
      <x:c r="J1408" t="str">
        <x:v>Low</x:v>
      </x:c>
      <x:c r="K1408" t="n">
        <x:v>24</x:v>
      </x:c>
      <x:c r="L1408" t="n">
        <x:v>25.3</x:v>
      </x:c>
      <x:c r="M1408" t="n">
        <x:v>28</x:v>
      </x:c>
      <x:c r="N1408" t="str">
        <x:v>Optimistic</x:v>
      </x:c>
      <x:c r="O1408" t="str">
        <x:v>Most Likely</x:v>
      </x:c>
    </x:row>
    <x:row r="1409">
      <x:c r="A1409" t="str">
        <x:v>PJT_1408</x:v>
      </x:c>
      <x:c r="B1409" t="n">
        <x:v>47877120</x:v>
      </x:c>
      <x:c r="C1409" t="n">
        <x:v>49928779</x:v>
      </x:c>
      <x:c r="D1409" t="n">
        <x:v>2051659</x:v>
      </x:c>
      <x:c r="E1409" t="n">
        <x:v>0.0429</x:v>
      </x:c>
      <x:c r="F1409" t="n">
        <x:v>979</x:v>
      </x:c>
      <x:c r="G1409" t="n">
        <x:v>1056</x:v>
      </x:c>
      <x:c r="H1409" t="n">
        <x:v>77</x:v>
      </x:c>
      <x:c r="I1409" t="n">
        <x:v>0.0787</x:v>
      </x:c>
      <x:c r="J1409" t="str">
        <x:v>Medium</x:v>
      </x:c>
      <x:c r="K1409" t="n">
        <x:v>63.5</x:v>
      </x:c>
      <x:c r="L1409" t="n">
        <x:v>56.7</x:v>
      </x:c>
      <x:c r="M1409" t="n">
        <x:v>61.8</x:v>
      </x:c>
      <x:c r="N1409" t="str">
        <x:v>Most Likely</x:v>
      </x:c>
      <x:c r="O1409" t="str">
        <x:v>Most Likely</x:v>
      </x:c>
    </x:row>
    <x:row r="1410">
      <x:c r="A1410" t="str">
        <x:v>PJT_1409</x:v>
      </x:c>
      <x:c r="B1410" t="n">
        <x:v>71185800</x:v>
      </x:c>
      <x:c r="C1410" t="n">
        <x:v>76477966</x:v>
      </x:c>
      <x:c r="D1410" t="n">
        <x:v>5292166</x:v>
      </x:c>
      <x:c r="E1410" t="n">
        <x:v>0.0743</x:v>
      </x:c>
      <x:c r="F1410" t="n">
        <x:v>1510</x:v>
      </x:c>
      <x:c r="G1410" t="n">
        <x:v>1616</x:v>
      </x:c>
      <x:c r="H1410" t="n">
        <x:v>106</x:v>
      </x:c>
      <x:c r="I1410" t="n">
        <x:v>0.0702</x:v>
      </x:c>
      <x:c r="J1410" t="str">
        <x:v>Medium</x:v>
      </x:c>
      <x:c r="K1410" t="n">
        <x:v>60</x:v>
      </x:c>
      <x:c r="L1410" t="n">
        <x:v>56.1</x:v>
      </x:c>
      <x:c r="M1410" t="n">
        <x:v>58.4</x:v>
      </x:c>
      <x:c r="N1410" t="str">
        <x:v>Most Likely</x:v>
      </x:c>
      <x:c r="O1410" t="str">
        <x:v>Most Likely</x:v>
      </x:c>
    </x:row>
    <x:row r="1411">
      <x:c r="A1411" t="str">
        <x:v>PJT_1410</x:v>
      </x:c>
      <x:c r="B1411" t="n">
        <x:v>56761700</x:v>
      </x:c>
      <x:c r="C1411" t="n">
        <x:v>61174235</x:v>
      </x:c>
      <x:c r="D1411" t="n">
        <x:v>4412535</x:v>
      </x:c>
      <x:c r="E1411" t="n">
        <x:v>0.0777</x:v>
      </x:c>
      <x:c r="F1411" t="n">
        <x:v>1133</x:v>
      </x:c>
      <x:c r="G1411" t="n">
        <x:v>1213</x:v>
      </x:c>
      <x:c r="H1411" t="n">
        <x:v>80</x:v>
      </x:c>
      <x:c r="I1411" t="n">
        <x:v>0.0706</x:v>
      </x:c>
      <x:c r="J1411" t="str">
        <x:v>Medium</x:v>
      </x:c>
      <x:c r="K1411" t="n">
        <x:v>48.5</x:v>
      </x:c>
      <x:c r="L1411" t="n">
        <x:v>52.2</x:v>
      </x:c>
      <x:c r="M1411" t="n">
        <x:v>58.3</x:v>
      </x:c>
      <x:c r="N1411" t="str">
        <x:v>Most Likely</x:v>
      </x:c>
      <x:c r="O1411" t="str">
        <x:v>Most Likely</x:v>
      </x:c>
    </x:row>
    <x:row r="1412">
      <x:c r="A1412" t="str">
        <x:v>PJT_1411</x:v>
      </x:c>
      <x:c r="B1412" t="n">
        <x:v>61086400</x:v>
      </x:c>
      <x:c r="C1412" t="n">
        <x:v>64505610</x:v>
      </x:c>
      <x:c r="D1412" t="n">
        <x:v>3419210</x:v>
      </x:c>
      <x:c r="E1412" t="n">
        <x:v>0.056</x:v>
      </x:c>
      <x:c r="F1412" t="n">
        <x:v>1194</x:v>
      </x:c>
      <x:c r="G1412" t="n">
        <x:v>1279</x:v>
      </x:c>
      <x:c r="H1412" t="n">
        <x:v>85</x:v>
      </x:c>
      <x:c r="I1412" t="n">
        <x:v>0.0712</x:v>
      </x:c>
      <x:c r="J1412" t="str">
        <x:v>Medium</x:v>
      </x:c>
      <x:c r="K1412" t="n">
        <x:v>51</x:v>
      </x:c>
      <x:c r="L1412" t="n">
        <x:v>53.7</x:v>
      </x:c>
      <x:c r="M1412" t="n">
        <x:v>52.6</x:v>
      </x:c>
      <x:c r="N1412" t="str">
        <x:v>Most Likely</x:v>
      </x:c>
      <x:c r="O1412" t="str">
        <x:v>Most Likely</x:v>
      </x:c>
    </x:row>
    <x:row r="1413">
      <x:c r="A1413" t="str">
        <x:v>PJT_1412</x:v>
      </x:c>
      <x:c r="B1413" t="n">
        <x:v>47018520</x:v>
      </x:c>
      <x:c r="C1413" t="n">
        <x:v>48504420</x:v>
      </x:c>
      <x:c r="D1413" t="n">
        <x:v>1485900</x:v>
      </x:c>
      <x:c r="E1413" t="n">
        <x:v>0.0316</x:v>
      </x:c>
      <x:c r="F1413" t="n">
        <x:v>873</x:v>
      </x:c>
      <x:c r="G1413" t="n">
        <x:v>899</x:v>
      </x:c>
      <x:c r="H1413" t="n">
        <x:v>26</x:v>
      </x:c>
      <x:c r="I1413" t="n">
        <x:v>0.0298</x:v>
      </x:c>
      <x:c r="J1413" t="str">
        <x:v>Low</x:v>
      </x:c>
      <x:c r="K1413" t="n">
        <x:v>36.8</x:v>
      </x:c>
      <x:c r="L1413" t="n">
        <x:v>37.3</x:v>
      </x:c>
      <x:c r="M1413" t="n">
        <x:v>38.7</x:v>
      </x:c>
      <x:c r="N1413" t="str">
        <x:v>Most Likely</x:v>
      </x:c>
      <x:c r="O1413" t="str">
        <x:v>Most Likely</x:v>
      </x:c>
    </x:row>
    <x:row r="1414">
      <x:c r="A1414" t="str">
        <x:v>PJT_1413</x:v>
      </x:c>
      <x:c r="B1414" t="n">
        <x:v>66275000</x:v>
      </x:c>
      <x:c r="C1414" t="n">
        <x:v>72559539</x:v>
      </x:c>
      <x:c r="D1414" t="n">
        <x:v>6284539</x:v>
      </x:c>
      <x:c r="E1414" t="n">
        <x:v>0.0948</x:v>
      </x:c>
      <x:c r="F1414" t="n">
        <x:v>1248</x:v>
      </x:c>
      <x:c r="G1414" t="n">
        <x:v>1323</x:v>
      </x:c>
      <x:c r="H1414" t="n">
        <x:v>75</x:v>
      </x:c>
      <x:c r="I1414" t="n">
        <x:v>0.0601</x:v>
      </x:c>
      <x:c r="J1414" t="str">
        <x:v>Medium</x:v>
      </x:c>
      <x:c r="K1414" t="n">
        <x:v>61.3</x:v>
      </x:c>
      <x:c r="L1414" t="n">
        <x:v>61.4</x:v>
      </x:c>
      <x:c r="M1414" t="n">
        <x:v>59.1</x:v>
      </x:c>
      <x:c r="N1414" t="str">
        <x:v>Most Likely</x:v>
      </x:c>
      <x:c r="O1414" t="str">
        <x:v>Most Likely</x:v>
      </x:c>
    </x:row>
    <x:row r="1415">
      <x:c r="A1415" t="str">
        <x:v>PJT_1414</x:v>
      </x:c>
      <x:c r="B1415" t="n">
        <x:v>62768640</x:v>
      </x:c>
      <x:c r="C1415" t="n">
        <x:v>67676603</x:v>
      </x:c>
      <x:c r="D1415" t="n">
        <x:v>4907963</x:v>
      </x:c>
      <x:c r="E1415" t="n">
        <x:v>0.0782</x:v>
      </x:c>
      <x:c r="F1415" t="n">
        <x:v>1193</x:v>
      </x:c>
      <x:c r="G1415" t="n">
        <x:v>1206</x:v>
      </x:c>
      <x:c r="H1415" t="n">
        <x:v>13</x:v>
      </x:c>
      <x:c r="I1415" t="n">
        <x:v>0.0109</x:v>
      </x:c>
      <x:c r="J1415" t="str">
        <x:v>Medium</x:v>
      </x:c>
      <x:c r="K1415" t="n">
        <x:v>66.4</x:v>
      </x:c>
      <x:c r="L1415" t="n">
        <x:v>65.8</x:v>
      </x:c>
      <x:c r="M1415" t="n">
        <x:v>63</x:v>
      </x:c>
      <x:c r="N1415" t="str">
        <x:v>Most Likely</x:v>
      </x:c>
      <x:c r="O1415" t="str">
        <x:v>Most Likely</x:v>
      </x:c>
    </x:row>
    <x:row r="1416">
      <x:c r="A1416" t="str">
        <x:v>PJT_1415</x:v>
      </x:c>
      <x:c r="B1416" t="n">
        <x:v>13957020</x:v>
      </x:c>
      <x:c r="C1416" t="n">
        <x:v>13387736</x:v>
      </x:c>
      <x:c r="D1416" t="n">
        <x:v>-569284</x:v>
      </x:c>
      <x:c r="E1416" t="n">
        <x:v>-0.0408</x:v>
      </x:c>
      <x:c r="F1416" t="n">
        <x:v>252</x:v>
      </x:c>
      <x:c r="G1416" t="n">
        <x:v>255</x:v>
      </x:c>
      <x:c r="H1416" t="n">
        <x:v>3</x:v>
      </x:c>
      <x:c r="I1416" t="n">
        <x:v>0.0119</x:v>
      </x:c>
      <x:c r="J1416" t="str">
        <x:v>Low</x:v>
      </x:c>
      <x:c r="K1416" t="n">
        <x:v>35</x:v>
      </x:c>
      <x:c r="L1416" t="n">
        <x:v>31.4</x:v>
      </x:c>
      <x:c r="M1416" t="n">
        <x:v>41.1</x:v>
      </x:c>
      <x:c r="N1416" t="str">
        <x:v>Optimistic</x:v>
      </x:c>
      <x:c r="O1416" t="str">
        <x:v>Most Likely</x:v>
      </x:c>
    </x:row>
    <x:row r="1417">
      <x:c r="A1417" t="str">
        <x:v>PJT_1416</x:v>
      </x:c>
      <x:c r="B1417" t="n">
        <x:v>51690600</x:v>
      </x:c>
      <x:c r="C1417" t="n">
        <x:v>55775634</x:v>
      </x:c>
      <x:c r="D1417" t="n">
        <x:v>4085034</x:v>
      </x:c>
      <x:c r="E1417" t="n">
        <x:v>0.079</x:v>
      </x:c>
      <x:c r="F1417" t="n">
        <x:v>794</x:v>
      </x:c>
      <x:c r="G1417" t="n">
        <x:v>883</x:v>
      </x:c>
      <x:c r="H1417" t="n">
        <x:v>89</x:v>
      </x:c>
      <x:c r="I1417" t="n">
        <x:v>0.1121</x:v>
      </x:c>
      <x:c r="J1417" t="str">
        <x:v>Medium</x:v>
      </x:c>
      <x:c r="K1417" t="n">
        <x:v>48.7</x:v>
      </x:c>
      <x:c r="L1417" t="n">
        <x:v>52.9</x:v>
      </x:c>
      <x:c r="M1417" t="n">
        <x:v>51.4</x:v>
      </x:c>
      <x:c r="N1417" t="str">
        <x:v>Most Likely</x:v>
      </x:c>
      <x:c r="O1417" t="str">
        <x:v>Pessimistic</x:v>
      </x:c>
    </x:row>
    <x:row r="1418">
      <x:c r="A1418" t="str">
        <x:v>PJT_1417</x:v>
      </x:c>
      <x:c r="B1418" t="n">
        <x:v>73437000</x:v>
      </x:c>
      <x:c r="C1418" t="n">
        <x:v>77167312</x:v>
      </x:c>
      <x:c r="D1418" t="n">
        <x:v>3730312</x:v>
      </x:c>
      <x:c r="E1418" t="n">
        <x:v>0.0508</x:v>
      </x:c>
      <x:c r="F1418" t="n">
        <x:v>1251</x:v>
      </x:c>
      <x:c r="G1418" t="n">
        <x:v>1299</x:v>
      </x:c>
      <x:c r="H1418" t="n">
        <x:v>48</x:v>
      </x:c>
      <x:c r="I1418" t="n">
        <x:v>0.0384</x:v>
      </x:c>
      <x:c r="J1418" t="str">
        <x:v>Medium</x:v>
      </x:c>
      <x:c r="K1418" t="n">
        <x:v>53.7</x:v>
      </x:c>
      <x:c r="L1418" t="n">
        <x:v>61.9</x:v>
      </x:c>
      <x:c r="M1418" t="n">
        <x:v>51.5</x:v>
      </x:c>
      <x:c r="N1418" t="str">
        <x:v>Most Likely</x:v>
      </x:c>
      <x:c r="O1418" t="str">
        <x:v>Most Likely</x:v>
      </x:c>
    </x:row>
    <x:row r="1419">
      <x:c r="A1419" t="str">
        <x:v>PJT_1418</x:v>
      </x:c>
      <x:c r="B1419" t="n">
        <x:v>8770470</x:v>
      </x:c>
      <x:c r="C1419" t="n">
        <x:v>8606298</x:v>
      </x:c>
      <x:c r="D1419" t="n">
        <x:v>-164172</x:v>
      </x:c>
      <x:c r="E1419" t="n">
        <x:v>-0.0187</x:v>
      </x:c>
      <x:c r="F1419" t="n">
        <x:v>192</x:v>
      </x:c>
      <x:c r="G1419" t="n">
        <x:v>196</x:v>
      </x:c>
      <x:c r="H1419" t="n">
        <x:v>4</x:v>
      </x:c>
      <x:c r="I1419" t="n">
        <x:v>0.0208</x:v>
      </x:c>
      <x:c r="J1419" t="str">
        <x:v>Low</x:v>
      </x:c>
      <x:c r="K1419" t="n">
        <x:v>28.5</x:v>
      </x:c>
      <x:c r="L1419" t="n">
        <x:v>27.2</x:v>
      </x:c>
      <x:c r="M1419" t="n">
        <x:v>31.7</x:v>
      </x:c>
      <x:c r="N1419" t="str">
        <x:v>Optimistic</x:v>
      </x:c>
      <x:c r="O1419" t="str">
        <x:v>Most Likely</x:v>
      </x:c>
    </x:row>
    <x:row r="1420">
      <x:c r="A1420" t="str">
        <x:v>PJT_1419</x:v>
      </x:c>
      <x:c r="B1420" t="n">
        <x:v>20286220</x:v>
      </x:c>
      <x:c r="C1420" t="n">
        <x:v>18562298</x:v>
      </x:c>
      <x:c r="D1420" t="n">
        <x:v>-1723922</x:v>
      </x:c>
      <x:c r="E1420" t="n">
        <x:v>-0.085</x:v>
      </x:c>
      <x:c r="F1420" t="n">
        <x:v>500</x:v>
      </x:c>
      <x:c r="G1420" t="n">
        <x:v>516</x:v>
      </x:c>
      <x:c r="H1420" t="n">
        <x:v>16</x:v>
      </x:c>
      <x:c r="I1420" t="n">
        <x:v>0.032</x:v>
      </x:c>
      <x:c r="J1420" t="str">
        <x:v>Low</x:v>
      </x:c>
      <x:c r="K1420" t="n">
        <x:v>38.2</x:v>
      </x:c>
      <x:c r="L1420" t="n">
        <x:v>33.6</x:v>
      </x:c>
      <x:c r="M1420" t="n">
        <x:v>39.4</x:v>
      </x:c>
      <x:c r="N1420" t="str">
        <x:v>Optimistic</x:v>
      </x:c>
      <x:c r="O1420" t="str">
        <x:v>Most Likely</x:v>
      </x:c>
    </x:row>
    <x:row r="1421">
      <x:c r="A1421" t="str">
        <x:v>PJT_1420</x:v>
      </x:c>
      <x:c r="B1421" t="n">
        <x:v>16774080</x:v>
      </x:c>
      <x:c r="C1421" t="n">
        <x:v>18229940</x:v>
      </x:c>
      <x:c r="D1421" t="n">
        <x:v>1455860</x:v>
      </x:c>
      <x:c r="E1421" t="n">
        <x:v>0.0868</x:v>
      </x:c>
      <x:c r="F1421" t="n">
        <x:v>409</x:v>
      </x:c>
      <x:c r="G1421" t="n">
        <x:v>418</x:v>
      </x:c>
      <x:c r="H1421" t="n">
        <x:v>9</x:v>
      </x:c>
      <x:c r="I1421" t="n">
        <x:v>0.022</x:v>
      </x:c>
      <x:c r="J1421" t="str">
        <x:v>Low</x:v>
      </x:c>
      <x:c r="K1421" t="n">
        <x:v>44.5</x:v>
      </x:c>
      <x:c r="L1421" t="n">
        <x:v>46.3</x:v>
      </x:c>
      <x:c r="M1421" t="n">
        <x:v>43.8</x:v>
      </x:c>
      <x:c r="N1421" t="str">
        <x:v>Most Likely</x:v>
      </x:c>
      <x:c r="O1421" t="str">
        <x:v>Most Likely</x:v>
      </x:c>
    </x:row>
    <x:row r="1422">
      <x:c r="A1422" t="str">
        <x:v>PJT_1421</x:v>
      </x:c>
      <x:c r="B1422" t="n">
        <x:v>68942750</x:v>
      </x:c>
      <x:c r="C1422" t="n">
        <x:v>73152690</x:v>
      </x:c>
      <x:c r="D1422" t="n">
        <x:v>4209940</x:v>
      </x:c>
      <x:c r="E1422" t="n">
        <x:v>0.0611</x:v>
      </x:c>
      <x:c r="F1422" t="n">
        <x:v>1227</x:v>
      </x:c>
      <x:c r="G1422" t="n">
        <x:v>1274</x:v>
      </x:c>
      <x:c r="H1422" t="n">
        <x:v>47</x:v>
      </x:c>
      <x:c r="I1422" t="n">
        <x:v>0.0383</x:v>
      </x:c>
      <x:c r="J1422" t="str">
        <x:v>Medium</x:v>
      </x:c>
      <x:c r="K1422" t="n">
        <x:v>58.6</x:v>
      </x:c>
      <x:c r="L1422" t="n">
        <x:v>60.2</x:v>
      </x:c>
      <x:c r="M1422" t="n">
        <x:v>56.7</x:v>
      </x:c>
      <x:c r="N1422" t="str">
        <x:v>Most Likely</x:v>
      </x:c>
      <x:c r="O1422" t="str">
        <x:v>Most Likely</x:v>
      </x:c>
    </x:row>
    <x:row r="1423">
      <x:c r="A1423" t="str">
        <x:v>PJT_1422</x:v>
      </x:c>
      <x:c r="B1423" t="n">
        <x:v>66390920</x:v>
      </x:c>
      <x:c r="C1423" t="n">
        <x:v>70201270</x:v>
      </x:c>
      <x:c r="D1423" t="n">
        <x:v>3810350</x:v>
      </x:c>
      <x:c r="E1423" t="n">
        <x:v>0.0574</x:v>
      </x:c>
      <x:c r="F1423" t="n">
        <x:v>1320</x:v>
      </x:c>
      <x:c r="G1423" t="n">
        <x:v>1438</x:v>
      </x:c>
      <x:c r="H1423" t="n">
        <x:v>118</x:v>
      </x:c>
      <x:c r="I1423" t="n">
        <x:v>0.0894</x:v>
      </x:c>
      <x:c r="J1423" t="str">
        <x:v>High</x:v>
      </x:c>
      <x:c r="K1423" t="n">
        <x:v>68.6</x:v>
      </x:c>
      <x:c r="L1423" t="n">
        <x:v>65</x:v>
      </x:c>
      <x:c r="M1423" t="n">
        <x:v>68.7</x:v>
      </x:c>
      <x:c r="N1423" t="str">
        <x:v>Most Likely</x:v>
      </x:c>
      <x:c r="O1423" t="str">
        <x:v>Most Likely</x:v>
      </x:c>
    </x:row>
    <x:row r="1424">
      <x:c r="A1424" t="str">
        <x:v>PJT_1423</x:v>
      </x:c>
      <x:c r="B1424" t="n">
        <x:v>57480640</x:v>
      </x:c>
      <x:c r="C1424" t="n">
        <x:v>61550469</x:v>
      </x:c>
      <x:c r="D1424" t="n">
        <x:v>4069829</x:v>
      </x:c>
      <x:c r="E1424" t="n">
        <x:v>0.0708</x:v>
      </x:c>
      <x:c r="F1424" t="n">
        <x:v>1141</x:v>
      </x:c>
      <x:c r="G1424" t="n">
        <x:v>1204</x:v>
      </x:c>
      <x:c r="H1424" t="n">
        <x:v>63</x:v>
      </x:c>
      <x:c r="I1424" t="n">
        <x:v>0.0552</x:v>
      </x:c>
      <x:c r="J1424" t="str">
        <x:v>Medium</x:v>
      </x:c>
      <x:c r="K1424" t="n">
        <x:v>49</x:v>
      </x:c>
      <x:c r="L1424" t="n">
        <x:v>52.7</x:v>
      </x:c>
      <x:c r="M1424" t="n">
        <x:v>50.5</x:v>
      </x:c>
      <x:c r="N1424" t="str">
        <x:v>Most Likely</x:v>
      </x:c>
      <x:c r="O1424" t="str">
        <x:v>Most Likely</x:v>
      </x:c>
    </x:row>
    <x:row r="1425">
      <x:c r="A1425" t="str">
        <x:v>PJT_1424</x:v>
      </x:c>
      <x:c r="B1425" t="n">
        <x:v>33952560</x:v>
      </x:c>
      <x:c r="C1425" t="n">
        <x:v>35072471</x:v>
      </x:c>
      <x:c r="D1425" t="n">
        <x:v>1119911</x:v>
      </x:c>
      <x:c r="E1425" t="n">
        <x:v>0.033</x:v>
      </x:c>
      <x:c r="F1425" t="n">
        <x:v>665</x:v>
      </x:c>
      <x:c r="G1425" t="n">
        <x:v>703</x:v>
      </x:c>
      <x:c r="H1425" t="n">
        <x:v>38</x:v>
      </x:c>
      <x:c r="I1425" t="n">
        <x:v>0.0571</x:v>
      </x:c>
      <x:c r="J1425" t="str">
        <x:v>Medium</x:v>
      </x:c>
      <x:c r="K1425" t="n">
        <x:v>51.4</x:v>
      </x:c>
      <x:c r="L1425" t="n">
        <x:v>46.6</x:v>
      </x:c>
      <x:c r="M1425" t="n">
        <x:v>50.9</x:v>
      </x:c>
      <x:c r="N1425" t="str">
        <x:v>Most Likely</x:v>
      </x:c>
      <x:c r="O1425" t="str">
        <x:v>Most Likely</x:v>
      </x:c>
    </x:row>
    <x:row r="1426">
      <x:c r="A1426" t="str">
        <x:v>PJT_1425</x:v>
      </x:c>
      <x:c r="B1426" t="n">
        <x:v>25137540</x:v>
      </x:c>
      <x:c r="C1426" t="n">
        <x:v>25695908</x:v>
      </x:c>
      <x:c r="D1426" t="n">
        <x:v>558368</x:v>
      </x:c>
      <x:c r="E1426" t="n">
        <x:v>0.0222</x:v>
      </x:c>
      <x:c r="F1426" t="n">
        <x:v>609</x:v>
      </x:c>
      <x:c r="G1426" t="n">
        <x:v>632</x:v>
      </x:c>
      <x:c r="H1426" t="n">
        <x:v>23</x:v>
      </x:c>
      <x:c r="I1426" t="n">
        <x:v>0.0378</x:v>
      </x:c>
      <x:c r="J1426" t="str">
        <x:v>Medium</x:v>
      </x:c>
      <x:c r="K1426" t="n">
        <x:v>47.9</x:v>
      </x:c>
      <x:c r="L1426" t="n">
        <x:v>40.4</x:v>
      </x:c>
      <x:c r="M1426" t="n">
        <x:v>43.9</x:v>
      </x:c>
      <x:c r="N1426" t="str">
        <x:v>Most Likely</x:v>
      </x:c>
      <x:c r="O1426" t="str">
        <x:v>Most Likely</x:v>
      </x:c>
    </x:row>
    <x:row r="1427">
      <x:c r="A1427" t="str">
        <x:v>PJT_1426</x:v>
      </x:c>
      <x:c r="B1427" t="n">
        <x:v>19665450</x:v>
      </x:c>
      <x:c r="C1427" t="n">
        <x:v>20048037</x:v>
      </x:c>
      <x:c r="D1427" t="n">
        <x:v>382587</x:v>
      </x:c>
      <x:c r="E1427" t="n">
        <x:v>0.0195</x:v>
      </x:c>
      <x:c r="F1427" t="n">
        <x:v>360</x:v>
      </x:c>
      <x:c r="G1427" t="n">
        <x:v>343</x:v>
      </x:c>
      <x:c r="H1427" t="n">
        <x:v>-17</x:v>
      </x:c>
      <x:c r="I1427" t="n">
        <x:v>-0.0472</x:v>
      </x:c>
      <x:c r="J1427" t="str">
        <x:v>Low</x:v>
      </x:c>
      <x:c r="K1427" t="n">
        <x:v>40.1</x:v>
      </x:c>
      <x:c r="L1427" t="n">
        <x:v>47.9</x:v>
      </x:c>
      <x:c r="M1427" t="n">
        <x:v>37.9</x:v>
      </x:c>
      <x:c r="N1427" t="str">
        <x:v>Most Likely</x:v>
      </x:c>
      <x:c r="O1427" t="str">
        <x:v>Optimistic</x:v>
      </x:c>
    </x:row>
    <x:row r="1428">
      <x:c r="A1428" t="str">
        <x:v>PJT_1427</x:v>
      </x:c>
      <x:c r="B1428" t="n">
        <x:v>60143580</x:v>
      </x:c>
      <x:c r="C1428" t="n">
        <x:v>64516036</x:v>
      </x:c>
      <x:c r="D1428" t="n">
        <x:v>4372456</x:v>
      </x:c>
      <x:c r="E1428" t="n">
        <x:v>0.0727</x:v>
      </x:c>
      <x:c r="F1428" t="n">
        <x:v>1180</x:v>
      </x:c>
      <x:c r="G1428" t="n">
        <x:v>1232</x:v>
      </x:c>
      <x:c r="H1428" t="n">
        <x:v>52</x:v>
      </x:c>
      <x:c r="I1428" t="n">
        <x:v>0.0441</x:v>
      </x:c>
      <x:c r="J1428" t="str">
        <x:v>Medium</x:v>
      </x:c>
      <x:c r="K1428" t="n">
        <x:v>58.2</x:v>
      </x:c>
      <x:c r="L1428" t="n">
        <x:v>58.2</x:v>
      </x:c>
      <x:c r="M1428" t="n">
        <x:v>55.2</x:v>
      </x:c>
      <x:c r="N1428" t="str">
        <x:v>Most Likely</x:v>
      </x:c>
      <x:c r="O1428" t="str">
        <x:v>Most Likely</x:v>
      </x:c>
    </x:row>
    <x:row r="1429">
      <x:c r="A1429" t="str">
        <x:v>PJT_1428</x:v>
      </x:c>
      <x:c r="B1429" t="n">
        <x:v>14490540</x:v>
      </x:c>
      <x:c r="C1429" t="n">
        <x:v>13743905</x:v>
      </x:c>
      <x:c r="D1429" t="n">
        <x:v>-746635</x:v>
      </x:c>
      <x:c r="E1429" t="n">
        <x:v>-0.0515</x:v>
      </x:c>
      <x:c r="F1429" t="n">
        <x:v>374</x:v>
      </x:c>
      <x:c r="G1429" t="n">
        <x:v>404</x:v>
      </x:c>
      <x:c r="H1429" t="n">
        <x:v>30</x:v>
      </x:c>
      <x:c r="I1429" t="n">
        <x:v>0.0802</x:v>
      </x:c>
      <x:c r="J1429" t="str">
        <x:v>Low</x:v>
      </x:c>
      <x:c r="K1429" t="n">
        <x:v>32.2</x:v>
      </x:c>
      <x:c r="L1429" t="n">
        <x:v>32.6</x:v>
      </x:c>
      <x:c r="M1429" t="n">
        <x:v>31.7</x:v>
      </x:c>
      <x:c r="N1429" t="str">
        <x:v>Optimistic</x:v>
      </x:c>
      <x:c r="O1429" t="str">
        <x:v>Most Likely</x:v>
      </x:c>
    </x:row>
    <x:row r="1430">
      <x:c r="A1430" t="str">
        <x:v>PJT_1429</x:v>
      </x:c>
      <x:c r="B1430" t="n">
        <x:v>32352060</x:v>
      </x:c>
      <x:c r="C1430" t="n">
        <x:v>34137466</x:v>
      </x:c>
      <x:c r="D1430" t="n">
        <x:v>1785406</x:v>
      </x:c>
      <x:c r="E1430" t="n">
        <x:v>0.0552</x:v>
      </x:c>
      <x:c r="F1430" t="n">
        <x:v>603</x:v>
      </x:c>
      <x:c r="G1430" t="n">
        <x:v>590</x:v>
      </x:c>
      <x:c r="H1430" t="n">
        <x:v>-13</x:v>
      </x:c>
      <x:c r="I1430" t="n">
        <x:v>-0.0216</x:v>
      </x:c>
      <x:c r="J1430" t="str">
        <x:v>Medium</x:v>
      </x:c>
      <x:c r="K1430" t="n">
        <x:v>45.2</x:v>
      </x:c>
      <x:c r="L1430" t="n">
        <x:v>40.5</x:v>
      </x:c>
      <x:c r="M1430" t="n">
        <x:v>40</x:v>
      </x:c>
      <x:c r="N1430" t="str">
        <x:v>Most Likely</x:v>
      </x:c>
      <x:c r="O1430" t="str">
        <x:v>Optimistic</x:v>
      </x:c>
    </x:row>
    <x:row r="1431">
      <x:c r="A1431" t="str">
        <x:v>PJT_1430</x:v>
      </x:c>
      <x:c r="B1431" t="n">
        <x:v>82408920</x:v>
      </x:c>
      <x:c r="C1431" t="n">
        <x:v>88814042</x:v>
      </x:c>
      <x:c r="D1431" t="n">
        <x:v>6405122</x:v>
      </x:c>
      <x:c r="E1431" t="n">
        <x:v>0.0777</x:v>
      </x:c>
      <x:c r="F1431" t="n">
        <x:v>1405</x:v>
      </x:c>
      <x:c r="G1431" t="n">
        <x:v>1515</x:v>
      </x:c>
      <x:c r="H1431" t="n">
        <x:v>110</x:v>
      </x:c>
      <x:c r="I1431" t="n">
        <x:v>0.0783</x:v>
      </x:c>
      <x:c r="J1431" t="str">
        <x:v>Medium</x:v>
      </x:c>
      <x:c r="K1431" t="n">
        <x:v>59</x:v>
      </x:c>
      <x:c r="L1431" t="n">
        <x:v>62.8</x:v>
      </x:c>
      <x:c r="M1431" t="n">
        <x:v>61.5</x:v>
      </x:c>
      <x:c r="N1431" t="str">
        <x:v>Most Likely</x:v>
      </x:c>
      <x:c r="O1431" t="str">
        <x:v>Most Likely</x:v>
      </x:c>
    </x:row>
    <x:row r="1432">
      <x:c r="A1432" t="str">
        <x:v>PJT_1431</x:v>
      </x:c>
      <x:c r="B1432" t="n">
        <x:v>80202080</x:v>
      </x:c>
      <x:c r="C1432" t="n">
        <x:v>84210125</x:v>
      </x:c>
      <x:c r="D1432" t="n">
        <x:v>4008045</x:v>
      </x:c>
      <x:c r="E1432" t="n">
        <x:v>0.05</x:v>
      </x:c>
      <x:c r="F1432" t="n">
        <x:v>1398</x:v>
      </x:c>
      <x:c r="G1432" t="n">
        <x:v>1529</x:v>
      </x:c>
      <x:c r="H1432" t="n">
        <x:v>131</x:v>
      </x:c>
      <x:c r="I1432" t="n">
        <x:v>0.0937</x:v>
      </x:c>
      <x:c r="J1432" t="str">
        <x:v>Medium</x:v>
      </x:c>
      <x:c r="K1432" t="n">
        <x:v>53</x:v>
      </x:c>
      <x:c r="L1432" t="n">
        <x:v>59.2</x:v>
      </x:c>
      <x:c r="M1432" t="n">
        <x:v>55.3</x:v>
      </x:c>
      <x:c r="N1432" t="str">
        <x:v>Most Likely</x:v>
      </x:c>
      <x:c r="O1432" t="str">
        <x:v>Most Likely</x:v>
      </x:c>
    </x:row>
    <x:row r="1433">
      <x:c r="A1433" t="str">
        <x:v>PJT_1432</x:v>
      </x:c>
      <x:c r="B1433" t="n">
        <x:v>19442610</x:v>
      </x:c>
      <x:c r="C1433" t="n">
        <x:v>18395524</x:v>
      </x:c>
      <x:c r="D1433" t="n">
        <x:v>-1047086</x:v>
      </x:c>
      <x:c r="E1433" t="n">
        <x:v>-0.0539</x:v>
      </x:c>
      <x:c r="F1433" t="n">
        <x:v>426</x:v>
      </x:c>
      <x:c r="G1433" t="n">
        <x:v>410</x:v>
      </x:c>
      <x:c r="H1433" t="n">
        <x:v>-16</x:v>
      </x:c>
      <x:c r="I1433" t="n">
        <x:v>-0.0376</x:v>
      </x:c>
      <x:c r="J1433" t="str">
        <x:v>Low</x:v>
      </x:c>
      <x:c r="K1433" t="n">
        <x:v>25.2</x:v>
      </x:c>
      <x:c r="L1433" t="n">
        <x:v>27.6</x:v>
      </x:c>
      <x:c r="M1433" t="n">
        <x:v>25.9</x:v>
      </x:c>
      <x:c r="N1433" t="str">
        <x:v>Optimistic</x:v>
      </x:c>
      <x:c r="O1433" t="str">
        <x:v>Optimistic</x:v>
      </x:c>
    </x:row>
    <x:row r="1434">
      <x:c r="A1434" t="str">
        <x:v>PJT_1433</x:v>
      </x:c>
      <x:c r="B1434" t="n">
        <x:v>100632510</x:v>
      </x:c>
      <x:c r="C1434" t="n">
        <x:v>119535710</x:v>
      </x:c>
      <x:c r="D1434" t="n">
        <x:v>18903200</x:v>
      </x:c>
      <x:c r="E1434" t="n">
        <x:v>0.1878</x:v>
      </x:c>
      <x:c r="F1434" t="n">
        <x:v>1856</x:v>
      </x:c>
      <x:c r="G1434" t="n">
        <x:v>2253</x:v>
      </x:c>
      <x:c r="H1434" t="n">
        <x:v>397</x:v>
      </x:c>
      <x:c r="I1434" t="n">
        <x:v>0.2139</x:v>
      </x:c>
      <x:c r="J1434" t="str">
        <x:v>High</x:v>
      </x:c>
      <x:c r="K1434" t="n">
        <x:v>73.4</x:v>
      </x:c>
      <x:c r="L1434" t="n">
        <x:v>67.2</x:v>
      </x:c>
      <x:c r="M1434" t="n">
        <x:v>70.2</x:v>
      </x:c>
      <x:c r="N1434" t="str">
        <x:v>Pessimistic</x:v>
      </x:c>
      <x:c r="O1434" t="str">
        <x:v>Pessimistic</x:v>
      </x:c>
    </x:row>
    <x:row r="1435">
      <x:c r="A1435" t="str">
        <x:v>PJT_1434</x:v>
      </x:c>
      <x:c r="B1435" t="n">
        <x:v>32292480</x:v>
      </x:c>
      <x:c r="C1435" t="n">
        <x:v>33565361</x:v>
      </x:c>
      <x:c r="D1435" t="n">
        <x:v>1272881</x:v>
      </x:c>
      <x:c r="E1435" t="n">
        <x:v>0.0394</x:v>
      </x:c>
      <x:c r="F1435" t="n">
        <x:v>827</x:v>
      </x:c>
      <x:c r="G1435" t="n">
        <x:v>861</x:v>
      </x:c>
      <x:c r="H1435" t="n">
        <x:v>34</x:v>
      </x:c>
      <x:c r="I1435" t="n">
        <x:v>0.0411</x:v>
      </x:c>
      <x:c r="J1435" t="str">
        <x:v>Medium</x:v>
      </x:c>
      <x:c r="K1435" t="n">
        <x:v>50.3</x:v>
      </x:c>
      <x:c r="L1435" t="n">
        <x:v>51.8</x:v>
      </x:c>
      <x:c r="M1435" t="n">
        <x:v>55.2</x:v>
      </x:c>
      <x:c r="N1435" t="str">
        <x:v>Most Likely</x:v>
      </x:c>
      <x:c r="O1435" t="str">
        <x:v>Most Likely</x:v>
      </x:c>
    </x:row>
    <x:row r="1436">
      <x:c r="A1436" t="str">
        <x:v>PJT_1435</x:v>
      </x:c>
      <x:c r="B1436" t="n">
        <x:v>47388900</x:v>
      </x:c>
      <x:c r="C1436" t="n">
        <x:v>45651419</x:v>
      </x:c>
      <x:c r="D1436" t="n">
        <x:v>-1737481</x:v>
      </x:c>
      <x:c r="E1436" t="n">
        <x:v>-0.0367</x:v>
      </x:c>
      <x:c r="F1436" t="n">
        <x:v>930</x:v>
      </x:c>
      <x:c r="G1436" t="n">
        <x:v>948</x:v>
      </x:c>
      <x:c r="H1436" t="n">
        <x:v>18</x:v>
      </x:c>
      <x:c r="I1436" t="n">
        <x:v>0.0194</x:v>
      </x:c>
      <x:c r="J1436" t="str">
        <x:v>Low</x:v>
      </x:c>
      <x:c r="K1436" t="n">
        <x:v>44.9</x:v>
      </x:c>
      <x:c r="L1436" t="n">
        <x:v>44</x:v>
      </x:c>
      <x:c r="M1436" t="n">
        <x:v>47.4</x:v>
      </x:c>
      <x:c r="N1436" t="str">
        <x:v>Optimistic</x:v>
      </x:c>
      <x:c r="O1436" t="str">
        <x:v>Most Likely</x:v>
      </x:c>
    </x:row>
    <x:row r="1437">
      <x:c r="A1437" t="str">
        <x:v>PJT_1436</x:v>
      </x:c>
      <x:c r="B1437" t="n">
        <x:v>51005950</x:v>
      </x:c>
      <x:c r="C1437" t="n">
        <x:v>55892086</x:v>
      </x:c>
      <x:c r="D1437" t="n">
        <x:v>4886136</x:v>
      </x:c>
      <x:c r="E1437" t="n">
        <x:v>0.0958</x:v>
      </x:c>
      <x:c r="F1437" t="n">
        <x:v>921</x:v>
      </x:c>
      <x:c r="G1437" t="n">
        <x:v>955</x:v>
      </x:c>
      <x:c r="H1437" t="n">
        <x:v>34</x:v>
      </x:c>
      <x:c r="I1437" t="n">
        <x:v>0.0369</x:v>
      </x:c>
      <x:c r="J1437" t="str">
        <x:v>Medium</x:v>
      </x:c>
      <x:c r="K1437" t="n">
        <x:v>60.3</x:v>
      </x:c>
      <x:c r="L1437" t="n">
        <x:v>61.8</x:v>
      </x:c>
      <x:c r="M1437" t="n">
        <x:v>57.6</x:v>
      </x:c>
      <x:c r="N1437" t="str">
        <x:v>Most Likely</x:v>
      </x:c>
      <x:c r="O1437" t="str">
        <x:v>Most Likely</x:v>
      </x:c>
    </x:row>
    <x:row r="1438">
      <x:c r="A1438" t="str">
        <x:v>PJT_1437</x:v>
      </x:c>
      <x:c r="B1438" t="n">
        <x:v>38671180</x:v>
      </x:c>
      <x:c r="C1438" t="n">
        <x:v>39001296</x:v>
      </x:c>
      <x:c r="D1438" t="n">
        <x:v>330116</x:v>
      </x:c>
      <x:c r="E1438" t="n">
        <x:v>0.0085</x:v>
      </x:c>
      <x:c r="F1438" t="n">
        <x:v>858</x:v>
      </x:c>
      <x:c r="G1438" t="n">
        <x:v>881</x:v>
      </x:c>
      <x:c r="H1438" t="n">
        <x:v>23</x:v>
      </x:c>
      <x:c r="I1438" t="n">
        <x:v>0.0268</x:v>
      </x:c>
      <x:c r="J1438" t="str">
        <x:v>Low</x:v>
      </x:c>
      <x:c r="K1438" t="n">
        <x:v>44.1</x:v>
      </x:c>
      <x:c r="L1438" t="n">
        <x:v>47</x:v>
      </x:c>
      <x:c r="M1438" t="n">
        <x:v>42</x:v>
      </x:c>
      <x:c r="N1438" t="str">
        <x:v>Most Likely</x:v>
      </x:c>
      <x:c r="O1438" t="str">
        <x:v>Most Likely</x:v>
      </x:c>
    </x:row>
    <x:row r="1439">
      <x:c r="A1439" t="str">
        <x:v>PJT_1438</x:v>
      </x:c>
      <x:c r="B1439" t="n">
        <x:v>10588080</x:v>
      </x:c>
      <x:c r="C1439" t="n">
        <x:v>10206650</x:v>
      </x:c>
      <x:c r="D1439" t="n">
        <x:v>-381430</x:v>
      </x:c>
      <x:c r="E1439" t="n">
        <x:v>-0.036</x:v>
      </x:c>
      <x:c r="F1439" t="n">
        <x:v>180</x:v>
      </x:c>
      <x:c r="G1439" t="n">
        <x:v>180</x:v>
      </x:c>
      <x:c r="H1439" t="n">
        <x:v>0</x:v>
      </x:c>
      <x:c r="I1439" t="n">
        <x:v>0</x:v>
      </x:c>
      <x:c r="J1439" t="str">
        <x:v>Low</x:v>
      </x:c>
      <x:c r="K1439" t="n">
        <x:v>25</x:v>
      </x:c>
      <x:c r="L1439" t="n">
        <x:v>22.1</x:v>
      </x:c>
      <x:c r="M1439" t="n">
        <x:v>22</x:v>
      </x:c>
      <x:c r="N1439" t="str">
        <x:v>Optimistic</x:v>
      </x:c>
      <x:c r="O1439" t="str">
        <x:v>Optimistic</x:v>
      </x:c>
    </x:row>
    <x:row r="1440">
      <x:c r="A1440" t="str">
        <x:v>PJT_1439</x:v>
      </x:c>
      <x:c r="B1440" t="n">
        <x:v>53223600</x:v>
      </x:c>
      <x:c r="C1440" t="n">
        <x:v>55381037</x:v>
      </x:c>
      <x:c r="D1440" t="n">
        <x:v>2157437</x:v>
      </x:c>
      <x:c r="E1440" t="n">
        <x:v>0.0405</x:v>
      </x:c>
      <x:c r="F1440" t="n">
        <x:v>1083</x:v>
      </x:c>
      <x:c r="G1440" t="n">
        <x:v>1230</x:v>
      </x:c>
      <x:c r="H1440" t="n">
        <x:v>147</x:v>
      </x:c>
      <x:c r="I1440" t="n">
        <x:v>0.1357</x:v>
      </x:c>
      <x:c r="J1440" t="str">
        <x:v>Medium</x:v>
      </x:c>
      <x:c r="K1440" t="n">
        <x:v>51.5</x:v>
      </x:c>
      <x:c r="L1440" t="n">
        <x:v>55.8</x:v>
      </x:c>
      <x:c r="M1440" t="n">
        <x:v>54.3</x:v>
      </x:c>
      <x:c r="N1440" t="str">
        <x:v>Most Likely</x:v>
      </x:c>
      <x:c r="O1440" t="str">
        <x:v>Pessimistic</x:v>
      </x:c>
    </x:row>
    <x:row r="1441">
      <x:c r="A1441" t="str">
        <x:v>PJT_1440</x:v>
      </x:c>
      <x:c r="B1441" t="n">
        <x:v>7677120</x:v>
      </x:c>
      <x:c r="C1441" t="n">
        <x:v>7457811</x:v>
      </x:c>
      <x:c r="D1441" t="n">
        <x:v>-219309</x:v>
      </x:c>
      <x:c r="E1441" t="n">
        <x:v>-0.0286</x:v>
      </x:c>
      <x:c r="F1441" t="n">
        <x:v>180</x:v>
      </x:c>
      <x:c r="G1441" t="n">
        <x:v>183</x:v>
      </x:c>
      <x:c r="H1441" t="n">
        <x:v>3</x:v>
      </x:c>
      <x:c r="I1441" t="n">
        <x:v>0.0167</x:v>
      </x:c>
      <x:c r="J1441" t="str">
        <x:v>Low</x:v>
      </x:c>
      <x:c r="K1441" t="n">
        <x:v>31</x:v>
      </x:c>
      <x:c r="L1441" t="n">
        <x:v>34</x:v>
      </x:c>
      <x:c r="M1441" t="n">
        <x:v>32.8</x:v>
      </x:c>
      <x:c r="N1441" t="str">
        <x:v>Optimistic</x:v>
      </x:c>
      <x:c r="O1441" t="str">
        <x:v>Most Likely</x:v>
      </x:c>
    </x:row>
    <x:row r="1442">
      <x:c r="A1442" t="str">
        <x:v>PJT_1441</x:v>
      </x:c>
      <x:c r="B1442" t="n">
        <x:v>18534450</x:v>
      </x:c>
      <x:c r="C1442" t="n">
        <x:v>18123908</x:v>
      </x:c>
      <x:c r="D1442" t="n">
        <x:v>-410542</x:v>
      </x:c>
      <x:c r="E1442" t="n">
        <x:v>-0.0222</x:v>
      </x:c>
      <x:c r="F1442" t="n">
        <x:v>364</x:v>
      </x:c>
      <x:c r="G1442" t="n">
        <x:v>357</x:v>
      </x:c>
      <x:c r="H1442" t="n">
        <x:v>-7</x:v>
      </x:c>
      <x:c r="I1442" t="n">
        <x:v>-0.0192</x:v>
      </x:c>
      <x:c r="J1442" t="str">
        <x:v>Low</x:v>
      </x:c>
      <x:c r="K1442" t="n">
        <x:v>30.8</x:v>
      </x:c>
      <x:c r="L1442" t="n">
        <x:v>28.2</x:v>
      </x:c>
      <x:c r="M1442" t="n">
        <x:v>31.1</x:v>
      </x:c>
      <x:c r="N1442" t="str">
        <x:v>Optimistic</x:v>
      </x:c>
      <x:c r="O1442" t="str">
        <x:v>Optimistic</x:v>
      </x:c>
    </x:row>
    <x:row r="1443">
      <x:c r="A1443" t="str">
        <x:v>PJT_1442</x:v>
      </x:c>
      <x:c r="B1443" t="n">
        <x:v>22267450</x:v>
      </x:c>
      <x:c r="C1443" t="n">
        <x:v>22808296</x:v>
      </x:c>
      <x:c r="D1443" t="n">
        <x:v>540846</x:v>
      </x:c>
      <x:c r="E1443" t="n">
        <x:v>0.0243</x:v>
      </x:c>
      <x:c r="F1443" t="n">
        <x:v>574</x:v>
      </x:c>
      <x:c r="G1443" t="n">
        <x:v>583</x:v>
      </x:c>
      <x:c r="H1443" t="n">
        <x:v>9</x:v>
      </x:c>
      <x:c r="I1443" t="n">
        <x:v>0.0157</x:v>
      </x:c>
      <x:c r="J1443" t="str">
        <x:v>Medium</x:v>
      </x:c>
      <x:c r="K1443" t="n">
        <x:v>45.4</x:v>
      </x:c>
      <x:c r="L1443" t="n">
        <x:v>45.1</x:v>
      </x:c>
      <x:c r="M1443" t="n">
        <x:v>44</x:v>
      </x:c>
      <x:c r="N1443" t="str">
        <x:v>Most Likely</x:v>
      </x:c>
      <x:c r="O1443" t="str">
        <x:v>Most Likely</x:v>
      </x:c>
    </x:row>
    <x:row r="1444">
      <x:c r="A1444" t="str">
        <x:v>PJT_1443</x:v>
      </x:c>
      <x:c r="B1444" t="n">
        <x:v>43616340</x:v>
      </x:c>
      <x:c r="C1444" t="n">
        <x:v>45198720</x:v>
      </x:c>
      <x:c r="D1444" t="n">
        <x:v>1582380</x:v>
      </x:c>
      <x:c r="E1444" t="n">
        <x:v>0.0363</x:v>
      </x:c>
      <x:c r="F1444" t="n">
        <x:v>1123</x:v>
      </x:c>
      <x:c r="G1444" t="n">
        <x:v>1182</x:v>
      </x:c>
      <x:c r="H1444" t="n">
        <x:v>59</x:v>
      </x:c>
      <x:c r="I1444" t="n">
        <x:v>0.0525</x:v>
      </x:c>
      <x:c r="J1444" t="str">
        <x:v>Medium</x:v>
      </x:c>
      <x:c r="K1444" t="n">
        <x:v>50.6</x:v>
      </x:c>
      <x:c r="L1444" t="n">
        <x:v>49.6</x:v>
      </x:c>
      <x:c r="M1444" t="n">
        <x:v>47.5</x:v>
      </x:c>
      <x:c r="N1444" t="str">
        <x:v>Most Likely</x:v>
      </x:c>
      <x:c r="O1444" t="str">
        <x:v>Most Likely</x:v>
      </x:c>
    </x:row>
    <x:row r="1445">
      <x:c r="A1445" t="str">
        <x:v>PJT_1444</x:v>
      </x:c>
      <x:c r="B1445" t="n">
        <x:v>60349130</x:v>
      </x:c>
      <x:c r="C1445" t="n">
        <x:v>60675039</x:v>
      </x:c>
      <x:c r="D1445" t="n">
        <x:v>325909</x:v>
      </x:c>
      <x:c r="E1445" t="n">
        <x:v>0.0054</x:v>
      </x:c>
      <x:c r="F1445" t="n">
        <x:v>1112</x:v>
      </x:c>
      <x:c r="G1445" t="n">
        <x:v>1129</x:v>
      </x:c>
      <x:c r="H1445" t="n">
        <x:v>17</x:v>
      </x:c>
      <x:c r="I1445" t="n">
        <x:v>0.0153</x:v>
      </x:c>
      <x:c r="J1445" t="str">
        <x:v>Medium</x:v>
      </x:c>
      <x:c r="K1445" t="n">
        <x:v>51.7</x:v>
      </x:c>
      <x:c r="L1445" t="n">
        <x:v>47.6</x:v>
      </x:c>
      <x:c r="M1445" t="n">
        <x:v>50.2</x:v>
      </x:c>
      <x:c r="N1445" t="str">
        <x:v>Most Likely</x:v>
      </x:c>
      <x:c r="O1445" t="str">
        <x:v>Most Likely</x:v>
      </x:c>
    </x:row>
    <x:row r="1446">
      <x:c r="A1446" t="str">
        <x:v>PJT_1445</x:v>
      </x:c>
      <x:c r="B1446" t="n">
        <x:v>25471910</x:v>
      </x:c>
      <x:c r="C1446" t="n">
        <x:v>25672838</x:v>
      </x:c>
      <x:c r="D1446" t="n">
        <x:v>200928</x:v>
      </x:c>
      <x:c r="E1446" t="n">
        <x:v>0.0079</x:v>
      </x:c>
      <x:c r="F1446" t="n">
        <x:v>536</x:v>
      </x:c>
      <x:c r="G1446" t="n">
        <x:v>555</x:v>
      </x:c>
      <x:c r="H1446" t="n">
        <x:v>19</x:v>
      </x:c>
      <x:c r="I1446" t="n">
        <x:v>0.0354</x:v>
      </x:c>
      <x:c r="J1446" t="str">
        <x:v>Low</x:v>
      </x:c>
      <x:c r="K1446" t="n">
        <x:v>41.7</x:v>
      </x:c>
      <x:c r="L1446" t="n">
        <x:v>43.9</x:v>
      </x:c>
      <x:c r="M1446" t="n">
        <x:v>35.7</x:v>
      </x:c>
      <x:c r="N1446" t="str">
        <x:v>Most Likely</x:v>
      </x:c>
      <x:c r="O1446" t="str">
        <x:v>Most Likely</x:v>
      </x:c>
    </x:row>
    <x:row r="1447">
      <x:c r="A1447" t="str">
        <x:v>PJT_1446</x:v>
      </x:c>
      <x:c r="B1447" t="n">
        <x:v>61042950</x:v>
      </x:c>
      <x:c r="C1447" t="n">
        <x:v>64885566</x:v>
      </x:c>
      <x:c r="D1447" t="n">
        <x:v>3842616</x:v>
      </x:c>
      <x:c r="E1447" t="n">
        <x:v>0.0629</x:v>
      </x:c>
      <x:c r="F1447" t="n">
        <x:v>1119</x:v>
      </x:c>
      <x:c r="G1447" t="n">
        <x:v>1194</x:v>
      </x:c>
      <x:c r="H1447" t="n">
        <x:v>75</x:v>
      </x:c>
      <x:c r="I1447" t="n">
        <x:v>0.067</x:v>
      </x:c>
      <x:c r="J1447" t="str">
        <x:v>Medium</x:v>
      </x:c>
      <x:c r="K1447" t="n">
        <x:v>54.1</x:v>
      </x:c>
      <x:c r="L1447" t="n">
        <x:v>59.6</x:v>
      </x:c>
      <x:c r="M1447" t="n">
        <x:v>55.8</x:v>
      </x:c>
      <x:c r="N1447" t="str">
        <x:v>Most Likely</x:v>
      </x:c>
      <x:c r="O1447" t="str">
        <x:v>Most Likely</x:v>
      </x:c>
    </x:row>
    <x:row r="1448">
      <x:c r="A1448" t="str">
        <x:v>PJT_1447</x:v>
      </x:c>
      <x:c r="B1448" t="n">
        <x:v>45304680</x:v>
      </x:c>
      <x:c r="C1448" t="n">
        <x:v>48112310</x:v>
      </x:c>
      <x:c r="D1448" t="n">
        <x:v>2807630</x:v>
      </x:c>
      <x:c r="E1448" t="n">
        <x:v>0.062</x:v>
      </x:c>
      <x:c r="F1448" t="n">
        <x:v>860</x:v>
      </x:c>
      <x:c r="G1448" t="n">
        <x:v>969</x:v>
      </x:c>
      <x:c r="H1448" t="n">
        <x:v>109</x:v>
      </x:c>
      <x:c r="I1448" t="n">
        <x:v>0.1267</x:v>
      </x:c>
      <x:c r="J1448" t="str">
        <x:v>Low</x:v>
      </x:c>
      <x:c r="K1448" t="n">
        <x:v>44.2</x:v>
      </x:c>
      <x:c r="L1448" t="n">
        <x:v>46.3</x:v>
      </x:c>
      <x:c r="M1448" t="n">
        <x:v>50.7</x:v>
      </x:c>
      <x:c r="N1448" t="str">
        <x:v>Most Likely</x:v>
      </x:c>
      <x:c r="O1448" t="str">
        <x:v>Pessimistic</x:v>
      </x:c>
    </x:row>
    <x:row r="1449">
      <x:c r="A1449" t="str">
        <x:v>PJT_1448</x:v>
      </x:c>
      <x:c r="B1449" t="n">
        <x:v>105193440</x:v>
      </x:c>
      <x:c r="C1449" t="n">
        <x:v>112808388</x:v>
      </x:c>
      <x:c r="D1449" t="n">
        <x:v>7614948</x:v>
      </x:c>
      <x:c r="E1449" t="n">
        <x:v>0.0724</x:v>
      </x:c>
      <x:c r="F1449" t="n">
        <x:v>1957</x:v>
      </x:c>
      <x:c r="G1449" t="n">
        <x:v>2219</x:v>
      </x:c>
      <x:c r="H1449" t="n">
        <x:v>262</x:v>
      </x:c>
      <x:c r="I1449" t="n">
        <x:v>0.1339</x:v>
      </x:c>
      <x:c r="J1449" t="str">
        <x:v>Medium</x:v>
      </x:c>
      <x:c r="K1449" t="n">
        <x:v>61.4</x:v>
      </x:c>
      <x:c r="L1449" t="n">
        <x:v>66.4</x:v>
      </x:c>
      <x:c r="M1449" t="n">
        <x:v>55</x:v>
      </x:c>
      <x:c r="N1449" t="str">
        <x:v>Most Likely</x:v>
      </x:c>
      <x:c r="O1449" t="str">
        <x:v>Pessimistic</x:v>
      </x:c>
    </x:row>
    <x:row r="1450">
      <x:c r="A1450" t="str">
        <x:v>PJT_1449</x:v>
      </x:c>
      <x:c r="B1450" t="n">
        <x:v>21468920</x:v>
      </x:c>
      <x:c r="C1450" t="n">
        <x:v>22774700</x:v>
      </x:c>
      <x:c r="D1450" t="n">
        <x:v>1305780</x:v>
      </x:c>
      <x:c r="E1450" t="n">
        <x:v>0.0608</x:v>
      </x:c>
      <x:c r="F1450" t="n">
        <x:v>485</x:v>
      </x:c>
      <x:c r="G1450" t="n">
        <x:v>529</x:v>
      </x:c>
      <x:c r="H1450" t="n">
        <x:v>44</x:v>
      </x:c>
      <x:c r="I1450" t="n">
        <x:v>0.0907</x:v>
      </x:c>
      <x:c r="J1450" t="str">
        <x:v>Medium</x:v>
      </x:c>
      <x:c r="K1450" t="n">
        <x:v>50.7</x:v>
      </x:c>
      <x:c r="L1450" t="n">
        <x:v>51.5</x:v>
      </x:c>
      <x:c r="M1450" t="n">
        <x:v>40.8</x:v>
      </x:c>
      <x:c r="N1450" t="str">
        <x:v>Most Likely</x:v>
      </x:c>
      <x:c r="O1450" t="str">
        <x:v>Most Likely</x:v>
      </x:c>
    </x:row>
    <x:row r="1451">
      <x:c r="A1451" t="str">
        <x:v>PJT_1450</x:v>
      </x:c>
      <x:c r="B1451" t="n">
        <x:v>57949430</x:v>
      </x:c>
      <x:c r="C1451" t="n">
        <x:v>60614102</x:v>
      </x:c>
      <x:c r="D1451" t="n">
        <x:v>2664672</x:v>
      </x:c>
      <x:c r="E1451" t="n">
        <x:v>0.046</x:v>
      </x:c>
      <x:c r="F1451" t="n">
        <x:v>1020</x:v>
      </x:c>
      <x:c r="G1451" t="n">
        <x:v>1100</x:v>
      </x:c>
      <x:c r="H1451" t="n">
        <x:v>80</x:v>
      </x:c>
      <x:c r="I1451" t="n">
        <x:v>0.0784</x:v>
      </x:c>
      <x:c r="J1451" t="str">
        <x:v>Medium</x:v>
      </x:c>
      <x:c r="K1451" t="n">
        <x:v>48.9</x:v>
      </x:c>
      <x:c r="L1451" t="n">
        <x:v>53.4</x:v>
      </x:c>
      <x:c r="M1451" t="n">
        <x:v>49.5</x:v>
      </x:c>
      <x:c r="N1451" t="str">
        <x:v>Most Likely</x:v>
      </x:c>
      <x:c r="O1451" t="str">
        <x:v>Most Likely</x:v>
      </x:c>
    </x:row>
    <x:row r="1452">
      <x:c r="A1452" t="str">
        <x:v>PJT_1451</x:v>
      </x:c>
      <x:c r="B1452" t="n">
        <x:v>38301870</x:v>
      </x:c>
      <x:c r="C1452" t="n">
        <x:v>37915241</x:v>
      </x:c>
      <x:c r="D1452" t="n">
        <x:v>-386629</x:v>
      </x:c>
      <x:c r="E1452" t="n">
        <x:v>-0.0101</x:v>
      </x:c>
      <x:c r="F1452" t="n">
        <x:v>671</x:v>
      </x:c>
      <x:c r="G1452" t="n">
        <x:v>621</x:v>
      </x:c>
      <x:c r="H1452" t="n">
        <x:v>-50</x:v>
      </x:c>
      <x:c r="I1452" t="n">
        <x:v>-0.0745</x:v>
      </x:c>
      <x:c r="J1452" t="str">
        <x:v>Low</x:v>
      </x:c>
      <x:c r="K1452" t="n">
        <x:v>43.7</x:v>
      </x:c>
      <x:c r="L1452" t="n">
        <x:v>47.2</x:v>
      </x:c>
      <x:c r="M1452" t="n">
        <x:v>37.2</x:v>
      </x:c>
      <x:c r="N1452" t="str">
        <x:v>Optimistic</x:v>
      </x:c>
      <x:c r="O1452" t="str">
        <x:v>Optimistic</x:v>
      </x:c>
    </x:row>
    <x:row r="1453">
      <x:c r="A1453" t="str">
        <x:v>PJT_1452</x:v>
      </x:c>
      <x:c r="B1453" t="n">
        <x:v>52528800</x:v>
      </x:c>
      <x:c r="C1453" t="n">
        <x:v>52455757</x:v>
      </x:c>
      <x:c r="D1453" t="n">
        <x:v>-73043</x:v>
      </x:c>
      <x:c r="E1453" t="n">
        <x:v>-0.0014</x:v>
      </x:c>
      <x:c r="F1453" t="n">
        <x:v>862</x:v>
      </x:c>
      <x:c r="G1453" t="n">
        <x:v>895</x:v>
      </x:c>
      <x:c r="H1453" t="n">
        <x:v>33</x:v>
      </x:c>
      <x:c r="I1453" t="n">
        <x:v>0.0383</x:v>
      </x:c>
      <x:c r="J1453" t="str">
        <x:v>Medium</x:v>
      </x:c>
      <x:c r="K1453" t="n">
        <x:v>46.7</x:v>
      </x:c>
      <x:c r="L1453" t="n">
        <x:v>49.8</x:v>
      </x:c>
      <x:c r="M1453" t="n">
        <x:v>50.9</x:v>
      </x:c>
      <x:c r="N1453" t="str">
        <x:v>Optimistic</x:v>
      </x:c>
      <x:c r="O1453" t="str">
        <x:v>Most Likely</x:v>
      </x:c>
    </x:row>
    <x:row r="1454">
      <x:c r="A1454" t="str">
        <x:v>PJT_1453</x:v>
      </x:c>
      <x:c r="B1454" t="n">
        <x:v>12363120</x:v>
      </x:c>
      <x:c r="C1454" t="n">
        <x:v>13051656</x:v>
      </x:c>
      <x:c r="D1454" t="n">
        <x:v>688536</x:v>
      </x:c>
      <x:c r="E1454" t="n">
        <x:v>0.0557</x:v>
      </x:c>
      <x:c r="F1454" t="n">
        <x:v>243</x:v>
      </x:c>
      <x:c r="G1454" t="n">
        <x:v>256</x:v>
      </x:c>
      <x:c r="H1454" t="n">
        <x:v>13</x:v>
      </x:c>
      <x:c r="I1454" t="n">
        <x:v>0.0535</x:v>
      </x:c>
      <x:c r="J1454" t="str">
        <x:v>Low</x:v>
      </x:c>
      <x:c r="K1454" t="n">
        <x:v>42.1</x:v>
      </x:c>
      <x:c r="L1454" t="n">
        <x:v>40.3</x:v>
      </x:c>
      <x:c r="M1454" t="n">
        <x:v>45.7</x:v>
      </x:c>
      <x:c r="N1454" t="str">
        <x:v>Most Likely</x:v>
      </x:c>
      <x:c r="O1454" t="str">
        <x:v>Most Likely</x:v>
      </x:c>
    </x:row>
    <x:row r="1455">
      <x:c r="A1455" t="str">
        <x:v>PJT_1454</x:v>
      </x:c>
      <x:c r="B1455" t="n">
        <x:v>12722160</x:v>
      </x:c>
      <x:c r="C1455" t="n">
        <x:v>12288935</x:v>
      </x:c>
      <x:c r="D1455" t="n">
        <x:v>-433225</x:v>
      </x:c>
      <x:c r="E1455" t="n">
        <x:v>-0.0341</x:v>
      </x:c>
      <x:c r="F1455" t="n">
        <x:v>284</x:v>
      </x:c>
      <x:c r="G1455" t="n">
        <x:v>281</x:v>
      </x:c>
      <x:c r="H1455" t="n">
        <x:v>-3</x:v>
      </x:c>
      <x:c r="I1455" t="n">
        <x:v>-0.0106</x:v>
      </x:c>
      <x:c r="J1455" t="str">
        <x:v>Low</x:v>
      </x:c>
      <x:c r="K1455" t="n">
        <x:v>35.1</x:v>
      </x:c>
      <x:c r="L1455" t="n">
        <x:v>30.2</x:v>
      </x:c>
      <x:c r="M1455" t="n">
        <x:v>33.1</x:v>
      </x:c>
      <x:c r="N1455" t="str">
        <x:v>Optimistic</x:v>
      </x:c>
      <x:c r="O1455" t="str">
        <x:v>Optimistic</x:v>
      </x:c>
    </x:row>
    <x:row r="1456">
      <x:c r="A1456" t="str">
        <x:v>PJT_1455</x:v>
      </x:c>
      <x:c r="B1456" t="n">
        <x:v>80823050</x:v>
      </x:c>
      <x:c r="C1456" t="n">
        <x:v>90693943</x:v>
      </x:c>
      <x:c r="D1456" t="n">
        <x:v>9870893</x:v>
      </x:c>
      <x:c r="E1456" t="n">
        <x:v>0.1221</x:v>
      </x:c>
      <x:c r="F1456" t="n">
        <x:v>1529</x:v>
      </x:c>
      <x:c r="G1456" t="n">
        <x:v>1594</x:v>
      </x:c>
      <x:c r="H1456" t="n">
        <x:v>65</x:v>
      </x:c>
      <x:c r="I1456" t="n">
        <x:v>0.0425</x:v>
      </x:c>
      <x:c r="J1456" t="str">
        <x:v>Medium</x:v>
      </x:c>
      <x:c r="K1456" t="n">
        <x:v>51.7</x:v>
      </x:c>
      <x:c r="L1456" t="n">
        <x:v>52.5</x:v>
      </x:c>
      <x:c r="M1456" t="n">
        <x:v>49.4</x:v>
      </x:c>
      <x:c r="N1456" t="str">
        <x:v>Pessimistic</x:v>
      </x:c>
      <x:c r="O1456" t="str">
        <x:v>Most Likely</x:v>
      </x:c>
    </x:row>
    <x:row r="1457">
      <x:c r="A1457" t="str">
        <x:v>PJT_1456</x:v>
      </x:c>
      <x:c r="B1457" t="n">
        <x:v>37505640</x:v>
      </x:c>
      <x:c r="C1457" t="n">
        <x:v>38973682</x:v>
      </x:c>
      <x:c r="D1457" t="n">
        <x:v>1468042</x:v>
      </x:c>
      <x:c r="E1457" t="n">
        <x:v>0.0391</x:v>
      </x:c>
      <x:c r="F1457" t="n">
        <x:v>674</x:v>
      </x:c>
      <x:c r="G1457" t="n">
        <x:v>679</x:v>
      </x:c>
      <x:c r="H1457" t="n">
        <x:v>5</x:v>
      </x:c>
      <x:c r="I1457" t="n">
        <x:v>0.0074</x:v>
      </x:c>
      <x:c r="J1457" t="str">
        <x:v>Medium</x:v>
      </x:c>
      <x:c r="K1457" t="n">
        <x:v>48.9</x:v>
      </x:c>
      <x:c r="L1457" t="n">
        <x:v>51.6</x:v>
      </x:c>
      <x:c r="M1457" t="n">
        <x:v>46.7</x:v>
      </x:c>
      <x:c r="N1457" t="str">
        <x:v>Most Likely</x:v>
      </x:c>
      <x:c r="O1457" t="str">
        <x:v>Most Likely</x:v>
      </x:c>
    </x:row>
    <x:row r="1458">
      <x:c r="A1458" t="str">
        <x:v>PJT_1457</x:v>
      </x:c>
      <x:c r="B1458" t="n">
        <x:v>44682810</x:v>
      </x:c>
      <x:c r="C1458" t="n">
        <x:v>46229145</x:v>
      </x:c>
      <x:c r="D1458" t="n">
        <x:v>1546335</x:v>
      </x:c>
      <x:c r="E1458" t="n">
        <x:v>0.0346</x:v>
      </x:c>
      <x:c r="F1458" t="n">
        <x:v>859</x:v>
      </x:c>
      <x:c r="G1458" t="n">
        <x:v>890</x:v>
      </x:c>
      <x:c r="H1458" t="n">
        <x:v>31</x:v>
      </x:c>
      <x:c r="I1458" t="n">
        <x:v>0.0361</x:v>
      </x:c>
      <x:c r="J1458" t="str">
        <x:v>Low</x:v>
      </x:c>
      <x:c r="K1458" t="n">
        <x:v>44.1</x:v>
      </x:c>
      <x:c r="L1458" t="n">
        <x:v>39.1</x:v>
      </x:c>
      <x:c r="M1458" t="n">
        <x:v>41.5</x:v>
      </x:c>
      <x:c r="N1458" t="str">
        <x:v>Most Likely</x:v>
      </x:c>
      <x:c r="O1458" t="str">
        <x:v>Most Likely</x:v>
      </x:c>
    </x:row>
    <x:row r="1459">
      <x:c r="A1459" t="str">
        <x:v>PJT_1458</x:v>
      </x:c>
      <x:c r="B1459" t="n">
        <x:v>33232200</x:v>
      </x:c>
      <x:c r="C1459" t="n">
        <x:v>33545321</x:v>
      </x:c>
      <x:c r="D1459" t="n">
        <x:v>313121</x:v>
      </x:c>
      <x:c r="E1459" t="n">
        <x:v>0.0094</x:v>
      </x:c>
      <x:c r="F1459" t="n">
        <x:v>803</x:v>
      </x:c>
      <x:c r="G1459" t="n">
        <x:v>820</x:v>
      </x:c>
      <x:c r="H1459" t="n">
        <x:v>17</x:v>
      </x:c>
      <x:c r="I1459" t="n">
        <x:v>0.0212</x:v>
      </x:c>
      <x:c r="J1459" t="str">
        <x:v>Medium</x:v>
      </x:c>
      <x:c r="K1459" t="n">
        <x:v>45.9</x:v>
      </x:c>
      <x:c r="L1459" t="n">
        <x:v>42.7</x:v>
      </x:c>
      <x:c r="M1459" t="n">
        <x:v>42.3</x:v>
      </x:c>
      <x:c r="N1459" t="str">
        <x:v>Most Likely</x:v>
      </x:c>
      <x:c r="O1459" t="str">
        <x:v>Most Likely</x:v>
      </x:c>
    </x:row>
    <x:row r="1460">
      <x:c r="A1460" t="str">
        <x:v>PJT_1459</x:v>
      </x:c>
      <x:c r="B1460" t="n">
        <x:v>23363440</x:v>
      </x:c>
      <x:c r="C1460" t="n">
        <x:v>24113525</x:v>
      </x:c>
      <x:c r="D1460" t="n">
        <x:v>750085</x:v>
      </x:c>
      <x:c r="E1460" t="n">
        <x:v>0.0321</x:v>
      </x:c>
      <x:c r="F1460" t="n">
        <x:v>549</x:v>
      </x:c>
      <x:c r="G1460" t="n">
        <x:v>547</x:v>
      </x:c>
      <x:c r="H1460" t="n">
        <x:v>-2</x:v>
      </x:c>
      <x:c r="I1460" t="n">
        <x:v>-0.0036</x:v>
      </x:c>
      <x:c r="J1460" t="str">
        <x:v>Low</x:v>
      </x:c>
      <x:c r="K1460" t="n">
        <x:v>44.7</x:v>
      </x:c>
      <x:c r="L1460" t="n">
        <x:v>42.9</x:v>
      </x:c>
      <x:c r="M1460" t="n">
        <x:v>44.6</x:v>
      </x:c>
      <x:c r="N1460" t="str">
        <x:v>Most Likely</x:v>
      </x:c>
      <x:c r="O1460" t="str">
        <x:v>Optimistic</x:v>
      </x:c>
    </x:row>
    <x:row r="1461">
      <x:c r="A1461" t="str">
        <x:v>PJT_1460</x:v>
      </x:c>
      <x:c r="B1461" t="n">
        <x:v>21935760</x:v>
      </x:c>
      <x:c r="C1461" t="n">
        <x:v>23320249</x:v>
      </x:c>
      <x:c r="D1461" t="n">
        <x:v>1384489</x:v>
      </x:c>
      <x:c r="E1461" t="n">
        <x:v>0.0631</x:v>
      </x:c>
      <x:c r="F1461" t="n">
        <x:v>368</x:v>
      </x:c>
      <x:c r="G1461" t="n">
        <x:v>366</x:v>
      </x:c>
      <x:c r="H1461" t="n">
        <x:v>-2</x:v>
      </x:c>
      <x:c r="I1461" t="n">
        <x:v>-0.0054</x:v>
      </x:c>
      <x:c r="J1461" t="str">
        <x:v>Low</x:v>
      </x:c>
      <x:c r="K1461" t="n">
        <x:v>39.1</x:v>
      </x:c>
      <x:c r="L1461" t="n">
        <x:v>35.9</x:v>
      </x:c>
      <x:c r="M1461" t="n">
        <x:v>35.4</x:v>
      </x:c>
      <x:c r="N1461" t="str">
        <x:v>Most Likely</x:v>
      </x:c>
      <x:c r="O1461" t="str">
        <x:v>Optimistic</x:v>
      </x:c>
    </x:row>
    <x:row r="1462">
      <x:c r="A1462" t="str">
        <x:v>PJT_1461</x:v>
      </x:c>
      <x:c r="B1462" t="n">
        <x:v>79755300</x:v>
      </x:c>
      <x:c r="C1462" t="n">
        <x:v>83852299</x:v>
      </x:c>
      <x:c r="D1462" t="n">
        <x:v>4096999</x:v>
      </x:c>
      <x:c r="E1462" t="n">
        <x:v>0.0514</x:v>
      </x:c>
      <x:c r="F1462" t="n">
        <x:v>1507</x:v>
      </x:c>
      <x:c r="G1462" t="n">
        <x:v>1624</x:v>
      </x:c>
      <x:c r="H1462" t="n">
        <x:v>117</x:v>
      </x:c>
      <x:c r="I1462" t="n">
        <x:v>0.0776</x:v>
      </x:c>
      <x:c r="J1462" t="str">
        <x:v>Medium</x:v>
      </x:c>
      <x:c r="K1462" t="n">
        <x:v>59.2</x:v>
      </x:c>
      <x:c r="L1462" t="n">
        <x:v>61</x:v>
      </x:c>
      <x:c r="M1462" t="n">
        <x:v>53</x:v>
      </x:c>
      <x:c r="N1462" t="str">
        <x:v>Most Likely</x:v>
      </x:c>
      <x:c r="O1462" t="str">
        <x:v>Most Likely</x:v>
      </x:c>
    </x:row>
    <x:row r="1463">
      <x:c r="A1463" t="str">
        <x:v>PJT_1462</x:v>
      </x:c>
      <x:c r="B1463" t="n">
        <x:v>74165820</x:v>
      </x:c>
      <x:c r="C1463" t="n">
        <x:v>82358924</x:v>
      </x:c>
      <x:c r="D1463" t="n">
        <x:v>8193104</x:v>
      </x:c>
      <x:c r="E1463" t="n">
        <x:v>0.1105</x:v>
      </x:c>
      <x:c r="F1463" t="n">
        <x:v>1282</x:v>
      </x:c>
      <x:c r="G1463" t="n">
        <x:v>1345</x:v>
      </x:c>
      <x:c r="H1463" t="n">
        <x:v>63</x:v>
      </x:c>
      <x:c r="I1463" t="n">
        <x:v>0.0491</x:v>
      </x:c>
      <x:c r="J1463" t="str">
        <x:v>Medium</x:v>
      </x:c>
      <x:c r="K1463" t="n">
        <x:v>47.1</x:v>
      </x:c>
      <x:c r="L1463" t="n">
        <x:v>51.6</x:v>
      </x:c>
      <x:c r="M1463" t="n">
        <x:v>51.8</x:v>
      </x:c>
      <x:c r="N1463" t="str">
        <x:v>Pessimistic</x:v>
      </x:c>
      <x:c r="O1463" t="str">
        <x:v>Most Likely</x:v>
      </x:c>
    </x:row>
    <x:row r="1464">
      <x:c r="A1464" t="str">
        <x:v>PJT_1463</x:v>
      </x:c>
      <x:c r="B1464" t="n">
        <x:v>13932370</x:v>
      </x:c>
      <x:c r="C1464" t="n">
        <x:v>13777983</x:v>
      </x:c>
      <x:c r="D1464" t="n">
        <x:v>-154387</x:v>
      </x:c>
      <x:c r="E1464" t="n">
        <x:v>-0.0111</x:v>
      </x:c>
      <x:c r="F1464" t="n">
        <x:v>314</x:v>
      </x:c>
      <x:c r="G1464" t="n">
        <x:v>307</x:v>
      </x:c>
      <x:c r="H1464" t="n">
        <x:v>-7</x:v>
      </x:c>
      <x:c r="I1464" t="n">
        <x:v>-0.0223</x:v>
      </x:c>
      <x:c r="J1464" t="str">
        <x:v>Low</x:v>
      </x:c>
      <x:c r="K1464" t="n">
        <x:v>43</x:v>
      </x:c>
      <x:c r="L1464" t="n">
        <x:v>43.9</x:v>
      </x:c>
      <x:c r="M1464" t="n">
        <x:v>43.7</x:v>
      </x:c>
      <x:c r="N1464" t="str">
        <x:v>Optimistic</x:v>
      </x:c>
      <x:c r="O1464" t="str">
        <x:v>Optimistic</x:v>
      </x:c>
    </x:row>
    <x:row r="1465">
      <x:c r="A1465" t="str">
        <x:v>PJT_1464</x:v>
      </x:c>
      <x:c r="B1465" t="n">
        <x:v>12331800</x:v>
      </x:c>
      <x:c r="C1465" t="n">
        <x:v>11624581</x:v>
      </x:c>
      <x:c r="D1465" t="n">
        <x:v>-707219</x:v>
      </x:c>
      <x:c r="E1465" t="n">
        <x:v>-0.0573</x:v>
      </x:c>
      <x:c r="F1465" t="n">
        <x:v>229</x:v>
      </x:c>
      <x:c r="G1465" t="n">
        <x:v>224</x:v>
      </x:c>
      <x:c r="H1465" t="n">
        <x:v>-5</x:v>
      </x:c>
      <x:c r="I1465" t="n">
        <x:v>-0.0218</x:v>
      </x:c>
      <x:c r="J1465" t="str">
        <x:v>Low</x:v>
      </x:c>
      <x:c r="K1465" t="n">
        <x:v>25.5</x:v>
      </x:c>
      <x:c r="L1465" t="n">
        <x:v>29.1</x:v>
      </x:c>
      <x:c r="M1465" t="n">
        <x:v>22.2</x:v>
      </x:c>
      <x:c r="N1465" t="str">
        <x:v>Optimistic</x:v>
      </x:c>
      <x:c r="O1465" t="str">
        <x:v>Optimistic</x:v>
      </x:c>
    </x:row>
    <x:row r="1466">
      <x:c r="A1466" t="str">
        <x:v>PJT_1465</x:v>
      </x:c>
      <x:c r="B1466" t="n">
        <x:v>43625400</x:v>
      </x:c>
      <x:c r="C1466" t="n">
        <x:v>46584605</x:v>
      </x:c>
      <x:c r="D1466" t="n">
        <x:v>2959205</x:v>
      </x:c>
      <x:c r="E1466" t="n">
        <x:v>0.0678</x:v>
      </x:c>
      <x:c r="F1466" t="n">
        <x:v>840</x:v>
      </x:c>
      <x:c r="G1466" t="n">
        <x:v>904</x:v>
      </x:c>
      <x:c r="H1466" t="n">
        <x:v>64</x:v>
      </x:c>
      <x:c r="I1466" t="n">
        <x:v>0.0762</x:v>
      </x:c>
      <x:c r="J1466" t="str">
        <x:v>Medium</x:v>
      </x:c>
      <x:c r="K1466" t="n">
        <x:v>51.9</x:v>
      </x:c>
      <x:c r="L1466" t="n">
        <x:v>53.4</x:v>
      </x:c>
      <x:c r="M1466" t="n">
        <x:v>44.7</x:v>
      </x:c>
      <x:c r="N1466" t="str">
        <x:v>Most Likely</x:v>
      </x:c>
      <x:c r="O1466" t="str">
        <x:v>Most Likely</x:v>
      </x:c>
    </x:row>
    <x:row r="1467">
      <x:c r="A1467" t="str">
        <x:v>PJT_1466</x:v>
      </x:c>
      <x:c r="B1467" t="n">
        <x:v>51909280</x:v>
      </x:c>
      <x:c r="C1467" t="n">
        <x:v>56038092</x:v>
      </x:c>
      <x:c r="D1467" t="n">
        <x:v>4128812</x:v>
      </x:c>
      <x:c r="E1467" t="n">
        <x:v>0.0795</x:v>
      </x:c>
      <x:c r="F1467" t="n">
        <x:v>834</x:v>
      </x:c>
      <x:c r="G1467" t="n">
        <x:v>923</x:v>
      </x:c>
      <x:c r="H1467" t="n">
        <x:v>89</x:v>
      </x:c>
      <x:c r="I1467" t="n">
        <x:v>0.1067</x:v>
      </x:c>
      <x:c r="J1467" t="str">
        <x:v>Medium</x:v>
      </x:c>
      <x:c r="K1467" t="n">
        <x:v>55.8</x:v>
      </x:c>
      <x:c r="L1467" t="n">
        <x:v>59.8</x:v>
      </x:c>
      <x:c r="M1467" t="n">
        <x:v>55.2</x:v>
      </x:c>
      <x:c r="N1467" t="str">
        <x:v>Most Likely</x:v>
      </x:c>
      <x:c r="O1467" t="str">
        <x:v>Pessimistic</x:v>
      </x:c>
    </x:row>
    <x:row r="1468">
      <x:c r="A1468" t="str">
        <x:v>PJT_1467</x:v>
      </x:c>
      <x:c r="B1468" t="n">
        <x:v>43890940</x:v>
      </x:c>
      <x:c r="C1468" t="n">
        <x:v>46708719</x:v>
      </x:c>
      <x:c r="D1468" t="n">
        <x:v>2817779</x:v>
      </x:c>
      <x:c r="E1468" t="n">
        <x:v>0.0642</x:v>
      </x:c>
      <x:c r="F1468" t="n">
        <x:v>798</x:v>
      </x:c>
      <x:c r="G1468" t="n">
        <x:v>820</x:v>
      </x:c>
      <x:c r="H1468" t="n">
        <x:v>22</x:v>
      </x:c>
      <x:c r="I1468" t="n">
        <x:v>0.0276</x:v>
      </x:c>
      <x:c r="J1468" t="str">
        <x:v>Medium</x:v>
      </x:c>
      <x:c r="K1468" t="n">
        <x:v>56.4</x:v>
      </x:c>
      <x:c r="L1468" t="n">
        <x:v>64</x:v>
      </x:c>
      <x:c r="M1468" t="n">
        <x:v>55.1</x:v>
      </x:c>
      <x:c r="N1468" t="str">
        <x:v>Most Likely</x:v>
      </x:c>
      <x:c r="O1468" t="str">
        <x:v>Most Likely</x:v>
      </x:c>
    </x:row>
    <x:row r="1469">
      <x:c r="A1469" t="str">
        <x:v>PJT_1468</x:v>
      </x:c>
      <x:c r="B1469" t="n">
        <x:v>26574080</x:v>
      </x:c>
      <x:c r="C1469" t="n">
        <x:v>27666862</x:v>
      </x:c>
      <x:c r="D1469" t="n">
        <x:v>1092782</x:v>
      </x:c>
      <x:c r="E1469" t="n">
        <x:v>0.0411</x:v>
      </x:c>
      <x:c r="F1469" t="n">
        <x:v>602</x:v>
      </x:c>
      <x:c r="G1469" t="n">
        <x:v>649</x:v>
      </x:c>
      <x:c r="H1469" t="n">
        <x:v>47</x:v>
      </x:c>
      <x:c r="I1469" t="n">
        <x:v>0.0781</x:v>
      </x:c>
      <x:c r="J1469" t="str">
        <x:v>Medium</x:v>
      </x:c>
      <x:c r="K1469" t="n">
        <x:v>53.7</x:v>
      </x:c>
      <x:c r="L1469" t="n">
        <x:v>52.8</x:v>
      </x:c>
      <x:c r="M1469" t="n">
        <x:v>52.5</x:v>
      </x:c>
      <x:c r="N1469" t="str">
        <x:v>Most Likely</x:v>
      </x:c>
      <x:c r="O1469" t="str">
        <x:v>Most Likely</x:v>
      </x:c>
    </x:row>
    <x:row r="1470">
      <x:c r="A1470" t="str">
        <x:v>PJT_1469</x:v>
      </x:c>
      <x:c r="B1470" t="n">
        <x:v>39463320</x:v>
      </x:c>
      <x:c r="C1470" t="n">
        <x:v>40082468</x:v>
      </x:c>
      <x:c r="D1470" t="n">
        <x:v>619148</x:v>
      </x:c>
      <x:c r="E1470" t="n">
        <x:v>0.0157</x:v>
      </x:c>
      <x:c r="F1470" t="n">
        <x:v>627</x:v>
      </x:c>
      <x:c r="G1470" t="n">
        <x:v>663</x:v>
      </x:c>
      <x:c r="H1470" t="n">
        <x:v>36</x:v>
      </x:c>
      <x:c r="I1470" t="n">
        <x:v>0.0574</x:v>
      </x:c>
      <x:c r="J1470" t="str">
        <x:v>Medium</x:v>
      </x:c>
      <x:c r="K1470" t="n">
        <x:v>52.7</x:v>
      </x:c>
      <x:c r="L1470" t="n">
        <x:v>60.6</x:v>
      </x:c>
      <x:c r="M1470" t="n">
        <x:v>55.2</x:v>
      </x:c>
      <x:c r="N1470" t="str">
        <x:v>Most Likely</x:v>
      </x:c>
      <x:c r="O1470" t="str">
        <x:v>Most Likely</x:v>
      </x:c>
    </x:row>
    <x:row r="1471">
      <x:c r="A1471" t="str">
        <x:v>PJT_1470</x:v>
      </x:c>
      <x:c r="B1471" t="n">
        <x:v>25818960</x:v>
      </x:c>
      <x:c r="C1471" t="n">
        <x:v>26306739</x:v>
      </x:c>
      <x:c r="D1471" t="n">
        <x:v>487779</x:v>
      </x:c>
      <x:c r="E1471" t="n">
        <x:v>0.0189</x:v>
      </x:c>
      <x:c r="F1471" t="n">
        <x:v>501</x:v>
      </x:c>
      <x:c r="G1471" t="n">
        <x:v>540</x:v>
      </x:c>
      <x:c r="H1471" t="n">
        <x:v>39</x:v>
      </x:c>
      <x:c r="I1471" t="n">
        <x:v>0.0778</x:v>
      </x:c>
      <x:c r="J1471" t="str">
        <x:v>Medium</x:v>
      </x:c>
      <x:c r="K1471" t="n">
        <x:v>45.5</x:v>
      </x:c>
      <x:c r="L1471" t="n">
        <x:v>44.2</x:v>
      </x:c>
      <x:c r="M1471" t="n">
        <x:v>43.4</x:v>
      </x:c>
      <x:c r="N1471" t="str">
        <x:v>Most Likely</x:v>
      </x:c>
      <x:c r="O1471" t="str">
        <x:v>Most Likely</x:v>
      </x:c>
    </x:row>
    <x:row r="1472">
      <x:c r="A1472" t="str">
        <x:v>PJT_1471</x:v>
      </x:c>
      <x:c r="B1472" t="n">
        <x:v>35751980</x:v>
      </x:c>
      <x:c r="C1472" t="n">
        <x:v>36925182</x:v>
      </x:c>
      <x:c r="D1472" t="n">
        <x:v>1173202</x:v>
      </x:c>
      <x:c r="E1472" t="n">
        <x:v>0.0328</x:v>
      </x:c>
      <x:c r="F1472" t="n">
        <x:v>647</x:v>
      </x:c>
      <x:c r="G1472" t="n">
        <x:v>694</x:v>
      </x:c>
      <x:c r="H1472" t="n">
        <x:v>47</x:v>
      </x:c>
      <x:c r="I1472" t="n">
        <x:v>0.0726</x:v>
      </x:c>
      <x:c r="J1472" t="str">
        <x:v>Medium</x:v>
      </x:c>
      <x:c r="K1472" t="n">
        <x:v>48.8</x:v>
      </x:c>
      <x:c r="L1472" t="n">
        <x:v>48.8</x:v>
      </x:c>
      <x:c r="M1472" t="n">
        <x:v>44</x:v>
      </x:c>
      <x:c r="N1472" t="str">
        <x:v>Most Likely</x:v>
      </x:c>
      <x:c r="O1472" t="str">
        <x:v>Most Likely</x:v>
      </x:c>
    </x:row>
    <x:row r="1473">
      <x:c r="A1473" t="str">
        <x:v>PJT_1472</x:v>
      </x:c>
      <x:c r="B1473" t="n">
        <x:v>63519600</x:v>
      </x:c>
      <x:c r="C1473" t="n">
        <x:v>69584507</x:v>
      </x:c>
      <x:c r="D1473" t="n">
        <x:v>6064907</x:v>
      </x:c>
      <x:c r="E1473" t="n">
        <x:v>0.0955</x:v>
      </x:c>
      <x:c r="F1473" t="n">
        <x:v>1231</x:v>
      </x:c>
      <x:c r="G1473" t="n">
        <x:v>1343</x:v>
      </x:c>
      <x:c r="H1473" t="n">
        <x:v>112</x:v>
      </x:c>
      <x:c r="I1473" t="n">
        <x:v>0.091</x:v>
      </x:c>
      <x:c r="J1473" t="str">
        <x:v>Medium</x:v>
      </x:c>
      <x:c r="K1473" t="n">
        <x:v>52.6</x:v>
      </x:c>
      <x:c r="L1473" t="n">
        <x:v>56.9</x:v>
      </x:c>
      <x:c r="M1473" t="n">
        <x:v>51.6</x:v>
      </x:c>
      <x:c r="N1473" t="str">
        <x:v>Most Likely</x:v>
      </x:c>
      <x:c r="O1473" t="str">
        <x:v>Most Likely</x:v>
      </x:c>
    </x:row>
    <x:row r="1474">
      <x:c r="A1474" t="str">
        <x:v>PJT_1473</x:v>
      </x:c>
      <x:c r="B1474" t="n">
        <x:v>60519420</x:v>
      </x:c>
      <x:c r="C1474" t="n">
        <x:v>68306759</x:v>
      </x:c>
      <x:c r="D1474" t="n">
        <x:v>7787339</x:v>
      </x:c>
      <x:c r="E1474" t="n">
        <x:v>0.1287</x:v>
      </x:c>
      <x:c r="F1474" t="n">
        <x:v>1133</x:v>
      </x:c>
      <x:c r="G1474" t="n">
        <x:v>1320</x:v>
      </x:c>
      <x:c r="H1474" t="n">
        <x:v>187</x:v>
      </x:c>
      <x:c r="I1474" t="n">
        <x:v>0.165</x:v>
      </x:c>
      <x:c r="J1474" t="str">
        <x:v>High</x:v>
      </x:c>
      <x:c r="K1474" t="n">
        <x:v>71.5</x:v>
      </x:c>
      <x:c r="L1474" t="n">
        <x:v>69.6</x:v>
      </x:c>
      <x:c r="M1474" t="n">
        <x:v>70.9</x:v>
      </x:c>
      <x:c r="N1474" t="str">
        <x:v>Pessimistic</x:v>
      </x:c>
      <x:c r="O1474" t="str">
        <x:v>Pessimistic</x:v>
      </x:c>
    </x:row>
    <x:row r="1475">
      <x:c r="A1475" t="str">
        <x:v>PJT_1474</x:v>
      </x:c>
      <x:c r="B1475" t="n">
        <x:v>12870620</x:v>
      </x:c>
      <x:c r="C1475" t="n">
        <x:v>12902095</x:v>
      </x:c>
      <x:c r="D1475" t="n">
        <x:v>31475</x:v>
      </x:c>
      <x:c r="E1475" t="n">
        <x:v>0.0024</x:v>
      </x:c>
      <x:c r="F1475" t="n">
        <x:v>312</x:v>
      </x:c>
      <x:c r="G1475" t="n">
        <x:v>301</x:v>
      </x:c>
      <x:c r="H1475" t="n">
        <x:v>-11</x:v>
      </x:c>
      <x:c r="I1475" t="n">
        <x:v>-0.0353</x:v>
      </x:c>
      <x:c r="J1475" t="str">
        <x:v>Low</x:v>
      </x:c>
      <x:c r="K1475" t="n">
        <x:v>29.1</x:v>
      </x:c>
      <x:c r="L1475" t="n">
        <x:v>25.1</x:v>
      </x:c>
      <x:c r="M1475" t="n">
        <x:v>25.4</x:v>
      </x:c>
      <x:c r="N1475" t="str">
        <x:v>Most Likely</x:v>
      </x:c>
      <x:c r="O1475" t="str">
        <x:v>Optimistic</x:v>
      </x:c>
    </x:row>
    <x:row r="1476">
      <x:c r="A1476" t="str">
        <x:v>PJT_1475</x:v>
      </x:c>
      <x:c r="B1476" t="n">
        <x:v>26050980</x:v>
      </x:c>
      <x:c r="C1476" t="n">
        <x:v>26434793</x:v>
      </x:c>
      <x:c r="D1476" t="n">
        <x:v>383813</x:v>
      </x:c>
      <x:c r="E1476" t="n">
        <x:v>0.0147</x:v>
      </x:c>
      <x:c r="F1476" t="n">
        <x:v>480</x:v>
      </x:c>
      <x:c r="G1476" t="n">
        <x:v>496</x:v>
      </x:c>
      <x:c r="H1476" t="n">
        <x:v>16</x:v>
      </x:c>
      <x:c r="I1476" t="n">
        <x:v>0.0333</x:v>
      </x:c>
      <x:c r="J1476" t="str">
        <x:v>Medium</x:v>
      </x:c>
      <x:c r="K1476" t="n">
        <x:v>45.4</x:v>
      </x:c>
      <x:c r="L1476" t="n">
        <x:v>40.3</x:v>
      </x:c>
      <x:c r="M1476" t="n">
        <x:v>43.1</x:v>
      </x:c>
      <x:c r="N1476" t="str">
        <x:v>Most Likely</x:v>
      </x:c>
      <x:c r="O1476" t="str">
        <x:v>Most Likely</x:v>
      </x:c>
    </x:row>
    <x:row r="1477">
      <x:c r="A1477" t="str">
        <x:v>PJT_1476</x:v>
      </x:c>
      <x:c r="B1477" t="n">
        <x:v>50629760</x:v>
      </x:c>
      <x:c r="C1477" t="n">
        <x:v>51231467</x:v>
      </x:c>
      <x:c r="D1477" t="n">
        <x:v>601707</x:v>
      </x:c>
      <x:c r="E1477" t="n">
        <x:v>0.0119</x:v>
      </x:c>
      <x:c r="F1477" t="n">
        <x:v>897</x:v>
      </x:c>
      <x:c r="G1477" t="n">
        <x:v>866</x:v>
      </x:c>
      <x:c r="H1477" t="n">
        <x:v>-31</x:v>
      </x:c>
      <x:c r="I1477" t="n">
        <x:v>-0.0346</x:v>
      </x:c>
      <x:c r="J1477" t="str">
        <x:v>Medium</x:v>
      </x:c>
      <x:c r="K1477" t="n">
        <x:v>46.9</x:v>
      </x:c>
      <x:c r="L1477" t="n">
        <x:v>46.7</x:v>
      </x:c>
      <x:c r="M1477" t="n">
        <x:v>44.9</x:v>
      </x:c>
      <x:c r="N1477" t="str">
        <x:v>Most Likely</x:v>
      </x:c>
      <x:c r="O1477" t="str">
        <x:v>Optimistic</x:v>
      </x:c>
    </x:row>
    <x:row r="1478">
      <x:c r="A1478" t="str">
        <x:v>PJT_1477</x:v>
      </x:c>
      <x:c r="B1478" t="n">
        <x:v>17730090</x:v>
      </x:c>
      <x:c r="C1478" t="n">
        <x:v>18663310</x:v>
      </x:c>
      <x:c r="D1478" t="n">
        <x:v>933220</x:v>
      </x:c>
      <x:c r="E1478" t="n">
        <x:v>0.0526</x:v>
      </x:c>
      <x:c r="F1478" t="n">
        <x:v>377</x:v>
      </x:c>
      <x:c r="G1478" t="n">
        <x:v>366</x:v>
      </x:c>
      <x:c r="H1478" t="n">
        <x:v>-11</x:v>
      </x:c>
      <x:c r="I1478" t="n">
        <x:v>-0.0292</x:v>
      </x:c>
      <x:c r="J1478" t="str">
        <x:v>Low</x:v>
      </x:c>
      <x:c r="K1478" t="n">
        <x:v>41.1</x:v>
      </x:c>
      <x:c r="L1478" t="n">
        <x:v>43.7</x:v>
      </x:c>
      <x:c r="M1478" t="n">
        <x:v>37.9</x:v>
      </x:c>
      <x:c r="N1478" t="str">
        <x:v>Most Likely</x:v>
      </x:c>
      <x:c r="O1478" t="str">
        <x:v>Optimistic</x:v>
      </x:c>
    </x:row>
    <x:row r="1479">
      <x:c r="A1479" t="str">
        <x:v>PJT_1478</x:v>
      </x:c>
      <x:c r="B1479" t="n">
        <x:v>7155020</x:v>
      </x:c>
      <x:c r="C1479" t="n">
        <x:v>7221213</x:v>
      </x:c>
      <x:c r="D1479" t="n">
        <x:v>66193</x:v>
      </x:c>
      <x:c r="E1479" t="n">
        <x:v>0.0093</x:v>
      </x:c>
      <x:c r="F1479" t="n">
        <x:v>180</x:v>
      </x:c>
      <x:c r="G1479" t="n">
        <x:v>183</x:v>
      </x:c>
      <x:c r="H1479" t="n">
        <x:v>3</x:v>
      </x:c>
      <x:c r="I1479" t="n">
        <x:v>0.0167</x:v>
      </x:c>
      <x:c r="J1479" t="str">
        <x:v>Low</x:v>
      </x:c>
      <x:c r="K1479" t="n">
        <x:v>41.9</x:v>
      </x:c>
      <x:c r="L1479" t="n">
        <x:v>41.7</x:v>
      </x:c>
      <x:c r="M1479" t="n">
        <x:v>43.4</x:v>
      </x:c>
      <x:c r="N1479" t="str">
        <x:v>Most Likely</x:v>
      </x:c>
      <x:c r="O1479" t="str">
        <x:v>Most Likely</x:v>
      </x:c>
    </x:row>
    <x:row r="1480">
      <x:c r="A1480" t="str">
        <x:v>PJT_1479</x:v>
      </x:c>
      <x:c r="B1480" t="n">
        <x:v>59697440</x:v>
      </x:c>
      <x:c r="C1480" t="n">
        <x:v>62786088</x:v>
      </x:c>
      <x:c r="D1480" t="n">
        <x:v>3088648</x:v>
      </x:c>
      <x:c r="E1480" t="n">
        <x:v>0.0517</x:v>
      </x:c>
      <x:c r="F1480" t="n">
        <x:v>1205</x:v>
      </x:c>
      <x:c r="G1480" t="n">
        <x:v>1318</x:v>
      </x:c>
      <x:c r="H1480" t="n">
        <x:v>113</x:v>
      </x:c>
      <x:c r="I1480" t="n">
        <x:v>0.0938</x:v>
      </x:c>
      <x:c r="J1480" t="str">
        <x:v>Medium</x:v>
      </x:c>
      <x:c r="K1480" t="n">
        <x:v>54.7</x:v>
      </x:c>
      <x:c r="L1480" t="n">
        <x:v>60.2</x:v>
      </x:c>
      <x:c r="M1480" t="n">
        <x:v>52.8</x:v>
      </x:c>
      <x:c r="N1480" t="str">
        <x:v>Most Likely</x:v>
      </x:c>
      <x:c r="O1480" t="str">
        <x:v>Most Likely</x:v>
      </x:c>
    </x:row>
    <x:row r="1481">
      <x:c r="A1481" t="str">
        <x:v>PJT_1480</x:v>
      </x:c>
      <x:c r="B1481" t="n">
        <x:v>31804110</x:v>
      </x:c>
      <x:c r="C1481" t="n">
        <x:v>31932927</x:v>
      </x:c>
      <x:c r="D1481" t="n">
        <x:v>128817</x:v>
      </x:c>
      <x:c r="E1481" t="n">
        <x:v>0.0041</x:v>
      </x:c>
      <x:c r="F1481" t="n">
        <x:v>523</x:v>
      </x:c>
      <x:c r="G1481" t="n">
        <x:v>545</x:v>
      </x:c>
      <x:c r="H1481" t="n">
        <x:v>22</x:v>
      </x:c>
      <x:c r="I1481" t="n">
        <x:v>0.0421</x:v>
      </x:c>
      <x:c r="J1481" t="str">
        <x:v>Low</x:v>
      </x:c>
      <x:c r="K1481" t="n">
        <x:v>39.6</x:v>
      </x:c>
      <x:c r="L1481" t="n">
        <x:v>45</x:v>
      </x:c>
      <x:c r="M1481" t="n">
        <x:v>38.9</x:v>
      </x:c>
      <x:c r="N1481" t="str">
        <x:v>Most Likely</x:v>
      </x:c>
      <x:c r="O1481" t="str">
        <x:v>Most Likely</x:v>
      </x:c>
    </x:row>
    <x:row r="1482">
      <x:c r="A1482" t="str">
        <x:v>PJT_1481</x:v>
      </x:c>
      <x:c r="B1482" t="n">
        <x:v>19311760</x:v>
      </x:c>
      <x:c r="C1482" t="n">
        <x:v>19508934</x:v>
      </x:c>
      <x:c r="D1482" t="n">
        <x:v>197174</x:v>
      </x:c>
      <x:c r="E1482" t="n">
        <x:v>0.0102</x:v>
      </x:c>
      <x:c r="F1482" t="n">
        <x:v>320</x:v>
      </x:c>
      <x:c r="G1482" t="n">
        <x:v>303</x:v>
      </x:c>
      <x:c r="H1482" t="n">
        <x:v>-17</x:v>
      </x:c>
      <x:c r="I1482" t="n">
        <x:v>-0.0531</x:v>
      </x:c>
      <x:c r="J1482" t="str">
        <x:v>Low</x:v>
      </x:c>
      <x:c r="K1482" t="n">
        <x:v>24.6</x:v>
      </x:c>
      <x:c r="L1482" t="n">
        <x:v>28.9</x:v>
      </x:c>
      <x:c r="M1482" t="n">
        <x:v>26.8</x:v>
      </x:c>
      <x:c r="N1482" t="str">
        <x:v>Most Likely</x:v>
      </x:c>
      <x:c r="O1482" t="str">
        <x:v>Optimistic</x:v>
      </x:c>
    </x:row>
    <x:row r="1483">
      <x:c r="A1483" t="str">
        <x:v>PJT_1482</x:v>
      </x:c>
      <x:c r="B1483" t="n">
        <x:v>27271420</x:v>
      </x:c>
      <x:c r="C1483" t="n">
        <x:v>28237191</x:v>
      </x:c>
      <x:c r="D1483" t="n">
        <x:v>965771</x:v>
      </x:c>
      <x:c r="E1483" t="n">
        <x:v>0.0354</x:v>
      </x:c>
      <x:c r="F1483" t="n">
        <x:v>526</x:v>
      </x:c>
      <x:c r="G1483" t="n">
        <x:v>580</x:v>
      </x:c>
      <x:c r="H1483" t="n">
        <x:v>54</x:v>
      </x:c>
      <x:c r="I1483" t="n">
        <x:v>0.1027</x:v>
      </x:c>
      <x:c r="J1483" t="str">
        <x:v>Medium</x:v>
      </x:c>
      <x:c r="K1483" t="n">
        <x:v>47.3</x:v>
      </x:c>
      <x:c r="L1483" t="n">
        <x:v>45.3</x:v>
      </x:c>
      <x:c r="M1483" t="n">
        <x:v>45.7</x:v>
      </x:c>
      <x:c r="N1483" t="str">
        <x:v>Most Likely</x:v>
      </x:c>
      <x:c r="O1483" t="str">
        <x:v>Pessimistic</x:v>
      </x:c>
    </x:row>
    <x:row r="1484">
      <x:c r="A1484" t="str">
        <x:v>PJT_1483</x:v>
      </x:c>
      <x:c r="B1484" t="n">
        <x:v>52493850</x:v>
      </x:c>
      <x:c r="C1484" t="n">
        <x:v>56697810</x:v>
      </x:c>
      <x:c r="D1484" t="n">
        <x:v>4203960</x:v>
      </x:c>
      <x:c r="E1484" t="n">
        <x:v>0.0801</x:v>
      </x:c>
      <x:c r="F1484" t="n">
        <x:v>882</x:v>
      </x:c>
      <x:c r="G1484" t="n">
        <x:v>920</x:v>
      </x:c>
      <x:c r="H1484" t="n">
        <x:v>38</x:v>
      </x:c>
      <x:c r="I1484" t="n">
        <x:v>0.0431</x:v>
      </x:c>
      <x:c r="J1484" t="str">
        <x:v>Medium</x:v>
      </x:c>
      <x:c r="K1484" t="n">
        <x:v>59.4</x:v>
      </x:c>
      <x:c r="L1484" t="n">
        <x:v>60.1</x:v>
      </x:c>
      <x:c r="M1484" t="n">
        <x:v>59.1</x:v>
      </x:c>
      <x:c r="N1484" t="str">
        <x:v>Most Likely</x:v>
      </x:c>
      <x:c r="O1484" t="str">
        <x:v>Most Likely</x:v>
      </x:c>
    </x:row>
    <x:row r="1485">
      <x:c r="A1485" t="str">
        <x:v>PJT_1484</x:v>
      </x:c>
      <x:c r="B1485" t="n">
        <x:v>47887560</x:v>
      </x:c>
      <x:c r="C1485" t="n">
        <x:v>50286048</x:v>
      </x:c>
      <x:c r="D1485" t="n">
        <x:v>2398488</x:v>
      </x:c>
      <x:c r="E1485" t="n">
        <x:v>0.0501</x:v>
      </x:c>
      <x:c r="F1485" t="n">
        <x:v>938</x:v>
      </x:c>
      <x:c r="G1485" t="n">
        <x:v>1016</x:v>
      </x:c>
      <x:c r="H1485" t="n">
        <x:v>78</x:v>
      </x:c>
      <x:c r="I1485" t="n">
        <x:v>0.0832</x:v>
      </x:c>
      <x:c r="J1485" t="str">
        <x:v>Medium</x:v>
      </x:c>
      <x:c r="K1485" t="n">
        <x:v>49.5</x:v>
      </x:c>
      <x:c r="L1485" t="n">
        <x:v>53.7</x:v>
      </x:c>
      <x:c r="M1485" t="n">
        <x:v>56.8</x:v>
      </x:c>
      <x:c r="N1485" t="str">
        <x:v>Most Likely</x:v>
      </x:c>
      <x:c r="O1485" t="str">
        <x:v>Most Likely</x:v>
      </x:c>
    </x:row>
    <x:row r="1486">
      <x:c r="A1486" t="str">
        <x:v>PJT_1485</x:v>
      </x:c>
      <x:c r="B1486" t="n">
        <x:v>43008160</x:v>
      </x:c>
      <x:c r="C1486" t="n">
        <x:v>43688396</x:v>
      </x:c>
      <x:c r="D1486" t="n">
        <x:v>680236</x:v>
      </x:c>
      <x:c r="E1486" t="n">
        <x:v>0.0158</x:v>
      </x:c>
      <x:c r="F1486" t="n">
        <x:v>775</x:v>
      </x:c>
      <x:c r="G1486" t="n">
        <x:v>800</x:v>
      </x:c>
      <x:c r="H1486" t="n">
        <x:v>25</x:v>
      </x:c>
      <x:c r="I1486" t="n">
        <x:v>0.0323</x:v>
      </x:c>
      <x:c r="J1486" t="str">
        <x:v>Medium</x:v>
      </x:c>
      <x:c r="K1486" t="n">
        <x:v>55</x:v>
      </x:c>
      <x:c r="L1486" t="n">
        <x:v>54.4</x:v>
      </x:c>
      <x:c r="M1486" t="n">
        <x:v>51.8</x:v>
      </x:c>
      <x:c r="N1486" t="str">
        <x:v>Most Likely</x:v>
      </x:c>
      <x:c r="O1486" t="str">
        <x:v>Most Likely</x:v>
      </x:c>
    </x:row>
    <x:row r="1487">
      <x:c r="A1487" t="str">
        <x:v>PJT_1486</x:v>
      </x:c>
      <x:c r="B1487" t="n">
        <x:v>17344320</x:v>
      </x:c>
      <x:c r="C1487" t="n">
        <x:v>17462637</x:v>
      </x:c>
      <x:c r="D1487" t="n">
        <x:v>118317</x:v>
      </x:c>
      <x:c r="E1487" t="n">
        <x:v>0.0068</x:v>
      </x:c>
      <x:c r="F1487" t="n">
        <x:v>328</x:v>
      </x:c>
      <x:c r="G1487" t="n">
        <x:v>347</x:v>
      </x:c>
      <x:c r="H1487" t="n">
        <x:v>19</x:v>
      </x:c>
      <x:c r="I1487" t="n">
        <x:v>0.0579</x:v>
      </x:c>
      <x:c r="J1487" t="str">
        <x:v>Medium</x:v>
      </x:c>
      <x:c r="K1487" t="n">
        <x:v>51.3</x:v>
      </x:c>
      <x:c r="L1487" t="n">
        <x:v>46.9</x:v>
      </x:c>
      <x:c r="M1487" t="n">
        <x:v>51.2</x:v>
      </x:c>
      <x:c r="N1487" t="str">
        <x:v>Most Likely</x:v>
      </x:c>
      <x:c r="O1487" t="str">
        <x:v>Most Likely</x:v>
      </x:c>
    </x:row>
    <x:row r="1488">
      <x:c r="A1488" t="str">
        <x:v>PJT_1487</x:v>
      </x:c>
      <x:c r="B1488" t="n">
        <x:v>18449200</x:v>
      </x:c>
      <x:c r="C1488" t="n">
        <x:v>18116207</x:v>
      </x:c>
      <x:c r="D1488" t="n">
        <x:v>-332993</x:v>
      </x:c>
      <x:c r="E1488" t="n">
        <x:v>-0.018</x:v>
      </x:c>
      <x:c r="F1488" t="n">
        <x:v>418</x:v>
      </x:c>
      <x:c r="G1488" t="n">
        <x:v>385</x:v>
      </x:c>
      <x:c r="H1488" t="n">
        <x:v>-33</x:v>
      </x:c>
      <x:c r="I1488" t="n">
        <x:v>-0.0789</x:v>
      </x:c>
      <x:c r="J1488" t="str">
        <x:v>Low</x:v>
      </x:c>
      <x:c r="K1488" t="n">
        <x:v>41.3</x:v>
      </x:c>
      <x:c r="L1488" t="n">
        <x:v>40.5</x:v>
      </x:c>
      <x:c r="M1488" t="n">
        <x:v>33.6</x:v>
      </x:c>
      <x:c r="N1488" t="str">
        <x:v>Optimistic</x:v>
      </x:c>
      <x:c r="O1488" t="str">
        <x:v>Optimistic</x:v>
      </x:c>
    </x:row>
    <x:row r="1489">
      <x:c r="A1489" t="str">
        <x:v>PJT_1488</x:v>
      </x:c>
      <x:c r="B1489" t="n">
        <x:v>34015680</x:v>
      </x:c>
      <x:c r="C1489" t="n">
        <x:v>37321035</x:v>
      </x:c>
      <x:c r="D1489" t="n">
        <x:v>3305355</x:v>
      </x:c>
      <x:c r="E1489" t="n">
        <x:v>0.0972</x:v>
      </x:c>
      <x:c r="F1489" t="n">
        <x:v>651</x:v>
      </x:c>
      <x:c r="G1489" t="n">
        <x:v>670</x:v>
      </x:c>
      <x:c r="H1489" t="n">
        <x:v>19</x:v>
      </x:c>
      <x:c r="I1489" t="n">
        <x:v>0.0292</x:v>
      </x:c>
      <x:c r="J1489" t="str">
        <x:v>Medium</x:v>
      </x:c>
      <x:c r="K1489" t="n">
        <x:v>52.7</x:v>
      </x:c>
      <x:c r="L1489" t="n">
        <x:v>52.4</x:v>
      </x:c>
      <x:c r="M1489" t="n">
        <x:v>52.9</x:v>
      </x:c>
      <x:c r="N1489" t="str">
        <x:v>Most Likely</x:v>
      </x:c>
      <x:c r="O1489" t="str">
        <x:v>Most Likely</x:v>
      </x:c>
    </x:row>
    <x:row r="1490">
      <x:c r="A1490" t="str">
        <x:v>PJT_1489</x:v>
      </x:c>
      <x:c r="B1490" t="n">
        <x:v>57021400</x:v>
      </x:c>
      <x:c r="C1490" t="n">
        <x:v>58128998</x:v>
      </x:c>
      <x:c r="D1490" t="n">
        <x:v>1107598</x:v>
      </x:c>
      <x:c r="E1490" t="n">
        <x:v>0.0194</x:v>
      </x:c>
      <x:c r="F1490" t="n">
        <x:v>1069</x:v>
      </x:c>
      <x:c r="G1490" t="n">
        <x:v>1130</x:v>
      </x:c>
      <x:c r="H1490" t="n">
        <x:v>61</x:v>
      </x:c>
      <x:c r="I1490" t="n">
        <x:v>0.0571</x:v>
      </x:c>
      <x:c r="J1490" t="str">
        <x:v>Medium</x:v>
      </x:c>
      <x:c r="K1490" t="n">
        <x:v>51.5</x:v>
      </x:c>
      <x:c r="L1490" t="n">
        <x:v>57.3</x:v>
      </x:c>
      <x:c r="M1490" t="n">
        <x:v>50.7</x:v>
      </x:c>
      <x:c r="N1490" t="str">
        <x:v>Most Likely</x:v>
      </x:c>
      <x:c r="O1490" t="str">
        <x:v>Most Likely</x:v>
      </x:c>
    </x:row>
    <x:row r="1491">
      <x:c r="A1491" t="str">
        <x:v>PJT_1490</x:v>
      </x:c>
      <x:c r="B1491" t="n">
        <x:v>62586520</x:v>
      </x:c>
      <x:c r="C1491" t="n">
        <x:v>64837249</x:v>
      </x:c>
      <x:c r="D1491" t="n">
        <x:v>2250729</x:v>
      </x:c>
      <x:c r="E1491" t="n">
        <x:v>0.036</x:v>
      </x:c>
      <x:c r="F1491" t="n">
        <x:v>1162</x:v>
      </x:c>
      <x:c r="G1491" t="n">
        <x:v>1292</x:v>
      </x:c>
      <x:c r="H1491" t="n">
        <x:v>130</x:v>
      </x:c>
      <x:c r="I1491" t="n">
        <x:v>0.1119</x:v>
      </x:c>
      <x:c r="J1491" t="str">
        <x:v>Medium</x:v>
      </x:c>
      <x:c r="K1491" t="n">
        <x:v>61.2</x:v>
      </x:c>
      <x:c r="L1491" t="n">
        <x:v>63.4</x:v>
      </x:c>
      <x:c r="M1491" t="n">
        <x:v>62.3</x:v>
      </x:c>
      <x:c r="N1491" t="str">
        <x:v>Most Likely</x:v>
      </x:c>
      <x:c r="O1491" t="str">
        <x:v>Pessimistic</x:v>
      </x:c>
    </x:row>
    <x:row r="1492">
      <x:c r="A1492" t="str">
        <x:v>PJT_1491</x:v>
      </x:c>
      <x:c r="B1492" t="n">
        <x:v>16141770</x:v>
      </x:c>
      <x:c r="C1492" t="n">
        <x:v>15234005</x:v>
      </x:c>
      <x:c r="D1492" t="n">
        <x:v>-907765</x:v>
      </x:c>
      <x:c r="E1492" t="n">
        <x:v>-0.0562</x:v>
      </x:c>
      <x:c r="F1492" t="n">
        <x:v>278</x:v>
      </x:c>
      <x:c r="G1492" t="n">
        <x:v>278</x:v>
      </x:c>
      <x:c r="H1492" t="n">
        <x:v>0</x:v>
      </x:c>
      <x:c r="I1492" t="n">
        <x:v>0</x:v>
      </x:c>
      <x:c r="J1492" t="str">
        <x:v>Low</x:v>
      </x:c>
      <x:c r="K1492" t="n">
        <x:v>35.2</x:v>
      </x:c>
      <x:c r="L1492" t="n">
        <x:v>31</x:v>
      </x:c>
      <x:c r="M1492" t="n">
        <x:v>34.4</x:v>
      </x:c>
      <x:c r="N1492" t="str">
        <x:v>Optimistic</x:v>
      </x:c>
      <x:c r="O1492" t="str">
        <x:v>Optimistic</x:v>
      </x:c>
    </x:row>
    <x:row r="1493">
      <x:c r="A1493" t="str">
        <x:v>PJT_1492</x:v>
      </x:c>
      <x:c r="B1493" t="n">
        <x:v>36402600</x:v>
      </x:c>
      <x:c r="C1493" t="n">
        <x:v>39172369</x:v>
      </x:c>
      <x:c r="D1493" t="n">
        <x:v>2769769</x:v>
      </x:c>
      <x:c r="E1493" t="n">
        <x:v>0.0761</x:v>
      </x:c>
      <x:c r="F1493" t="n">
        <x:v>768</x:v>
      </x:c>
      <x:c r="G1493" t="n">
        <x:v>838</x:v>
      </x:c>
      <x:c r="H1493" t="n">
        <x:v>70</x:v>
      </x:c>
      <x:c r="I1493" t="n">
        <x:v>0.0911</x:v>
      </x:c>
      <x:c r="J1493" t="str">
        <x:v>Medium</x:v>
      </x:c>
      <x:c r="K1493" t="n">
        <x:v>53.9</x:v>
      </x:c>
      <x:c r="L1493" t="n">
        <x:v>55.1</x:v>
      </x:c>
      <x:c r="M1493" t="n">
        <x:v>56.7</x:v>
      </x:c>
      <x:c r="N1493" t="str">
        <x:v>Most Likely</x:v>
      </x:c>
      <x:c r="O1493" t="str">
        <x:v>Most Likely</x:v>
      </x:c>
    </x:row>
    <x:row r="1494">
      <x:c r="A1494" t="str">
        <x:v>PJT_1493</x:v>
      </x:c>
      <x:c r="B1494" t="n">
        <x:v>76534620</x:v>
      </x:c>
      <x:c r="C1494" t="n">
        <x:v>83499354</x:v>
      </x:c>
      <x:c r="D1494" t="n">
        <x:v>6964734</x:v>
      </x:c>
      <x:c r="E1494" t="n">
        <x:v>0.091</x:v>
      </x:c>
      <x:c r="F1494" t="n">
        <x:v>1357</x:v>
      </x:c>
      <x:c r="G1494" t="n">
        <x:v>1451</x:v>
      </x:c>
      <x:c r="H1494" t="n">
        <x:v>94</x:v>
      </x:c>
      <x:c r="I1494" t="n">
        <x:v>0.0693</x:v>
      </x:c>
      <x:c r="J1494" t="str">
        <x:v>Medium</x:v>
      </x:c>
      <x:c r="K1494" t="n">
        <x:v>57.2</x:v>
      </x:c>
      <x:c r="L1494" t="n">
        <x:v>56.8</x:v>
      </x:c>
      <x:c r="M1494" t="n">
        <x:v>57.8</x:v>
      </x:c>
      <x:c r="N1494" t="str">
        <x:v>Most Likely</x:v>
      </x:c>
      <x:c r="O1494" t="str">
        <x:v>Most Likely</x:v>
      </x:c>
    </x:row>
    <x:row r="1495">
      <x:c r="A1495" t="str">
        <x:v>PJT_1494</x:v>
      </x:c>
      <x:c r="B1495" t="n">
        <x:v>21278250</x:v>
      </x:c>
      <x:c r="C1495" t="n">
        <x:v>21537739</x:v>
      </x:c>
      <x:c r="D1495" t="n">
        <x:v>259489</x:v>
      </x:c>
      <x:c r="E1495" t="n">
        <x:v>0.0122</x:v>
      </x:c>
      <x:c r="F1495" t="n">
        <x:v>478</x:v>
      </x:c>
      <x:c r="G1495" t="n">
        <x:v>478</x:v>
      </x:c>
      <x:c r="H1495" t="n">
        <x:v>0</x:v>
      </x:c>
      <x:c r="I1495" t="n">
        <x:v>0</x:v>
      </x:c>
      <x:c r="J1495" t="str">
        <x:v>Low</x:v>
      </x:c>
      <x:c r="K1495" t="n">
        <x:v>30</x:v>
      </x:c>
      <x:c r="L1495" t="n">
        <x:v>30.2</x:v>
      </x:c>
      <x:c r="M1495" t="n">
        <x:v>32.1</x:v>
      </x:c>
      <x:c r="N1495" t="str">
        <x:v>Most Likely</x:v>
      </x:c>
      <x:c r="O1495" t="str">
        <x:v>Optimistic</x:v>
      </x:c>
    </x:row>
    <x:row r="1496">
      <x:c r="A1496" t="str">
        <x:v>PJT_1495</x:v>
      </x:c>
      <x:c r="B1496" t="n">
        <x:v>26061750</x:v>
      </x:c>
      <x:c r="C1496" t="n">
        <x:v>28045057</x:v>
      </x:c>
      <x:c r="D1496" t="n">
        <x:v>1983307</x:v>
      </x:c>
      <x:c r="E1496" t="n">
        <x:v>0.0761</x:v>
      </x:c>
      <x:c r="F1496" t="n">
        <x:v>718</x:v>
      </x:c>
      <x:c r="G1496" t="n">
        <x:v>810</x:v>
      </x:c>
      <x:c r="H1496" t="n">
        <x:v>92</x:v>
      </x:c>
      <x:c r="I1496" t="n">
        <x:v>0.1281</x:v>
      </x:c>
      <x:c r="J1496" t="str">
        <x:v>Medium</x:v>
      </x:c>
      <x:c r="K1496" t="n">
        <x:v>53.3</x:v>
      </x:c>
      <x:c r="L1496" t="n">
        <x:v>49.5</x:v>
      </x:c>
      <x:c r="M1496" t="n">
        <x:v>52.6</x:v>
      </x:c>
      <x:c r="N1496" t="str">
        <x:v>Most Likely</x:v>
      </x:c>
      <x:c r="O1496" t="str">
        <x:v>Pessimistic</x:v>
      </x:c>
    </x:row>
    <x:row r="1497">
      <x:c r="A1497" t="str">
        <x:v>PJT_1496</x:v>
      </x:c>
      <x:c r="B1497" t="n">
        <x:v>12337000</x:v>
      </x:c>
      <x:c r="C1497" t="n">
        <x:v>12643865</x:v>
      </x:c>
      <x:c r="D1497" t="n">
        <x:v>306865</x:v>
      </x:c>
      <x:c r="E1497" t="n">
        <x:v>0.0249</x:v>
      </x:c>
      <x:c r="F1497" t="n">
        <x:v>290</x:v>
      </x:c>
      <x:c r="G1497" t="n">
        <x:v>304</x:v>
      </x:c>
      <x:c r="H1497" t="n">
        <x:v>14</x:v>
      </x:c>
      <x:c r="I1497" t="n">
        <x:v>0.0483</x:v>
      </x:c>
      <x:c r="J1497" t="str">
        <x:v>Low</x:v>
      </x:c>
      <x:c r="K1497" t="n">
        <x:v>37.1</x:v>
      </x:c>
      <x:c r="L1497" t="n">
        <x:v>39</x:v>
      </x:c>
      <x:c r="M1497" t="n">
        <x:v>38.1</x:v>
      </x:c>
      <x:c r="N1497" t="str">
        <x:v>Most Likely</x:v>
      </x:c>
      <x:c r="O1497" t="str">
        <x:v>Most Likely</x:v>
      </x:c>
    </x:row>
    <x:row r="1498">
      <x:c r="A1498" t="str">
        <x:v>PJT_1497</x:v>
      </x:c>
      <x:c r="B1498" t="n">
        <x:v>58397730</x:v>
      </x:c>
      <x:c r="C1498" t="n">
        <x:v>58221852</x:v>
      </x:c>
      <x:c r="D1498" t="n">
        <x:v>-175878</x:v>
      </x:c>
      <x:c r="E1498" t="n">
        <x:v>-0.003</x:v>
      </x:c>
      <x:c r="F1498" t="n">
        <x:v>1107</x:v>
      </x:c>
      <x:c r="G1498" t="n">
        <x:v>1129</x:v>
      </x:c>
      <x:c r="H1498" t="n">
        <x:v>22</x:v>
      </x:c>
      <x:c r="I1498" t="n">
        <x:v>0.0199</x:v>
      </x:c>
      <x:c r="J1498" t="str">
        <x:v>Medium</x:v>
      </x:c>
      <x:c r="K1498" t="n">
        <x:v>48.6</x:v>
      </x:c>
      <x:c r="L1498" t="n">
        <x:v>48.3</x:v>
      </x:c>
      <x:c r="M1498" t="n">
        <x:v>45.5</x:v>
      </x:c>
      <x:c r="N1498" t="str">
        <x:v>Optimistic</x:v>
      </x:c>
      <x:c r="O1498" t="str">
        <x:v>Most Likely</x:v>
      </x:c>
    </x:row>
    <x:row r="1499">
      <x:c r="A1499" t="str">
        <x:v>PJT_1498</x:v>
      </x:c>
      <x:c r="B1499" t="n">
        <x:v>56799360</x:v>
      </x:c>
      <x:c r="C1499" t="n">
        <x:v>61637988</x:v>
      </x:c>
      <x:c r="D1499" t="n">
        <x:v>4838628</x:v>
      </x:c>
      <x:c r="E1499" t="n">
        <x:v>0.0852</x:v>
      </x:c>
      <x:c r="F1499" t="n">
        <x:v>1065</x:v>
      </x:c>
      <x:c r="G1499" t="n">
        <x:v>1112</x:v>
      </x:c>
      <x:c r="H1499" t="n">
        <x:v>47</x:v>
      </x:c>
      <x:c r="I1499" t="n">
        <x:v>0.0441</x:v>
      </x:c>
      <x:c r="J1499" t="str">
        <x:v>Medium</x:v>
      </x:c>
      <x:c r="K1499" t="n">
        <x:v>60.7</x:v>
      </x:c>
      <x:c r="L1499" t="n">
        <x:v>59</x:v>
      </x:c>
      <x:c r="M1499" t="n">
        <x:v>58.6</x:v>
      </x:c>
      <x:c r="N1499" t="str">
        <x:v>Most Likely</x:v>
      </x:c>
      <x:c r="O1499" t="str">
        <x:v>Most Likely</x:v>
      </x:c>
    </x:row>
    <x:row r="1500">
      <x:c r="A1500" t="str">
        <x:v>PJT_1499</x:v>
      </x:c>
      <x:c r="B1500" t="n">
        <x:v>32366040</x:v>
      </x:c>
      <x:c r="C1500" t="n">
        <x:v>33857692</x:v>
      </x:c>
      <x:c r="D1500" t="n">
        <x:v>1491652</x:v>
      </x:c>
      <x:c r="E1500" t="n">
        <x:v>0.0461</x:v>
      </x:c>
      <x:c r="F1500" t="n">
        <x:v>846</x:v>
      </x:c>
      <x:c r="G1500" t="n">
        <x:v>865</x:v>
      </x:c>
      <x:c r="H1500" t="n">
        <x:v>19</x:v>
      </x:c>
      <x:c r="I1500" t="n">
        <x:v>0.0225</x:v>
      </x:c>
      <x:c r="J1500" t="str">
        <x:v>Medium</x:v>
      </x:c>
      <x:c r="K1500" t="n">
        <x:v>50.1</x:v>
      </x:c>
      <x:c r="L1500" t="n">
        <x:v>48.7</x:v>
      </x:c>
      <x:c r="M1500" t="n">
        <x:v>44.4</x:v>
      </x:c>
      <x:c r="N1500" t="str">
        <x:v>Most Likely</x:v>
      </x:c>
      <x:c r="O1500" t="str">
        <x:v>Most Likely</x:v>
      </x:c>
    </x:row>
    <x:row r="1501">
      <x:c r="A1501" t="str">
        <x:v>PJT_1500</x:v>
      </x:c>
      <x:c r="B1501" t="n">
        <x:v>42258500</x:v>
      </x:c>
      <x:c r="C1501" t="n">
        <x:v>44019729</x:v>
      </x:c>
      <x:c r="D1501" t="n">
        <x:v>1761229</x:v>
      </x:c>
      <x:c r="E1501" t="n">
        <x:v>0.0417</x:v>
      </x:c>
      <x:c r="F1501" t="n">
        <x:v>868</x:v>
      </x:c>
      <x:c r="G1501" t="n">
        <x:v>890</x:v>
      </x:c>
      <x:c r="H1501" t="n">
        <x:v>22</x:v>
      </x:c>
      <x:c r="I1501" t="n">
        <x:v>0.0253</x:v>
      </x:c>
      <x:c r="J1501" t="str">
        <x:v>Medium</x:v>
      </x:c>
      <x:c r="K1501" t="n">
        <x:v>46.7</x:v>
      </x:c>
      <x:c r="L1501" t="n">
        <x:v>47.7</x:v>
      </x:c>
      <x:c r="M1501" t="n">
        <x:v>47.4</x:v>
      </x:c>
      <x:c r="N1501" t="str">
        <x:v>Most Likely</x:v>
      </x:c>
      <x:c r="O1501" t="str">
        <x:v>Most Likely</x:v>
      </x:c>
    </x:row>
    <x:row r="1502">
      <x:c r="A1502" t="str">
        <x:v>PJT_1501</x:v>
      </x:c>
      <x:c r="B1502" t="n">
        <x:v>66127980</x:v>
      </x:c>
      <x:c r="C1502" t="n">
        <x:v>71754507</x:v>
      </x:c>
      <x:c r="D1502" t="n">
        <x:v>5626527</x:v>
      </x:c>
      <x:c r="E1502" t="n">
        <x:v>0.0851</x:v>
      </x:c>
      <x:c r="F1502" t="n">
        <x:v>1194</x:v>
      </x:c>
      <x:c r="G1502" t="n">
        <x:v>1278</x:v>
      </x:c>
      <x:c r="H1502" t="n">
        <x:v>84</x:v>
      </x:c>
      <x:c r="I1502" t="n">
        <x:v>0.0704</x:v>
      </x:c>
      <x:c r="J1502" t="str">
        <x:v>Medium</x:v>
      </x:c>
      <x:c r="K1502" t="n">
        <x:v>63.7</x:v>
      </x:c>
      <x:c r="L1502" t="n">
        <x:v>58.8</x:v>
      </x:c>
      <x:c r="M1502" t="n">
        <x:v>59.5</x:v>
      </x:c>
      <x:c r="N1502" t="str">
        <x:v>Most Likely</x:v>
      </x:c>
      <x:c r="O1502" t="str">
        <x:v>Most Likely</x:v>
      </x:c>
    </x:row>
    <x:row r="1503">
      <x:c r="A1503" t="str">
        <x:v>PJT_1502</x:v>
      </x:c>
      <x:c r="B1503" t="n">
        <x:v>16165080</x:v>
      </x:c>
      <x:c r="C1503" t="n">
        <x:v>16904042</x:v>
      </x:c>
      <x:c r="D1503" t="n">
        <x:v>738962</x:v>
      </x:c>
      <x:c r="E1503" t="n">
        <x:v>0.0457</x:v>
      </x:c>
      <x:c r="F1503" t="n">
        <x:v>404</x:v>
      </x:c>
      <x:c r="G1503" t="n">
        <x:v>429</x:v>
      </x:c>
      <x:c r="H1503" t="n">
        <x:v>25</x:v>
      </x:c>
      <x:c r="I1503" t="n">
        <x:v>0.0619</x:v>
      </x:c>
      <x:c r="J1503" t="str">
        <x:v>Low</x:v>
      </x:c>
      <x:c r="K1503" t="n">
        <x:v>42.7</x:v>
      </x:c>
      <x:c r="L1503" t="n">
        <x:v>43</x:v>
      </x:c>
      <x:c r="M1503" t="n">
        <x:v>42.5</x:v>
      </x:c>
      <x:c r="N1503" t="str">
        <x:v>Most Likely</x:v>
      </x:c>
      <x:c r="O1503" t="str">
        <x:v>Most Likely</x:v>
      </x:c>
    </x:row>
    <x:row r="1504">
      <x:c r="A1504" t="str">
        <x:v>PJT_1503</x:v>
      </x:c>
      <x:c r="B1504" t="n">
        <x:v>57996400</x:v>
      </x:c>
      <x:c r="C1504" t="n">
        <x:v>60497891</x:v>
      </x:c>
      <x:c r="D1504" t="n">
        <x:v>2501491</x:v>
      </x:c>
      <x:c r="E1504" t="n">
        <x:v>0.0431</x:v>
      </x:c>
      <x:c r="F1504" t="n">
        <x:v>1085</x:v>
      </x:c>
      <x:c r="G1504" t="n">
        <x:v>1170</x:v>
      </x:c>
      <x:c r="H1504" t="n">
        <x:v>85</x:v>
      </x:c>
      <x:c r="I1504" t="n">
        <x:v>0.0783</x:v>
      </x:c>
      <x:c r="J1504" t="str">
        <x:v>Medium</x:v>
      </x:c>
      <x:c r="K1504" t="n">
        <x:v>51.2</x:v>
      </x:c>
      <x:c r="L1504" t="n">
        <x:v>54.8</x:v>
      </x:c>
      <x:c r="M1504" t="n">
        <x:v>50.1</x:v>
      </x:c>
      <x:c r="N1504" t="str">
        <x:v>Most Likely</x:v>
      </x:c>
      <x:c r="O1504" t="str">
        <x:v>Most Likely</x:v>
      </x:c>
    </x:row>
    <x:row r="1505">
      <x:c r="A1505" t="str">
        <x:v>PJT_1504</x:v>
      </x:c>
      <x:c r="B1505" t="n">
        <x:v>26037480</x:v>
      </x:c>
      <x:c r="C1505" t="n">
        <x:v>28365828</x:v>
      </x:c>
      <x:c r="D1505" t="n">
        <x:v>2328348</x:v>
      </x:c>
      <x:c r="E1505" t="n">
        <x:v>0.0894</x:v>
      </x:c>
      <x:c r="F1505" t="n">
        <x:v>439</x:v>
      </x:c>
      <x:c r="G1505" t="n">
        <x:v>443</x:v>
      </x:c>
      <x:c r="H1505" t="n">
        <x:v>4</x:v>
      </x:c>
      <x:c r="I1505" t="n">
        <x:v>0.0091</x:v>
      </x:c>
      <x:c r="J1505" t="str">
        <x:v>Medium</x:v>
      </x:c>
      <x:c r="K1505" t="n">
        <x:v>50.1</x:v>
      </x:c>
      <x:c r="L1505" t="n">
        <x:v>53.4</x:v>
      </x:c>
      <x:c r="M1505" t="n">
        <x:v>49.9</x:v>
      </x:c>
      <x:c r="N1505" t="str">
        <x:v>Most Likely</x:v>
      </x:c>
      <x:c r="O1505" t="str">
        <x:v>Most Likely</x:v>
      </x:c>
    </x:row>
    <x:row r="1506">
      <x:c r="A1506" t="str">
        <x:v>PJT_1505</x:v>
      </x:c>
      <x:c r="B1506" t="n">
        <x:v>11366970</x:v>
      </x:c>
      <x:c r="C1506" t="n">
        <x:v>10930381</x:v>
      </x:c>
      <x:c r="D1506" t="n">
        <x:v>-436589</x:v>
      </x:c>
      <x:c r="E1506" t="n">
        <x:v>-0.0384</x:v>
      </x:c>
      <x:c r="F1506" t="n">
        <x:v>182</x:v>
      </x:c>
      <x:c r="G1506" t="n">
        <x:v>177</x:v>
      </x:c>
      <x:c r="H1506" t="n">
        <x:v>-5</x:v>
      </x:c>
      <x:c r="I1506" t="n">
        <x:v>-0.0275</x:v>
      </x:c>
      <x:c r="J1506" t="str">
        <x:v>Low</x:v>
      </x:c>
      <x:c r="K1506" t="n">
        <x:v>33.1</x:v>
      </x:c>
      <x:c r="L1506" t="n">
        <x:v>30.4</x:v>
      </x:c>
      <x:c r="M1506" t="n">
        <x:v>26.1</x:v>
      </x:c>
      <x:c r="N1506" t="str">
        <x:v>Optimistic</x:v>
      </x:c>
      <x:c r="O1506" t="str">
        <x:v>Optimistic</x:v>
      </x:c>
    </x:row>
    <x:row r="1507">
      <x:c r="A1507" t="str">
        <x:v>PJT_1506</x:v>
      </x:c>
      <x:c r="B1507" t="n">
        <x:v>14687420</x:v>
      </x:c>
      <x:c r="C1507" t="n">
        <x:v>12933699</x:v>
      </x:c>
      <x:c r="D1507" t="n">
        <x:v>-1753721</x:v>
      </x:c>
      <x:c r="E1507" t="n">
        <x:v>-0.1194</x:v>
      </x:c>
      <x:c r="F1507" t="n">
        <x:v>362</x:v>
      </x:c>
      <x:c r="G1507" t="n">
        <x:v>346</x:v>
      </x:c>
      <x:c r="H1507" t="n">
        <x:v>-16</x:v>
      </x:c>
      <x:c r="I1507" t="n">
        <x:v>-0.0442</x:v>
      </x:c>
      <x:c r="J1507" t="str">
        <x:v>Low</x:v>
      </x:c>
      <x:c r="K1507" t="n">
        <x:v>26.3</x:v>
      </x:c>
      <x:c r="L1507" t="n">
        <x:v>28.7</x:v>
      </x:c>
      <x:c r="M1507" t="n">
        <x:v>25.6</x:v>
      </x:c>
      <x:c r="N1507" t="str">
        <x:v>Optimistic</x:v>
      </x:c>
      <x:c r="O1507" t="str">
        <x:v>Optimistic</x:v>
      </x:c>
    </x:row>
    <x:row r="1508">
      <x:c r="A1508" t="str">
        <x:v>PJT_1507</x:v>
      </x:c>
      <x:c r="B1508" t="n">
        <x:v>3376920</x:v>
      </x:c>
      <x:c r="C1508" t="n">
        <x:v>3356800</x:v>
      </x:c>
      <x:c r="D1508" t="n">
        <x:v>-20120</x:v>
      </x:c>
      <x:c r="E1508" t="n">
        <x:v>-0.006</x:v>
      </x:c>
      <x:c r="F1508" t="n">
        <x:v>180</x:v>
      </x:c>
      <x:c r="G1508" t="n">
        <x:v>177</x:v>
      </x:c>
      <x:c r="H1508" t="n">
        <x:v>-3</x:v>
      </x:c>
      <x:c r="I1508" t="n">
        <x:v>-0.0167</x:v>
      </x:c>
      <x:c r="J1508" t="str">
        <x:v>Low</x:v>
      </x:c>
      <x:c r="K1508" t="n">
        <x:v>28.6</x:v>
      </x:c>
      <x:c r="L1508" t="n">
        <x:v>25.6</x:v>
      </x:c>
      <x:c r="M1508" t="n">
        <x:v>23.7</x:v>
      </x:c>
      <x:c r="N1508" t="str">
        <x:v>Optimistic</x:v>
      </x:c>
      <x:c r="O1508" t="str">
        <x:v>Optimistic</x:v>
      </x:c>
    </x:row>
    <x:row r="1509">
      <x:c r="A1509" t="str">
        <x:v>PJT_1508</x:v>
      </x:c>
      <x:c r="B1509" t="n">
        <x:v>48879420</x:v>
      </x:c>
      <x:c r="C1509" t="n">
        <x:v>48994253</x:v>
      </x:c>
      <x:c r="D1509" t="n">
        <x:v>114833</x:v>
      </x:c>
      <x:c r="E1509" t="n">
        <x:v>0.0023</x:v>
      </x:c>
      <x:c r="F1509" t="n">
        <x:v>858</x:v>
      </x:c>
      <x:c r="G1509" t="n">
        <x:v>910</x:v>
      </x:c>
      <x:c r="H1509" t="n">
        <x:v>52</x:v>
      </x:c>
      <x:c r="I1509" t="n">
        <x:v>0.0606</x:v>
      </x:c>
      <x:c r="J1509" t="str">
        <x:v>Medium</x:v>
      </x:c>
      <x:c r="K1509" t="n">
        <x:v>52.9</x:v>
      </x:c>
      <x:c r="L1509" t="n">
        <x:v>49.5</x:v>
      </x:c>
      <x:c r="M1509" t="n">
        <x:v>57.2</x:v>
      </x:c>
      <x:c r="N1509" t="str">
        <x:v>Most Likely</x:v>
      </x:c>
      <x:c r="O1509" t="str">
        <x:v>Most Likely</x:v>
      </x:c>
    </x:row>
    <x:row r="1510">
      <x:c r="A1510" t="str">
        <x:v>PJT_1509</x:v>
      </x:c>
      <x:c r="B1510" t="n">
        <x:v>13977840</x:v>
      </x:c>
      <x:c r="C1510" t="n">
        <x:v>14240151</x:v>
      </x:c>
      <x:c r="D1510" t="n">
        <x:v>262311</x:v>
      </x:c>
      <x:c r="E1510" t="n">
        <x:v>0.0188</x:v>
      </x:c>
      <x:c r="F1510" t="n">
        <x:v>228</x:v>
      </x:c>
      <x:c r="G1510" t="n">
        <x:v>231</x:v>
      </x:c>
      <x:c r="H1510" t="n">
        <x:v>3</x:v>
      </x:c>
      <x:c r="I1510" t="n">
        <x:v>0.0132</x:v>
      </x:c>
      <x:c r="J1510" t="str">
        <x:v>Low</x:v>
      </x:c>
      <x:c r="K1510" t="n">
        <x:v>27.7</x:v>
      </x:c>
      <x:c r="L1510" t="n">
        <x:v>30.3</x:v>
      </x:c>
      <x:c r="M1510" t="n">
        <x:v>29</x:v>
      </x:c>
      <x:c r="N1510" t="str">
        <x:v>Most Likely</x:v>
      </x:c>
      <x:c r="O1510" t="str">
        <x:v>Most Likely</x:v>
      </x:c>
    </x:row>
    <x:row r="1511">
      <x:c r="A1511" t="str">
        <x:v>PJT_1510</x:v>
      </x:c>
      <x:c r="B1511" t="n">
        <x:v>59684210</x:v>
      </x:c>
      <x:c r="C1511" t="n">
        <x:v>61477641</x:v>
      </x:c>
      <x:c r="D1511" t="n">
        <x:v>1793431</x:v>
      </x:c>
      <x:c r="E1511" t="n">
        <x:v>0.03</x:v>
      </x:c>
      <x:c r="F1511" t="n">
        <x:v>1132</x:v>
      </x:c>
      <x:c r="G1511" t="n">
        <x:v>1221</x:v>
      </x:c>
      <x:c r="H1511" t="n">
        <x:v>89</x:v>
      </x:c>
      <x:c r="I1511" t="n">
        <x:v>0.0786</x:v>
      </x:c>
      <x:c r="J1511" t="str">
        <x:v>Low</x:v>
      </x:c>
      <x:c r="K1511" t="n">
        <x:v>43.8</x:v>
      </x:c>
      <x:c r="L1511" t="n">
        <x:v>45.1</x:v>
      </x:c>
      <x:c r="M1511" t="n">
        <x:v>48.4</x:v>
      </x:c>
      <x:c r="N1511" t="str">
        <x:v>Most Likely</x:v>
      </x:c>
      <x:c r="O1511" t="str">
        <x:v>Most Likely</x:v>
      </x:c>
    </x:row>
    <x:row r="1512">
      <x:c r="A1512" t="str">
        <x:v>PJT_1511</x:v>
      </x:c>
      <x:c r="B1512" t="n">
        <x:v>18094000</x:v>
      </x:c>
      <x:c r="C1512" t="n">
        <x:v>18659275</x:v>
      </x:c>
      <x:c r="D1512" t="n">
        <x:v>565275</x:v>
      </x:c>
      <x:c r="E1512" t="n">
        <x:v>0.0312</x:v>
      </x:c>
      <x:c r="F1512" t="n">
        <x:v>434</x:v>
      </x:c>
      <x:c r="G1512" t="n">
        <x:v>444</x:v>
      </x:c>
      <x:c r="H1512" t="n">
        <x:v>10</x:v>
      </x:c>
      <x:c r="I1512" t="n">
        <x:v>0.023</x:v>
      </x:c>
      <x:c r="J1512" t="str">
        <x:v>Medium</x:v>
      </x:c>
      <x:c r="K1512" t="n">
        <x:v>52.2</x:v>
      </x:c>
      <x:c r="L1512" t="n">
        <x:v>48.8</x:v>
      </x:c>
      <x:c r="M1512" t="n">
        <x:v>46.2</x:v>
      </x:c>
      <x:c r="N1512" t="str">
        <x:v>Most Likely</x:v>
      </x:c>
      <x:c r="O1512" t="str">
        <x:v>Most Likely</x:v>
      </x:c>
    </x:row>
    <x:row r="1513">
      <x:c r="A1513" t="str">
        <x:v>PJT_1512</x:v>
      </x:c>
      <x:c r="B1513" t="n">
        <x:v>63927420</x:v>
      </x:c>
      <x:c r="C1513" t="n">
        <x:v>65295118</x:v>
      </x:c>
      <x:c r="D1513" t="n">
        <x:v>1367698</x:v>
      </x:c>
      <x:c r="E1513" t="n">
        <x:v>0.0214</x:v>
      </x:c>
      <x:c r="F1513" t="n">
        <x:v>1270</x:v>
      </x:c>
      <x:c r="G1513" t="n">
        <x:v>1311</x:v>
      </x:c>
      <x:c r="H1513" t="n">
        <x:v>41</x:v>
      </x:c>
      <x:c r="I1513" t="n">
        <x:v>0.0323</x:v>
      </x:c>
      <x:c r="J1513" t="str">
        <x:v>Medium</x:v>
      </x:c>
      <x:c r="K1513" t="n">
        <x:v>51.6</x:v>
      </x:c>
      <x:c r="L1513" t="n">
        <x:v>52.8</x:v>
      </x:c>
      <x:c r="M1513" t="n">
        <x:v>55.7</x:v>
      </x:c>
      <x:c r="N1513" t="str">
        <x:v>Most Likely</x:v>
      </x:c>
      <x:c r="O1513" t="str">
        <x:v>Most Likely</x:v>
      </x:c>
    </x:row>
    <x:row r="1514">
      <x:c r="A1514" t="str">
        <x:v>PJT_1513</x:v>
      </x:c>
      <x:c r="B1514" t="n">
        <x:v>67022830</x:v>
      </x:c>
      <x:c r="C1514" t="n">
        <x:v>80917716</x:v>
      </x:c>
      <x:c r="D1514" t="n">
        <x:v>13894886</x:v>
      </x:c>
      <x:c r="E1514" t="n">
        <x:v>0.2073</x:v>
      </x:c>
      <x:c r="F1514" t="n">
        <x:v>1292</x:v>
      </x:c>
      <x:c r="G1514" t="n">
        <x:v>1423</x:v>
      </x:c>
      <x:c r="H1514" t="n">
        <x:v>131</x:v>
      </x:c>
      <x:c r="I1514" t="n">
        <x:v>0.1014</x:v>
      </x:c>
      <x:c r="J1514" t="str">
        <x:v>Medium</x:v>
      </x:c>
      <x:c r="K1514" t="n">
        <x:v>66.8</x:v>
      </x:c>
      <x:c r="L1514" t="n">
        <x:v>71.8</x:v>
      </x:c>
      <x:c r="M1514" t="n">
        <x:v>60.6</x:v>
      </x:c>
      <x:c r="N1514" t="str">
        <x:v>Pessimistic</x:v>
      </x:c>
      <x:c r="O1514" t="str">
        <x:v>Pessimistic</x:v>
      </x:c>
    </x:row>
    <x:row r="1515">
      <x:c r="A1515" t="str">
        <x:v>PJT_1514</x:v>
      </x:c>
      <x:c r="B1515" t="n">
        <x:v>17056870</x:v>
      </x:c>
      <x:c r="C1515" t="n">
        <x:v>16283097</x:v>
      </x:c>
      <x:c r="D1515" t="n">
        <x:v>-773773</x:v>
      </x:c>
      <x:c r="E1515" t="n">
        <x:v>-0.0454</x:v>
      </x:c>
      <x:c r="F1515" t="n">
        <x:v>307</x:v>
      </x:c>
      <x:c r="G1515" t="n">
        <x:v>308</x:v>
      </x:c>
      <x:c r="H1515" t="n">
        <x:v>1</x:v>
      </x:c>
      <x:c r="I1515" t="n">
        <x:v>0.0033</x:v>
      </x:c>
      <x:c r="J1515" t="str">
        <x:v>Low</x:v>
      </x:c>
      <x:c r="K1515" t="n">
        <x:v>33.4</x:v>
      </x:c>
      <x:c r="L1515" t="n">
        <x:v>32.5</x:v>
      </x:c>
      <x:c r="M1515" t="n">
        <x:v>27.8</x:v>
      </x:c>
      <x:c r="N1515" t="str">
        <x:v>Optimistic</x:v>
      </x:c>
      <x:c r="O1515" t="str">
        <x:v>Most Likely</x:v>
      </x:c>
    </x:row>
    <x:row r="1516">
      <x:c r="A1516" t="str">
        <x:v>PJT_1515</x:v>
      </x:c>
      <x:c r="B1516" t="n">
        <x:v>81734400</x:v>
      </x:c>
      <x:c r="C1516" t="n">
        <x:v>86525667</x:v>
      </x:c>
      <x:c r="D1516" t="n">
        <x:v>4791267</x:v>
      </x:c>
      <x:c r="E1516" t="n">
        <x:v>0.0586</x:v>
      </x:c>
      <x:c r="F1516" t="n">
        <x:v>1646</x:v>
      </x:c>
      <x:c r="G1516" t="n">
        <x:v>1926</x:v>
      </x:c>
      <x:c r="H1516" t="n">
        <x:v>280</x:v>
      </x:c>
      <x:c r="I1516" t="n">
        <x:v>0.1701</x:v>
      </x:c>
      <x:c r="J1516" t="str">
        <x:v>High</x:v>
      </x:c>
      <x:c r="K1516" t="n">
        <x:v>69.4</x:v>
      </x:c>
      <x:c r="L1516" t="n">
        <x:v>74.1</x:v>
      </x:c>
      <x:c r="M1516" t="n">
        <x:v>73.8</x:v>
      </x:c>
      <x:c r="N1516" t="str">
        <x:v>Most Likely</x:v>
      </x:c>
      <x:c r="O1516" t="str">
        <x:v>Pessimistic</x:v>
      </x:c>
    </x:row>
    <x:row r="1517">
      <x:c r="A1517" t="str">
        <x:v>PJT_1516</x:v>
      </x:c>
      <x:c r="B1517" t="n">
        <x:v>11815560</x:v>
      </x:c>
      <x:c r="C1517" t="n">
        <x:v>11525229</x:v>
      </x:c>
      <x:c r="D1517" t="n">
        <x:v>-290331</x:v>
      </x:c>
      <x:c r="E1517" t="n">
        <x:v>-0.0246</x:v>
      </x:c>
      <x:c r="F1517" t="n">
        <x:v>295</x:v>
      </x:c>
      <x:c r="G1517" t="n">
        <x:v>293</x:v>
      </x:c>
      <x:c r="H1517" t="n">
        <x:v>-2</x:v>
      </x:c>
      <x:c r="I1517" t="n">
        <x:v>-0.0068</x:v>
      </x:c>
      <x:c r="J1517" t="str">
        <x:v>Low</x:v>
      </x:c>
      <x:c r="K1517" t="n">
        <x:v>32.8</x:v>
      </x:c>
      <x:c r="L1517" t="n">
        <x:v>32.6</x:v>
      </x:c>
      <x:c r="M1517" t="n">
        <x:v>35.4</x:v>
      </x:c>
      <x:c r="N1517" t="str">
        <x:v>Optimistic</x:v>
      </x:c>
      <x:c r="O1517" t="str">
        <x:v>Optimistic</x:v>
      </x:c>
    </x:row>
    <x:row r="1518">
      <x:c r="A1518" t="str">
        <x:v>PJT_1517</x:v>
      </x:c>
      <x:c r="B1518" t="n">
        <x:v>46847160</x:v>
      </x:c>
      <x:c r="C1518" t="n">
        <x:v>50399493</x:v>
      </x:c>
      <x:c r="D1518" t="n">
        <x:v>3552333</x:v>
      </x:c>
      <x:c r="E1518" t="n">
        <x:v>0.0758</x:v>
      </x:c>
      <x:c r="F1518" t="n">
        <x:v>813</x:v>
      </x:c>
      <x:c r="G1518" t="n">
        <x:v>887</x:v>
      </x:c>
      <x:c r="H1518" t="n">
        <x:v>74</x:v>
      </x:c>
      <x:c r="I1518" t="n">
        <x:v>0.091</x:v>
      </x:c>
      <x:c r="J1518" t="str">
        <x:v>Medium</x:v>
      </x:c>
      <x:c r="K1518" t="n">
        <x:v>63.3</x:v>
      </x:c>
      <x:c r="L1518" t="n">
        <x:v>63.3</x:v>
      </x:c>
      <x:c r="M1518" t="n">
        <x:v>58</x:v>
      </x:c>
      <x:c r="N1518" t="str">
        <x:v>Most Likely</x:v>
      </x:c>
      <x:c r="O1518" t="str">
        <x:v>Most Likely</x:v>
      </x:c>
    </x:row>
    <x:row r="1519">
      <x:c r="A1519" t="str">
        <x:v>PJT_1518</x:v>
      </x:c>
      <x:c r="B1519" t="n">
        <x:v>14828880</x:v>
      </x:c>
      <x:c r="C1519" t="n">
        <x:v>15759623</x:v>
      </x:c>
      <x:c r="D1519" t="n">
        <x:v>930743</x:v>
      </x:c>
      <x:c r="E1519" t="n">
        <x:v>0.0628</x:v>
      </x:c>
      <x:c r="F1519" t="n">
        <x:v>308</x:v>
      </x:c>
      <x:c r="G1519" t="n">
        <x:v>337</x:v>
      </x:c>
      <x:c r="H1519" t="n">
        <x:v>29</x:v>
      </x:c>
      <x:c r="I1519" t="n">
        <x:v>0.0942</x:v>
      </x:c>
      <x:c r="J1519" t="str">
        <x:v>Low</x:v>
      </x:c>
      <x:c r="K1519" t="n">
        <x:v>38.9</x:v>
      </x:c>
      <x:c r="L1519" t="n">
        <x:v>31.4</x:v>
      </x:c>
      <x:c r="M1519" t="n">
        <x:v>39.8</x:v>
      </x:c>
      <x:c r="N1519" t="str">
        <x:v>Most Likely</x:v>
      </x:c>
      <x:c r="O1519" t="str">
        <x:v>Most Likely</x:v>
      </x:c>
    </x:row>
    <x:row r="1520">
      <x:c r="A1520" t="str">
        <x:v>PJT_1519</x:v>
      </x:c>
      <x:c r="B1520" t="n">
        <x:v>102889640</x:v>
      </x:c>
      <x:c r="C1520" t="n">
        <x:v>115468507</x:v>
      </x:c>
      <x:c r="D1520" t="n">
        <x:v>12578867</x:v>
      </x:c>
      <x:c r="E1520" t="n">
        <x:v>0.1223</x:v>
      </x:c>
      <x:c r="F1520" t="n">
        <x:v>1584</x:v>
      </x:c>
      <x:c r="G1520" t="n">
        <x:v>1695</x:v>
      </x:c>
      <x:c r="H1520" t="n">
        <x:v>111</x:v>
      </x:c>
      <x:c r="I1520" t="n">
        <x:v>0.0701</x:v>
      </x:c>
      <x:c r="J1520" t="str">
        <x:v>Medium</x:v>
      </x:c>
      <x:c r="K1520" t="n">
        <x:v>62.1</x:v>
      </x:c>
      <x:c r="L1520" t="n">
        <x:v>65.7</x:v>
      </x:c>
      <x:c r="M1520" t="n">
        <x:v>61.3</x:v>
      </x:c>
      <x:c r="N1520" t="str">
        <x:v>Pessimistic</x:v>
      </x:c>
      <x:c r="O1520" t="str">
        <x:v>Most Likely</x:v>
      </x:c>
    </x:row>
    <x:row r="1521">
      <x:c r="A1521" t="str">
        <x:v>PJT_1520</x:v>
      </x:c>
      <x:c r="B1521" t="n">
        <x:v>54390360</x:v>
      </x:c>
      <x:c r="C1521" t="n">
        <x:v>55179444</x:v>
      </x:c>
      <x:c r="D1521" t="n">
        <x:v>789084</x:v>
      </x:c>
      <x:c r="E1521" t="n">
        <x:v>0.0145</x:v>
      </x:c>
      <x:c r="F1521" t="n">
        <x:v>840</x:v>
      </x:c>
      <x:c r="G1521" t="n">
        <x:v>859</x:v>
      </x:c>
      <x:c r="H1521" t="n">
        <x:v>19</x:v>
      </x:c>
      <x:c r="I1521" t="n">
        <x:v>0.0226</x:v>
      </x:c>
      <x:c r="J1521" t="str">
        <x:v>Medium</x:v>
      </x:c>
      <x:c r="K1521" t="n">
        <x:v>48.6</x:v>
      </x:c>
      <x:c r="L1521" t="n">
        <x:v>48.2</x:v>
      </x:c>
      <x:c r="M1521" t="n">
        <x:v>49.9</x:v>
      </x:c>
      <x:c r="N1521" t="str">
        <x:v>Most Likely</x:v>
      </x:c>
      <x:c r="O1521" t="str">
        <x:v>Most Likely</x:v>
      </x:c>
    </x:row>
    <x:row r="1522">
      <x:c r="A1522" t="str">
        <x:v>PJT_1521</x:v>
      </x:c>
      <x:c r="B1522" t="n">
        <x:v>15744620</x:v>
      </x:c>
      <x:c r="C1522" t="n">
        <x:v>15809854</x:v>
      </x:c>
      <x:c r="D1522" t="n">
        <x:v>65234</x:v>
      </x:c>
      <x:c r="E1522" t="n">
        <x:v>0.0041</x:v>
      </x:c>
      <x:c r="F1522" t="n">
        <x:v>300</x:v>
      </x:c>
      <x:c r="G1522" t="n">
        <x:v>299</x:v>
      </x:c>
      <x:c r="H1522" t="n">
        <x:v>-1</x:v>
      </x:c>
      <x:c r="I1522" t="n">
        <x:v>-0.0033</x:v>
      </x:c>
      <x:c r="J1522" t="str">
        <x:v>Low</x:v>
      </x:c>
      <x:c r="K1522" t="n">
        <x:v>24</x:v>
      </x:c>
      <x:c r="L1522" t="n">
        <x:v>25.4</x:v>
      </x:c>
      <x:c r="M1522" t="n">
        <x:v>25.5</x:v>
      </x:c>
      <x:c r="N1522" t="str">
        <x:v>Most Likely</x:v>
      </x:c>
      <x:c r="O1522" t="str">
        <x:v>Optimistic</x:v>
      </x:c>
    </x:row>
    <x:row r="1523">
      <x:c r="A1523" t="str">
        <x:v>PJT_1522</x:v>
      </x:c>
      <x:c r="B1523" t="n">
        <x:v>62011950</x:v>
      </x:c>
      <x:c r="C1523" t="n">
        <x:v>71621849</x:v>
      </x:c>
      <x:c r="D1523" t="n">
        <x:v>9609899</x:v>
      </x:c>
      <x:c r="E1523" t="n">
        <x:v>0.155</x:v>
      </x:c>
      <x:c r="F1523" t="n">
        <x:v>1198</x:v>
      </x:c>
      <x:c r="G1523" t="n">
        <x:v>1319</x:v>
      </x:c>
      <x:c r="H1523" t="n">
        <x:v>121</x:v>
      </x:c>
      <x:c r="I1523" t="n">
        <x:v>0.101</x:v>
      </x:c>
      <x:c r="J1523" t="str">
        <x:v>Medium</x:v>
      </x:c>
      <x:c r="K1523" t="n">
        <x:v>66.7</x:v>
      </x:c>
      <x:c r="L1523" t="n">
        <x:v>65.2</x:v>
      </x:c>
      <x:c r="M1523" t="n">
        <x:v>72.1</x:v>
      </x:c>
      <x:c r="N1523" t="str">
        <x:v>Pessimistic</x:v>
      </x:c>
      <x:c r="O1523" t="str">
        <x:v>Pessimistic</x:v>
      </x:c>
    </x:row>
    <x:row r="1524">
      <x:c r="A1524" t="str">
        <x:v>PJT_1523</x:v>
      </x:c>
      <x:c r="B1524" t="n">
        <x:v>64395630</x:v>
      </x:c>
      <x:c r="C1524" t="n">
        <x:v>70852670</x:v>
      </x:c>
      <x:c r="D1524" t="n">
        <x:v>6457040</x:v>
      </x:c>
      <x:c r="E1524" t="n">
        <x:v>0.1003</x:v>
      </x:c>
      <x:c r="F1524" t="n">
        <x:v>1264</x:v>
      </x:c>
      <x:c r="G1524" t="n">
        <x:v>1336</x:v>
      </x:c>
      <x:c r="H1524" t="n">
        <x:v>72</x:v>
      </x:c>
      <x:c r="I1524" t="n">
        <x:v>0.057</x:v>
      </x:c>
      <x:c r="J1524" t="str">
        <x:v>Medium</x:v>
      </x:c>
      <x:c r="K1524" t="n">
        <x:v>56.4</x:v>
      </x:c>
      <x:c r="L1524" t="n">
        <x:v>61.2</x:v>
      </x:c>
      <x:c r="M1524" t="n">
        <x:v>59.3</x:v>
      </x:c>
      <x:c r="N1524" t="str">
        <x:v>Pessimistic</x:v>
      </x:c>
      <x:c r="O1524" t="str">
        <x:v>Most Likely</x:v>
      </x:c>
    </x:row>
    <x:row r="1525">
      <x:c r="A1525" t="str">
        <x:v>PJT_1524</x:v>
      </x:c>
      <x:c r="B1525" t="n">
        <x:v>25060040</x:v>
      </x:c>
      <x:c r="C1525" t="n">
        <x:v>26342167</x:v>
      </x:c>
      <x:c r="D1525" t="n">
        <x:v>1282127</x:v>
      </x:c>
      <x:c r="E1525" t="n">
        <x:v>0.0512</x:v>
      </x:c>
      <x:c r="F1525" t="n">
        <x:v>466</x:v>
      </x:c>
      <x:c r="G1525" t="n">
        <x:v>520</x:v>
      </x:c>
      <x:c r="H1525" t="n">
        <x:v>54</x:v>
      </x:c>
      <x:c r="I1525" t="n">
        <x:v>0.1159</x:v>
      </x:c>
      <x:c r="J1525" t="str">
        <x:v>Medium</x:v>
      </x:c>
      <x:c r="K1525" t="n">
        <x:v>50.1</x:v>
      </x:c>
      <x:c r="L1525" t="n">
        <x:v>51</x:v>
      </x:c>
      <x:c r="M1525" t="n">
        <x:v>56.8</x:v>
      </x:c>
      <x:c r="N1525" t="str">
        <x:v>Most Likely</x:v>
      </x:c>
      <x:c r="O1525" t="str">
        <x:v>Pessimistic</x:v>
      </x:c>
    </x:row>
    <x:row r="1526">
      <x:c r="A1526" t="str">
        <x:v>PJT_1525</x:v>
      </x:c>
      <x:c r="B1526" t="n">
        <x:v>50810760</x:v>
      </x:c>
      <x:c r="C1526" t="n">
        <x:v>49631668</x:v>
      </x:c>
      <x:c r="D1526" t="n">
        <x:v>-1179092</x:v>
      </x:c>
      <x:c r="E1526" t="n">
        <x:v>-0.0232</x:v>
      </x:c>
      <x:c r="F1526" t="n">
        <x:v>819</x:v>
      </x:c>
      <x:c r="G1526" t="n">
        <x:v>862</x:v>
      </x:c>
      <x:c r="H1526" t="n">
        <x:v>43</x:v>
      </x:c>
      <x:c r="I1526" t="n">
        <x:v>0.0525</x:v>
      </x:c>
      <x:c r="J1526" t="str">
        <x:v>Medium</x:v>
      </x:c>
      <x:c r="K1526" t="n">
        <x:v>51.6</x:v>
      </x:c>
      <x:c r="L1526" t="n">
        <x:v>46.8</x:v>
      </x:c>
      <x:c r="M1526" t="n">
        <x:v>51.1</x:v>
      </x:c>
      <x:c r="N1526" t="str">
        <x:v>Optimistic</x:v>
      </x:c>
      <x:c r="O1526" t="str">
        <x:v>Most Likely</x:v>
      </x:c>
    </x:row>
    <x:row r="1527">
      <x:c r="A1527" t="str">
        <x:v>PJT_1526</x:v>
      </x:c>
      <x:c r="B1527" t="n">
        <x:v>35811040</x:v>
      </x:c>
      <x:c r="C1527" t="n">
        <x:v>39121748</x:v>
      </x:c>
      <x:c r="D1527" t="n">
        <x:v>3310708</x:v>
      </x:c>
      <x:c r="E1527" t="n">
        <x:v>0.0924</x:v>
      </x:c>
      <x:c r="F1527" t="n">
        <x:v>771</x:v>
      </x:c>
      <x:c r="G1527" t="n">
        <x:v>807</x:v>
      </x:c>
      <x:c r="H1527" t="n">
        <x:v>36</x:v>
      </x:c>
      <x:c r="I1527" t="n">
        <x:v>0.0467</x:v>
      </x:c>
      <x:c r="J1527" t="str">
        <x:v>Medium</x:v>
      </x:c>
      <x:c r="K1527" t="n">
        <x:v>55</x:v>
      </x:c>
      <x:c r="L1527" t="n">
        <x:v>51</x:v>
      </x:c>
      <x:c r="M1527" t="n">
        <x:v>57.2</x:v>
      </x:c>
      <x:c r="N1527" t="str">
        <x:v>Most Likely</x:v>
      </x:c>
      <x:c r="O1527" t="str">
        <x:v>Most Likely</x:v>
      </x:c>
    </x:row>
    <x:row r="1528">
      <x:c r="A1528" t="str">
        <x:v>PJT_1527</x:v>
      </x:c>
      <x:c r="B1528" t="n">
        <x:v>26885160</x:v>
      </x:c>
      <x:c r="C1528" t="n">
        <x:v>27850683</x:v>
      </x:c>
      <x:c r="D1528" t="n">
        <x:v>965523</x:v>
      </x:c>
      <x:c r="E1528" t="n">
        <x:v>0.0359</x:v>
      </x:c>
      <x:c r="F1528" t="n">
        <x:v>651</x:v>
      </x:c>
      <x:c r="G1528" t="n">
        <x:v>684</x:v>
      </x:c>
      <x:c r="H1528" t="n">
        <x:v>33</x:v>
      </x:c>
      <x:c r="I1528" t="n">
        <x:v>0.0507</x:v>
      </x:c>
      <x:c r="J1528" t="str">
        <x:v>Medium</x:v>
      </x:c>
      <x:c r="K1528" t="n">
        <x:v>55.6</x:v>
      </x:c>
      <x:c r="L1528" t="n">
        <x:v>50.4</x:v>
      </x:c>
      <x:c r="M1528" t="n">
        <x:v>50.4</x:v>
      </x:c>
      <x:c r="N1528" t="str">
        <x:v>Most Likely</x:v>
      </x:c>
      <x:c r="O1528" t="str">
        <x:v>Most Likely</x:v>
      </x:c>
    </x:row>
    <x:row r="1529">
      <x:c r="A1529" t="str">
        <x:v>PJT_1528</x:v>
      </x:c>
      <x:c r="B1529" t="n">
        <x:v>57456560</x:v>
      </x:c>
      <x:c r="C1529" t="n">
        <x:v>60589381</x:v>
      </x:c>
      <x:c r="D1529" t="n">
        <x:v>3132821</x:v>
      </x:c>
      <x:c r="E1529" t="n">
        <x:v>0.0545</x:v>
      </x:c>
      <x:c r="F1529" t="n">
        <x:v>1017</x:v>
      </x:c>
      <x:c r="G1529" t="n">
        <x:v>1131</x:v>
      </x:c>
      <x:c r="H1529" t="n">
        <x:v>114</x:v>
      </x:c>
      <x:c r="I1529" t="n">
        <x:v>0.1121</x:v>
      </x:c>
      <x:c r="J1529" t="str">
        <x:v>Medium</x:v>
      </x:c>
      <x:c r="K1529" t="n">
        <x:v>55.7</x:v>
      </x:c>
      <x:c r="L1529" t="n">
        <x:v>59</x:v>
      </x:c>
      <x:c r="M1529" t="n">
        <x:v>53.4</x:v>
      </x:c>
      <x:c r="N1529" t="str">
        <x:v>Most Likely</x:v>
      </x:c>
      <x:c r="O1529" t="str">
        <x:v>Pessimistic</x:v>
      </x:c>
    </x:row>
    <x:row r="1530">
      <x:c r="A1530" t="str">
        <x:v>PJT_1529</x:v>
      </x:c>
      <x:c r="B1530" t="n">
        <x:v>74087250</x:v>
      </x:c>
      <x:c r="C1530" t="n">
        <x:v>87389764</x:v>
      </x:c>
      <x:c r="D1530" t="n">
        <x:v>13302514</x:v>
      </x:c>
      <x:c r="E1530" t="n">
        <x:v>0.1796</x:v>
      </x:c>
      <x:c r="F1530" t="n">
        <x:v>1443</x:v>
      </x:c>
      <x:c r="G1530" t="n">
        <x:v>1524</x:v>
      </x:c>
      <x:c r="H1530" t="n">
        <x:v>81</x:v>
      </x:c>
      <x:c r="I1530" t="n">
        <x:v>0.0561</x:v>
      </x:c>
      <x:c r="J1530" t="str">
        <x:v>Medium</x:v>
      </x:c>
      <x:c r="K1530" t="n">
        <x:v>64.4</x:v>
      </x:c>
      <x:c r="L1530" t="n">
        <x:v>69.4</x:v>
      </x:c>
      <x:c r="M1530" t="n">
        <x:v>63.5</x:v>
      </x:c>
      <x:c r="N1530" t="str">
        <x:v>Pessimistic</x:v>
      </x:c>
      <x:c r="O1530" t="str">
        <x:v>Most Likely</x:v>
      </x:c>
    </x:row>
    <x:row r="1531">
      <x:c r="A1531" t="str">
        <x:v>PJT_1530</x:v>
      </x:c>
      <x:c r="B1531" t="n">
        <x:v>37357280</x:v>
      </x:c>
      <x:c r="C1531" t="n">
        <x:v>40876840</x:v>
      </x:c>
      <x:c r="D1531" t="n">
        <x:v>3519560</x:v>
      </x:c>
      <x:c r="E1531" t="n">
        <x:v>0.0942</x:v>
      </x:c>
      <x:c r="F1531" t="n">
        <x:v>581</x:v>
      </x:c>
      <x:c r="G1531" t="n">
        <x:v>621</x:v>
      </x:c>
      <x:c r="H1531" t="n">
        <x:v>40</x:v>
      </x:c>
      <x:c r="I1531" t="n">
        <x:v>0.0688</x:v>
      </x:c>
      <x:c r="J1531" t="str">
        <x:v>Medium</x:v>
      </x:c>
      <x:c r="K1531" t="n">
        <x:v>52</x:v>
      </x:c>
      <x:c r="L1531" t="n">
        <x:v>54.4</x:v>
      </x:c>
      <x:c r="M1531" t="n">
        <x:v>59.4</x:v>
      </x:c>
      <x:c r="N1531" t="str">
        <x:v>Most Likely</x:v>
      </x:c>
      <x:c r="O1531" t="str">
        <x:v>Most Likely</x:v>
      </x:c>
    </x:row>
    <x:row r="1532">
      <x:c r="A1532" t="str">
        <x:v>PJT_1531</x:v>
      </x:c>
      <x:c r="B1532" t="n">
        <x:v>12757100</x:v>
      </x:c>
      <x:c r="C1532" t="n">
        <x:v>12573099</x:v>
      </x:c>
      <x:c r="D1532" t="n">
        <x:v>-184001</x:v>
      </x:c>
      <x:c r="E1532" t="n">
        <x:v>-0.0144</x:v>
      </x:c>
      <x:c r="F1532" t="n">
        <x:v>278</x:v>
      </x:c>
      <x:c r="G1532" t="n">
        <x:v>258</x:v>
      </x:c>
      <x:c r="H1532" t="n">
        <x:v>-20</x:v>
      </x:c>
      <x:c r="I1532" t="n">
        <x:v>-0.0719</x:v>
      </x:c>
      <x:c r="J1532" t="str">
        <x:v>Low</x:v>
      </x:c>
      <x:c r="K1532" t="n">
        <x:v>37.5</x:v>
      </x:c>
      <x:c r="L1532" t="n">
        <x:v>35.5</x:v>
      </x:c>
      <x:c r="M1532" t="n">
        <x:v>30.5</x:v>
      </x:c>
      <x:c r="N1532" t="str">
        <x:v>Optimistic</x:v>
      </x:c>
      <x:c r="O1532" t="str">
        <x:v>Optimistic</x:v>
      </x:c>
    </x:row>
    <x:row r="1533">
      <x:c r="A1533" t="str">
        <x:v>PJT_1532</x:v>
      </x:c>
      <x:c r="B1533" t="n">
        <x:v>36456100</x:v>
      </x:c>
      <x:c r="C1533" t="n">
        <x:v>38002757</x:v>
      </x:c>
      <x:c r="D1533" t="n">
        <x:v>1546657</x:v>
      </x:c>
      <x:c r="E1533" t="n">
        <x:v>0.0424</x:v>
      </x:c>
      <x:c r="F1533" t="n">
        <x:v>880</x:v>
      </x:c>
      <x:c r="G1533" t="n">
        <x:v>838</x:v>
      </x:c>
      <x:c r="H1533" t="n">
        <x:v>-42</x:v>
      </x:c>
      <x:c r="I1533" t="n">
        <x:v>-0.0477</x:v>
      </x:c>
      <x:c r="J1533" t="str">
        <x:v>Low</x:v>
      </x:c>
      <x:c r="K1533" t="n">
        <x:v>43.4</x:v>
      </x:c>
      <x:c r="L1533" t="n">
        <x:v>47.3</x:v>
      </x:c>
      <x:c r="M1533" t="n">
        <x:v>46.8</x:v>
      </x:c>
      <x:c r="N1533" t="str">
        <x:v>Most Likely</x:v>
      </x:c>
      <x:c r="O1533" t="str">
        <x:v>Optimistic</x:v>
      </x:c>
    </x:row>
    <x:row r="1534">
      <x:c r="A1534" t="str">
        <x:v>PJT_1533</x:v>
      </x:c>
      <x:c r="B1534" t="n">
        <x:v>73664990</x:v>
      </x:c>
      <x:c r="C1534" t="n">
        <x:v>80280992</x:v>
      </x:c>
      <x:c r="D1534" t="n">
        <x:v>6616002</x:v>
      </x:c>
      <x:c r="E1534" t="n">
        <x:v>0.0898</x:v>
      </x:c>
      <x:c r="F1534" t="n">
        <x:v>1474</x:v>
      </x:c>
      <x:c r="G1534" t="n">
        <x:v>1564</x:v>
      </x:c>
      <x:c r="H1534" t="n">
        <x:v>90</x:v>
      </x:c>
      <x:c r="I1534" t="n">
        <x:v>0.0611</x:v>
      </x:c>
      <x:c r="J1534" t="str">
        <x:v>Medium</x:v>
      </x:c>
      <x:c r="K1534" t="n">
        <x:v>62.2</x:v>
      </x:c>
      <x:c r="L1534" t="n">
        <x:v>71</x:v>
      </x:c>
      <x:c r="M1534" t="n">
        <x:v>66.3</x:v>
      </x:c>
      <x:c r="N1534" t="str">
        <x:v>Most Likely</x:v>
      </x:c>
      <x:c r="O1534" t="str">
        <x:v>Most Likely</x:v>
      </x:c>
    </x:row>
    <x:row r="1535">
      <x:c r="A1535" t="str">
        <x:v>PJT_1534</x:v>
      </x:c>
      <x:c r="B1535" t="n">
        <x:v>31824940</x:v>
      </x:c>
      <x:c r="C1535" t="n">
        <x:v>32824392</x:v>
      </x:c>
      <x:c r="D1535" t="n">
        <x:v>999452</x:v>
      </x:c>
      <x:c r="E1535" t="n">
        <x:v>0.0314</x:v>
      </x:c>
      <x:c r="F1535" t="n">
        <x:v>684</x:v>
      </x:c>
      <x:c r="G1535" t="n">
        <x:v>693</x:v>
      </x:c>
      <x:c r="H1535" t="n">
        <x:v>9</x:v>
      </x:c>
      <x:c r="I1535" t="n">
        <x:v>0.0132</x:v>
      </x:c>
      <x:c r="J1535" t="str">
        <x:v>Medium</x:v>
      </x:c>
      <x:c r="K1535" t="n">
        <x:v>50.7</x:v>
      </x:c>
      <x:c r="L1535" t="n">
        <x:v>49.4</x:v>
      </x:c>
      <x:c r="M1535" t="n">
        <x:v>54.8</x:v>
      </x:c>
      <x:c r="N1535" t="str">
        <x:v>Most Likely</x:v>
      </x:c>
      <x:c r="O1535" t="str">
        <x:v>Most Likely</x:v>
      </x:c>
    </x:row>
    <x:row r="1536">
      <x:c r="A1536" t="str">
        <x:v>PJT_1535</x:v>
      </x:c>
      <x:c r="B1536" t="n">
        <x:v>17978160</x:v>
      </x:c>
      <x:c r="C1536" t="n">
        <x:v>18521738</x:v>
      </x:c>
      <x:c r="D1536" t="n">
        <x:v>543578</x:v>
      </x:c>
      <x:c r="E1536" t="n">
        <x:v>0.0302</x:v>
      </x:c>
      <x:c r="F1536" t="n">
        <x:v>429</x:v>
      </x:c>
      <x:c r="G1536" t="n">
        <x:v>421</x:v>
      </x:c>
      <x:c r="H1536" t="n">
        <x:v>-8</x:v>
      </x:c>
      <x:c r="I1536" t="n">
        <x:v>-0.0186</x:v>
      </x:c>
      <x:c r="J1536" t="str">
        <x:v>Low</x:v>
      </x:c>
      <x:c r="K1536" t="n">
        <x:v>30.2</x:v>
      </x:c>
      <x:c r="L1536" t="n">
        <x:v>35.8</x:v>
      </x:c>
      <x:c r="M1536" t="n">
        <x:v>31.3</x:v>
      </x:c>
      <x:c r="N1536" t="str">
        <x:v>Most Likely</x:v>
      </x:c>
      <x:c r="O1536" t="str">
        <x:v>Optimistic</x:v>
      </x:c>
    </x:row>
    <x:row r="1537">
      <x:c r="A1537" t="str">
        <x:v>PJT_1536</x:v>
      </x:c>
      <x:c r="B1537" t="n">
        <x:v>21333280</x:v>
      </x:c>
      <x:c r="C1537" t="n">
        <x:v>21507337</x:v>
      </x:c>
      <x:c r="D1537" t="n">
        <x:v>174057</x:v>
      </x:c>
      <x:c r="E1537" t="n">
        <x:v>0.0082</x:v>
      </x:c>
      <x:c r="F1537" t="n">
        <x:v>447</x:v>
      </x:c>
      <x:c r="G1537" t="n">
        <x:v>468</x:v>
      </x:c>
      <x:c r="H1537" t="n">
        <x:v>21</x:v>
      </x:c>
      <x:c r="I1537" t="n">
        <x:v>0.047</x:v>
      </x:c>
      <x:c r="J1537" t="str">
        <x:v>Medium</x:v>
      </x:c>
      <x:c r="K1537" t="n">
        <x:v>49.2</x:v>
      </x:c>
      <x:c r="L1537" t="n">
        <x:v>48.5</x:v>
      </x:c>
      <x:c r="M1537" t="n">
        <x:v>47.3</x:v>
      </x:c>
      <x:c r="N1537" t="str">
        <x:v>Most Likely</x:v>
      </x:c>
      <x:c r="O1537" t="str">
        <x:v>Most Likely</x:v>
      </x:c>
    </x:row>
    <x:row r="1538">
      <x:c r="A1538" t="str">
        <x:v>PJT_1537</x:v>
      </x:c>
      <x:c r="B1538" t="n">
        <x:v>110550910</x:v>
      </x:c>
      <x:c r="C1538" t="n">
        <x:v>120719004</x:v>
      </x:c>
      <x:c r="D1538" t="n">
        <x:v>10168094</x:v>
      </x:c>
      <x:c r="E1538" t="n">
        <x:v>0.092</x:v>
      </x:c>
      <x:c r="F1538" t="n">
        <x:v>2158</x:v>
      </x:c>
      <x:c r="G1538" t="n">
        <x:v>2309</x:v>
      </x:c>
      <x:c r="H1538" t="n">
        <x:v>151</x:v>
      </x:c>
      <x:c r="I1538" t="n">
        <x:v>0.07</x:v>
      </x:c>
      <x:c r="J1538" t="str">
        <x:v>Medium</x:v>
      </x:c>
      <x:c r="K1538" t="n">
        <x:v>61</x:v>
      </x:c>
      <x:c r="L1538" t="n">
        <x:v>66.2</x:v>
      </x:c>
      <x:c r="M1538" t="n">
        <x:v>65.3</x:v>
      </x:c>
      <x:c r="N1538" t="str">
        <x:v>Most Likely</x:v>
      </x:c>
      <x:c r="O1538" t="str">
        <x:v>Most Likely</x:v>
      </x:c>
    </x:row>
    <x:row r="1539">
      <x:c r="A1539" t="str">
        <x:v>PJT_1538</x:v>
      </x:c>
      <x:c r="B1539" t="n">
        <x:v>14929750</x:v>
      </x:c>
      <x:c r="C1539" t="n">
        <x:v>14130386</x:v>
      </x:c>
      <x:c r="D1539" t="n">
        <x:v>-799364</x:v>
      </x:c>
      <x:c r="E1539" t="n">
        <x:v>-0.0535</x:v>
      </x:c>
      <x:c r="F1539" t="n">
        <x:v>284</x:v>
      </x:c>
      <x:c r="G1539" t="n">
        <x:v>289</x:v>
      </x:c>
      <x:c r="H1539" t="n">
        <x:v>5</x:v>
      </x:c>
      <x:c r="I1539" t="n">
        <x:v>0.0176</x:v>
      </x:c>
      <x:c r="J1539" t="str">
        <x:v>Low</x:v>
      </x:c>
      <x:c r="K1539" t="n">
        <x:v>26.7</x:v>
      </x:c>
      <x:c r="L1539" t="n">
        <x:v>22</x:v>
      </x:c>
      <x:c r="M1539" t="n">
        <x:v>22</x:v>
      </x:c>
      <x:c r="N1539" t="str">
        <x:v>Optimistic</x:v>
      </x:c>
      <x:c r="O1539" t="str">
        <x:v>Most Likely</x:v>
      </x:c>
    </x:row>
    <x:row r="1540">
      <x:c r="A1540" t="str">
        <x:v>PJT_1539</x:v>
      </x:c>
      <x:c r="B1540" t="n">
        <x:v>96883410</x:v>
      </x:c>
      <x:c r="C1540" t="n">
        <x:v>102398804</x:v>
      </x:c>
      <x:c r="D1540" t="n">
        <x:v>5515394</x:v>
      </x:c>
      <x:c r="E1540" t="n">
        <x:v>0.0569</x:v>
      </x:c>
      <x:c r="F1540" t="n">
        <x:v>1889</x:v>
      </x:c>
      <x:c r="G1540" t="n">
        <x:v>2126</x:v>
      </x:c>
      <x:c r="H1540" t="n">
        <x:v>237</x:v>
      </x:c>
      <x:c r="I1540" t="n">
        <x:v>0.1255</x:v>
      </x:c>
      <x:c r="J1540" t="str">
        <x:v>Medium</x:v>
      </x:c>
      <x:c r="K1540" t="n">
        <x:v>58.4</x:v>
      </x:c>
      <x:c r="L1540" t="n">
        <x:v>61.2</x:v>
      </x:c>
      <x:c r="M1540" t="n">
        <x:v>57.5</x:v>
      </x:c>
      <x:c r="N1540" t="str">
        <x:v>Most Likely</x:v>
      </x:c>
      <x:c r="O1540" t="str">
        <x:v>Pessimistic</x:v>
      </x:c>
    </x:row>
    <x:row r="1541">
      <x:c r="A1541" t="str">
        <x:v>PJT_1540</x:v>
      </x:c>
      <x:c r="B1541" t="n">
        <x:v>73738080</x:v>
      </x:c>
      <x:c r="C1541" t="n">
        <x:v>78830251</x:v>
      </x:c>
      <x:c r="D1541" t="n">
        <x:v>5092171</x:v>
      </x:c>
      <x:c r="E1541" t="n">
        <x:v>0.0691</x:v>
      </x:c>
      <x:c r="F1541" t="n">
        <x:v>1337</x:v>
      </x:c>
      <x:c r="G1541" t="n">
        <x:v>1339</x:v>
      </x:c>
      <x:c r="H1541" t="n">
        <x:v>2</x:v>
      </x:c>
      <x:c r="I1541" t="n">
        <x:v>0.0015</x:v>
      </x:c>
      <x:c r="J1541" t="str">
        <x:v>Medium</x:v>
      </x:c>
      <x:c r="K1541" t="n">
        <x:v>57.1</x:v>
      </x:c>
      <x:c r="L1541" t="n">
        <x:v>55.2</x:v>
      </x:c>
      <x:c r="M1541" t="n">
        <x:v>52.6</x:v>
      </x:c>
      <x:c r="N1541" t="str">
        <x:v>Most Likely</x:v>
      </x:c>
      <x:c r="O1541" t="str">
        <x:v>Most Likely</x:v>
      </x:c>
    </x:row>
    <x:row r="1542">
      <x:c r="A1542" t="str">
        <x:v>PJT_1541</x:v>
      </x:c>
      <x:c r="B1542" t="n">
        <x:v>48075960</x:v>
      </x:c>
      <x:c r="C1542" t="n">
        <x:v>49940576</x:v>
      </x:c>
      <x:c r="D1542" t="n">
        <x:v>1864616</x:v>
      </x:c>
      <x:c r="E1542" t="n">
        <x:v>0.0388</x:v>
      </x:c>
      <x:c r="F1542" t="n">
        <x:v>876</x:v>
      </x:c>
      <x:c r="G1542" t="n">
        <x:v>863</x:v>
      </x:c>
      <x:c r="H1542" t="n">
        <x:v>-13</x:v>
      </x:c>
      <x:c r="I1542" t="n">
        <x:v>-0.0148</x:v>
      </x:c>
      <x:c r="J1542" t="str">
        <x:v>Medium</x:v>
      </x:c>
      <x:c r="K1542" t="n">
        <x:v>46.3</x:v>
      </x:c>
      <x:c r="L1542" t="n">
        <x:v>46.5</x:v>
      </x:c>
      <x:c r="M1542" t="n">
        <x:v>43.2</x:v>
      </x:c>
      <x:c r="N1542" t="str">
        <x:v>Most Likely</x:v>
      </x:c>
      <x:c r="O1542" t="str">
        <x:v>Optimistic</x:v>
      </x:c>
    </x:row>
    <x:row r="1543">
      <x:c r="A1543" t="str">
        <x:v>PJT_1542</x:v>
      </x:c>
      <x:c r="B1543" t="n">
        <x:v>5307140</x:v>
      </x:c>
      <x:c r="C1543" t="n">
        <x:v>5096738</x:v>
      </x:c>
      <x:c r="D1543" t="n">
        <x:v>-210402</x:v>
      </x:c>
      <x:c r="E1543" t="n">
        <x:v>-0.0396</x:v>
      </x:c>
      <x:c r="F1543" t="n">
        <x:v>180</x:v>
      </x:c>
      <x:c r="G1543" t="n">
        <x:v>187</x:v>
      </x:c>
      <x:c r="H1543" t="n">
        <x:v>7</x:v>
      </x:c>
      <x:c r="I1543" t="n">
        <x:v>0.0389</x:v>
      </x:c>
      <x:c r="J1543" t="str">
        <x:v>Low</x:v>
      </x:c>
      <x:c r="K1543" t="n">
        <x:v>32.4</x:v>
      </x:c>
      <x:c r="L1543" t="n">
        <x:v>26.2</x:v>
      </x:c>
      <x:c r="M1543" t="n">
        <x:v>34.8</x:v>
      </x:c>
      <x:c r="N1543" t="str">
        <x:v>Optimistic</x:v>
      </x:c>
      <x:c r="O1543" t="str">
        <x:v>Most Likely</x:v>
      </x:c>
    </x:row>
    <x:row r="1544">
      <x:c r="A1544" t="str">
        <x:v>PJT_1543</x:v>
      </x:c>
      <x:c r="B1544" t="n">
        <x:v>41937630</x:v>
      </x:c>
      <x:c r="C1544" t="n">
        <x:v>44058114</x:v>
      </x:c>
      <x:c r="D1544" t="n">
        <x:v>2120484</x:v>
      </x:c>
      <x:c r="E1544" t="n">
        <x:v>0.0506</x:v>
      </x:c>
      <x:c r="F1544" t="n">
        <x:v>819</x:v>
      </x:c>
      <x:c r="G1544" t="n">
        <x:v>829</x:v>
      </x:c>
      <x:c r="H1544" t="n">
        <x:v>10</x:v>
      </x:c>
      <x:c r="I1544" t="n">
        <x:v>0.0122</x:v>
      </x:c>
      <x:c r="J1544" t="str">
        <x:v>Low</x:v>
      </x:c>
      <x:c r="K1544" t="n">
        <x:v>43</x:v>
      </x:c>
      <x:c r="L1544" t="n">
        <x:v>52.1</x:v>
      </x:c>
      <x:c r="M1544" t="n">
        <x:v>39.8</x:v>
      </x:c>
      <x:c r="N1544" t="str">
        <x:v>Most Likely</x:v>
      </x:c>
      <x:c r="O1544" t="str">
        <x:v>Most Likely</x:v>
      </x:c>
    </x:row>
    <x:row r="1545">
      <x:c r="A1545" t="str">
        <x:v>PJT_1544</x:v>
      </x:c>
      <x:c r="B1545" t="n">
        <x:v>38115630</x:v>
      </x:c>
      <x:c r="C1545" t="n">
        <x:v>37210549</x:v>
      </x:c>
      <x:c r="D1545" t="n">
        <x:v>-905081</x:v>
      </x:c>
      <x:c r="E1545" t="n">
        <x:v>-0.0237</x:v>
      </x:c>
      <x:c r="F1545" t="n">
        <x:v>709</x:v>
      </x:c>
      <x:c r="G1545" t="n">
        <x:v>720</x:v>
      </x:c>
      <x:c r="H1545" t="n">
        <x:v>11</x:v>
      </x:c>
      <x:c r="I1545" t="n">
        <x:v>0.0155</x:v>
      </x:c>
      <x:c r="J1545" t="str">
        <x:v>Low</x:v>
      </x:c>
      <x:c r="K1545" t="n">
        <x:v>39.8</x:v>
      </x:c>
      <x:c r="L1545" t="n">
        <x:v>44.8</x:v>
      </x:c>
      <x:c r="M1545" t="n">
        <x:v>43.8</x:v>
      </x:c>
      <x:c r="N1545" t="str">
        <x:v>Optimistic</x:v>
      </x:c>
      <x:c r="O1545" t="str">
        <x:v>Most Likely</x:v>
      </x:c>
    </x:row>
    <x:row r="1546">
      <x:c r="A1546" t="str">
        <x:v>PJT_1545</x:v>
      </x:c>
      <x:c r="B1546" t="n">
        <x:v>86119800</x:v>
      </x:c>
      <x:c r="C1546" t="n">
        <x:v>98119999</x:v>
      </x:c>
      <x:c r="D1546" t="n">
        <x:v>12000199</x:v>
      </x:c>
      <x:c r="E1546" t="n">
        <x:v>0.1393</x:v>
      </x:c>
      <x:c r="F1546" t="n">
        <x:v>1646</x:v>
      </x:c>
      <x:c r="G1546" t="n">
        <x:v>1853</x:v>
      </x:c>
      <x:c r="H1546" t="n">
        <x:v>207</x:v>
      </x:c>
      <x:c r="I1546" t="n">
        <x:v>0.1258</x:v>
      </x:c>
      <x:c r="J1546" t="str">
        <x:v>High</x:v>
      </x:c>
      <x:c r="K1546" t="n">
        <x:v>69.1</x:v>
      </x:c>
      <x:c r="L1546" t="n">
        <x:v>70.3</x:v>
      </x:c>
      <x:c r="M1546" t="n">
        <x:v>66</x:v>
      </x:c>
      <x:c r="N1546" t="str">
        <x:v>Pessimistic</x:v>
      </x:c>
      <x:c r="O1546" t="str">
        <x:v>Pessimistic</x:v>
      </x:c>
    </x:row>
    <x:row r="1547">
      <x:c r="A1547" t="str">
        <x:v>PJT_1546</x:v>
      </x:c>
      <x:c r="B1547" t="n">
        <x:v>68363120</x:v>
      </x:c>
      <x:c r="C1547" t="n">
        <x:v>71593551</x:v>
      </x:c>
      <x:c r="D1547" t="n">
        <x:v>3230431</x:v>
      </x:c>
      <x:c r="E1547" t="n">
        <x:v>0.0473</x:v>
      </x:c>
      <x:c r="F1547" t="n">
        <x:v>1146</x:v>
      </x:c>
      <x:c r="G1547" t="n">
        <x:v>1251</x:v>
      </x:c>
      <x:c r="H1547" t="n">
        <x:v>105</x:v>
      </x:c>
      <x:c r="I1547" t="n">
        <x:v>0.0916</x:v>
      </x:c>
      <x:c r="J1547" t="str">
        <x:v>Medium</x:v>
      </x:c>
      <x:c r="K1547" t="n">
        <x:v>54.5</x:v>
      </x:c>
      <x:c r="L1547" t="n">
        <x:v>64</x:v>
      </x:c>
      <x:c r="M1547" t="n">
        <x:v>55.2</x:v>
      </x:c>
      <x:c r="N1547" t="str">
        <x:v>Most Likely</x:v>
      </x:c>
      <x:c r="O1547" t="str">
        <x:v>Most Likely</x:v>
      </x:c>
    </x:row>
    <x:row r="1548">
      <x:c r="A1548" t="str">
        <x:v>PJT_1547</x:v>
      </x:c>
      <x:c r="B1548" t="n">
        <x:v>66243680</x:v>
      </x:c>
      <x:c r="C1548" t="n">
        <x:v>70032267</x:v>
      </x:c>
      <x:c r="D1548" t="n">
        <x:v>3788587</x:v>
      </x:c>
      <x:c r="E1548" t="n">
        <x:v>0.0572</x:v>
      </x:c>
      <x:c r="F1548" t="n">
        <x:v>1254</x:v>
      </x:c>
      <x:c r="G1548" t="n">
        <x:v>1364</x:v>
      </x:c>
      <x:c r="H1548" t="n">
        <x:v>110</x:v>
      </x:c>
      <x:c r="I1548" t="n">
        <x:v>0.0877</x:v>
      </x:c>
      <x:c r="J1548" t="str">
        <x:v>High</x:v>
      </x:c>
      <x:c r="K1548" t="n">
        <x:v>69</x:v>
      </x:c>
      <x:c r="L1548" t="n">
        <x:v>70</x:v>
      </x:c>
      <x:c r="M1548" t="n">
        <x:v>73.7</x:v>
      </x:c>
      <x:c r="N1548" t="str">
        <x:v>Most Likely</x:v>
      </x:c>
      <x:c r="O1548" t="str">
        <x:v>Most Likely</x:v>
      </x:c>
    </x:row>
    <x:row r="1549">
      <x:c r="A1549" t="str">
        <x:v>PJT_1548</x:v>
      </x:c>
      <x:c r="B1549" t="n">
        <x:v>50156160</x:v>
      </x:c>
      <x:c r="C1549" t="n">
        <x:v>53598467</x:v>
      </x:c>
      <x:c r="D1549" t="n">
        <x:v>3442307</x:v>
      </x:c>
      <x:c r="E1549" t="n">
        <x:v>0.0686</x:v>
      </x:c>
      <x:c r="F1549" t="n">
        <x:v>1011</x:v>
      </x:c>
      <x:c r="G1549" t="n">
        <x:v>1066</x:v>
      </x:c>
      <x:c r="H1549" t="n">
        <x:v>55</x:v>
      </x:c>
      <x:c r="I1549" t="n">
        <x:v>0.0544</x:v>
      </x:c>
      <x:c r="J1549" t="str">
        <x:v>Low</x:v>
      </x:c>
      <x:c r="K1549" t="n">
        <x:v>39.3</x:v>
      </x:c>
      <x:c r="L1549" t="n">
        <x:v>48</x:v>
      </x:c>
      <x:c r="M1549" t="n">
        <x:v>42.5</x:v>
      </x:c>
      <x:c r="N1549" t="str">
        <x:v>Most Likely</x:v>
      </x:c>
      <x:c r="O1549" t="str">
        <x:v>Most Likely</x:v>
      </x:c>
    </x:row>
    <x:row r="1550">
      <x:c r="A1550" t="str">
        <x:v>PJT_1549</x:v>
      </x:c>
      <x:c r="B1550" t="n">
        <x:v>37118400</x:v>
      </x:c>
      <x:c r="C1550" t="n">
        <x:v>35885208</x:v>
      </x:c>
      <x:c r="D1550" t="n">
        <x:v>-1233192</x:v>
      </x:c>
      <x:c r="E1550" t="n">
        <x:v>-0.0332</x:v>
      </x:c>
      <x:c r="F1550" t="n">
        <x:v>842</x:v>
      </x:c>
      <x:c r="G1550" t="n">
        <x:v>884</x:v>
      </x:c>
      <x:c r="H1550" t="n">
        <x:v>42</x:v>
      </x:c>
      <x:c r="I1550" t="n">
        <x:v>0.0499</x:v>
      </x:c>
      <x:c r="J1550" t="str">
        <x:v>Medium</x:v>
      </x:c>
      <x:c r="K1550" t="n">
        <x:v>48.3</x:v>
      </x:c>
      <x:c r="L1550" t="n">
        <x:v>49.3</x:v>
      </x:c>
      <x:c r="M1550" t="n">
        <x:v>45.9</x:v>
      </x:c>
      <x:c r="N1550" t="str">
        <x:v>Optimistic</x:v>
      </x:c>
      <x:c r="O1550" t="str">
        <x:v>Most Likely</x:v>
      </x:c>
    </x:row>
    <x:row r="1551">
      <x:c r="A1551" t="str">
        <x:v>PJT_1550</x:v>
      </x:c>
      <x:c r="B1551" t="n">
        <x:v>48902700</x:v>
      </x:c>
      <x:c r="C1551" t="n">
        <x:v>51204414</x:v>
      </x:c>
      <x:c r="D1551" t="n">
        <x:v>2301714</x:v>
      </x:c>
      <x:c r="E1551" t="n">
        <x:v>0.0471</x:v>
      </x:c>
      <x:c r="F1551" t="n">
        <x:v>836</x:v>
      </x:c>
      <x:c r="G1551" t="n">
        <x:v>850</x:v>
      </x:c>
      <x:c r="H1551" t="n">
        <x:v>14</x:v>
      </x:c>
      <x:c r="I1551" t="n">
        <x:v>0.0167</x:v>
      </x:c>
      <x:c r="J1551" t="str">
        <x:v>Medium</x:v>
      </x:c>
      <x:c r="K1551" t="n">
        <x:v>49.1</x:v>
      </x:c>
      <x:c r="L1551" t="n">
        <x:v>46.3</x:v>
      </x:c>
      <x:c r="M1551" t="n">
        <x:v>48.9</x:v>
      </x:c>
      <x:c r="N1551" t="str">
        <x:v>Most Likely</x:v>
      </x:c>
      <x:c r="O1551" t="str">
        <x:v>Most Likely</x:v>
      </x:c>
    </x:row>
    <x:row r="1552">
      <x:c r="A1552" t="str">
        <x:v>PJT_1551</x:v>
      </x:c>
      <x:c r="B1552" t="n">
        <x:v>35511600</x:v>
      </x:c>
      <x:c r="C1552" t="n">
        <x:v>36076510</x:v>
      </x:c>
      <x:c r="D1552" t="n">
        <x:v>564910</x:v>
      </x:c>
      <x:c r="E1552" t="n">
        <x:v>0.0159</x:v>
      </x:c>
      <x:c r="F1552" t="n">
        <x:v>684</x:v>
      </x:c>
      <x:c r="G1552" t="n">
        <x:v>720</x:v>
      </x:c>
      <x:c r="H1552" t="n">
        <x:v>36</x:v>
      </x:c>
      <x:c r="I1552" t="n">
        <x:v>0.0526</x:v>
      </x:c>
      <x:c r="J1552" t="str">
        <x:v>Medium</x:v>
      </x:c>
      <x:c r="K1552" t="n">
        <x:v>55.4</x:v>
      </x:c>
      <x:c r="L1552" t="n">
        <x:v>47.8</x:v>
      </x:c>
      <x:c r="M1552" t="n">
        <x:v>51.7</x:v>
      </x:c>
      <x:c r="N1552" t="str">
        <x:v>Most Likely</x:v>
      </x:c>
      <x:c r="O1552" t="str">
        <x:v>Most Likely</x:v>
      </x:c>
    </x:row>
    <x:row r="1553">
      <x:c r="A1553" t="str">
        <x:v>PJT_1552</x:v>
      </x:c>
      <x:c r="B1553" t="n">
        <x:v>14040520</x:v>
      </x:c>
      <x:c r="C1553" t="n">
        <x:v>13990851</x:v>
      </x:c>
      <x:c r="D1553" t="n">
        <x:v>-49669</x:v>
      </x:c>
      <x:c r="E1553" t="n">
        <x:v>-0.0035</x:v>
      </x:c>
      <x:c r="F1553" t="n">
        <x:v>213</x:v>
      </x:c>
      <x:c r="G1553" t="n">
        <x:v>219</x:v>
      </x:c>
      <x:c r="H1553" t="n">
        <x:v>6</x:v>
      </x:c>
      <x:c r="I1553" t="n">
        <x:v>0.0282</x:v>
      </x:c>
      <x:c r="J1553" t="str">
        <x:v>Low</x:v>
      </x:c>
      <x:c r="K1553" t="n">
        <x:v>32.3</x:v>
      </x:c>
      <x:c r="L1553" t="n">
        <x:v>31.7</x:v>
      </x:c>
      <x:c r="M1553" t="n">
        <x:v>27.7</x:v>
      </x:c>
      <x:c r="N1553" t="str">
        <x:v>Optimistic</x:v>
      </x:c>
      <x:c r="O1553" t="str">
        <x:v>Most Likely</x:v>
      </x:c>
    </x:row>
    <x:row r="1554">
      <x:c r="A1554" t="str">
        <x:v>PJT_1553</x:v>
      </x:c>
      <x:c r="B1554" t="n">
        <x:v>25089750</x:v>
      </x:c>
      <x:c r="C1554" t="n">
        <x:v>23964702</x:v>
      </x:c>
      <x:c r="D1554" t="n">
        <x:v>-1125048</x:v>
      </x:c>
      <x:c r="E1554" t="n">
        <x:v>-0.0448</x:v>
      </x:c>
      <x:c r="F1554" t="n">
        <x:v>483</x:v>
      </x:c>
      <x:c r="G1554" t="n">
        <x:v>448</x:v>
      </x:c>
      <x:c r="H1554" t="n">
        <x:v>-35</x:v>
      </x:c>
      <x:c r="I1554" t="n">
        <x:v>-0.0725</x:v>
      </x:c>
      <x:c r="J1554" t="str">
        <x:v>Low</x:v>
      </x:c>
      <x:c r="K1554" t="n">
        <x:v>27.3</x:v>
      </x:c>
      <x:c r="L1554" t="n">
        <x:v>29.6</x:v>
      </x:c>
      <x:c r="M1554" t="n">
        <x:v>27.6</x:v>
      </x:c>
      <x:c r="N1554" t="str">
        <x:v>Optimistic</x:v>
      </x:c>
      <x:c r="O1554" t="str">
        <x:v>Optimistic</x:v>
      </x:c>
    </x:row>
    <x:row r="1555">
      <x:c r="A1555" t="str">
        <x:v>PJT_1554</x:v>
      </x:c>
      <x:c r="B1555" t="n">
        <x:v>15100650</x:v>
      </x:c>
      <x:c r="C1555" t="n">
        <x:v>14598867</x:v>
      </x:c>
      <x:c r="D1555" t="n">
        <x:v>-501783</x:v>
      </x:c>
      <x:c r="E1555" t="n">
        <x:v>-0.0332</x:v>
      </x:c>
      <x:c r="F1555" t="n">
        <x:v>369</x:v>
      </x:c>
      <x:c r="G1555" t="n">
        <x:v>376</x:v>
      </x:c>
      <x:c r="H1555" t="n">
        <x:v>7</x:v>
      </x:c>
      <x:c r="I1555" t="n">
        <x:v>0.019</x:v>
      </x:c>
      <x:c r="J1555" t="str">
        <x:v>Low</x:v>
      </x:c>
      <x:c r="K1555" t="n">
        <x:v>38.5</x:v>
      </x:c>
      <x:c r="L1555" t="n">
        <x:v>34.1</x:v>
      </x:c>
      <x:c r="M1555" t="n">
        <x:v>29.8</x:v>
      </x:c>
      <x:c r="N1555" t="str">
        <x:v>Optimistic</x:v>
      </x:c>
      <x:c r="O1555" t="str">
        <x:v>Most Likely</x:v>
      </x:c>
    </x:row>
    <x:row r="1556">
      <x:c r="A1556" t="str">
        <x:v>PJT_1555</x:v>
      </x:c>
      <x:c r="B1556" t="n">
        <x:v>35013230</x:v>
      </x:c>
      <x:c r="C1556" t="n">
        <x:v>33607768</x:v>
      </x:c>
      <x:c r="D1556" t="n">
        <x:v>-1405462</x:v>
      </x:c>
      <x:c r="E1556" t="n">
        <x:v>-0.0401</x:v>
      </x:c>
      <x:c r="F1556" t="n">
        <x:v>699</x:v>
      </x:c>
      <x:c r="G1556" t="n">
        <x:v>735</x:v>
      </x:c>
      <x:c r="H1556" t="n">
        <x:v>36</x:v>
      </x:c>
      <x:c r="I1556" t="n">
        <x:v>0.0515</x:v>
      </x:c>
      <x:c r="J1556" t="str">
        <x:v>Medium</x:v>
      </x:c>
      <x:c r="K1556" t="n">
        <x:v>45.3</x:v>
      </x:c>
      <x:c r="L1556" t="n">
        <x:v>47.6</x:v>
      </x:c>
      <x:c r="M1556" t="n">
        <x:v>48.6</x:v>
      </x:c>
      <x:c r="N1556" t="str">
        <x:v>Optimistic</x:v>
      </x:c>
      <x:c r="O1556" t="str">
        <x:v>Most Likely</x:v>
      </x:c>
    </x:row>
    <x:row r="1557">
      <x:c r="A1557" t="str">
        <x:v>PJT_1556</x:v>
      </x:c>
      <x:c r="B1557" t="n">
        <x:v>28515240</x:v>
      </x:c>
      <x:c r="C1557" t="n">
        <x:v>31111887</x:v>
      </x:c>
      <x:c r="D1557" t="n">
        <x:v>2596647</x:v>
      </x:c>
      <x:c r="E1557" t="n">
        <x:v>0.0911</x:v>
      </x:c>
      <x:c r="F1557" t="n">
        <x:v>590</x:v>
      </x:c>
      <x:c r="G1557" t="n">
        <x:v>568</x:v>
      </x:c>
      <x:c r="H1557" t="n">
        <x:v>-22</x:v>
      </x:c>
      <x:c r="I1557" t="n">
        <x:v>-0.0373</x:v>
      </x:c>
      <x:c r="J1557" t="str">
        <x:v>Low</x:v>
      </x:c>
      <x:c r="K1557" t="n">
        <x:v>39.4</x:v>
      </x:c>
      <x:c r="L1557" t="n">
        <x:v>41.2</x:v>
      </x:c>
      <x:c r="M1557" t="n">
        <x:v>41.3</x:v>
      </x:c>
      <x:c r="N1557" t="str">
        <x:v>Most Likely</x:v>
      </x:c>
      <x:c r="O1557" t="str">
        <x:v>Optimistic</x:v>
      </x:c>
    </x:row>
    <x:row r="1558">
      <x:c r="A1558" t="str">
        <x:v>PJT_1557</x:v>
      </x:c>
      <x:c r="B1558" t="n">
        <x:v>61797050</x:v>
      </x:c>
      <x:c r="C1558" t="n">
        <x:v>71877480</x:v>
      </x:c>
      <x:c r="D1558" t="n">
        <x:v>10080430</x:v>
      </x:c>
      <x:c r="E1558" t="n">
        <x:v>0.1631</x:v>
      </x:c>
      <x:c r="F1558" t="n">
        <x:v>1025</x:v>
      </x:c>
      <x:c r="G1558" t="n">
        <x:v>1136</x:v>
      </x:c>
      <x:c r="H1558" t="n">
        <x:v>111</x:v>
      </x:c>
      <x:c r="I1558" t="n">
        <x:v>0.1083</x:v>
      </x:c>
      <x:c r="J1558" t="str">
        <x:v>High</x:v>
      </x:c>
      <x:c r="K1558" t="n">
        <x:v>69.2</x:v>
      </x:c>
      <x:c r="L1558" t="n">
        <x:v>67.6</x:v>
      </x:c>
      <x:c r="M1558" t="n">
        <x:v>67.4</x:v>
      </x:c>
      <x:c r="N1558" t="str">
        <x:v>Pessimistic</x:v>
      </x:c>
      <x:c r="O1558" t="str">
        <x:v>Pessimistic</x:v>
      </x:c>
    </x:row>
    <x:row r="1559">
      <x:c r="A1559" t="str">
        <x:v>PJT_1558</x:v>
      </x:c>
      <x:c r="B1559" t="n">
        <x:v>18777600</x:v>
      </x:c>
      <x:c r="C1559" t="n">
        <x:v>18904843</x:v>
      </x:c>
      <x:c r="D1559" t="n">
        <x:v>127243</x:v>
      </x:c>
      <x:c r="E1559" t="n">
        <x:v>0.0068</x:v>
      </x:c>
      <x:c r="F1559" t="n">
        <x:v>365</x:v>
      </x:c>
      <x:c r="G1559" t="n">
        <x:v>369</x:v>
      </x:c>
      <x:c r="H1559" t="n">
        <x:v>4</x:v>
      </x:c>
      <x:c r="I1559" t="n">
        <x:v>0.011</x:v>
      </x:c>
      <x:c r="J1559" t="str">
        <x:v>Medium</x:v>
      </x:c>
      <x:c r="K1559" t="n">
        <x:v>47.4</x:v>
      </x:c>
      <x:c r="L1559" t="n">
        <x:v>46.9</x:v>
      </x:c>
      <x:c r="M1559" t="n">
        <x:v>43.8</x:v>
      </x:c>
      <x:c r="N1559" t="str">
        <x:v>Most Likely</x:v>
      </x:c>
      <x:c r="O1559" t="str">
        <x:v>Most Likely</x:v>
      </x:c>
    </x:row>
    <x:row r="1560">
      <x:c r="A1560" t="str">
        <x:v>PJT_1559</x:v>
      </x:c>
      <x:c r="B1560" t="n">
        <x:v>78886330</x:v>
      </x:c>
      <x:c r="C1560" t="n">
        <x:v>84356917</x:v>
      </x:c>
      <x:c r="D1560" t="n">
        <x:v>5470587</x:v>
      </x:c>
      <x:c r="E1560" t="n">
        <x:v>0.0693</x:v>
      </x:c>
      <x:c r="F1560" t="n">
        <x:v>1541</x:v>
      </x:c>
      <x:c r="G1560" t="n">
        <x:v>1609</x:v>
      </x:c>
      <x:c r="H1560" t="n">
        <x:v>68</x:v>
      </x:c>
      <x:c r="I1560" t="n">
        <x:v>0.0441</x:v>
      </x:c>
      <x:c r="J1560" t="str">
        <x:v>Medium</x:v>
      </x:c>
      <x:c r="K1560" t="n">
        <x:v>49.9</x:v>
      </x:c>
      <x:c r="L1560" t="n">
        <x:v>52.2</x:v>
      </x:c>
      <x:c r="M1560" t="n">
        <x:v>51.5</x:v>
      </x:c>
      <x:c r="N1560" t="str">
        <x:v>Most Likely</x:v>
      </x:c>
      <x:c r="O1560" t="str">
        <x:v>Most Likely</x:v>
      </x:c>
    </x:row>
    <x:row r="1561">
      <x:c r="A1561" t="str">
        <x:v>PJT_1560</x:v>
      </x:c>
      <x:c r="B1561" t="n">
        <x:v>53719160</x:v>
      </x:c>
      <x:c r="C1561" t="n">
        <x:v>54972470</x:v>
      </x:c>
      <x:c r="D1561" t="n">
        <x:v>1253310</x:v>
      </x:c>
      <x:c r="E1561" t="n">
        <x:v>0.0233</x:v>
      </x:c>
      <x:c r="F1561" t="n">
        <x:v>957</x:v>
      </x:c>
      <x:c r="G1561" t="n">
        <x:v>943</x:v>
      </x:c>
      <x:c r="H1561" t="n">
        <x:v>-14</x:v>
      </x:c>
      <x:c r="I1561" t="n">
        <x:v>-0.0146</x:v>
      </x:c>
      <x:c r="J1561" t="str">
        <x:v>Low</x:v>
      </x:c>
      <x:c r="K1561" t="n">
        <x:v>40.9</x:v>
      </x:c>
      <x:c r="L1561" t="n">
        <x:v>43.5</x:v>
      </x:c>
      <x:c r="M1561" t="n">
        <x:v>39.2</x:v>
      </x:c>
      <x:c r="N1561" t="str">
        <x:v>Most Likely</x:v>
      </x:c>
      <x:c r="O1561" t="str">
        <x:v>Optimistic</x:v>
      </x:c>
    </x:row>
    <x:row r="1562">
      <x:c r="A1562" t="str">
        <x:v>PJT_1561</x:v>
      </x:c>
      <x:c r="B1562" t="n">
        <x:v>41249040</x:v>
      </x:c>
      <x:c r="C1562" t="n">
        <x:v>42949272</x:v>
      </x:c>
      <x:c r="D1562" t="n">
        <x:v>1700232</x:v>
      </x:c>
      <x:c r="E1562" t="n">
        <x:v>0.0412</x:v>
      </x:c>
      <x:c r="F1562" t="n">
        <x:v>716</x:v>
      </x:c>
      <x:c r="G1562" t="n">
        <x:v>750</x:v>
      </x:c>
      <x:c r="H1562" t="n">
        <x:v>34</x:v>
      </x:c>
      <x:c r="I1562" t="n">
        <x:v>0.0475</x:v>
      </x:c>
      <x:c r="J1562" t="str">
        <x:v>Low</x:v>
      </x:c>
      <x:c r="K1562" t="n">
        <x:v>43</x:v>
      </x:c>
      <x:c r="L1562" t="n">
        <x:v>46.6</x:v>
      </x:c>
      <x:c r="M1562" t="n">
        <x:v>43.1</x:v>
      </x:c>
      <x:c r="N1562" t="str">
        <x:v>Most Likely</x:v>
      </x:c>
      <x:c r="O1562" t="str">
        <x:v>Most Likely</x:v>
      </x:c>
    </x:row>
    <x:row r="1563">
      <x:c r="A1563" t="str">
        <x:v>PJT_1562</x:v>
      </x:c>
      <x:c r="B1563" t="n">
        <x:v>34220070</x:v>
      </x:c>
      <x:c r="C1563" t="n">
        <x:v>35453529</x:v>
      </x:c>
      <x:c r="D1563" t="n">
        <x:v>1233459</x:v>
      </x:c>
      <x:c r="E1563" t="n">
        <x:v>0.036</x:v>
      </x:c>
      <x:c r="F1563" t="n">
        <x:v>887</x:v>
      </x:c>
      <x:c r="G1563" t="n">
        <x:v>884</x:v>
      </x:c>
      <x:c r="H1563" t="n">
        <x:v>-3</x:v>
      </x:c>
      <x:c r="I1563" t="n">
        <x:v>-0.0034</x:v>
      </x:c>
      <x:c r="J1563" t="str">
        <x:v>Low</x:v>
      </x:c>
      <x:c r="K1563" t="n">
        <x:v>44.1</x:v>
      </x:c>
      <x:c r="L1563" t="n">
        <x:v>41.9</x:v>
      </x:c>
      <x:c r="M1563" t="n">
        <x:v>45.8</x:v>
      </x:c>
      <x:c r="N1563" t="str">
        <x:v>Most Likely</x:v>
      </x:c>
      <x:c r="O1563" t="str">
        <x:v>Optimistic</x:v>
      </x:c>
    </x:row>
    <x:row r="1564">
      <x:c r="A1564" t="str">
        <x:v>PJT_1563</x:v>
      </x:c>
      <x:c r="B1564" t="n">
        <x:v>17030000</x:v>
      </x:c>
      <x:c r="C1564" t="n">
        <x:v>15701063</x:v>
      </x:c>
      <x:c r="D1564" t="n">
        <x:v>-1328937</x:v>
      </x:c>
      <x:c r="E1564" t="n">
        <x:v>-0.078</x:v>
      </x:c>
      <x:c r="F1564" t="n">
        <x:v>402</x:v>
      </x:c>
      <x:c r="G1564" t="n">
        <x:v>426</x:v>
      </x:c>
      <x:c r="H1564" t="n">
        <x:v>24</x:v>
      </x:c>
      <x:c r="I1564" t="n">
        <x:v>0.0597</x:v>
      </x:c>
      <x:c r="J1564" t="str">
        <x:v>Medium</x:v>
      </x:c>
      <x:c r="K1564" t="n">
        <x:v>47.1</x:v>
      </x:c>
      <x:c r="L1564" t="n">
        <x:v>36.2</x:v>
      </x:c>
      <x:c r="M1564" t="n">
        <x:v>46.7</x:v>
      </x:c>
      <x:c r="N1564" t="str">
        <x:v>Optimistic</x:v>
      </x:c>
      <x:c r="O1564" t="str">
        <x:v>Most Likely</x:v>
      </x:c>
    </x:row>
    <x:row r="1565">
      <x:c r="A1565" t="str">
        <x:v>PJT_1564</x:v>
      </x:c>
      <x:c r="B1565" t="n">
        <x:v>31091840</x:v>
      </x:c>
      <x:c r="C1565" t="n">
        <x:v>32747724</x:v>
      </x:c>
      <x:c r="D1565" t="n">
        <x:v>1655884</x:v>
      </x:c>
      <x:c r="E1565" t="n">
        <x:v>0.0533</x:v>
      </x:c>
      <x:c r="F1565" t="n">
        <x:v>585</x:v>
      </x:c>
      <x:c r="G1565" t="n">
        <x:v>618</x:v>
      </x:c>
      <x:c r="H1565" t="n">
        <x:v>33</x:v>
      </x:c>
      <x:c r="I1565" t="n">
        <x:v>0.0564</x:v>
      </x:c>
      <x:c r="J1565" t="str">
        <x:v>Medium</x:v>
      </x:c>
      <x:c r="K1565" t="n">
        <x:v>50</x:v>
      </x:c>
      <x:c r="L1565" t="n">
        <x:v>58.1</x:v>
      </x:c>
      <x:c r="M1565" t="n">
        <x:v>52.6</x:v>
      </x:c>
      <x:c r="N1565" t="str">
        <x:v>Most Likely</x:v>
      </x:c>
      <x:c r="O1565" t="str">
        <x:v>Most Likely</x:v>
      </x:c>
    </x:row>
    <x:row r="1566">
      <x:c r="A1566" t="str">
        <x:v>PJT_1565</x:v>
      </x:c>
      <x:c r="B1566" t="n">
        <x:v>23420500</x:v>
      </x:c>
      <x:c r="C1566" t="n">
        <x:v>23096756</x:v>
      </x:c>
      <x:c r="D1566" t="n">
        <x:v>-323744</x:v>
      </x:c>
      <x:c r="E1566" t="n">
        <x:v>-0.0138</x:v>
      </x:c>
      <x:c r="F1566" t="n">
        <x:v>654</x:v>
      </x:c>
      <x:c r="G1566" t="n">
        <x:v>658</x:v>
      </x:c>
      <x:c r="H1566" t="n">
        <x:v>4</x:v>
      </x:c>
      <x:c r="I1566" t="n">
        <x:v>0.0061</x:v>
      </x:c>
      <x:c r="J1566" t="str">
        <x:v>Low</x:v>
      </x:c>
      <x:c r="K1566" t="n">
        <x:v>44</x:v>
      </x:c>
      <x:c r="L1566" t="n">
        <x:v>44.7</x:v>
      </x:c>
      <x:c r="M1566" t="n">
        <x:v>48.1</x:v>
      </x:c>
      <x:c r="N1566" t="str">
        <x:v>Optimistic</x:v>
      </x:c>
      <x:c r="O1566" t="str">
        <x:v>Most Likely</x:v>
      </x:c>
    </x:row>
    <x:row r="1567">
      <x:c r="A1567" t="str">
        <x:v>PJT_1566</x:v>
      </x:c>
      <x:c r="B1567" t="n">
        <x:v>43050000</x:v>
      </x:c>
      <x:c r="C1567" t="n">
        <x:v>42873413</x:v>
      </x:c>
      <x:c r="D1567" t="n">
        <x:v>-176587</x:v>
      </x:c>
      <x:c r="E1567" t="n">
        <x:v>-0.0041</x:v>
      </x:c>
      <x:c r="F1567" t="n">
        <x:v>835</x:v>
      </x:c>
      <x:c r="G1567" t="n">
        <x:v>882</x:v>
      </x:c>
      <x:c r="H1567" t="n">
        <x:v>47</x:v>
      </x:c>
      <x:c r="I1567" t="n">
        <x:v>0.0563</x:v>
      </x:c>
      <x:c r="J1567" t="str">
        <x:v>Medium</x:v>
      </x:c>
      <x:c r="K1567" t="n">
        <x:v>51.5</x:v>
      </x:c>
      <x:c r="L1567" t="n">
        <x:v>48.1</x:v>
      </x:c>
      <x:c r="M1567" t="n">
        <x:v>53.7</x:v>
      </x:c>
      <x:c r="N1567" t="str">
        <x:v>Optimistic</x:v>
      </x:c>
      <x:c r="O1567" t="str">
        <x:v>Most Likely</x:v>
      </x:c>
    </x:row>
    <x:row r="1568">
      <x:c r="A1568" t="str">
        <x:v>PJT_1567</x:v>
      </x:c>
      <x:c r="B1568" t="n">
        <x:v>22301220</x:v>
      </x:c>
      <x:c r="C1568" t="n">
        <x:v>21654485</x:v>
      </x:c>
      <x:c r="D1568" t="n">
        <x:v>-646735</x:v>
      </x:c>
      <x:c r="E1568" t="n">
        <x:v>-0.029</x:v>
      </x:c>
      <x:c r="F1568" t="n">
        <x:v>480</x:v>
      </x:c>
      <x:c r="G1568" t="n">
        <x:v>456</x:v>
      </x:c>
      <x:c r="H1568" t="n">
        <x:v>-24</x:v>
      </x:c>
      <x:c r="I1568" t="n">
        <x:v>-0.05</x:v>
      </x:c>
      <x:c r="J1568" t="str">
        <x:v>Low</x:v>
      </x:c>
      <x:c r="K1568" t="n">
        <x:v>40.3</x:v>
      </x:c>
      <x:c r="L1568" t="n">
        <x:v>42.1</x:v>
      </x:c>
      <x:c r="M1568" t="n">
        <x:v>36.8</x:v>
      </x:c>
      <x:c r="N1568" t="str">
        <x:v>Optimistic</x:v>
      </x:c>
      <x:c r="O1568" t="str">
        <x:v>Optimistic</x:v>
      </x:c>
    </x:row>
    <x:row r="1569">
      <x:c r="A1569" t="str">
        <x:v>PJT_1568</x:v>
      </x:c>
      <x:c r="B1569" t="n">
        <x:v>15625710</x:v>
      </x:c>
      <x:c r="C1569" t="n">
        <x:v>14745755</x:v>
      </x:c>
      <x:c r="D1569" t="n">
        <x:v>-879955</x:v>
      </x:c>
      <x:c r="E1569" t="n">
        <x:v>-0.0563</x:v>
      </x:c>
      <x:c r="F1569" t="n">
        <x:v>307</x:v>
      </x:c>
      <x:c r="G1569" t="n">
        <x:v>323</x:v>
      </x:c>
      <x:c r="H1569" t="n">
        <x:v>16</x:v>
      </x:c>
      <x:c r="I1569" t="n">
        <x:v>0.0521</x:v>
      </x:c>
      <x:c r="J1569" t="str">
        <x:v>Low</x:v>
      </x:c>
      <x:c r="K1569" t="n">
        <x:v>40.4</x:v>
      </x:c>
      <x:c r="L1569" t="n">
        <x:v>38.1</x:v>
      </x:c>
      <x:c r="M1569" t="n">
        <x:v>42.1</x:v>
      </x:c>
      <x:c r="N1569" t="str">
        <x:v>Optimistic</x:v>
      </x:c>
      <x:c r="O1569" t="str">
        <x:v>Most Likely</x:v>
      </x:c>
    </x:row>
    <x:row r="1570">
      <x:c r="A1570" t="str">
        <x:v>PJT_1569</x:v>
      </x:c>
      <x:c r="B1570" t="n">
        <x:v>73536480</x:v>
      </x:c>
      <x:c r="C1570" t="n">
        <x:v>76460467</x:v>
      </x:c>
      <x:c r="D1570" t="n">
        <x:v>2923987</x:v>
      </x:c>
      <x:c r="E1570" t="n">
        <x:v>0.0398</x:v>
      </x:c>
      <x:c r="F1570" t="n">
        <x:v>1316</x:v>
      </x:c>
      <x:c r="G1570" t="n">
        <x:v>1346</x:v>
      </x:c>
      <x:c r="H1570" t="n">
        <x:v>30</x:v>
      </x:c>
      <x:c r="I1570" t="n">
        <x:v>0.0228</x:v>
      </x:c>
      <x:c r="J1570" t="str">
        <x:v>Medium</x:v>
      </x:c>
      <x:c r="K1570" t="n">
        <x:v>56.8</x:v>
      </x:c>
      <x:c r="L1570" t="n">
        <x:v>56.7</x:v>
      </x:c>
      <x:c r="M1570" t="n">
        <x:v>52.3</x:v>
      </x:c>
      <x:c r="N1570" t="str">
        <x:v>Most Likely</x:v>
      </x:c>
      <x:c r="O1570" t="str">
        <x:v>Most Likely</x:v>
      </x:c>
    </x:row>
    <x:row r="1571">
      <x:c r="A1571" t="str">
        <x:v>PJT_1570</x:v>
      </x:c>
      <x:c r="B1571" t="n">
        <x:v>61256160</x:v>
      </x:c>
      <x:c r="C1571" t="n">
        <x:v>64583125</x:v>
      </x:c>
      <x:c r="D1571" t="n">
        <x:v>3326965</x:v>
      </x:c>
      <x:c r="E1571" t="n">
        <x:v>0.0543</x:v>
      </x:c>
      <x:c r="F1571" t="n">
        <x:v>1154</x:v>
      </x:c>
      <x:c r="G1571" t="n">
        <x:v>1308</x:v>
      </x:c>
      <x:c r="H1571" t="n">
        <x:v>154</x:v>
      </x:c>
      <x:c r="I1571" t="n">
        <x:v>0.1334</x:v>
      </x:c>
      <x:c r="J1571" t="str">
        <x:v>Medium</x:v>
      </x:c>
      <x:c r="K1571" t="n">
        <x:v>51.5</x:v>
      </x:c>
      <x:c r="L1571" t="n">
        <x:v>54.3</x:v>
      </x:c>
      <x:c r="M1571" t="n">
        <x:v>52.9</x:v>
      </x:c>
      <x:c r="N1571" t="str">
        <x:v>Most Likely</x:v>
      </x:c>
      <x:c r="O1571" t="str">
        <x:v>Pessimistic</x:v>
      </x:c>
    </x:row>
    <x:row r="1572">
      <x:c r="A1572" t="str">
        <x:v>PJT_1571</x:v>
      </x:c>
      <x:c r="B1572" t="n">
        <x:v>54433890</x:v>
      </x:c>
      <x:c r="C1572" t="n">
        <x:v>56694529</x:v>
      </x:c>
      <x:c r="D1572" t="n">
        <x:v>2260639</x:v>
      </x:c>
      <x:c r="E1572" t="n">
        <x:v>0.0415</x:v>
      </x:c>
      <x:c r="F1572" t="n">
        <x:v>1100</x:v>
      </x:c>
      <x:c r="G1572" t="n">
        <x:v>1121</x:v>
      </x:c>
      <x:c r="H1572" t="n">
        <x:v>21</x:v>
      </x:c>
      <x:c r="I1572" t="n">
        <x:v>0.0191</x:v>
      </x:c>
      <x:c r="J1572" t="str">
        <x:v>Medium</x:v>
      </x:c>
      <x:c r="K1572" t="n">
        <x:v>47.5</x:v>
      </x:c>
      <x:c r="L1572" t="n">
        <x:v>48.9</x:v>
      </x:c>
      <x:c r="M1572" t="n">
        <x:v>47.4</x:v>
      </x:c>
      <x:c r="N1572" t="str">
        <x:v>Most Likely</x:v>
      </x:c>
      <x:c r="O1572" t="str">
        <x:v>Most Likely</x:v>
      </x:c>
    </x:row>
    <x:row r="1573">
      <x:c r="A1573" t="str">
        <x:v>PJT_1572</x:v>
      </x:c>
      <x:c r="B1573" t="n">
        <x:v>24269640</x:v>
      </x:c>
      <x:c r="C1573" t="n">
        <x:v>25133512</x:v>
      </x:c>
      <x:c r="D1573" t="n">
        <x:v>863872</x:v>
      </x:c>
      <x:c r="E1573" t="n">
        <x:v>0.0356</x:v>
      </x:c>
      <x:c r="F1573" t="n">
        <x:v>515</x:v>
      </x:c>
      <x:c r="G1573" t="n">
        <x:v>556</x:v>
      </x:c>
      <x:c r="H1573" t="n">
        <x:v>41</x:v>
      </x:c>
      <x:c r="I1573" t="n">
        <x:v>0.0796</x:v>
      </x:c>
      <x:c r="J1573" t="str">
        <x:v>Medium</x:v>
      </x:c>
      <x:c r="K1573" t="n">
        <x:v>54.2</x:v>
      </x:c>
      <x:c r="L1573" t="n">
        <x:v>52.8</x:v>
      </x:c>
      <x:c r="M1573" t="n">
        <x:v>56.6</x:v>
      </x:c>
      <x:c r="N1573" t="str">
        <x:v>Most Likely</x:v>
      </x:c>
      <x:c r="O1573" t="str">
        <x:v>Most Likely</x:v>
      </x:c>
    </x:row>
    <x:row r="1574">
      <x:c r="A1574" t="str">
        <x:v>PJT_1573</x:v>
      </x:c>
      <x:c r="B1574" t="n">
        <x:v>63860160</x:v>
      </x:c>
      <x:c r="C1574" t="n">
        <x:v>67657076</x:v>
      </x:c>
      <x:c r="D1574" t="n">
        <x:v>3796916</x:v>
      </x:c>
      <x:c r="E1574" t="n">
        <x:v>0.0595</x:v>
      </x:c>
      <x:c r="F1574" t="n">
        <x:v>1232</x:v>
      </x:c>
      <x:c r="G1574" t="n">
        <x:v>1338</x:v>
      </x:c>
      <x:c r="H1574" t="n">
        <x:v>106</x:v>
      </x:c>
      <x:c r="I1574" t="n">
        <x:v>0.086</x:v>
      </x:c>
      <x:c r="J1574" t="str">
        <x:v>Medium</x:v>
      </x:c>
      <x:c r="K1574" t="n">
        <x:v>55</x:v>
      </x:c>
      <x:c r="L1574" t="n">
        <x:v>64.6</x:v>
      </x:c>
      <x:c r="M1574" t="n">
        <x:v>57.4</x:v>
      </x:c>
      <x:c r="N1574" t="str">
        <x:v>Most Likely</x:v>
      </x:c>
      <x:c r="O1574" t="str">
        <x:v>Most Likely</x:v>
      </x:c>
    </x:row>
    <x:row r="1575">
      <x:c r="A1575" t="str">
        <x:v>PJT_1574</x:v>
      </x:c>
      <x:c r="B1575" t="n">
        <x:v>28107080</x:v>
      </x:c>
      <x:c r="C1575" t="n">
        <x:v>30119016</x:v>
      </x:c>
      <x:c r="D1575" t="n">
        <x:v>2011936</x:v>
      </x:c>
      <x:c r="E1575" t="n">
        <x:v>0.0716</x:v>
      </x:c>
      <x:c r="F1575" t="n">
        <x:v>522</x:v>
      </x:c>
      <x:c r="G1575" t="n">
        <x:v>556</x:v>
      </x:c>
      <x:c r="H1575" t="n">
        <x:v>34</x:v>
      </x:c>
      <x:c r="I1575" t="n">
        <x:v>0.0651</x:v>
      </x:c>
      <x:c r="J1575" t="str">
        <x:v>Medium</x:v>
      </x:c>
      <x:c r="K1575" t="n">
        <x:v>46.1</x:v>
      </x:c>
      <x:c r="L1575" t="n">
        <x:v>53</x:v>
      </x:c>
      <x:c r="M1575" t="n">
        <x:v>49.4</x:v>
      </x:c>
      <x:c r="N1575" t="str">
        <x:v>Most Likely</x:v>
      </x:c>
      <x:c r="O1575" t="str">
        <x:v>Most Likely</x:v>
      </x:c>
    </x:row>
    <x:row r="1576">
      <x:c r="A1576" t="str">
        <x:v>PJT_1575</x:v>
      </x:c>
      <x:c r="B1576" t="n">
        <x:v>66320780</x:v>
      </x:c>
      <x:c r="C1576" t="n">
        <x:v>67722873</x:v>
      </x:c>
      <x:c r="D1576" t="n">
        <x:v>1402093</x:v>
      </x:c>
      <x:c r="E1576" t="n">
        <x:v>0.0211</x:v>
      </x:c>
      <x:c r="F1576" t="n">
        <x:v>1164</x:v>
      </x:c>
      <x:c r="G1576" t="n">
        <x:v>1226</x:v>
      </x:c>
      <x:c r="H1576" t="n">
        <x:v>62</x:v>
      </x:c>
      <x:c r="I1576" t="n">
        <x:v>0.0533</x:v>
      </x:c>
      <x:c r="J1576" t="str">
        <x:v>Low</x:v>
      </x:c>
      <x:c r="K1576" t="n">
        <x:v>44.8</x:v>
      </x:c>
      <x:c r="L1576" t="n">
        <x:v>48.7</x:v>
      </x:c>
      <x:c r="M1576" t="n">
        <x:v>44.6</x:v>
      </x:c>
      <x:c r="N1576" t="str">
        <x:v>Most Likely</x:v>
      </x:c>
      <x:c r="O1576" t="str">
        <x:v>Most Likely</x:v>
      </x:c>
    </x:row>
    <x:row r="1577">
      <x:c r="A1577" t="str">
        <x:v>PJT_1576</x:v>
      </x:c>
      <x:c r="B1577" t="n">
        <x:v>67091850</x:v>
      </x:c>
      <x:c r="C1577" t="n">
        <x:v>70200795</x:v>
      </x:c>
      <x:c r="D1577" t="n">
        <x:v>3108945</x:v>
      </x:c>
      <x:c r="E1577" t="n">
        <x:v>0.0463</x:v>
      </x:c>
      <x:c r="F1577" t="n">
        <x:v>1224</x:v>
      </x:c>
      <x:c r="G1577" t="n">
        <x:v>1361</x:v>
      </x:c>
      <x:c r="H1577" t="n">
        <x:v>137</x:v>
      </x:c>
      <x:c r="I1577" t="n">
        <x:v>0.1119</x:v>
      </x:c>
      <x:c r="J1577" t="str">
        <x:v>Medium</x:v>
      </x:c>
      <x:c r="K1577" t="n">
        <x:v>55.4</x:v>
      </x:c>
      <x:c r="L1577" t="n">
        <x:v>57.5</x:v>
      </x:c>
      <x:c r="M1577" t="n">
        <x:v>57.6</x:v>
      </x:c>
      <x:c r="N1577" t="str">
        <x:v>Most Likely</x:v>
      </x:c>
      <x:c r="O1577" t="str">
        <x:v>Pessimistic</x:v>
      </x:c>
    </x:row>
    <x:row r="1578">
      <x:c r="A1578" t="str">
        <x:v>PJT_1577</x:v>
      </x:c>
      <x:c r="B1578" t="n">
        <x:v>6527360</x:v>
      </x:c>
      <x:c r="C1578" t="n">
        <x:v>6947520</x:v>
      </x:c>
      <x:c r="D1578" t="n">
        <x:v>420160</x:v>
      </x:c>
      <x:c r="E1578" t="n">
        <x:v>0.0644</x:v>
      </x:c>
      <x:c r="F1578" t="n">
        <x:v>180</x:v>
      </x:c>
      <x:c r="G1578" t="n">
        <x:v>173</x:v>
      </x:c>
      <x:c r="H1578" t="n">
        <x:v>-7</x:v>
      </x:c>
      <x:c r="I1578" t="n">
        <x:v>-0.0389</x:v>
      </x:c>
      <x:c r="J1578" t="str">
        <x:v>Low</x:v>
      </x:c>
      <x:c r="K1578" t="n">
        <x:v>26.7</x:v>
      </x:c>
      <x:c r="L1578" t="n">
        <x:v>27.9</x:v>
      </x:c>
      <x:c r="M1578" t="n">
        <x:v>31.8</x:v>
      </x:c>
      <x:c r="N1578" t="str">
        <x:v>Most Likely</x:v>
      </x:c>
      <x:c r="O1578" t="str">
        <x:v>Optimistic</x:v>
      </x:c>
    </x:row>
    <x:row r="1579">
      <x:c r="A1579" t="str">
        <x:v>PJT_1578</x:v>
      </x:c>
      <x:c r="B1579" t="n">
        <x:v>15453880</x:v>
      </x:c>
      <x:c r="C1579" t="n">
        <x:v>14242212</x:v>
      </x:c>
      <x:c r="D1579" t="n">
        <x:v>-1211668</x:v>
      </x:c>
      <x:c r="E1579" t="n">
        <x:v>-0.0784</x:v>
      </x:c>
      <x:c r="F1579" t="n">
        <x:v>366</x:v>
      </x:c>
      <x:c r="G1579" t="n">
        <x:v>378</x:v>
      </x:c>
      <x:c r="H1579" t="n">
        <x:v>12</x:v>
      </x:c>
      <x:c r="I1579" t="n">
        <x:v>0.0328</x:v>
      </x:c>
      <x:c r="J1579" t="str">
        <x:v>Low</x:v>
      </x:c>
      <x:c r="K1579" t="n">
        <x:v>29.8</x:v>
      </x:c>
      <x:c r="L1579" t="n">
        <x:v>24.8</x:v>
      </x:c>
      <x:c r="M1579" t="n">
        <x:v>32.4</x:v>
      </x:c>
      <x:c r="N1579" t="str">
        <x:v>Optimistic</x:v>
      </x:c>
      <x:c r="O1579" t="str">
        <x:v>Most Likely</x:v>
      </x:c>
    </x:row>
    <x:row r="1580">
      <x:c r="A1580" t="str">
        <x:v>PJT_1579</x:v>
      </x:c>
      <x:c r="B1580" t="n">
        <x:v>12824840</x:v>
      </x:c>
      <x:c r="C1580" t="n">
        <x:v>13012448</x:v>
      </x:c>
      <x:c r="D1580" t="n">
        <x:v>187608</x:v>
      </x:c>
      <x:c r="E1580" t="n">
        <x:v>0.0146</x:v>
      </x:c>
      <x:c r="F1580" t="n">
        <x:v>196</x:v>
      </x:c>
      <x:c r="G1580" t="n">
        <x:v>187</x:v>
      </x:c>
      <x:c r="H1580" t="n">
        <x:v>-9</x:v>
      </x:c>
      <x:c r="I1580" t="n">
        <x:v>-0.0459</x:v>
      </x:c>
      <x:c r="J1580" t="str">
        <x:v>Low</x:v>
      </x:c>
      <x:c r="K1580" t="n">
        <x:v>33.8</x:v>
      </x:c>
      <x:c r="L1580" t="n">
        <x:v>29.1</x:v>
      </x:c>
      <x:c r="M1580" t="n">
        <x:v>33.1</x:v>
      </x:c>
      <x:c r="N1580" t="str">
        <x:v>Most Likely</x:v>
      </x:c>
      <x:c r="O1580" t="str">
        <x:v>Optimistic</x:v>
      </x:c>
    </x:row>
    <x:row r="1581">
      <x:c r="A1581" t="str">
        <x:v>PJT_1580</x:v>
      </x:c>
      <x:c r="B1581" t="n">
        <x:v>76668240</x:v>
      </x:c>
      <x:c r="C1581" t="n">
        <x:v>81040154</x:v>
      </x:c>
      <x:c r="D1581" t="n">
        <x:v>4371914</x:v>
      </x:c>
      <x:c r="E1581" t="n">
        <x:v>0.057</x:v>
      </x:c>
      <x:c r="F1581" t="n">
        <x:v>1478</x:v>
      </x:c>
      <x:c r="G1581" t="n">
        <x:v>1595</x:v>
      </x:c>
      <x:c r="H1581" t="n">
        <x:v>117</x:v>
      </x:c>
      <x:c r="I1581" t="n">
        <x:v>0.0792</x:v>
      </x:c>
      <x:c r="J1581" t="str">
        <x:v>Medium</x:v>
      </x:c>
      <x:c r="K1581" t="n">
        <x:v>56.2</x:v>
      </x:c>
      <x:c r="L1581" t="n">
        <x:v>57.2</x:v>
      </x:c>
      <x:c r="M1581" t="n">
        <x:v>54.8</x:v>
      </x:c>
      <x:c r="N1581" t="str">
        <x:v>Most Likely</x:v>
      </x:c>
      <x:c r="O1581" t="str">
        <x:v>Most Likely</x:v>
      </x:c>
    </x:row>
    <x:row r="1582">
      <x:c r="A1582" t="str">
        <x:v>PJT_1581</x:v>
      </x:c>
      <x:c r="B1582" t="n">
        <x:v>47180130</x:v>
      </x:c>
      <x:c r="C1582" t="n">
        <x:v>46928612</x:v>
      </x:c>
      <x:c r="D1582" t="n">
        <x:v>-251518</x:v>
      </x:c>
      <x:c r="E1582" t="n">
        <x:v>-0.0053</x:v>
      </x:c>
      <x:c r="F1582" t="n">
        <x:v>955</x:v>
      </x:c>
      <x:c r="G1582" t="n">
        <x:v>935</x:v>
      </x:c>
      <x:c r="H1582" t="n">
        <x:v>-20</x:v>
      </x:c>
      <x:c r="I1582" t="n">
        <x:v>-0.0209</x:v>
      </x:c>
      <x:c r="J1582" t="str">
        <x:v>Medium</x:v>
      </x:c>
      <x:c r="K1582" t="n">
        <x:v>47.8</x:v>
      </x:c>
      <x:c r="L1582" t="n">
        <x:v>45</x:v>
      </x:c>
      <x:c r="M1582" t="n">
        <x:v>48.3</x:v>
      </x:c>
      <x:c r="N1582" t="str">
        <x:v>Optimistic</x:v>
      </x:c>
      <x:c r="O1582" t="str">
        <x:v>Optimistic</x:v>
      </x:c>
    </x:row>
    <x:row r="1583">
      <x:c r="A1583" t="str">
        <x:v>PJT_1582</x:v>
      </x:c>
      <x:c r="B1583" t="n">
        <x:v>74816130</x:v>
      </x:c>
      <x:c r="C1583" t="n">
        <x:v>86958852</x:v>
      </x:c>
      <x:c r="D1583" t="n">
        <x:v>12142722</x:v>
      </x:c>
      <x:c r="E1583" t="n">
        <x:v>0.1623</x:v>
      </x:c>
      <x:c r="F1583" t="n">
        <x:v>1471</x:v>
      </x:c>
      <x:c r="G1583" t="n">
        <x:v>1577</x:v>
      </x:c>
      <x:c r="H1583" t="n">
        <x:v>106</x:v>
      </x:c>
      <x:c r="I1583" t="n">
        <x:v>0.0721</x:v>
      </x:c>
      <x:c r="J1583" t="str">
        <x:v>High</x:v>
      </x:c>
      <x:c r="K1583" t="n">
        <x:v>70.8</x:v>
      </x:c>
      <x:c r="L1583" t="n">
        <x:v>69.8</x:v>
      </x:c>
      <x:c r="M1583" t="n">
        <x:v>70.7</x:v>
      </x:c>
      <x:c r="N1583" t="str">
        <x:v>Pessimistic</x:v>
      </x:c>
      <x:c r="O1583" t="str">
        <x:v>Most Likely</x:v>
      </x:c>
    </x:row>
    <x:row r="1584">
      <x:c r="A1584" t="str">
        <x:v>PJT_1583</x:v>
      </x:c>
      <x:c r="B1584" t="n">
        <x:v>81686970</x:v>
      </x:c>
      <x:c r="C1584" t="n">
        <x:v>84984087</x:v>
      </x:c>
      <x:c r="D1584" t="n">
        <x:v>3297117</x:v>
      </x:c>
      <x:c r="E1584" t="n">
        <x:v>0.0404</x:v>
      </x:c>
      <x:c r="F1584" t="n">
        <x:v>1541</x:v>
      </x:c>
      <x:c r="G1584" t="n">
        <x:v>1677</x:v>
      </x:c>
      <x:c r="H1584" t="n">
        <x:v>136</x:v>
      </x:c>
      <x:c r="I1584" t="n">
        <x:v>0.0883</x:v>
      </x:c>
      <x:c r="J1584" t="str">
        <x:v>Medium</x:v>
      </x:c>
      <x:c r="K1584" t="n">
        <x:v>61</x:v>
      </x:c>
      <x:c r="L1584" t="n">
        <x:v>58.4</x:v>
      </x:c>
      <x:c r="M1584" t="n">
        <x:v>63.2</x:v>
      </x:c>
      <x:c r="N1584" t="str">
        <x:v>Most Likely</x:v>
      </x:c>
      <x:c r="O1584" t="str">
        <x:v>Most Likely</x:v>
      </x:c>
    </x:row>
    <x:row r="1585">
      <x:c r="A1585" t="str">
        <x:v>PJT_1584</x:v>
      </x:c>
      <x:c r="B1585" t="n">
        <x:v>62261480</x:v>
      </x:c>
      <x:c r="C1585" t="n">
        <x:v>67414523</x:v>
      </x:c>
      <x:c r="D1585" t="n">
        <x:v>5153043</x:v>
      </x:c>
      <x:c r="E1585" t="n">
        <x:v>0.0828</x:v>
      </x:c>
      <x:c r="F1585" t="n">
        <x:v>1210</x:v>
      </x:c>
      <x:c r="G1585" t="n">
        <x:v>1196</x:v>
      </x:c>
      <x:c r="H1585" t="n">
        <x:v>-14</x:v>
      </x:c>
      <x:c r="I1585" t="n">
        <x:v>-0.0116</x:v>
      </x:c>
      <x:c r="J1585" t="str">
        <x:v>Medium</x:v>
      </x:c>
      <x:c r="K1585" t="n">
        <x:v>48.3</x:v>
      </x:c>
      <x:c r="L1585" t="n">
        <x:v>52.9</x:v>
      </x:c>
      <x:c r="M1585" t="n">
        <x:v>46.1</x:v>
      </x:c>
      <x:c r="N1585" t="str">
        <x:v>Most Likely</x:v>
      </x:c>
      <x:c r="O1585" t="str">
        <x:v>Optimistic</x:v>
      </x:c>
    </x:row>
    <x:row r="1586">
      <x:c r="A1586" t="str">
        <x:v>PJT_1585</x:v>
      </x:c>
      <x:c r="B1586" t="n">
        <x:v>22006560</x:v>
      </x:c>
      <x:c r="C1586" t="n">
        <x:v>22831692</x:v>
      </x:c>
      <x:c r="D1586" t="n">
        <x:v>825132</x:v>
      </x:c>
      <x:c r="E1586" t="n">
        <x:v>0.0375</x:v>
      </x:c>
      <x:c r="F1586" t="n">
        <x:v>544</x:v>
      </x:c>
      <x:c r="G1586" t="n">
        <x:v>580</x:v>
      </x:c>
      <x:c r="H1586" t="n">
        <x:v>36</x:v>
      </x:c>
      <x:c r="I1586" t="n">
        <x:v>0.0662</x:v>
      </x:c>
      <x:c r="J1586" t="str">
        <x:v>Medium</x:v>
      </x:c>
      <x:c r="K1586" t="n">
        <x:v>47.8</x:v>
      </x:c>
      <x:c r="L1586" t="n">
        <x:v>46.3</x:v>
      </x:c>
      <x:c r="M1586" t="n">
        <x:v>46.9</x:v>
      </x:c>
      <x:c r="N1586" t="str">
        <x:v>Most Likely</x:v>
      </x:c>
      <x:c r="O1586" t="str">
        <x:v>Most Likely</x:v>
      </x:c>
    </x:row>
    <x:row r="1587">
      <x:c r="A1587" t="str">
        <x:v>PJT_1586</x:v>
      </x:c>
      <x:c r="B1587" t="n">
        <x:v>34351720</x:v>
      </x:c>
      <x:c r="C1587" t="n">
        <x:v>35928297</x:v>
      </x:c>
      <x:c r="D1587" t="n">
        <x:v>1576577</x:v>
      </x:c>
      <x:c r="E1587" t="n">
        <x:v>0.0459</x:v>
      </x:c>
      <x:c r="F1587" t="n">
        <x:v>884</x:v>
      </x:c>
      <x:c r="G1587" t="n">
        <x:v>935</x:v>
      </x:c>
      <x:c r="H1587" t="n">
        <x:v>51</x:v>
      </x:c>
      <x:c r="I1587" t="n">
        <x:v>0.0577</x:v>
      </x:c>
      <x:c r="J1587" t="str">
        <x:v>Medium</x:v>
      </x:c>
      <x:c r="K1587" t="n">
        <x:v>45.8</x:v>
      </x:c>
      <x:c r="L1587" t="n">
        <x:v>47.7</x:v>
      </x:c>
      <x:c r="M1587" t="n">
        <x:v>49</x:v>
      </x:c>
      <x:c r="N1587" t="str">
        <x:v>Most Likely</x:v>
      </x:c>
      <x:c r="O1587" t="str">
        <x:v>Most Likely</x:v>
      </x:c>
    </x:row>
    <x:row r="1588">
      <x:c r="A1588" t="str">
        <x:v>PJT_1587</x:v>
      </x:c>
      <x:c r="B1588" t="n">
        <x:v>25701200</x:v>
      </x:c>
      <x:c r="C1588" t="n">
        <x:v>27493443</x:v>
      </x:c>
      <x:c r="D1588" t="n">
        <x:v>1792243</x:v>
      </x:c>
      <x:c r="E1588" t="n">
        <x:v>0.0697</x:v>
      </x:c>
      <x:c r="F1588" t="n">
        <x:v>426</x:v>
      </x:c>
      <x:c r="G1588" t="n">
        <x:v>475</x:v>
      </x:c>
      <x:c r="H1588" t="n">
        <x:v>49</x:v>
      </x:c>
      <x:c r="I1588" t="n">
        <x:v>0.115</x:v>
      </x:c>
      <x:c r="J1588" t="str">
        <x:v>Medium</x:v>
      </x:c>
      <x:c r="K1588" t="n">
        <x:v>49</x:v>
      </x:c>
      <x:c r="L1588" t="n">
        <x:v>44.3</x:v>
      </x:c>
      <x:c r="M1588" t="n">
        <x:v>41.4</x:v>
      </x:c>
      <x:c r="N1588" t="str">
        <x:v>Most Likely</x:v>
      </x:c>
      <x:c r="O1588" t="str">
        <x:v>Pessimistic</x:v>
      </x:c>
    </x:row>
    <x:row r="1589">
      <x:c r="A1589" t="str">
        <x:v>PJT_1588</x:v>
      </x:c>
      <x:c r="B1589" t="n">
        <x:v>35654270</x:v>
      </x:c>
      <x:c r="C1589" t="n">
        <x:v>35861576</x:v>
      </x:c>
      <x:c r="D1589" t="n">
        <x:v>207306</x:v>
      </x:c>
      <x:c r="E1589" t="n">
        <x:v>0.0058</x:v>
      </x:c>
      <x:c r="F1589" t="n">
        <x:v>842</x:v>
      </x:c>
      <x:c r="G1589" t="n">
        <x:v>838</x:v>
      </x:c>
      <x:c r="H1589" t="n">
        <x:v>-4</x:v>
      </x:c>
      <x:c r="I1589" t="n">
        <x:v>-0.0048</x:v>
      </x:c>
      <x:c r="J1589" t="str">
        <x:v>Low</x:v>
      </x:c>
      <x:c r="K1589" t="n">
        <x:v>44</x:v>
      </x:c>
      <x:c r="L1589" t="n">
        <x:v>48.4</x:v>
      </x:c>
      <x:c r="M1589" t="n">
        <x:v>45.7</x:v>
      </x:c>
      <x:c r="N1589" t="str">
        <x:v>Most Likely</x:v>
      </x:c>
      <x:c r="O1589" t="str">
        <x:v>Optimistic</x:v>
      </x:c>
    </x:row>
    <x:row r="1590">
      <x:c r="A1590" t="str">
        <x:v>PJT_1589</x:v>
      </x:c>
      <x:c r="B1590" t="n">
        <x:v>91093620</x:v>
      </x:c>
      <x:c r="C1590" t="n">
        <x:v>102293957</x:v>
      </x:c>
      <x:c r="D1590" t="n">
        <x:v>11200337</x:v>
      </x:c>
      <x:c r="E1590" t="n">
        <x:v>0.123</x:v>
      </x:c>
      <x:c r="F1590" t="n">
        <x:v>1703</x:v>
      </x:c>
      <x:c r="G1590" t="n">
        <x:v>1785</x:v>
      </x:c>
      <x:c r="H1590" t="n">
        <x:v>82</x:v>
      </x:c>
      <x:c r="I1590" t="n">
        <x:v>0.0482</x:v>
      </x:c>
      <x:c r="J1590" t="str">
        <x:v>High</x:v>
      </x:c>
      <x:c r="K1590" t="n">
        <x:v>69.2</x:v>
      </x:c>
      <x:c r="L1590" t="n">
        <x:v>71.1</x:v>
      </x:c>
      <x:c r="M1590" t="n">
        <x:v>65.5</x:v>
      </x:c>
      <x:c r="N1590" t="str">
        <x:v>Pessimistic</x:v>
      </x:c>
      <x:c r="O1590" t="str">
        <x:v>Most Likely</x:v>
      </x:c>
    </x:row>
    <x:row r="1591">
      <x:c r="A1591" t="str">
        <x:v>PJT_1590</x:v>
      </x:c>
      <x:c r="B1591" t="n">
        <x:v>57343150</x:v>
      </x:c>
      <x:c r="C1591" t="n">
        <x:v>61651544</x:v>
      </x:c>
      <x:c r="D1591" t="n">
        <x:v>4308394</x:v>
      </x:c>
      <x:c r="E1591" t="n">
        <x:v>0.0751</x:v>
      </x:c>
      <x:c r="F1591" t="n">
        <x:v>1085</x:v>
      </x:c>
      <x:c r="G1591" t="n">
        <x:v>1145</x:v>
      </x:c>
      <x:c r="H1591" t="n">
        <x:v>60</x:v>
      </x:c>
      <x:c r="I1591" t="n">
        <x:v>0.0553</x:v>
      </x:c>
      <x:c r="J1591" t="str">
        <x:v>Medium</x:v>
      </x:c>
      <x:c r="K1591" t="n">
        <x:v>56.5</x:v>
      </x:c>
      <x:c r="L1591" t="n">
        <x:v>54.4</x:v>
      </x:c>
      <x:c r="M1591" t="n">
        <x:v>48.8</x:v>
      </x:c>
      <x:c r="N1591" t="str">
        <x:v>Most Likely</x:v>
      </x:c>
      <x:c r="O1591" t="str">
        <x:v>Most Likely</x:v>
      </x:c>
    </x:row>
    <x:row r="1592">
      <x:c r="A1592" t="str">
        <x:v>PJT_1591</x:v>
      </x:c>
      <x:c r="B1592" t="n">
        <x:v>50618960</x:v>
      </x:c>
      <x:c r="C1592" t="n">
        <x:v>51981138</x:v>
      </x:c>
      <x:c r="D1592" t="n">
        <x:v>1362178</x:v>
      </x:c>
      <x:c r="E1592" t="n">
        <x:v>0.0269</x:v>
      </x:c>
      <x:c r="F1592" t="n">
        <x:v>928</x:v>
      </x:c>
      <x:c r="G1592" t="n">
        <x:v>876</x:v>
      </x:c>
      <x:c r="H1592" t="n">
        <x:v>-52</x:v>
      </x:c>
      <x:c r="I1592" t="n">
        <x:v>-0.056</x:v>
      </x:c>
      <x:c r="J1592" t="str">
        <x:v>Low</x:v>
      </x:c>
      <x:c r="K1592" t="n">
        <x:v>43.1</x:v>
      </x:c>
      <x:c r="L1592" t="n">
        <x:v>49.5</x:v>
      </x:c>
      <x:c r="M1592" t="n">
        <x:v>40.1</x:v>
      </x:c>
      <x:c r="N1592" t="str">
        <x:v>Most Likely</x:v>
      </x:c>
      <x:c r="O1592" t="str">
        <x:v>Optimistic</x:v>
      </x:c>
    </x:row>
    <x:row r="1593">
      <x:c r="A1593" t="str">
        <x:v>PJT_1592</x:v>
      </x:c>
      <x:c r="B1593" t="n">
        <x:v>52605000</x:v>
      </x:c>
      <x:c r="C1593" t="n">
        <x:v>54798559</x:v>
      </x:c>
      <x:c r="D1593" t="n">
        <x:v>2193559</x:v>
      </x:c>
      <x:c r="E1593" t="n">
        <x:v>0.0417</x:v>
      </x:c>
      <x:c r="F1593" t="n">
        <x:v>928</x:v>
      </x:c>
      <x:c r="G1593" t="n">
        <x:v>947</x:v>
      </x:c>
      <x:c r="H1593" t="n">
        <x:v>19</x:v>
      </x:c>
      <x:c r="I1593" t="n">
        <x:v>0.0205</x:v>
      </x:c>
      <x:c r="J1593" t="str">
        <x:v>Medium</x:v>
      </x:c>
      <x:c r="K1593" t="n">
        <x:v>55.3</x:v>
      </x:c>
      <x:c r="L1593" t="n">
        <x:v>65.8</x:v>
      </x:c>
      <x:c r="M1593" t="n">
        <x:v>53.2</x:v>
      </x:c>
      <x:c r="N1593" t="str">
        <x:v>Most Likely</x:v>
      </x:c>
      <x:c r="O1593" t="str">
        <x:v>Most Likely</x:v>
      </x:c>
    </x:row>
    <x:row r="1594">
      <x:c r="A1594" t="str">
        <x:v>PJT_1593</x:v>
      </x:c>
      <x:c r="B1594" t="n">
        <x:v>13715840</x:v>
      </x:c>
      <x:c r="C1594" t="n">
        <x:v>14501891</x:v>
      </x:c>
      <x:c r="D1594" t="n">
        <x:v>786051</x:v>
      </x:c>
      <x:c r="E1594" t="n">
        <x:v>0.0573</x:v>
      </x:c>
      <x:c r="F1594" t="n">
        <x:v>240</x:v>
      </x:c>
      <x:c r="G1594" t="n">
        <x:v>243</x:v>
      </x:c>
      <x:c r="H1594" t="n">
        <x:v>3</x:v>
      </x:c>
      <x:c r="I1594" t="n">
        <x:v>0.0125</x:v>
      </x:c>
      <x:c r="J1594" t="str">
        <x:v>Medium</x:v>
      </x:c>
      <x:c r="K1594" t="n">
        <x:v>47.4</x:v>
      </x:c>
      <x:c r="L1594" t="n">
        <x:v>42.1</x:v>
      </x:c>
      <x:c r="M1594" t="n">
        <x:v>43.2</x:v>
      </x:c>
      <x:c r="N1594" t="str">
        <x:v>Most Likely</x:v>
      </x:c>
      <x:c r="O1594" t="str">
        <x:v>Most Likely</x:v>
      </x:c>
    </x:row>
    <x:row r="1595">
      <x:c r="A1595" t="str">
        <x:v>PJT_1594</x:v>
      </x:c>
      <x:c r="B1595" t="n">
        <x:v>76724760</x:v>
      </x:c>
      <x:c r="C1595" t="n">
        <x:v>84653533</x:v>
      </x:c>
      <x:c r="D1595" t="n">
        <x:v>7928773</x:v>
      </x:c>
      <x:c r="E1595" t="n">
        <x:v>0.1033</x:v>
      </x:c>
      <x:c r="F1595" t="n">
        <x:v>1512</x:v>
      </x:c>
      <x:c r="G1595" t="n">
        <x:v>1557</x:v>
      </x:c>
      <x:c r="H1595" t="n">
        <x:v>45</x:v>
      </x:c>
      <x:c r="I1595" t="n">
        <x:v>0.0298</x:v>
      </x:c>
      <x:c r="J1595" t="str">
        <x:v>Medium</x:v>
      </x:c>
      <x:c r="K1595" t="n">
        <x:v>55.6</x:v>
      </x:c>
      <x:c r="L1595" t="n">
        <x:v>57.9</x:v>
      </x:c>
      <x:c r="M1595" t="n">
        <x:v>55</x:v>
      </x:c>
      <x:c r="N1595" t="str">
        <x:v>Pessimistic</x:v>
      </x:c>
      <x:c r="O1595" t="str">
        <x:v>Most Likely</x:v>
      </x:c>
    </x:row>
    <x:row r="1596">
      <x:c r="A1596" t="str">
        <x:v>PJT_1595</x:v>
      </x:c>
      <x:c r="B1596" t="n">
        <x:v>99082560</x:v>
      </x:c>
      <x:c r="C1596" t="n">
        <x:v>103635273</x:v>
      </x:c>
      <x:c r="D1596" t="n">
        <x:v>4552713</x:v>
      </x:c>
      <x:c r="E1596" t="n">
        <x:v>0.0459</x:v>
      </x:c>
      <x:c r="F1596" t="n">
        <x:v>2025</x:v>
      </x:c>
      <x:c r="G1596" t="n">
        <x:v>2212</x:v>
      </x:c>
      <x:c r="H1596" t="n">
        <x:v>187</x:v>
      </x:c>
      <x:c r="I1596" t="n">
        <x:v>0.0923</x:v>
      </x:c>
      <x:c r="J1596" t="str">
        <x:v>Medium</x:v>
      </x:c>
      <x:c r="K1596" t="n">
        <x:v>58.5</x:v>
      </x:c>
      <x:c r="L1596" t="n">
        <x:v>61.5</x:v>
      </x:c>
      <x:c r="M1596" t="n">
        <x:v>59.2</x:v>
      </x:c>
      <x:c r="N1596" t="str">
        <x:v>Most Likely</x:v>
      </x:c>
      <x:c r="O1596" t="str">
        <x:v>Most Likely</x:v>
      </x:c>
    </x:row>
    <x:row r="1597">
      <x:c r="A1597" t="str">
        <x:v>PJT_1596</x:v>
      </x:c>
      <x:c r="B1597" t="n">
        <x:v>38070120</x:v>
      </x:c>
      <x:c r="C1597" t="n">
        <x:v>38732189</x:v>
      </x:c>
      <x:c r="D1597" t="n">
        <x:v>662069</x:v>
      </x:c>
      <x:c r="E1597" t="n">
        <x:v>0.0174</x:v>
      </x:c>
      <x:c r="F1597" t="n">
        <x:v>703</x:v>
      </x:c>
      <x:c r="G1597" t="n">
        <x:v>733</x:v>
      </x:c>
      <x:c r="H1597" t="n">
        <x:v>30</x:v>
      </x:c>
      <x:c r="I1597" t="n">
        <x:v>0.0427</x:v>
      </x:c>
      <x:c r="J1597" t="str">
        <x:v>Medium</x:v>
      </x:c>
      <x:c r="K1597" t="n">
        <x:v>48.2</x:v>
      </x:c>
      <x:c r="L1597" t="n">
        <x:v>47.6</x:v>
      </x:c>
      <x:c r="M1597" t="n">
        <x:v>48.1</x:v>
      </x:c>
      <x:c r="N1597" t="str">
        <x:v>Most Likely</x:v>
      </x:c>
      <x:c r="O1597" t="str">
        <x:v>Most Likely</x:v>
      </x:c>
    </x:row>
    <x:row r="1598">
      <x:c r="A1598" t="str">
        <x:v>PJT_1597</x:v>
      </x:c>
      <x:c r="B1598" t="n">
        <x:v>93679860</x:v>
      </x:c>
      <x:c r="C1598" t="n">
        <x:v>99843686</x:v>
      </x:c>
      <x:c r="D1598" t="n">
        <x:v>6163826</x:v>
      </x:c>
      <x:c r="E1598" t="n">
        <x:v>0.0658</x:v>
      </x:c>
      <x:c r="F1598" t="n">
        <x:v>1488</x:v>
      </x:c>
      <x:c r="G1598" t="n">
        <x:v>1646</x:v>
      </x:c>
      <x:c r="H1598" t="n">
        <x:v>158</x:v>
      </x:c>
      <x:c r="I1598" t="n">
        <x:v>0.1062</x:v>
      </x:c>
      <x:c r="J1598" t="str">
        <x:v>Medium</x:v>
      </x:c>
      <x:c r="K1598" t="n">
        <x:v>53.5</x:v>
      </x:c>
      <x:c r="L1598" t="n">
        <x:v>57.8</x:v>
      </x:c>
      <x:c r="M1598" t="n">
        <x:v>54.3</x:v>
      </x:c>
      <x:c r="N1598" t="str">
        <x:v>Most Likely</x:v>
      </x:c>
      <x:c r="O1598" t="str">
        <x:v>Pessimistic</x:v>
      </x:c>
    </x:row>
    <x:row r="1599">
      <x:c r="A1599" t="str">
        <x:v>PJT_1598</x:v>
      </x:c>
      <x:c r="B1599" t="n">
        <x:v>80573570</x:v>
      </x:c>
      <x:c r="C1599" t="n">
        <x:v>88429738</x:v>
      </x:c>
      <x:c r="D1599" t="n">
        <x:v>7856168</x:v>
      </x:c>
      <x:c r="E1599" t="n">
        <x:v>0.0975</x:v>
      </x:c>
      <x:c r="F1599" t="n">
        <x:v>1566</x:v>
      </x:c>
      <x:c r="G1599" t="n">
        <x:v>1782</x:v>
      </x:c>
      <x:c r="H1599" t="n">
        <x:v>216</x:v>
      </x:c>
      <x:c r="I1599" t="n">
        <x:v>0.1379</x:v>
      </x:c>
      <x:c r="J1599" t="str">
        <x:v>High</x:v>
      </x:c>
      <x:c r="K1599" t="n">
        <x:v>77.6</x:v>
      </x:c>
      <x:c r="L1599" t="n">
        <x:v>77.3</x:v>
      </x:c>
      <x:c r="M1599" t="n">
        <x:v>78.6</x:v>
      </x:c>
      <x:c r="N1599" t="str">
        <x:v>Most Likely</x:v>
      </x:c>
      <x:c r="O1599" t="str">
        <x:v>Pessimistic</x:v>
      </x:c>
    </x:row>
    <x:row r="1600">
      <x:c r="A1600" t="str">
        <x:v>PJT_1599</x:v>
      </x:c>
      <x:c r="B1600" t="n">
        <x:v>11139120</x:v>
      </x:c>
      <x:c r="C1600" t="n">
        <x:v>11145486</x:v>
      </x:c>
      <x:c r="D1600" t="n">
        <x:v>6366</x:v>
      </x:c>
      <x:c r="E1600" t="n">
        <x:v>0.0006</x:v>
      </x:c>
      <x:c r="F1600" t="n">
        <x:v>222</x:v>
      </x:c>
      <x:c r="G1600" t="n">
        <x:v>215</x:v>
      </x:c>
      <x:c r="H1600" t="n">
        <x:v>-7</x:v>
      </x:c>
      <x:c r="I1600" t="n">
        <x:v>-0.0315</x:v>
      </x:c>
      <x:c r="J1600" t="str">
        <x:v>Low</x:v>
      </x:c>
      <x:c r="K1600" t="n">
        <x:v>26.9</x:v>
      </x:c>
      <x:c r="L1600" t="n">
        <x:v>29</x:v>
      </x:c>
      <x:c r="M1600" t="n">
        <x:v>27.2</x:v>
      </x:c>
      <x:c r="N1600" t="str">
        <x:v>Most Likely</x:v>
      </x:c>
      <x:c r="O1600" t="str">
        <x:v>Optimistic</x:v>
      </x:c>
    </x:row>
    <x:row r="1601">
      <x:c r="A1601" t="str">
        <x:v>PJT_1600</x:v>
      </x:c>
      <x:c r="B1601" t="n">
        <x:v>8975760</x:v>
      </x:c>
      <x:c r="C1601" t="n">
        <x:v>8760443</x:v>
      </x:c>
      <x:c r="D1601" t="n">
        <x:v>-215317</x:v>
      </x:c>
      <x:c r="E1601" t="n">
        <x:v>-0.024</x:v>
      </x:c>
      <x:c r="F1601" t="n">
        <x:v>184</x:v>
      </x:c>
      <x:c r="G1601" t="n">
        <x:v>183</x:v>
      </x:c>
      <x:c r="H1601" t="n">
        <x:v>-1</x:v>
      </x:c>
      <x:c r="I1601" t="n">
        <x:v>-0.0054</x:v>
      </x:c>
      <x:c r="J1601" t="str">
        <x:v>Low</x:v>
      </x:c>
      <x:c r="K1601" t="n">
        <x:v>34.6</x:v>
      </x:c>
      <x:c r="L1601" t="n">
        <x:v>32.6</x:v>
      </x:c>
      <x:c r="M1601" t="n">
        <x:v>31.4</x:v>
      </x:c>
      <x:c r="N1601" t="str">
        <x:v>Optimistic</x:v>
      </x:c>
      <x:c r="O1601" t="str">
        <x:v>Optimistic</x:v>
      </x:c>
    </x:row>
    <x:row r="1602">
      <x:c r="A1602" t="str">
        <x:v>PJT_1601</x:v>
      </x:c>
      <x:c r="B1602" t="n">
        <x:v>55585890</x:v>
      </x:c>
      <x:c r="C1602" t="n">
        <x:v>60536500</x:v>
      </x:c>
      <x:c r="D1602" t="n">
        <x:v>4950610</x:v>
      </x:c>
      <x:c r="E1602" t="n">
        <x:v>0.0891</x:v>
      </x:c>
      <x:c r="F1602" t="n">
        <x:v>1117</x:v>
      </x:c>
      <x:c r="G1602" t="n">
        <x:v>1237</x:v>
      </x:c>
      <x:c r="H1602" t="n">
        <x:v>120</x:v>
      </x:c>
      <x:c r="I1602" t="n">
        <x:v>0.1074</x:v>
      </x:c>
      <x:c r="J1602" t="str">
        <x:v>Medium</x:v>
      </x:c>
      <x:c r="K1602" t="n">
        <x:v>50</x:v>
      </x:c>
      <x:c r="L1602" t="n">
        <x:v>53.7</x:v>
      </x:c>
      <x:c r="M1602" t="n">
        <x:v>50.8</x:v>
      </x:c>
      <x:c r="N1602" t="str">
        <x:v>Most Likely</x:v>
      </x:c>
      <x:c r="O1602" t="str">
        <x:v>Pessimistic</x:v>
      </x:c>
    </x:row>
    <x:row r="1603">
      <x:c r="A1603" t="str">
        <x:v>PJT_1602</x:v>
      </x:c>
      <x:c r="B1603" t="n">
        <x:v>35465820</x:v>
      </x:c>
      <x:c r="C1603" t="n">
        <x:v>34232466</x:v>
      </x:c>
      <x:c r="D1603" t="n">
        <x:v>-1233354</x:v>
      </x:c>
      <x:c r="E1603" t="n">
        <x:v>-0.0348</x:v>
      </x:c>
      <x:c r="F1603" t="n">
        <x:v>713</x:v>
      </x:c>
      <x:c r="G1603" t="n">
        <x:v>722</x:v>
      </x:c>
      <x:c r="H1603" t="n">
        <x:v>9</x:v>
      </x:c>
      <x:c r="I1603" t="n">
        <x:v>0.0126</x:v>
      </x:c>
      <x:c r="J1603" t="str">
        <x:v>Low</x:v>
      </x:c>
      <x:c r="K1603" t="n">
        <x:v>43.3</x:v>
      </x:c>
      <x:c r="L1603" t="n">
        <x:v>45</x:v>
      </x:c>
      <x:c r="M1603" t="n">
        <x:v>47.7</x:v>
      </x:c>
      <x:c r="N1603" t="str">
        <x:v>Optimistic</x:v>
      </x:c>
      <x:c r="O1603" t="str">
        <x:v>Most Likely</x:v>
      </x:c>
    </x:row>
    <x:row r="1604">
      <x:c r="A1604" t="str">
        <x:v>PJT_1603</x:v>
      </x:c>
      <x:c r="B1604" t="n">
        <x:v>77604400</x:v>
      </x:c>
      <x:c r="C1604" t="n">
        <x:v>80241119</x:v>
      </x:c>
      <x:c r="D1604" t="n">
        <x:v>2636719</x:v>
      </x:c>
      <x:c r="E1604" t="n">
        <x:v>0.034</x:v>
      </x:c>
      <x:c r="F1604" t="n">
        <x:v>1632</x:v>
      </x:c>
      <x:c r="G1604" t="n">
        <x:v>1709</x:v>
      </x:c>
      <x:c r="H1604" t="n">
        <x:v>77</x:v>
      </x:c>
      <x:c r="I1604" t="n">
        <x:v>0.0472</x:v>
      </x:c>
      <x:c r="J1604" t="str">
        <x:v>Medium</x:v>
      </x:c>
      <x:c r="K1604" t="n">
        <x:v>57.7</x:v>
      </x:c>
      <x:c r="L1604" t="n">
        <x:v>58.9</x:v>
      </x:c>
      <x:c r="M1604" t="n">
        <x:v>56.6</x:v>
      </x:c>
      <x:c r="N1604" t="str">
        <x:v>Most Likely</x:v>
      </x:c>
      <x:c r="O1604" t="str">
        <x:v>Most Likely</x:v>
      </x:c>
    </x:row>
    <x:row r="1605">
      <x:c r="A1605" t="str">
        <x:v>PJT_1604</x:v>
      </x:c>
      <x:c r="B1605" t="n">
        <x:v>11610630</x:v>
      </x:c>
      <x:c r="C1605" t="n">
        <x:v>11664536</x:v>
      </x:c>
      <x:c r="D1605" t="n">
        <x:v>53906</x:v>
      </x:c>
      <x:c r="E1605" t="n">
        <x:v>0.0046</x:v>
      </x:c>
      <x:c r="F1605" t="n">
        <x:v>223</x:v>
      </x:c>
      <x:c r="G1605" t="n">
        <x:v>233</x:v>
      </x:c>
      <x:c r="H1605" t="n">
        <x:v>10</x:v>
      </x:c>
      <x:c r="I1605" t="n">
        <x:v>0.0448</x:v>
      </x:c>
      <x:c r="J1605" t="str">
        <x:v>Low</x:v>
      </x:c>
      <x:c r="K1605" t="n">
        <x:v>43.9</x:v>
      </x:c>
      <x:c r="L1605" t="n">
        <x:v>40.9</x:v>
      </x:c>
      <x:c r="M1605" t="n">
        <x:v>38</x:v>
      </x:c>
      <x:c r="N1605" t="str">
        <x:v>Most Likely</x:v>
      </x:c>
      <x:c r="O1605" t="str">
        <x:v>Most Likely</x:v>
      </x:c>
    </x:row>
    <x:row r="1606">
      <x:c r="A1606" t="str">
        <x:v>PJT_1605</x:v>
      </x:c>
      <x:c r="B1606" t="n">
        <x:v>46391150</x:v>
      </x:c>
      <x:c r="C1606" t="n">
        <x:v>49227100</x:v>
      </x:c>
      <x:c r="D1606" t="n">
        <x:v>2835950</x:v>
      </x:c>
      <x:c r="E1606" t="n">
        <x:v>0.0611</x:v>
      </x:c>
      <x:c r="F1606" t="n">
        <x:v>874</x:v>
      </x:c>
      <x:c r="G1606" t="n">
        <x:v>934</x:v>
      </x:c>
      <x:c r="H1606" t="n">
        <x:v>60</x:v>
      </x:c>
      <x:c r="I1606" t="n">
        <x:v>0.0686</x:v>
      </x:c>
      <x:c r="J1606" t="str">
        <x:v>Medium</x:v>
      </x:c>
      <x:c r="K1606" t="n">
        <x:v>56.3</x:v>
      </x:c>
      <x:c r="L1606" t="n">
        <x:v>52.4</x:v>
      </x:c>
      <x:c r="M1606" t="n">
        <x:v>58.3</x:v>
      </x:c>
      <x:c r="N1606" t="str">
        <x:v>Most Likely</x:v>
      </x:c>
      <x:c r="O1606" t="str">
        <x:v>Most Likely</x:v>
      </x:c>
    </x:row>
    <x:row r="1607">
      <x:c r="A1607" t="str">
        <x:v>PJT_1606</x:v>
      </x:c>
      <x:c r="B1607" t="n">
        <x:v>52271000</x:v>
      </x:c>
      <x:c r="C1607" t="n">
        <x:v>54348096</x:v>
      </x:c>
      <x:c r="D1607" t="n">
        <x:v>2077096</x:v>
      </x:c>
      <x:c r="E1607" t="n">
        <x:v>0.0397</x:v>
      </x:c>
      <x:c r="F1607" t="n">
        <x:v>787</x:v>
      </x:c>
      <x:c r="G1607" t="n">
        <x:v>842</x:v>
      </x:c>
      <x:c r="H1607" t="n">
        <x:v>55</x:v>
      </x:c>
      <x:c r="I1607" t="n">
        <x:v>0.0699</x:v>
      </x:c>
      <x:c r="J1607" t="str">
        <x:v>Medium</x:v>
      </x:c>
      <x:c r="K1607" t="n">
        <x:v>52.3</x:v>
      </x:c>
      <x:c r="L1607" t="n">
        <x:v>54.6</x:v>
      </x:c>
      <x:c r="M1607" t="n">
        <x:v>53.1</x:v>
      </x:c>
      <x:c r="N1607" t="str">
        <x:v>Most Likely</x:v>
      </x:c>
      <x:c r="O1607" t="str">
        <x:v>Most Likely</x:v>
      </x:c>
    </x:row>
    <x:row r="1608">
      <x:c r="A1608" t="str">
        <x:v>PJT_1607</x:v>
      </x:c>
      <x:c r="B1608" t="n">
        <x:v>40275000</x:v>
      </x:c>
      <x:c r="C1608" t="n">
        <x:v>43798715</x:v>
      </x:c>
      <x:c r="D1608" t="n">
        <x:v>3523715</x:v>
      </x:c>
      <x:c r="E1608" t="n">
        <x:v>0.0875</x:v>
      </x:c>
      <x:c r="F1608" t="n">
        <x:v>825</x:v>
      </x:c>
      <x:c r="G1608" t="n">
        <x:v>876</x:v>
      </x:c>
      <x:c r="H1608" t="n">
        <x:v>51</x:v>
      </x:c>
      <x:c r="I1608" t="n">
        <x:v>0.0618</x:v>
      </x:c>
      <x:c r="J1608" t="str">
        <x:v>Medium</x:v>
      </x:c>
      <x:c r="K1608" t="n">
        <x:v>49.6</x:v>
      </x:c>
      <x:c r="L1608" t="n">
        <x:v>54.2</x:v>
      </x:c>
      <x:c r="M1608" t="n">
        <x:v>51.7</x:v>
      </x:c>
      <x:c r="N1608" t="str">
        <x:v>Most Likely</x:v>
      </x:c>
      <x:c r="O1608" t="str">
        <x:v>Most Likely</x:v>
      </x:c>
    </x:row>
    <x:row r="1609">
      <x:c r="A1609" t="str">
        <x:v>PJT_1608</x:v>
      </x:c>
      <x:c r="B1609" t="n">
        <x:v>43077280</x:v>
      </x:c>
      <x:c r="C1609" t="n">
        <x:v>47104070</x:v>
      </x:c>
      <x:c r="D1609" t="n">
        <x:v>4026790</x:v>
      </x:c>
      <x:c r="E1609" t="n">
        <x:v>0.0935</x:v>
      </x:c>
      <x:c r="F1609" t="n">
        <x:v>988</x:v>
      </x:c>
      <x:c r="G1609" t="n">
        <x:v>1055</x:v>
      </x:c>
      <x:c r="H1609" t="n">
        <x:v>67</x:v>
      </x:c>
      <x:c r="I1609" t="n">
        <x:v>0.0678</x:v>
      </x:c>
      <x:c r="J1609" t="str">
        <x:v>Medium</x:v>
      </x:c>
      <x:c r="K1609" t="n">
        <x:v>50.8</x:v>
      </x:c>
      <x:c r="L1609" t="n">
        <x:v>54.4</x:v>
      </x:c>
      <x:c r="M1609" t="n">
        <x:v>49.1</x:v>
      </x:c>
      <x:c r="N1609" t="str">
        <x:v>Most Likely</x:v>
      </x:c>
      <x:c r="O1609" t="str">
        <x:v>Most Likely</x:v>
      </x:c>
    </x:row>
    <x:row r="1610">
      <x:c r="A1610" t="str">
        <x:v>PJT_1609</x:v>
      </x:c>
      <x:c r="B1610" t="n">
        <x:v>32091700</x:v>
      </x:c>
      <x:c r="C1610" t="n">
        <x:v>34092989</x:v>
      </x:c>
      <x:c r="D1610" t="n">
        <x:v>2001289</x:v>
      </x:c>
      <x:c r="E1610" t="n">
        <x:v>0.0624</x:v>
      </x:c>
      <x:c r="F1610" t="n">
        <x:v>584</x:v>
      </x:c>
      <x:c r="G1610" t="n">
        <x:v>621</x:v>
      </x:c>
      <x:c r="H1610" t="n">
        <x:v>37</x:v>
      </x:c>
      <x:c r="I1610" t="n">
        <x:v>0.0634</x:v>
      </x:c>
      <x:c r="J1610" t="str">
        <x:v>Low</x:v>
      </x:c>
      <x:c r="K1610" t="n">
        <x:v>42.8</x:v>
      </x:c>
      <x:c r="L1610" t="n">
        <x:v>46.5</x:v>
      </x:c>
      <x:c r="M1610" t="n">
        <x:v>42</x:v>
      </x:c>
      <x:c r="N1610" t="str">
        <x:v>Most Likely</x:v>
      </x:c>
      <x:c r="O1610" t="str">
        <x:v>Most Likely</x:v>
      </x:c>
    </x:row>
    <x:row r="1611">
      <x:c r="A1611" t="str">
        <x:v>PJT_1610</x:v>
      </x:c>
      <x:c r="B1611" t="n">
        <x:v>23464480</x:v>
      </x:c>
      <x:c r="C1611" t="n">
        <x:v>24473321</x:v>
      </x:c>
      <x:c r="D1611" t="n">
        <x:v>1008841</x:v>
      </x:c>
      <x:c r="E1611" t="n">
        <x:v>0.043</x:v>
      </x:c>
      <x:c r="F1611" t="n">
        <x:v>467</x:v>
      </x:c>
      <x:c r="G1611" t="n">
        <x:v>503</x:v>
      </x:c>
      <x:c r="H1611" t="n">
        <x:v>36</x:v>
      </x:c>
      <x:c r="I1611" t="n">
        <x:v>0.0771</x:v>
      </x:c>
      <x:c r="J1611" t="str">
        <x:v>Low</x:v>
      </x:c>
      <x:c r="K1611" t="n">
        <x:v>39.3</x:v>
      </x:c>
      <x:c r="L1611" t="n">
        <x:v>41.6</x:v>
      </x:c>
      <x:c r="M1611" t="n">
        <x:v>40</x:v>
      </x:c>
      <x:c r="N1611" t="str">
        <x:v>Most Likely</x:v>
      </x:c>
      <x:c r="O1611" t="str">
        <x:v>Most Likely</x:v>
      </x:c>
    </x:row>
    <x:row r="1612">
      <x:c r="A1612" t="str">
        <x:v>PJT_1611</x:v>
      </x:c>
      <x:c r="B1612" t="n">
        <x:v>73865050</x:v>
      </x:c>
      <x:c r="C1612" t="n">
        <x:v>80436609</x:v>
      </x:c>
      <x:c r="D1612" t="n">
        <x:v>6571559</x:v>
      </x:c>
      <x:c r="E1612" t="n">
        <x:v>0.089</x:v>
      </x:c>
      <x:c r="F1612" t="n">
        <x:v>1396</x:v>
      </x:c>
      <x:c r="G1612" t="n">
        <x:v>1493</x:v>
      </x:c>
      <x:c r="H1612" t="n">
        <x:v>97</x:v>
      </x:c>
      <x:c r="I1612" t="n">
        <x:v>0.0695</x:v>
      </x:c>
      <x:c r="J1612" t="str">
        <x:v>Medium</x:v>
      </x:c>
      <x:c r="K1612" t="n">
        <x:v>53.6</x:v>
      </x:c>
      <x:c r="L1612" t="n">
        <x:v>50.2</x:v>
      </x:c>
      <x:c r="M1612" t="n">
        <x:v>51.9</x:v>
      </x:c>
      <x:c r="N1612" t="str">
        <x:v>Most Likely</x:v>
      </x:c>
      <x:c r="O1612" t="str">
        <x:v>Most Likely</x:v>
      </x:c>
    </x:row>
    <x:row r="1613">
      <x:c r="A1613" t="str">
        <x:v>PJT_1612</x:v>
      </x:c>
      <x:c r="B1613" t="n">
        <x:v>22245340</x:v>
      </x:c>
      <x:c r="C1613" t="n">
        <x:v>23442477</x:v>
      </x:c>
      <x:c r="D1613" t="n">
        <x:v>1197137</x:v>
      </x:c>
      <x:c r="E1613" t="n">
        <x:v>0.0538</x:v>
      </x:c>
      <x:c r="F1613" t="n">
        <x:v>515</x:v>
      </x:c>
      <x:c r="G1613" t="n">
        <x:v>563</x:v>
      </x:c>
      <x:c r="H1613" t="n">
        <x:v>48</x:v>
      </x:c>
      <x:c r="I1613" t="n">
        <x:v>0.0932</x:v>
      </x:c>
      <x:c r="J1613" t="str">
        <x:v>Medium</x:v>
      </x:c>
      <x:c r="K1613" t="n">
        <x:v>48.6</x:v>
      </x:c>
      <x:c r="L1613" t="n">
        <x:v>47.2</x:v>
      </x:c>
      <x:c r="M1613" t="n">
        <x:v>53.2</x:v>
      </x:c>
      <x:c r="N1613" t="str">
        <x:v>Most Likely</x:v>
      </x:c>
      <x:c r="O1613" t="str">
        <x:v>Most Likely</x:v>
      </x:c>
    </x:row>
    <x:row r="1614">
      <x:c r="A1614" t="str">
        <x:v>PJT_1613</x:v>
      </x:c>
      <x:c r="B1614" t="n">
        <x:v>33040320</x:v>
      </x:c>
      <x:c r="C1614" t="n">
        <x:v>33697356</x:v>
      </x:c>
      <x:c r="D1614" t="n">
        <x:v>657036</x:v>
      </x:c>
      <x:c r="E1614" t="n">
        <x:v>0.0199</x:v>
      </x:c>
      <x:c r="F1614" t="n">
        <x:v>625</x:v>
      </x:c>
      <x:c r="G1614" t="n">
        <x:v>557</x:v>
      </x:c>
      <x:c r="H1614" t="n">
        <x:v>-68</x:v>
      </x:c>
      <x:c r="I1614" t="n">
        <x:v>-0.1088</x:v>
      </x:c>
      <x:c r="J1614" t="str">
        <x:v>Low</x:v>
      </x:c>
      <x:c r="K1614" t="n">
        <x:v>44.6</x:v>
      </x:c>
      <x:c r="L1614" t="n">
        <x:v>45</x:v>
      </x:c>
      <x:c r="M1614" t="n">
        <x:v>35.9</x:v>
      </x:c>
      <x:c r="N1614" t="str">
        <x:v>Most Likely</x:v>
      </x:c>
      <x:c r="O1614" t="str">
        <x:v>Optimistic</x:v>
      </x:c>
    </x:row>
    <x:row r="1615">
      <x:c r="A1615" t="str">
        <x:v>PJT_1614</x:v>
      </x:c>
      <x:c r="B1615" t="n">
        <x:v>69325900</x:v>
      </x:c>
      <x:c r="C1615" t="n">
        <x:v>74177681</x:v>
      </x:c>
      <x:c r="D1615" t="n">
        <x:v>4851781</x:v>
      </x:c>
      <x:c r="E1615" t="n">
        <x:v>0.07</x:v>
      </x:c>
      <x:c r="F1615" t="n">
        <x:v>1043</x:v>
      </x:c>
      <x:c r="G1615" t="n">
        <x:v>1058</x:v>
      </x:c>
      <x:c r="H1615" t="n">
        <x:v>15</x:v>
      </x:c>
      <x:c r="I1615" t="n">
        <x:v>0.0144</x:v>
      </x:c>
      <x:c r="J1615" t="str">
        <x:v>Medium</x:v>
      </x:c>
      <x:c r="K1615" t="n">
        <x:v>50.7</x:v>
      </x:c>
      <x:c r="L1615" t="n">
        <x:v>58.4</x:v>
      </x:c>
      <x:c r="M1615" t="n">
        <x:v>52.8</x:v>
      </x:c>
      <x:c r="N1615" t="str">
        <x:v>Most Likely</x:v>
      </x:c>
      <x:c r="O1615" t="str">
        <x:v>Most Likely</x:v>
      </x:c>
    </x:row>
    <x:row r="1616">
      <x:c r="A1616" t="str">
        <x:v>PJT_1615</x:v>
      </x:c>
      <x:c r="B1616" t="n">
        <x:v>56866810</x:v>
      </x:c>
      <x:c r="C1616" t="n">
        <x:v>59302837</x:v>
      </x:c>
      <x:c r="D1616" t="n">
        <x:v>2436027</x:v>
      </x:c>
      <x:c r="E1616" t="n">
        <x:v>0.0428</x:v>
      </x:c>
      <x:c r="F1616" t="n">
        <x:v>969</x:v>
      </x:c>
      <x:c r="G1616" t="n">
        <x:v>1036</x:v>
      </x:c>
      <x:c r="H1616" t="n">
        <x:v>67</x:v>
      </x:c>
      <x:c r="I1616" t="n">
        <x:v>0.0691</x:v>
      </x:c>
      <x:c r="J1616" t="str">
        <x:v>Medium</x:v>
      </x:c>
      <x:c r="K1616" t="n">
        <x:v>59</x:v>
      </x:c>
      <x:c r="L1616" t="n">
        <x:v>62.6</x:v>
      </x:c>
      <x:c r="M1616" t="n">
        <x:v>60.6</x:v>
      </x:c>
      <x:c r="N1616" t="str">
        <x:v>Most Likely</x:v>
      </x:c>
      <x:c r="O1616" t="str">
        <x:v>Most Likely</x:v>
      </x:c>
    </x:row>
    <x:row r="1617">
      <x:c r="A1617" t="str">
        <x:v>PJT_1616</x:v>
      </x:c>
      <x:c r="B1617" t="n">
        <x:v>38048200</x:v>
      </x:c>
      <x:c r="C1617" t="n">
        <x:v>42227988</x:v>
      </x:c>
      <x:c r="D1617" t="n">
        <x:v>4179788</x:v>
      </x:c>
      <x:c r="E1617" t="n">
        <x:v>0.1099</x:v>
      </x:c>
      <x:c r="F1617" t="n">
        <x:v>778</x:v>
      </x:c>
      <x:c r="G1617" t="n">
        <x:v>755</x:v>
      </x:c>
      <x:c r="H1617" t="n">
        <x:v>-23</x:v>
      </x:c>
      <x:c r="I1617" t="n">
        <x:v>-0.0296</x:v>
      </x:c>
      <x:c r="J1617" t="str">
        <x:v>Low</x:v>
      </x:c>
      <x:c r="K1617" t="n">
        <x:v>44.2</x:v>
      </x:c>
      <x:c r="L1617" t="n">
        <x:v>44.3</x:v>
      </x:c>
      <x:c r="M1617" t="n">
        <x:v>36.6</x:v>
      </x:c>
      <x:c r="N1617" t="str">
        <x:v>Pessimistic</x:v>
      </x:c>
      <x:c r="O1617" t="str">
        <x:v>Optimistic</x:v>
      </x:c>
    </x:row>
    <x:row r="1618">
      <x:c r="A1618" t="str">
        <x:v>PJT_1617</x:v>
      </x:c>
      <x:c r="B1618" t="n">
        <x:v>18587440</x:v>
      </x:c>
      <x:c r="C1618" t="n">
        <x:v>17970302</x:v>
      </x:c>
      <x:c r="D1618" t="n">
        <x:v>-617138</x:v>
      </x:c>
      <x:c r="E1618" t="n">
        <x:v>-0.0332</x:v>
      </x:c>
      <x:c r="F1618" t="n">
        <x:v>343</x:v>
      </x:c>
      <x:c r="G1618" t="n">
        <x:v>365</x:v>
      </x:c>
      <x:c r="H1618" t="n">
        <x:v>22</x:v>
      </x:c>
      <x:c r="I1618" t="n">
        <x:v>0.0641</x:v>
      </x:c>
      <x:c r="J1618" t="str">
        <x:v>Low</x:v>
      </x:c>
      <x:c r="K1618" t="n">
        <x:v>41.8</x:v>
      </x:c>
      <x:c r="L1618" t="n">
        <x:v>46.2</x:v>
      </x:c>
      <x:c r="M1618" t="n">
        <x:v>43.9</x:v>
      </x:c>
      <x:c r="N1618" t="str">
        <x:v>Optimistic</x:v>
      </x:c>
      <x:c r="O1618" t="str">
        <x:v>Most Likely</x:v>
      </x:c>
    </x:row>
    <x:row r="1619">
      <x:c r="A1619" t="str">
        <x:v>PJT_1618</x:v>
      </x:c>
      <x:c r="B1619" t="n">
        <x:v>31428520</x:v>
      </x:c>
      <x:c r="C1619" t="n">
        <x:v>33816433</x:v>
      </x:c>
      <x:c r="D1619" t="n">
        <x:v>2387913</x:v>
      </x:c>
      <x:c r="E1619" t="n">
        <x:v>0.076</x:v>
      </x:c>
      <x:c r="F1619" t="n">
        <x:v>747</x:v>
      </x:c>
      <x:c r="G1619" t="n">
        <x:v>813</x:v>
      </x:c>
      <x:c r="H1619" t="n">
        <x:v>66</x:v>
      </x:c>
      <x:c r="I1619" t="n">
        <x:v>0.0884</x:v>
      </x:c>
      <x:c r="J1619" t="str">
        <x:v>Medium</x:v>
      </x:c>
      <x:c r="K1619" t="n">
        <x:v>56.6</x:v>
      </x:c>
      <x:c r="L1619" t="n">
        <x:v>53.9</x:v>
      </x:c>
      <x:c r="M1619" t="n">
        <x:v>58.9</x:v>
      </x:c>
      <x:c r="N1619" t="str">
        <x:v>Most Likely</x:v>
      </x:c>
      <x:c r="O1619" t="str">
        <x:v>Most Likely</x:v>
      </x:c>
    </x:row>
    <x:row r="1620">
      <x:c r="A1620" t="str">
        <x:v>PJT_1619</x:v>
      </x:c>
      <x:c r="B1620" t="n">
        <x:v>42802900</x:v>
      </x:c>
      <x:c r="C1620" t="n">
        <x:v>45162098</x:v>
      </x:c>
      <x:c r="D1620" t="n">
        <x:v>2359198</x:v>
      </x:c>
      <x:c r="E1620" t="n">
        <x:v>0.0551</x:v>
      </x:c>
      <x:c r="F1620" t="n">
        <x:v>799</x:v>
      </x:c>
      <x:c r="G1620" t="n">
        <x:v>807</x:v>
      </x:c>
      <x:c r="H1620" t="n">
        <x:v>8</x:v>
      </x:c>
      <x:c r="I1620" t="n">
        <x:v>0.01</x:v>
      </x:c>
      <x:c r="J1620" t="str">
        <x:v>Medium</x:v>
      </x:c>
      <x:c r="K1620" t="n">
        <x:v>52.7</x:v>
      </x:c>
      <x:c r="L1620" t="n">
        <x:v>52.5</x:v>
      </x:c>
      <x:c r="M1620" t="n">
        <x:v>48</x:v>
      </x:c>
      <x:c r="N1620" t="str">
        <x:v>Most Likely</x:v>
      </x:c>
      <x:c r="O1620" t="str">
        <x:v>Most Likely</x:v>
      </x:c>
    </x:row>
    <x:row r="1621">
      <x:c r="A1621" t="str">
        <x:v>PJT_1620</x:v>
      </x:c>
      <x:c r="B1621" t="n">
        <x:v>59370570</x:v>
      </x:c>
      <x:c r="C1621" t="n">
        <x:v>61501471</x:v>
      </x:c>
      <x:c r="D1621" t="n">
        <x:v>2130901</x:v>
      </x:c>
      <x:c r="E1621" t="n">
        <x:v>0.0359</x:v>
      </x:c>
      <x:c r="F1621" t="n">
        <x:v>1026</x:v>
      </x:c>
      <x:c r="G1621" t="n">
        <x:v>1097</x:v>
      </x:c>
      <x:c r="H1621" t="n">
        <x:v>71</x:v>
      </x:c>
      <x:c r="I1621" t="n">
        <x:v>0.0692</x:v>
      </x:c>
      <x:c r="J1621" t="str">
        <x:v>Medium</x:v>
      </x:c>
      <x:c r="K1621" t="n">
        <x:v>52.1</x:v>
      </x:c>
      <x:c r="L1621" t="n">
        <x:v>54.4</x:v>
      </x:c>
      <x:c r="M1621" t="n">
        <x:v>46.3</x:v>
      </x:c>
      <x:c r="N1621" t="str">
        <x:v>Most Likely</x:v>
      </x:c>
      <x:c r="O1621" t="str">
        <x:v>Most Likely</x:v>
      </x:c>
    </x:row>
    <x:row r="1622">
      <x:c r="A1622" t="str">
        <x:v>PJT_1621</x:v>
      </x:c>
      <x:c r="B1622" t="n">
        <x:v>22045100</x:v>
      </x:c>
      <x:c r="C1622" t="n">
        <x:v>21953087</x:v>
      </x:c>
      <x:c r="D1622" t="n">
        <x:v>-92013</x:v>
      </x:c>
      <x:c r="E1622" t="n">
        <x:v>-0.0042</x:v>
      </x:c>
      <x:c r="F1622" t="n">
        <x:v>427</x:v>
      </x:c>
      <x:c r="G1622" t="n">
        <x:v>428</x:v>
      </x:c>
      <x:c r="H1622" t="n">
        <x:v>1</x:v>
      </x:c>
      <x:c r="I1622" t="n">
        <x:v>0.0023</x:v>
      </x:c>
      <x:c r="J1622" t="str">
        <x:v>Low</x:v>
      </x:c>
      <x:c r="K1622" t="n">
        <x:v>34.9</x:v>
      </x:c>
      <x:c r="L1622" t="n">
        <x:v>37</x:v>
      </x:c>
      <x:c r="M1622" t="n">
        <x:v>31.8</x:v>
      </x:c>
      <x:c r="N1622" t="str">
        <x:v>Optimistic</x:v>
      </x:c>
      <x:c r="O1622" t="str">
        <x:v>Most Likely</x:v>
      </x:c>
    </x:row>
    <x:row r="1623">
      <x:c r="A1623" t="str">
        <x:v>PJT_1622</x:v>
      </x:c>
      <x:c r="B1623" t="n">
        <x:v>60314360</x:v>
      </x:c>
      <x:c r="C1623" t="n">
        <x:v>67338190</x:v>
      </x:c>
      <x:c r="D1623" t="n">
        <x:v>7023830</x:v>
      </x:c>
      <x:c r="E1623" t="n">
        <x:v>0.1165</x:v>
      </x:c>
      <x:c r="F1623" t="n">
        <x:v>1212</x:v>
      </x:c>
      <x:c r="G1623" t="n">
        <x:v>1286</x:v>
      </x:c>
      <x:c r="H1623" t="n">
        <x:v>74</x:v>
      </x:c>
      <x:c r="I1623" t="n">
        <x:v>0.0611</x:v>
      </x:c>
      <x:c r="J1623" t="str">
        <x:v>Medium</x:v>
      </x:c>
      <x:c r="K1623" t="n">
        <x:v>54.4</x:v>
      </x:c>
      <x:c r="L1623" t="n">
        <x:v>55</x:v>
      </x:c>
      <x:c r="M1623" t="n">
        <x:v>59.5</x:v>
      </x:c>
      <x:c r="N1623" t="str">
        <x:v>Pessimistic</x:v>
      </x:c>
      <x:c r="O1623" t="str">
        <x:v>Most Likely</x:v>
      </x:c>
    </x:row>
    <x:row r="1624">
      <x:c r="A1624" t="str">
        <x:v>PJT_1623</x:v>
      </x:c>
      <x:c r="B1624" t="n">
        <x:v>10377700</x:v>
      </x:c>
      <x:c r="C1624" t="n">
        <x:v>10076204</x:v>
      </x:c>
      <x:c r="D1624" t="n">
        <x:v>-301496</x:v>
      </x:c>
      <x:c r="E1624" t="n">
        <x:v>-0.0291</x:v>
      </x:c>
      <x:c r="F1624" t="n">
        <x:v>244</x:v>
      </x:c>
      <x:c r="G1624" t="n">
        <x:v>254</x:v>
      </x:c>
      <x:c r="H1624" t="n">
        <x:v>10</x:v>
      </x:c>
      <x:c r="I1624" t="n">
        <x:v>0.041</x:v>
      </x:c>
      <x:c r="J1624" t="str">
        <x:v>Low</x:v>
      </x:c>
      <x:c r="K1624" t="n">
        <x:v>24.2</x:v>
      </x:c>
      <x:c r="L1624" t="n">
        <x:v>26.8</x:v>
      </x:c>
      <x:c r="M1624" t="n">
        <x:v>22</x:v>
      </x:c>
      <x:c r="N1624" t="str">
        <x:v>Optimistic</x:v>
      </x:c>
      <x:c r="O1624" t="str">
        <x:v>Most Likely</x:v>
      </x:c>
    </x:row>
    <x:row r="1625">
      <x:c r="A1625" t="str">
        <x:v>PJT_1624</x:v>
      </x:c>
      <x:c r="B1625" t="n">
        <x:v>53785980</x:v>
      </x:c>
      <x:c r="C1625" t="n">
        <x:v>55532549</x:v>
      </x:c>
      <x:c r="D1625" t="n">
        <x:v>1746569</x:v>
      </x:c>
      <x:c r="E1625" t="n">
        <x:v>0.0325</x:v>
      </x:c>
      <x:c r="F1625" t="n">
        <x:v>1138</x:v>
      </x:c>
      <x:c r="G1625" t="n">
        <x:v>1237</x:v>
      </x:c>
      <x:c r="H1625" t="n">
        <x:v>99</x:v>
      </x:c>
      <x:c r="I1625" t="n">
        <x:v>0.087</x:v>
      </x:c>
      <x:c r="J1625" t="str">
        <x:v>Medium</x:v>
      </x:c>
      <x:c r="K1625" t="n">
        <x:v>55</x:v>
      </x:c>
      <x:c r="L1625" t="n">
        <x:v>56.2</x:v>
      </x:c>
      <x:c r="M1625" t="n">
        <x:v>51</x:v>
      </x:c>
      <x:c r="N1625" t="str">
        <x:v>Most Likely</x:v>
      </x:c>
      <x:c r="O1625" t="str">
        <x:v>Most Likely</x:v>
      </x:c>
    </x:row>
    <x:row r="1626">
      <x:c r="A1626" t="str">
        <x:v>PJT_1625</x:v>
      </x:c>
      <x:c r="B1626" t="n">
        <x:v>41228200</x:v>
      </x:c>
      <x:c r="C1626" t="n">
        <x:v>45113021</x:v>
      </x:c>
      <x:c r="D1626" t="n">
        <x:v>3884821</x:v>
      </x:c>
      <x:c r="E1626" t="n">
        <x:v>0.0942</x:v>
      </x:c>
      <x:c r="F1626" t="n">
        <x:v>785</x:v>
      </x:c>
      <x:c r="G1626" t="n">
        <x:v>867</x:v>
      </x:c>
      <x:c r="H1626" t="n">
        <x:v>82</x:v>
      </x:c>
      <x:c r="I1626" t="n">
        <x:v>0.1045</x:v>
      </x:c>
      <x:c r="J1626" t="str">
        <x:v>Medium</x:v>
      </x:c>
      <x:c r="K1626" t="n">
        <x:v>56.5</x:v>
      </x:c>
      <x:c r="L1626" t="n">
        <x:v>58</x:v>
      </x:c>
      <x:c r="M1626" t="n">
        <x:v>59.9</x:v>
      </x:c>
      <x:c r="N1626" t="str">
        <x:v>Most Likely</x:v>
      </x:c>
      <x:c r="O1626" t="str">
        <x:v>Pessimistic</x:v>
      </x:c>
    </x:row>
    <x:row r="1627">
      <x:c r="A1627" t="str">
        <x:v>PJT_1626</x:v>
      </x:c>
      <x:c r="B1627" t="n">
        <x:v>44331300</x:v>
      </x:c>
      <x:c r="C1627" t="n">
        <x:v>45264845</x:v>
      </x:c>
      <x:c r="D1627" t="n">
        <x:v>933545</x:v>
      </x:c>
      <x:c r="E1627" t="n">
        <x:v>0.0211</x:v>
      </x:c>
      <x:c r="F1627" t="n">
        <x:v>781</x:v>
      </x:c>
      <x:c r="G1627" t="n">
        <x:v>832</x:v>
      </x:c>
      <x:c r="H1627" t="n">
        <x:v>51</x:v>
      </x:c>
      <x:c r="I1627" t="n">
        <x:v>0.0653</x:v>
      </x:c>
      <x:c r="J1627" t="str">
        <x:v>Medium</x:v>
      </x:c>
      <x:c r="K1627" t="n">
        <x:v>49.5</x:v>
      </x:c>
      <x:c r="L1627" t="n">
        <x:v>46.3</x:v>
      </x:c>
      <x:c r="M1627" t="n">
        <x:v>45.7</x:v>
      </x:c>
      <x:c r="N1627" t="str">
        <x:v>Most Likely</x:v>
      </x:c>
      <x:c r="O1627" t="str">
        <x:v>Most Likely</x:v>
      </x:c>
    </x:row>
    <x:row r="1628">
      <x:c r="A1628" t="str">
        <x:v>PJT_1627</x:v>
      </x:c>
      <x:c r="B1628" t="n">
        <x:v>44914910</x:v>
      </x:c>
      <x:c r="C1628" t="n">
        <x:v>44752181</x:v>
      </x:c>
      <x:c r="D1628" t="n">
        <x:v>-162729</x:v>
      </x:c>
      <x:c r="E1628" t="n">
        <x:v>-0.0036</x:v>
      </x:c>
      <x:c r="F1628" t="n">
        <x:v>800</x:v>
      </x:c>
      <x:c r="G1628" t="n">
        <x:v>814</x:v>
      </x:c>
      <x:c r="H1628" t="n">
        <x:v>14</x:v>
      </x:c>
      <x:c r="I1628" t="n">
        <x:v>0.0175</x:v>
      </x:c>
      <x:c r="J1628" t="str">
        <x:v>Medium</x:v>
      </x:c>
      <x:c r="K1628" t="n">
        <x:v>49.1</x:v>
      </x:c>
      <x:c r="L1628" t="n">
        <x:v>46.5</x:v>
      </x:c>
      <x:c r="M1628" t="n">
        <x:v>46</x:v>
      </x:c>
      <x:c r="N1628" t="str">
        <x:v>Optimistic</x:v>
      </x:c>
      <x:c r="O1628" t="str">
        <x:v>Most Likely</x:v>
      </x:c>
    </x:row>
    <x:row r="1629">
      <x:c r="A1629" t="str">
        <x:v>PJT_1628</x:v>
      </x:c>
      <x:c r="B1629" t="n">
        <x:v>80600800</x:v>
      </x:c>
      <x:c r="C1629" t="n">
        <x:v>84102221</x:v>
      </x:c>
      <x:c r="D1629" t="n">
        <x:v>3501421</x:v>
      </x:c>
      <x:c r="E1629" t="n">
        <x:v>0.0434</x:v>
      </x:c>
      <x:c r="F1629" t="n">
        <x:v>1579</x:v>
      </x:c>
      <x:c r="G1629" t="n">
        <x:v>1800</x:v>
      </x:c>
      <x:c r="H1629" t="n">
        <x:v>221</x:v>
      </x:c>
      <x:c r="I1629" t="n">
        <x:v>0.14</x:v>
      </x:c>
      <x:c r="J1629" t="str">
        <x:v>High</x:v>
      </x:c>
      <x:c r="K1629" t="n">
        <x:v>73.7</x:v>
      </x:c>
      <x:c r="L1629" t="n">
        <x:v>66.1</x:v>
      </x:c>
      <x:c r="M1629" t="n">
        <x:v>72</x:v>
      </x:c>
      <x:c r="N1629" t="str">
        <x:v>Most Likely</x:v>
      </x:c>
      <x:c r="O1629" t="str">
        <x:v>Pessimistic</x:v>
      </x:c>
    </x:row>
    <x:row r="1630">
      <x:c r="A1630" t="str">
        <x:v>PJT_1629</x:v>
      </x:c>
      <x:c r="B1630" t="n">
        <x:v>23896770</x:v>
      </x:c>
      <x:c r="C1630" t="n">
        <x:v>24867543</x:v>
      </x:c>
      <x:c r="D1630" t="n">
        <x:v>970773</x:v>
      </x:c>
      <x:c r="E1630" t="n">
        <x:v>0.0406</x:v>
      </x:c>
      <x:c r="F1630" t="n">
        <x:v>427</x:v>
      </x:c>
      <x:c r="G1630" t="n">
        <x:v>429</x:v>
      </x:c>
      <x:c r="H1630" t="n">
        <x:v>2</x:v>
      </x:c>
      <x:c r="I1630" t="n">
        <x:v>0.0047</x:v>
      </x:c>
      <x:c r="J1630" t="str">
        <x:v>Medium</x:v>
      </x:c>
      <x:c r="K1630" t="n">
        <x:v>48.4</x:v>
      </x:c>
      <x:c r="L1630" t="n">
        <x:v>40.4</x:v>
      </x:c>
      <x:c r="M1630" t="n">
        <x:v>47.8</x:v>
      </x:c>
      <x:c r="N1630" t="str">
        <x:v>Most Likely</x:v>
      </x:c>
      <x:c r="O1630" t="str">
        <x:v>Most Likely</x:v>
      </x:c>
    </x:row>
    <x:row r="1631">
      <x:c r="A1631" t="str">
        <x:v>PJT_1630</x:v>
      </x:c>
      <x:c r="B1631" t="n">
        <x:v>46499400</x:v>
      </x:c>
      <x:c r="C1631" t="n">
        <x:v>48492653</x:v>
      </x:c>
      <x:c r="D1631" t="n">
        <x:v>1993253</x:v>
      </x:c>
      <x:c r="E1631" t="n">
        <x:v>0.0429</x:v>
      </x:c>
      <x:c r="F1631" t="n">
        <x:v>789</x:v>
      </x:c>
      <x:c r="G1631" t="n">
        <x:v>809</x:v>
      </x:c>
      <x:c r="H1631" t="n">
        <x:v>20</x:v>
      </x:c>
      <x:c r="I1631" t="n">
        <x:v>0.0253</x:v>
      </x:c>
      <x:c r="J1631" t="str">
        <x:v>Low</x:v>
      </x:c>
      <x:c r="K1631" t="n">
        <x:v>35.8</x:v>
      </x:c>
      <x:c r="L1631" t="n">
        <x:v>40.6</x:v>
      </x:c>
      <x:c r="M1631" t="n">
        <x:v>38.6</x:v>
      </x:c>
      <x:c r="N1631" t="str">
        <x:v>Most Likely</x:v>
      </x:c>
      <x:c r="O1631" t="str">
        <x:v>Most Likely</x:v>
      </x:c>
    </x:row>
    <x:row r="1632">
      <x:c r="A1632" t="str">
        <x:v>PJT_1631</x:v>
      </x:c>
      <x:c r="B1632" t="n">
        <x:v>35208600</x:v>
      </x:c>
      <x:c r="C1632" t="n">
        <x:v>38417742</x:v>
      </x:c>
      <x:c r="D1632" t="n">
        <x:v>3209142</x:v>
      </x:c>
      <x:c r="E1632" t="n">
        <x:v>0.0911</x:v>
      </x:c>
      <x:c r="F1632" t="n">
        <x:v>933</x:v>
      </x:c>
      <x:c r="G1632" t="n">
        <x:v>1082</x:v>
      </x:c>
      <x:c r="H1632" t="n">
        <x:v>149</x:v>
      </x:c>
      <x:c r="I1632" t="n">
        <x:v>0.1597</x:v>
      </x:c>
      <x:c r="J1632" t="str">
        <x:v>Medium</x:v>
      </x:c>
      <x:c r="K1632" t="n">
        <x:v>52.2</x:v>
      </x:c>
      <x:c r="L1632" t="n">
        <x:v>53.4</x:v>
      </x:c>
      <x:c r="M1632" t="n">
        <x:v>53.8</x:v>
      </x:c>
      <x:c r="N1632" t="str">
        <x:v>Most Likely</x:v>
      </x:c>
      <x:c r="O1632" t="str">
        <x:v>Pessimistic</x:v>
      </x:c>
    </x:row>
    <x:row r="1633">
      <x:c r="A1633" t="str">
        <x:v>PJT_1632</x:v>
      </x:c>
      <x:c r="B1633" t="n">
        <x:v>95849040</x:v>
      </x:c>
      <x:c r="C1633" t="n">
        <x:v>95569847</x:v>
      </x:c>
      <x:c r="D1633" t="n">
        <x:v>-279193</x:v>
      </x:c>
      <x:c r="E1633" t="n">
        <x:v>-0.0029</x:v>
      </x:c>
      <x:c r="F1633" t="n">
        <x:v>1821</x:v>
      </x:c>
      <x:c r="G1633" t="n">
        <x:v>2023</x:v>
      </x:c>
      <x:c r="H1633" t="n">
        <x:v>202</x:v>
      </x:c>
      <x:c r="I1633" t="n">
        <x:v>0.1109</x:v>
      </x:c>
      <x:c r="J1633" t="str">
        <x:v>High</x:v>
      </x:c>
      <x:c r="K1633" t="n">
        <x:v>70.3</x:v>
      </x:c>
      <x:c r="L1633" t="n">
        <x:v>66.9</x:v>
      </x:c>
      <x:c r="M1633" t="n">
        <x:v>68.6</x:v>
      </x:c>
      <x:c r="N1633" t="str">
        <x:v>Optimistic</x:v>
      </x:c>
      <x:c r="O1633" t="str">
        <x:v>Pessimistic</x:v>
      </x:c>
    </x:row>
    <x:row r="1634">
      <x:c r="A1634" t="str">
        <x:v>PJT_1633</x:v>
      </x:c>
      <x:c r="B1634" t="n">
        <x:v>9180990</x:v>
      </x:c>
      <x:c r="C1634" t="n">
        <x:v>9126902</x:v>
      </x:c>
      <x:c r="D1634" t="n">
        <x:v>-54088</x:v>
      </x:c>
      <x:c r="E1634" t="n">
        <x:v>-0.0059</x:v>
      </x:c>
      <x:c r="F1634" t="n">
        <x:v>180</x:v>
      </x:c>
      <x:c r="G1634" t="n">
        <x:v>186</x:v>
      </x:c>
      <x:c r="H1634" t="n">
        <x:v>6</x:v>
      </x:c>
      <x:c r="I1634" t="n">
        <x:v>0.0333</x:v>
      </x:c>
      <x:c r="J1634" t="str">
        <x:v>Low</x:v>
      </x:c>
      <x:c r="K1634" t="n">
        <x:v>42.3</x:v>
      </x:c>
      <x:c r="L1634" t="n">
        <x:v>36.9</x:v>
      </x:c>
      <x:c r="M1634" t="n">
        <x:v>36.4</x:v>
      </x:c>
      <x:c r="N1634" t="str">
        <x:v>Optimistic</x:v>
      </x:c>
      <x:c r="O1634" t="str">
        <x:v>Most Likely</x:v>
      </x:c>
    </x:row>
    <x:row r="1635">
      <x:c r="A1635" t="str">
        <x:v>PJT_1634</x:v>
      </x:c>
      <x:c r="B1635" t="n">
        <x:v>58938460</x:v>
      </x:c>
      <x:c r="C1635" t="n">
        <x:v>63183529</x:v>
      </x:c>
      <x:c r="D1635" t="n">
        <x:v>4245069</x:v>
      </x:c>
      <x:c r="E1635" t="n">
        <x:v>0.072</x:v>
      </x:c>
      <x:c r="F1635" t="n">
        <x:v>1182</x:v>
      </x:c>
      <x:c r="G1635" t="n">
        <x:v>1280</x:v>
      </x:c>
      <x:c r="H1635" t="n">
        <x:v>98</x:v>
      </x:c>
      <x:c r="I1635" t="n">
        <x:v>0.0829</x:v>
      </x:c>
      <x:c r="J1635" t="str">
        <x:v>Medium</x:v>
      </x:c>
      <x:c r="K1635" t="n">
        <x:v>54.7</x:v>
      </x:c>
      <x:c r="L1635" t="n">
        <x:v>56.7</x:v>
      </x:c>
      <x:c r="M1635" t="n">
        <x:v>58</x:v>
      </x:c>
      <x:c r="N1635" t="str">
        <x:v>Most Likely</x:v>
      </x:c>
      <x:c r="O1635" t="str">
        <x:v>Most Likely</x:v>
      </x:c>
    </x:row>
    <x:row r="1636">
      <x:c r="A1636" t="str">
        <x:v>PJT_1635</x:v>
      </x:c>
      <x:c r="B1636" t="n">
        <x:v>61503990</x:v>
      </x:c>
      <x:c r="C1636" t="n">
        <x:v>67252682</x:v>
      </x:c>
      <x:c r="D1636" t="n">
        <x:v>5748692</x:v>
      </x:c>
      <x:c r="E1636" t="n">
        <x:v>0.0935</x:v>
      </x:c>
      <x:c r="F1636" t="n">
        <x:v>1207</x:v>
      </x:c>
      <x:c r="G1636" t="n">
        <x:v>1292</x:v>
      </x:c>
      <x:c r="H1636" t="n">
        <x:v>85</x:v>
      </x:c>
      <x:c r="I1636" t="n">
        <x:v>0.0704</x:v>
      </x:c>
      <x:c r="J1636" t="str">
        <x:v>Medium</x:v>
      </x:c>
      <x:c r="K1636" t="n">
        <x:v>59.7</x:v>
      </x:c>
      <x:c r="L1636" t="n">
        <x:v>56</x:v>
      </x:c>
      <x:c r="M1636" t="n">
        <x:v>55.3</x:v>
      </x:c>
      <x:c r="N1636" t="str">
        <x:v>Most Likely</x:v>
      </x:c>
      <x:c r="O1636" t="str">
        <x:v>Most Likely</x:v>
      </x:c>
    </x:row>
    <x:row r="1637">
      <x:c r="A1637" t="str">
        <x:v>PJT_1636</x:v>
      </x:c>
      <x:c r="B1637" t="n">
        <x:v>14925000</x:v>
      </x:c>
      <x:c r="C1637" t="n">
        <x:v>14606307</x:v>
      </x:c>
      <x:c r="D1637" t="n">
        <x:v>-318693</x:v>
      </x:c>
      <x:c r="E1637" t="n">
        <x:v>-0.0214</x:v>
      </x:c>
      <x:c r="F1637" t="n">
        <x:v>328</x:v>
      </x:c>
      <x:c r="G1637" t="n">
        <x:v>340</x:v>
      </x:c>
      <x:c r="H1637" t="n">
        <x:v>12</x:v>
      </x:c>
      <x:c r="I1637" t="n">
        <x:v>0.0366</x:v>
      </x:c>
      <x:c r="J1637" t="str">
        <x:v>Low</x:v>
      </x:c>
      <x:c r="K1637" t="n">
        <x:v>30.4</x:v>
      </x:c>
      <x:c r="L1637" t="n">
        <x:v>28.9</x:v>
      </x:c>
      <x:c r="M1637" t="n">
        <x:v>32.8</x:v>
      </x:c>
      <x:c r="N1637" t="str">
        <x:v>Optimistic</x:v>
      </x:c>
      <x:c r="O1637" t="str">
        <x:v>Most Likely</x:v>
      </x:c>
    </x:row>
    <x:row r="1638">
      <x:c r="A1638" t="str">
        <x:v>PJT_1637</x:v>
      </x:c>
      <x:c r="B1638" t="n">
        <x:v>9580480</x:v>
      </x:c>
      <x:c r="C1638" t="n">
        <x:v>9489998</x:v>
      </x:c>
      <x:c r="D1638" t="n">
        <x:v>-90482</x:v>
      </x:c>
      <x:c r="E1638" t="n">
        <x:v>-0.0094</x:v>
      </x:c>
      <x:c r="F1638" t="n">
        <x:v>187</x:v>
      </x:c>
      <x:c r="G1638" t="n">
        <x:v>179</x:v>
      </x:c>
      <x:c r="H1638" t="n">
        <x:v>-8</x:v>
      </x:c>
      <x:c r="I1638" t="n">
        <x:v>-0.0428</x:v>
      </x:c>
      <x:c r="J1638" t="str">
        <x:v>Low</x:v>
      </x:c>
      <x:c r="K1638" t="n">
        <x:v>29.9</x:v>
      </x:c>
      <x:c r="L1638" t="n">
        <x:v>35.8</x:v>
      </x:c>
      <x:c r="M1638" t="n">
        <x:v>33</x:v>
      </x:c>
      <x:c r="N1638" t="str">
        <x:v>Optimistic</x:v>
      </x:c>
      <x:c r="O1638" t="str">
        <x:v>Optimistic</x:v>
      </x:c>
    </x:row>
    <x:row r="1639">
      <x:c r="A1639" t="str">
        <x:v>PJT_1638</x:v>
      </x:c>
      <x:c r="B1639" t="n">
        <x:v>88409920</x:v>
      </x:c>
      <x:c r="C1639" t="n">
        <x:v>96171504</x:v>
      </x:c>
      <x:c r="D1639" t="n">
        <x:v>7761584</x:v>
      </x:c>
      <x:c r="E1639" t="n">
        <x:v>0.0878</x:v>
      </x:c>
      <x:c r="F1639" t="n">
        <x:v>1837</x:v>
      </x:c>
      <x:c r="G1639" t="n">
        <x:v>2063</x:v>
      </x:c>
      <x:c r="H1639" t="n">
        <x:v>226</x:v>
      </x:c>
      <x:c r="I1639" t="n">
        <x:v>0.123</x:v>
      </x:c>
      <x:c r="J1639" t="str">
        <x:v>Medium</x:v>
      </x:c>
      <x:c r="K1639" t="n">
        <x:v>61.9</x:v>
      </x:c>
      <x:c r="L1639" t="n">
        <x:v>58.1</x:v>
      </x:c>
      <x:c r="M1639" t="n">
        <x:v>64.7</x:v>
      </x:c>
      <x:c r="N1639" t="str">
        <x:v>Most Likely</x:v>
      </x:c>
      <x:c r="O1639" t="str">
        <x:v>Pessimistic</x:v>
      </x:c>
    </x:row>
    <x:row r="1640">
      <x:c r="A1640" t="str">
        <x:v>PJT_1639</x:v>
      </x:c>
      <x:c r="B1640" t="n">
        <x:v>23351900</x:v>
      </x:c>
      <x:c r="C1640" t="n">
        <x:v>24270809</x:v>
      </x:c>
      <x:c r="D1640" t="n">
        <x:v>918909</x:v>
      </x:c>
      <x:c r="E1640" t="n">
        <x:v>0.0394</x:v>
      </x:c>
      <x:c r="F1640" t="n">
        <x:v>535</x:v>
      </x:c>
      <x:c r="G1640" t="n">
        <x:v>567</x:v>
      </x:c>
      <x:c r="H1640" t="n">
        <x:v>32</x:v>
      </x:c>
      <x:c r="I1640" t="n">
        <x:v>0.0598</x:v>
      </x:c>
      <x:c r="J1640" t="str">
        <x:v>Low</x:v>
      </x:c>
      <x:c r="K1640" t="n">
        <x:v>43.9</x:v>
      </x:c>
      <x:c r="L1640" t="n">
        <x:v>41.2</x:v>
      </x:c>
      <x:c r="M1640" t="n">
        <x:v>44.9</x:v>
      </x:c>
      <x:c r="N1640" t="str">
        <x:v>Most Likely</x:v>
      </x:c>
      <x:c r="O1640" t="str">
        <x:v>Most Likely</x:v>
      </x:c>
    </x:row>
    <x:row r="1641">
      <x:c r="A1641" t="str">
        <x:v>PJT_1640</x:v>
      </x:c>
      <x:c r="B1641" t="n">
        <x:v>49637840</x:v>
      </x:c>
      <x:c r="C1641" t="n">
        <x:v>52393982</x:v>
      </x:c>
      <x:c r="D1641" t="n">
        <x:v>2756142</x:v>
      </x:c>
      <x:c r="E1641" t="n">
        <x:v>0.0555</x:v>
      </x:c>
      <x:c r="F1641" t="n">
        <x:v>1001</x:v>
      </x:c>
      <x:c r="G1641" t="n">
        <x:v>1094</x:v>
      </x:c>
      <x:c r="H1641" t="n">
        <x:v>93</x:v>
      </x:c>
      <x:c r="I1641" t="n">
        <x:v>0.0929</x:v>
      </x:c>
      <x:c r="J1641" t="str">
        <x:v>Medium</x:v>
      </x:c>
      <x:c r="K1641" t="n">
        <x:v>55.6</x:v>
      </x:c>
      <x:c r="L1641" t="n">
        <x:v>56.3</x:v>
      </x:c>
      <x:c r="M1641" t="n">
        <x:v>56.3</x:v>
      </x:c>
      <x:c r="N1641" t="str">
        <x:v>Most Likely</x:v>
      </x:c>
      <x:c r="O1641" t="str">
        <x:v>Most Likely</x:v>
      </x:c>
    </x:row>
    <x:row r="1642">
      <x:c r="A1642" t="str">
        <x:v>PJT_1641</x:v>
      </x:c>
      <x:c r="B1642" t="n">
        <x:v>20531200</x:v>
      </x:c>
      <x:c r="C1642" t="n">
        <x:v>21448430</x:v>
      </x:c>
      <x:c r="D1642" t="n">
        <x:v>917230</x:v>
      </x:c>
      <x:c r="E1642" t="n">
        <x:v>0.0447</x:v>
      </x:c>
      <x:c r="F1642" t="n">
        <x:v>434</x:v>
      </x:c>
      <x:c r="G1642" t="n">
        <x:v>451</x:v>
      </x:c>
      <x:c r="H1642" t="n">
        <x:v>17</x:v>
      </x:c>
      <x:c r="I1642" t="n">
        <x:v>0.0392</x:v>
      </x:c>
      <x:c r="J1642" t="str">
        <x:v>Medium</x:v>
      </x:c>
      <x:c r="K1642" t="n">
        <x:v>46.8</x:v>
      </x:c>
      <x:c r="L1642" t="n">
        <x:v>47.7</x:v>
      </x:c>
      <x:c r="M1642" t="n">
        <x:v>40.3</x:v>
      </x:c>
      <x:c r="N1642" t="str">
        <x:v>Most Likely</x:v>
      </x:c>
      <x:c r="O1642" t="str">
        <x:v>Most Likely</x:v>
      </x:c>
    </x:row>
    <x:row r="1643">
      <x:c r="A1643" t="str">
        <x:v>PJT_1642</x:v>
      </x:c>
      <x:c r="B1643" t="n">
        <x:v>106898560</x:v>
      </x:c>
      <x:c r="C1643" t="n">
        <x:v>107639755</x:v>
      </x:c>
      <x:c r="D1643" t="n">
        <x:v>741195</x:v>
      </x:c>
      <x:c r="E1643" t="n">
        <x:v>0.0069</x:v>
      </x:c>
      <x:c r="F1643" t="n">
        <x:v>2111</x:v>
      </x:c>
      <x:c r="G1643" t="n">
        <x:v>2290</x:v>
      </x:c>
      <x:c r="H1643" t="n">
        <x:v>179</x:v>
      </x:c>
      <x:c r="I1643" t="n">
        <x:v>0.0848</x:v>
      </x:c>
      <x:c r="J1643" t="str">
        <x:v>Medium</x:v>
      </x:c>
      <x:c r="K1643" t="n">
        <x:v>60</x:v>
      </x:c>
      <x:c r="L1643" t="n">
        <x:v>62.3</x:v>
      </x:c>
      <x:c r="M1643" t="n">
        <x:v>57.4</x:v>
      </x:c>
      <x:c r="N1643" t="str">
        <x:v>Most Likely</x:v>
      </x:c>
      <x:c r="O1643" t="str">
        <x:v>Most Likely</x:v>
      </x:c>
    </x:row>
    <x:row r="1644">
      <x:c r="A1644" t="str">
        <x:v>PJT_1643</x:v>
      </x:c>
      <x:c r="B1644" t="n">
        <x:v>14295600</x:v>
      </x:c>
      <x:c r="C1644" t="n">
        <x:v>14650172</x:v>
      </x:c>
      <x:c r="D1644" t="n">
        <x:v>354572</x:v>
      </x:c>
      <x:c r="E1644" t="n">
        <x:v>0.0248</x:v>
      </x:c>
      <x:c r="F1644" t="n">
        <x:v>292</x:v>
      </x:c>
      <x:c r="G1644" t="n">
        <x:v>303</x:v>
      </x:c>
      <x:c r="H1644" t="n">
        <x:v>11</x:v>
      </x:c>
      <x:c r="I1644" t="n">
        <x:v>0.0377</x:v>
      </x:c>
      <x:c r="J1644" t="str">
        <x:v>Low</x:v>
      </x:c>
      <x:c r="K1644" t="n">
        <x:v>43.2</x:v>
      </x:c>
      <x:c r="L1644" t="n">
        <x:v>42.6</x:v>
      </x:c>
      <x:c r="M1644" t="n">
        <x:v>49.3</x:v>
      </x:c>
      <x:c r="N1644" t="str">
        <x:v>Most Likely</x:v>
      </x:c>
      <x:c r="O1644" t="str">
        <x:v>Most Likely</x:v>
      </x:c>
    </x:row>
    <x:row r="1645">
      <x:c r="A1645" t="str">
        <x:v>PJT_1644</x:v>
      </x:c>
      <x:c r="B1645" t="n">
        <x:v>24127120</x:v>
      </x:c>
      <x:c r="C1645" t="n">
        <x:v>21951889</x:v>
      </x:c>
      <x:c r="D1645" t="n">
        <x:v>-2175231</x:v>
      </x:c>
      <x:c r="E1645" t="n">
        <x:v>-0.0902</x:v>
      </x:c>
      <x:c r="F1645" t="n">
        <x:v>584</x:v>
      </x:c>
      <x:c r="G1645" t="n">
        <x:v>576</x:v>
      </x:c>
      <x:c r="H1645" t="n">
        <x:v>-8</x:v>
      </x:c>
      <x:c r="I1645" t="n">
        <x:v>-0.0137</x:v>
      </x:c>
      <x:c r="J1645" t="str">
        <x:v>Low</x:v>
      </x:c>
      <x:c r="K1645" t="n">
        <x:v>33.5</x:v>
      </x:c>
      <x:c r="L1645" t="n">
        <x:v>35.4</x:v>
      </x:c>
      <x:c r="M1645" t="n">
        <x:v>37.4</x:v>
      </x:c>
      <x:c r="N1645" t="str">
        <x:v>Optimistic</x:v>
      </x:c>
      <x:c r="O1645" t="str">
        <x:v>Optimistic</x:v>
      </x:c>
    </x:row>
    <x:row r="1646">
      <x:c r="A1646" t="str">
        <x:v>PJT_1645</x:v>
      </x:c>
      <x:c r="B1646" t="n">
        <x:v>55671210</x:v>
      </x:c>
      <x:c r="C1646" t="n">
        <x:v>59897261</x:v>
      </x:c>
      <x:c r="D1646" t="n">
        <x:v>4226051</x:v>
      </x:c>
      <x:c r="E1646" t="n">
        <x:v>0.0759</x:v>
      </x:c>
      <x:c r="F1646" t="n">
        <x:v>1159</x:v>
      </x:c>
      <x:c r="G1646" t="n">
        <x:v>1237</x:v>
      </x:c>
      <x:c r="H1646" t="n">
        <x:v>78</x:v>
      </x:c>
      <x:c r="I1646" t="n">
        <x:v>0.0673</x:v>
      </x:c>
      <x:c r="J1646" t="str">
        <x:v>High</x:v>
      </x:c>
      <x:c r="K1646" t="n">
        <x:v>67.1</x:v>
      </x:c>
      <x:c r="L1646" t="n">
        <x:v>64.3</x:v>
      </x:c>
      <x:c r="M1646" t="n">
        <x:v>65.1</x:v>
      </x:c>
      <x:c r="N1646" t="str">
        <x:v>Most Likely</x:v>
      </x:c>
      <x:c r="O1646" t="str">
        <x:v>Most Likely</x:v>
      </x:c>
    </x:row>
    <x:row r="1647">
      <x:c r="A1647" t="str">
        <x:v>PJT_1646</x:v>
      </x:c>
      <x:c r="B1647" t="n">
        <x:v>115211190</x:v>
      </x:c>
      <x:c r="C1647" t="n">
        <x:v>129561672</x:v>
      </x:c>
      <x:c r="D1647" t="n">
        <x:v>14350482</x:v>
      </x:c>
      <x:c r="E1647" t="n">
        <x:v>0.1246</x:v>
      </x:c>
      <x:c r="F1647" t="n">
        <x:v>2319</x:v>
      </x:c>
      <x:c r="G1647" t="n">
        <x:v>2607</x:v>
      </x:c>
      <x:c r="H1647" t="n">
        <x:v>288</x:v>
      </x:c>
      <x:c r="I1647" t="n">
        <x:v>0.1242</x:v>
      </x:c>
      <x:c r="J1647" t="str">
        <x:v>Medium</x:v>
      </x:c>
      <x:c r="K1647" t="n">
        <x:v>62.3</x:v>
      </x:c>
      <x:c r="L1647" t="n">
        <x:v>62.7</x:v>
      </x:c>
      <x:c r="M1647" t="n">
        <x:v>68.2</x:v>
      </x:c>
      <x:c r="N1647" t="str">
        <x:v>Pessimistic</x:v>
      </x:c>
      <x:c r="O1647" t="str">
        <x:v>Pessimistic</x:v>
      </x:c>
    </x:row>
    <x:row r="1648">
      <x:c r="A1648" t="str">
        <x:v>PJT_1647</x:v>
      </x:c>
      <x:c r="B1648" t="n">
        <x:v>22864180</x:v>
      </x:c>
      <x:c r="C1648" t="n">
        <x:v>23570713</x:v>
      </x:c>
      <x:c r="D1648" t="n">
        <x:v>706533</x:v>
      </x:c>
      <x:c r="E1648" t="n">
        <x:v>0.0309</x:v>
      </x:c>
      <x:c r="F1648" t="n">
        <x:v>420</x:v>
      </x:c>
      <x:c r="G1648" t="n">
        <x:v>439</x:v>
      </x:c>
      <x:c r="H1648" t="n">
        <x:v>19</x:v>
      </x:c>
      <x:c r="I1648" t="n">
        <x:v>0.0452</x:v>
      </x:c>
      <x:c r="J1648" t="str">
        <x:v>Low</x:v>
      </x:c>
      <x:c r="K1648" t="n">
        <x:v>40.4</x:v>
      </x:c>
      <x:c r="L1648" t="n">
        <x:v>45.7</x:v>
      </x:c>
      <x:c r="M1648" t="n">
        <x:v>44.8</x:v>
      </x:c>
      <x:c r="N1648" t="str">
        <x:v>Most Likely</x:v>
      </x:c>
      <x:c r="O1648" t="str">
        <x:v>Most Likely</x:v>
      </x:c>
    </x:row>
    <x:row r="1649">
      <x:c r="A1649" t="str">
        <x:v>PJT_1648</x:v>
      </x:c>
      <x:c r="B1649" t="n">
        <x:v>15773910</x:v>
      </x:c>
      <x:c r="C1649" t="n">
        <x:v>15953732</x:v>
      </x:c>
      <x:c r="D1649" t="n">
        <x:v>179822</x:v>
      </x:c>
      <x:c r="E1649" t="n">
        <x:v>0.0114</x:v>
      </x:c>
      <x:c r="F1649" t="n">
        <x:v>401</x:v>
      </x:c>
      <x:c r="G1649" t="n">
        <x:v>409</x:v>
      </x:c>
      <x:c r="H1649" t="n">
        <x:v>8</x:v>
      </x:c>
      <x:c r="I1649" t="n">
        <x:v>0.02</x:v>
      </x:c>
      <x:c r="J1649" t="str">
        <x:v>Low</x:v>
      </x:c>
      <x:c r="K1649" t="n">
        <x:v>38.8</x:v>
      </x:c>
      <x:c r="L1649" t="n">
        <x:v>40.5</x:v>
      </x:c>
      <x:c r="M1649" t="n">
        <x:v>38.6</x:v>
      </x:c>
      <x:c r="N1649" t="str">
        <x:v>Most Likely</x:v>
      </x:c>
      <x:c r="O1649" t="str">
        <x:v>Most Likely</x:v>
      </x:c>
    </x:row>
    <x:row r="1650">
      <x:c r="A1650" t="str">
        <x:v>PJT_1649</x:v>
      </x:c>
      <x:c r="B1650" t="n">
        <x:v>65410560</x:v>
      </x:c>
      <x:c r="C1650" t="n">
        <x:v>68694093</x:v>
      </x:c>
      <x:c r="D1650" t="n">
        <x:v>3283533</x:v>
      </x:c>
      <x:c r="E1650" t="n">
        <x:v>0.0502</x:v>
      </x:c>
      <x:c r="F1650" t="n">
        <x:v>1244</x:v>
      </x:c>
      <x:c r="G1650" t="n">
        <x:v>1332</x:v>
      </x:c>
      <x:c r="H1650" t="n">
        <x:v>88</x:v>
      </x:c>
      <x:c r="I1650" t="n">
        <x:v>0.0707</x:v>
      </x:c>
      <x:c r="J1650" t="str">
        <x:v>Medium</x:v>
      </x:c>
      <x:c r="K1650" t="n">
        <x:v>56.6</x:v>
      </x:c>
      <x:c r="L1650" t="n">
        <x:v>51.4</x:v>
      </x:c>
      <x:c r="M1650" t="n">
        <x:v>56.8</x:v>
      </x:c>
      <x:c r="N1650" t="str">
        <x:v>Most Likely</x:v>
      </x:c>
      <x:c r="O1650" t="str">
        <x:v>Most Likely</x:v>
      </x:c>
    </x:row>
    <x:row r="1651">
      <x:c r="A1651" t="str">
        <x:v>PJT_1650</x:v>
      </x:c>
      <x:c r="B1651" t="n">
        <x:v>49173840</x:v>
      </x:c>
      <x:c r="C1651" t="n">
        <x:v>52050354</x:v>
      </x:c>
      <x:c r="D1651" t="n">
        <x:v>2876514</x:v>
      </x:c>
      <x:c r="E1651" t="n">
        <x:v>0.0585</x:v>
      </x:c>
      <x:c r="F1651" t="n">
        <x:v>892</x:v>
      </x:c>
      <x:c r="G1651" t="n">
        <x:v>960</x:v>
      </x:c>
      <x:c r="H1651" t="n">
        <x:v>68</x:v>
      </x:c>
      <x:c r="I1651" t="n">
        <x:v>0.0762</x:v>
      </x:c>
      <x:c r="J1651" t="str">
        <x:v>Medium</x:v>
      </x:c>
      <x:c r="K1651" t="n">
        <x:v>52.1</x:v>
      </x:c>
      <x:c r="L1651" t="n">
        <x:v>63.5</x:v>
      </x:c>
      <x:c r="M1651" t="n">
        <x:v>50.7</x:v>
      </x:c>
      <x:c r="N1651" t="str">
        <x:v>Most Likely</x:v>
      </x:c>
      <x:c r="O1651" t="str">
        <x:v>Most Likely</x:v>
      </x:c>
    </x:row>
    <x:row r="1652">
      <x:c r="A1652" t="str">
        <x:v>PJT_1651</x:v>
      </x:c>
      <x:c r="B1652" t="n">
        <x:v>34641420</x:v>
      </x:c>
      <x:c r="C1652" t="n">
        <x:v>36774829</x:v>
      </x:c>
      <x:c r="D1652" t="n">
        <x:v>2133409</x:v>
      </x:c>
      <x:c r="E1652" t="n">
        <x:v>0.0616</x:v>
      </x:c>
      <x:c r="F1652" t="n">
        <x:v>656</x:v>
      </x:c>
      <x:c r="G1652" t="n">
        <x:v>708</x:v>
      </x:c>
      <x:c r="H1652" t="n">
        <x:v>52</x:v>
      </x:c>
      <x:c r="I1652" t="n">
        <x:v>0.0793</x:v>
      </x:c>
      <x:c r="J1652" t="str">
        <x:v>Low</x:v>
      </x:c>
      <x:c r="K1652" t="n">
        <x:v>39.1</x:v>
      </x:c>
      <x:c r="L1652" t="n">
        <x:v>46.3</x:v>
      </x:c>
      <x:c r="M1652" t="n">
        <x:v>39.6</x:v>
      </x:c>
      <x:c r="N1652" t="str">
        <x:v>Most Likely</x:v>
      </x:c>
      <x:c r="O1652" t="str">
        <x:v>Most Likely</x:v>
      </x:c>
    </x:row>
    <x:row r="1653">
      <x:c r="A1653" t="str">
        <x:v>PJT_1652</x:v>
      </x:c>
      <x:c r="B1653" t="n">
        <x:v>19978880</x:v>
      </x:c>
      <x:c r="C1653" t="n">
        <x:v>19784262</x:v>
      </x:c>
      <x:c r="D1653" t="n">
        <x:v>-194618</x:v>
      </x:c>
      <x:c r="E1653" t="n">
        <x:v>-0.0097</x:v>
      </x:c>
      <x:c r="F1653" t="n">
        <x:v>332</x:v>
      </x:c>
      <x:c r="G1653" t="n">
        <x:v>365</x:v>
      </x:c>
      <x:c r="H1653" t="n">
        <x:v>33</x:v>
      </x:c>
      <x:c r="I1653" t="n">
        <x:v>0.0994</x:v>
      </x:c>
      <x:c r="J1653" t="str">
        <x:v>Low</x:v>
      </x:c>
      <x:c r="K1653" t="n">
        <x:v>35</x:v>
      </x:c>
      <x:c r="L1653" t="n">
        <x:v>32.2</x:v>
      </x:c>
      <x:c r="M1653" t="n">
        <x:v>30.4</x:v>
      </x:c>
      <x:c r="N1653" t="str">
        <x:v>Optimistic</x:v>
      </x:c>
      <x:c r="O1653" t="str">
        <x:v>Most Likely</x:v>
      </x:c>
    </x:row>
    <x:row r="1654">
      <x:c r="A1654" t="str">
        <x:v>PJT_1653</x:v>
      </x:c>
      <x:c r="B1654" t="n">
        <x:v>8841680</x:v>
      </x:c>
      <x:c r="C1654" t="n">
        <x:v>8102827</x:v>
      </x:c>
      <x:c r="D1654" t="n">
        <x:v>-738853</x:v>
      </x:c>
      <x:c r="E1654" t="n">
        <x:v>-0.0836</x:v>
      </x:c>
      <x:c r="F1654" t="n">
        <x:v>201</x:v>
      </x:c>
      <x:c r="G1654" t="n">
        <x:v>190</x:v>
      </x:c>
      <x:c r="H1654" t="n">
        <x:v>-11</x:v>
      </x:c>
      <x:c r="I1654" t="n">
        <x:v>-0.0547</x:v>
      </x:c>
      <x:c r="J1654" t="str">
        <x:v>Low</x:v>
      </x:c>
      <x:c r="K1654" t="n">
        <x:v>24.3</x:v>
      </x:c>
      <x:c r="L1654" t="n">
        <x:v>27.8</x:v>
      </x:c>
      <x:c r="M1654" t="n">
        <x:v>27.9</x:v>
      </x:c>
      <x:c r="N1654" t="str">
        <x:v>Optimistic</x:v>
      </x:c>
      <x:c r="O1654" t="str">
        <x:v>Optimistic</x:v>
      </x:c>
    </x:row>
    <x:row r="1655">
      <x:c r="A1655" t="str">
        <x:v>PJT_1654</x:v>
      </x:c>
      <x:c r="B1655" t="n">
        <x:v>48048000</x:v>
      </x:c>
      <x:c r="C1655" t="n">
        <x:v>48852624</x:v>
      </x:c>
      <x:c r="D1655" t="n">
        <x:v>804624</x:v>
      </x:c>
      <x:c r="E1655" t="n">
        <x:v>0.0167</x:v>
      </x:c>
      <x:c r="F1655" t="n">
        <x:v>906</x:v>
      </x:c>
      <x:c r="G1655" t="n">
        <x:v>951</x:v>
      </x:c>
      <x:c r="H1655" t="n">
        <x:v>45</x:v>
      </x:c>
      <x:c r="I1655" t="n">
        <x:v>0.0497</x:v>
      </x:c>
      <x:c r="J1655" t="str">
        <x:v>Medium</x:v>
      </x:c>
      <x:c r="K1655" t="n">
        <x:v>50.9</x:v>
      </x:c>
      <x:c r="L1655" t="n">
        <x:v>61</x:v>
      </x:c>
      <x:c r="M1655" t="n">
        <x:v>56.9</x:v>
      </x:c>
      <x:c r="N1655" t="str">
        <x:v>Most Likely</x:v>
      </x:c>
      <x:c r="O1655" t="str">
        <x:v>Most Likely</x:v>
      </x:c>
    </x:row>
    <x:row r="1656">
      <x:c r="A1656" t="str">
        <x:v>PJT_1655</x:v>
      </x:c>
      <x:c r="B1656" t="n">
        <x:v>51955200</x:v>
      </x:c>
      <x:c r="C1656" t="n">
        <x:v>54950748</x:v>
      </x:c>
      <x:c r="D1656" t="n">
        <x:v>2995548</x:v>
      </x:c>
      <x:c r="E1656" t="n">
        <x:v>0.0577</x:v>
      </x:c>
      <x:c r="F1656" t="n">
        <x:v>1007</x:v>
      </x:c>
      <x:c r="G1656" t="n">
        <x:v>1083</x:v>
      </x:c>
      <x:c r="H1656" t="n">
        <x:v>76</x:v>
      </x:c>
      <x:c r="I1656" t="n">
        <x:v>0.0755</x:v>
      </x:c>
      <x:c r="J1656" t="str">
        <x:v>Medium</x:v>
      </x:c>
      <x:c r="K1656" t="n">
        <x:v>63.9</x:v>
      </x:c>
      <x:c r="L1656" t="n">
        <x:v>59.2</x:v>
      </x:c>
      <x:c r="M1656" t="n">
        <x:v>62.3</x:v>
      </x:c>
      <x:c r="N1656" t="str">
        <x:v>Most Likely</x:v>
      </x:c>
      <x:c r="O1656" t="str">
        <x:v>Most Likely</x:v>
      </x:c>
    </x:row>
    <x:row r="1657">
      <x:c r="A1657" t="str">
        <x:v>PJT_1656</x:v>
      </x:c>
      <x:c r="B1657" t="n">
        <x:v>52686150</x:v>
      </x:c>
      <x:c r="C1657" t="n">
        <x:v>56236270</x:v>
      </x:c>
      <x:c r="D1657" t="n">
        <x:v>3550120</x:v>
      </x:c>
      <x:c r="E1657" t="n">
        <x:v>0.0674</x:v>
      </x:c>
      <x:c r="F1657" t="n">
        <x:v>983</x:v>
      </x:c>
      <x:c r="G1657" t="n">
        <x:v>1057</x:v>
      </x:c>
      <x:c r="H1657" t="n">
        <x:v>74</x:v>
      </x:c>
      <x:c r="I1657" t="n">
        <x:v>0.0753</x:v>
      </x:c>
      <x:c r="J1657" t="str">
        <x:v>Medium</x:v>
      </x:c>
      <x:c r="K1657" t="n">
        <x:v>50.5</x:v>
      </x:c>
      <x:c r="L1657" t="n">
        <x:v>56.2</x:v>
      </x:c>
      <x:c r="M1657" t="n">
        <x:v>50.6</x:v>
      </x:c>
      <x:c r="N1657" t="str">
        <x:v>Most Likely</x:v>
      </x:c>
      <x:c r="O1657" t="str">
        <x:v>Most Likely</x:v>
      </x:c>
    </x:row>
    <x:row r="1658">
      <x:c r="A1658" t="str">
        <x:v>PJT_1657</x:v>
      </x:c>
      <x:c r="B1658" t="n">
        <x:v>73411800</x:v>
      </x:c>
      <x:c r="C1658" t="n">
        <x:v>82229940</x:v>
      </x:c>
      <x:c r="D1658" t="n">
        <x:v>8818140</x:v>
      </x:c>
      <x:c r="E1658" t="n">
        <x:v>0.1201</x:v>
      </x:c>
      <x:c r="F1658" t="n">
        <x:v>1351</x:v>
      </x:c>
      <x:c r="G1658" t="n">
        <x:v>1465</x:v>
      </x:c>
      <x:c r="H1658" t="n">
        <x:v>114</x:v>
      </x:c>
      <x:c r="I1658" t="n">
        <x:v>0.0844</x:v>
      </x:c>
      <x:c r="J1658" t="str">
        <x:v>Medium</x:v>
      </x:c>
      <x:c r="K1658" t="n">
        <x:v>56.3</x:v>
      </x:c>
      <x:c r="L1658" t="n">
        <x:v>58.7</x:v>
      </x:c>
      <x:c r="M1658" t="n">
        <x:v>53.1</x:v>
      </x:c>
      <x:c r="N1658" t="str">
        <x:v>Pessimistic</x:v>
      </x:c>
      <x:c r="O1658" t="str">
        <x:v>Most Likely</x:v>
      </x:c>
    </x:row>
    <x:row r="1659">
      <x:c r="A1659" t="str">
        <x:v>PJT_1658</x:v>
      </x:c>
      <x:c r="B1659" t="n">
        <x:v>9178400</x:v>
      </x:c>
      <x:c r="C1659" t="n">
        <x:v>8600089</x:v>
      </x:c>
      <x:c r="D1659" t="n">
        <x:v>-578311</x:v>
      </x:c>
      <x:c r="E1659" t="n">
        <x:v>-0.063</x:v>
      </x:c>
      <x:c r="F1659" t="n">
        <x:v>202</x:v>
      </x:c>
      <x:c r="G1659" t="n">
        <x:v>202</x:v>
      </x:c>
      <x:c r="H1659" t="n">
        <x:v>0</x:v>
      </x:c>
      <x:c r="I1659" t="n">
        <x:v>0</x:v>
      </x:c>
      <x:c r="J1659" t="str">
        <x:v>Low</x:v>
      </x:c>
      <x:c r="K1659" t="n">
        <x:v>34.1</x:v>
      </x:c>
      <x:c r="L1659" t="n">
        <x:v>36.9</x:v>
      </x:c>
      <x:c r="M1659" t="n">
        <x:v>33.1</x:v>
      </x:c>
      <x:c r="N1659" t="str">
        <x:v>Optimistic</x:v>
      </x:c>
      <x:c r="O1659" t="str">
        <x:v>Optimistic</x:v>
      </x:c>
    </x:row>
    <x:row r="1660">
      <x:c r="A1660" t="str">
        <x:v>PJT_1659</x:v>
      </x:c>
      <x:c r="B1660" t="n">
        <x:v>16483600</x:v>
      </x:c>
      <x:c r="C1660" t="n">
        <x:v>16841398</x:v>
      </x:c>
      <x:c r="D1660" t="n">
        <x:v>357798</x:v>
      </x:c>
      <x:c r="E1660" t="n">
        <x:v>0.0217</x:v>
      </x:c>
      <x:c r="F1660" t="n">
        <x:v>338</x:v>
      </x:c>
      <x:c r="G1660" t="n">
        <x:v>351</x:v>
      </x:c>
      <x:c r="H1660" t="n">
        <x:v>13</x:v>
      </x:c>
      <x:c r="I1660" t="n">
        <x:v>0.0385</x:v>
      </x:c>
      <x:c r="J1660" t="str">
        <x:v>Medium</x:v>
      </x:c>
      <x:c r="K1660" t="n">
        <x:v>48</x:v>
      </x:c>
      <x:c r="L1660" t="n">
        <x:v>43.9</x:v>
      </x:c>
      <x:c r="M1660" t="n">
        <x:v>44.7</x:v>
      </x:c>
      <x:c r="N1660" t="str">
        <x:v>Most Likely</x:v>
      </x:c>
      <x:c r="O1660" t="str">
        <x:v>Most Likely</x:v>
      </x:c>
    </x:row>
    <x:row r="1661">
      <x:c r="A1661" t="str">
        <x:v>PJT_1660</x:v>
      </x:c>
      <x:c r="B1661" t="n">
        <x:v>27154800</x:v>
      </x:c>
      <x:c r="C1661" t="n">
        <x:v>29488311</x:v>
      </x:c>
      <x:c r="D1661" t="n">
        <x:v>2333511</x:v>
      </x:c>
      <x:c r="E1661" t="n">
        <x:v>0.0859</x:v>
      </x:c>
      <x:c r="F1661" t="n">
        <x:v>626</x:v>
      </x:c>
      <x:c r="G1661" t="n">
        <x:v>640</x:v>
      </x:c>
      <x:c r="H1661" t="n">
        <x:v>14</x:v>
      </x:c>
      <x:c r="I1661" t="n">
        <x:v>0.0224</x:v>
      </x:c>
      <x:c r="J1661" t="str">
        <x:v>Medium</x:v>
      </x:c>
      <x:c r="K1661" t="n">
        <x:v>46.2</x:v>
      </x:c>
      <x:c r="L1661" t="n">
        <x:v>50.3</x:v>
      </x:c>
      <x:c r="M1661" t="n">
        <x:v>41.4</x:v>
      </x:c>
      <x:c r="N1661" t="str">
        <x:v>Most Likely</x:v>
      </x:c>
      <x:c r="O1661" t="str">
        <x:v>Most Likely</x:v>
      </x:c>
    </x:row>
    <x:row r="1662">
      <x:c r="A1662" t="str">
        <x:v>PJT_1661</x:v>
      </x:c>
      <x:c r="B1662" t="n">
        <x:v>16331730</x:v>
      </x:c>
      <x:c r="C1662" t="n">
        <x:v>15409088</x:v>
      </x:c>
      <x:c r="D1662" t="n">
        <x:v>-922642</x:v>
      </x:c>
      <x:c r="E1662" t="n">
        <x:v>-0.0565</x:v>
      </x:c>
      <x:c r="F1662" t="n">
        <x:v>302</x:v>
      </x:c>
      <x:c r="G1662" t="n">
        <x:v>317</x:v>
      </x:c>
      <x:c r="H1662" t="n">
        <x:v>15</x:v>
      </x:c>
      <x:c r="I1662" t="n">
        <x:v>0.0497</x:v>
      </x:c>
      <x:c r="J1662" t="str">
        <x:v>Low</x:v>
      </x:c>
      <x:c r="K1662" t="n">
        <x:v>40.1</x:v>
      </x:c>
      <x:c r="L1662" t="n">
        <x:v>33.4</x:v>
      </x:c>
      <x:c r="M1662" t="n">
        <x:v>32.3</x:v>
      </x:c>
      <x:c r="N1662" t="str">
        <x:v>Optimistic</x:v>
      </x:c>
      <x:c r="O1662" t="str">
        <x:v>Most Likely</x:v>
      </x:c>
    </x:row>
    <x:row r="1663">
      <x:c r="A1663" t="str">
        <x:v>PJT_1662</x:v>
      </x:c>
      <x:c r="B1663" t="n">
        <x:v>35560620</x:v>
      </x:c>
      <x:c r="C1663" t="n">
        <x:v>36238054</x:v>
      </x:c>
      <x:c r="D1663" t="n">
        <x:v>677434</x:v>
      </x:c>
      <x:c r="E1663" t="n">
        <x:v>0.0191</x:v>
      </x:c>
      <x:c r="F1663" t="n">
        <x:v>653</x:v>
      </x:c>
      <x:c r="G1663" t="n">
        <x:v>683</x:v>
      </x:c>
      <x:c r="H1663" t="n">
        <x:v>30</x:v>
      </x:c>
      <x:c r="I1663" t="n">
        <x:v>0.0459</x:v>
      </x:c>
      <x:c r="J1663" t="str">
        <x:v>Medium</x:v>
      </x:c>
      <x:c r="K1663" t="n">
        <x:v>49.4</x:v>
      </x:c>
      <x:c r="L1663" t="n">
        <x:v>48.9</x:v>
      </x:c>
      <x:c r="M1663" t="n">
        <x:v>46.8</x:v>
      </x:c>
      <x:c r="N1663" t="str">
        <x:v>Most Likely</x:v>
      </x:c>
      <x:c r="O1663" t="str">
        <x:v>Most Likely</x:v>
      </x:c>
    </x:row>
    <x:row r="1664">
      <x:c r="A1664" t="str">
        <x:v>PJT_1663</x:v>
      </x:c>
      <x:c r="B1664" t="n">
        <x:v>58346730</x:v>
      </x:c>
      <x:c r="C1664" t="n">
        <x:v>61049484</x:v>
      </x:c>
      <x:c r="D1664" t="n">
        <x:v>2702754</x:v>
      </x:c>
      <x:c r="E1664" t="n">
        <x:v>0.0463</x:v>
      </x:c>
      <x:c r="F1664" t="n">
        <x:v>922</x:v>
      </x:c>
      <x:c r="G1664" t="n">
        <x:v>938</x:v>
      </x:c>
      <x:c r="H1664" t="n">
        <x:v>16</x:v>
      </x:c>
      <x:c r="I1664" t="n">
        <x:v>0.0174</x:v>
      </x:c>
      <x:c r="J1664" t="str">
        <x:v>Medium</x:v>
      </x:c>
      <x:c r="K1664" t="n">
        <x:v>45.6</x:v>
      </x:c>
      <x:c r="L1664" t="n">
        <x:v>51.9</x:v>
      </x:c>
      <x:c r="M1664" t="n">
        <x:v>46</x:v>
      </x:c>
      <x:c r="N1664" t="str">
        <x:v>Most Likely</x:v>
      </x:c>
      <x:c r="O1664" t="str">
        <x:v>Most Likely</x:v>
      </x:c>
    </x:row>
    <x:row r="1665">
      <x:c r="A1665" t="str">
        <x:v>PJT_1664</x:v>
      </x:c>
      <x:c r="B1665" t="n">
        <x:v>45154900</x:v>
      </x:c>
      <x:c r="C1665" t="n">
        <x:v>47899607</x:v>
      </x:c>
      <x:c r="D1665" t="n">
        <x:v>2744707</x:v>
      </x:c>
      <x:c r="E1665" t="n">
        <x:v>0.0608</x:v>
      </x:c>
      <x:c r="F1665" t="n">
        <x:v>799</x:v>
      </x:c>
      <x:c r="G1665" t="n">
        <x:v>860</x:v>
      </x:c>
      <x:c r="H1665" t="n">
        <x:v>61</x:v>
      </x:c>
      <x:c r="I1665" t="n">
        <x:v>0.0763</x:v>
      </x:c>
      <x:c r="J1665" t="str">
        <x:v>Medium</x:v>
      </x:c>
      <x:c r="K1665" t="n">
        <x:v>46.6</x:v>
      </x:c>
      <x:c r="L1665" t="n">
        <x:v>45.9</x:v>
      </x:c>
      <x:c r="M1665" t="n">
        <x:v>43.7</x:v>
      </x:c>
      <x:c r="N1665" t="str">
        <x:v>Most Likely</x:v>
      </x:c>
      <x:c r="O1665" t="str">
        <x:v>Most Likely</x:v>
      </x:c>
    </x:row>
    <x:row r="1666">
      <x:c r="A1666" t="str">
        <x:v>PJT_1665</x:v>
      </x:c>
      <x:c r="B1666" t="n">
        <x:v>21268380</x:v>
      </x:c>
      <x:c r="C1666" t="n">
        <x:v>20927818</x:v>
      </x:c>
      <x:c r="D1666" t="n">
        <x:v>-340562</x:v>
      </x:c>
      <x:c r="E1666" t="n">
        <x:v>-0.016</x:v>
      </x:c>
      <x:c r="F1666" t="n">
        <x:v>494</x:v>
      </x:c>
      <x:c r="G1666" t="n">
        <x:v>517</x:v>
      </x:c>
      <x:c r="H1666" t="n">
        <x:v>23</x:v>
      </x:c>
      <x:c r="I1666" t="n">
        <x:v>0.0466</x:v>
      </x:c>
      <x:c r="J1666" t="str">
        <x:v>Medium</x:v>
      </x:c>
      <x:c r="K1666" t="n">
        <x:v>47.3</x:v>
      </x:c>
      <x:c r="L1666" t="n">
        <x:v>46.3</x:v>
      </x:c>
      <x:c r="M1666" t="n">
        <x:v>47.4</x:v>
      </x:c>
      <x:c r="N1666" t="str">
        <x:v>Optimistic</x:v>
      </x:c>
      <x:c r="O1666" t="str">
        <x:v>Most Likely</x:v>
      </x:c>
    </x:row>
    <x:row r="1667">
      <x:c r="A1667" t="str">
        <x:v>PJT_1666</x:v>
      </x:c>
      <x:c r="B1667" t="n">
        <x:v>58971160</x:v>
      </x:c>
      <x:c r="C1667" t="n">
        <x:v>63322594</x:v>
      </x:c>
      <x:c r="D1667" t="n">
        <x:v>4351434</x:v>
      </x:c>
      <x:c r="E1667" t="n">
        <x:v>0.0738</x:v>
      </x:c>
      <x:c r="F1667" t="n">
        <x:v>1147</x:v>
      </x:c>
      <x:c r="G1667" t="n">
        <x:v>1195</x:v>
      </x:c>
      <x:c r="H1667" t="n">
        <x:v>48</x:v>
      </x:c>
      <x:c r="I1667" t="n">
        <x:v>0.0418</x:v>
      </x:c>
      <x:c r="J1667" t="str">
        <x:v>Medium</x:v>
      </x:c>
      <x:c r="K1667" t="n">
        <x:v>59.5</x:v>
      </x:c>
      <x:c r="L1667" t="n">
        <x:v>59.9</x:v>
      </x:c>
      <x:c r="M1667" t="n">
        <x:v>58.4</x:v>
      </x:c>
      <x:c r="N1667" t="str">
        <x:v>Most Likely</x:v>
      </x:c>
      <x:c r="O1667" t="str">
        <x:v>Most Likely</x:v>
      </x:c>
    </x:row>
    <x:row r="1668">
      <x:c r="A1668" t="str">
        <x:v>PJT_1667</x:v>
      </x:c>
      <x:c r="B1668" t="n">
        <x:v>25569720</x:v>
      </x:c>
      <x:c r="C1668" t="n">
        <x:v>25892292</x:v>
      </x:c>
      <x:c r="D1668" t="n">
        <x:v>322572</x:v>
      </x:c>
      <x:c r="E1668" t="n">
        <x:v>0.0126</x:v>
      </x:c>
      <x:c r="F1668" t="n">
        <x:v>646</x:v>
      </x:c>
      <x:c r="G1668" t="n">
        <x:v>636</x:v>
      </x:c>
      <x:c r="H1668" t="n">
        <x:v>-10</x:v>
      </x:c>
      <x:c r="I1668" t="n">
        <x:v>-0.0155</x:v>
      </x:c>
      <x:c r="J1668" t="str">
        <x:v>Low</x:v>
      </x:c>
      <x:c r="K1668" t="n">
        <x:v>31</x:v>
      </x:c>
      <x:c r="L1668" t="n">
        <x:v>38.1</x:v>
      </x:c>
      <x:c r="M1668" t="n">
        <x:v>31.8</x:v>
      </x:c>
      <x:c r="N1668" t="str">
        <x:v>Most Likely</x:v>
      </x:c>
      <x:c r="O1668" t="str">
        <x:v>Optimistic</x:v>
      </x:c>
    </x:row>
    <x:row r="1669">
      <x:c r="A1669" t="str">
        <x:v>PJT_1668</x:v>
      </x:c>
      <x:c r="B1669" t="n">
        <x:v>25760450</x:v>
      </x:c>
      <x:c r="C1669" t="n">
        <x:v>25968254</x:v>
      </x:c>
      <x:c r="D1669" t="n">
        <x:v>207804</x:v>
      </x:c>
      <x:c r="E1669" t="n">
        <x:v>0.0081</x:v>
      </x:c>
      <x:c r="F1669" t="n">
        <x:v>506</x:v>
      </x:c>
      <x:c r="G1669" t="n">
        <x:v>495</x:v>
      </x:c>
      <x:c r="H1669" t="n">
        <x:v>-11</x:v>
      </x:c>
      <x:c r="I1669" t="n">
        <x:v>-0.0217</x:v>
      </x:c>
      <x:c r="J1669" t="str">
        <x:v>Medium</x:v>
      </x:c>
      <x:c r="K1669" t="n">
        <x:v>49.9</x:v>
      </x:c>
      <x:c r="L1669" t="n">
        <x:v>48</x:v>
      </x:c>
      <x:c r="M1669" t="n">
        <x:v>48.6</x:v>
      </x:c>
      <x:c r="N1669" t="str">
        <x:v>Most Likely</x:v>
      </x:c>
      <x:c r="O1669" t="str">
        <x:v>Optimistic</x:v>
      </x:c>
    </x:row>
    <x:row r="1670">
      <x:c r="A1670" t="str">
        <x:v>PJT_1669</x:v>
      </x:c>
      <x:c r="B1670" t="n">
        <x:v>56714100</x:v>
      </x:c>
      <x:c r="C1670" t="n">
        <x:v>58230834</x:v>
      </x:c>
      <x:c r="D1670" t="n">
        <x:v>1516734</x:v>
      </x:c>
      <x:c r="E1670" t="n">
        <x:v>0.0267</x:v>
      </x:c>
      <x:c r="F1670" t="n">
        <x:v>1218</x:v>
      </x:c>
      <x:c r="G1670" t="n">
        <x:v>1318</x:v>
      </x:c>
      <x:c r="H1670" t="n">
        <x:v>100</x:v>
      </x:c>
      <x:c r="I1670" t="n">
        <x:v>0.0821</x:v>
      </x:c>
      <x:c r="J1670" t="str">
        <x:v>Medium</x:v>
      </x:c>
      <x:c r="K1670" t="n">
        <x:v>48.4</x:v>
      </x:c>
      <x:c r="L1670" t="n">
        <x:v>47</x:v>
      </x:c>
      <x:c r="M1670" t="n">
        <x:v>55.8</x:v>
      </x:c>
      <x:c r="N1670" t="str">
        <x:v>Most Likely</x:v>
      </x:c>
      <x:c r="O1670" t="str">
        <x:v>Most Likely</x:v>
      </x:c>
    </x:row>
    <x:row r="1671">
      <x:c r="A1671" t="str">
        <x:v>PJT_1670</x:v>
      </x:c>
      <x:c r="B1671" t="n">
        <x:v>89831440</x:v>
      </x:c>
      <x:c r="C1671" t="n">
        <x:v>98374956</x:v>
      </x:c>
      <x:c r="D1671" t="n">
        <x:v>8543516</x:v>
      </x:c>
      <x:c r="E1671" t="n">
        <x:v>0.0951</x:v>
      </x:c>
      <x:c r="F1671" t="n">
        <x:v>1699</x:v>
      </x:c>
      <x:c r="G1671" t="n">
        <x:v>1782</x:v>
      </x:c>
      <x:c r="H1671" t="n">
        <x:v>83</x:v>
      </x:c>
      <x:c r="I1671" t="n">
        <x:v>0.0489</x:v>
      </x:c>
      <x:c r="J1671" t="str">
        <x:v>Medium</x:v>
      </x:c>
      <x:c r="K1671" t="n">
        <x:v>61.5</x:v>
      </x:c>
      <x:c r="L1671" t="n">
        <x:v>65.4</x:v>
      </x:c>
      <x:c r="M1671" t="n">
        <x:v>55.8</x:v>
      </x:c>
      <x:c r="N1671" t="str">
        <x:v>Most Likely</x:v>
      </x:c>
      <x:c r="O1671" t="str">
        <x:v>Most Likely</x:v>
      </x:c>
    </x:row>
    <x:row r="1672">
      <x:c r="A1672" t="str">
        <x:v>PJT_1671</x:v>
      </x:c>
      <x:c r="B1672" t="n">
        <x:v>9968350</x:v>
      </x:c>
      <x:c r="C1672" t="n">
        <x:v>9142463</x:v>
      </x:c>
      <x:c r="D1672" t="n">
        <x:v>-825887</x:v>
      </x:c>
      <x:c r="E1672" t="n">
        <x:v>-0.0829</x:v>
      </x:c>
      <x:c r="F1672" t="n">
        <x:v>195</x:v>
      </x:c>
      <x:c r="G1672" t="n">
        <x:v>177</x:v>
      </x:c>
      <x:c r="H1672" t="n">
        <x:v>-18</x:v>
      </x:c>
      <x:c r="I1672" t="n">
        <x:v>-0.0923</x:v>
      </x:c>
      <x:c r="J1672" t="str">
        <x:v>Low</x:v>
      </x:c>
      <x:c r="K1672" t="n">
        <x:v>32.1</x:v>
      </x:c>
      <x:c r="L1672" t="n">
        <x:v>28.3</x:v>
      </x:c>
      <x:c r="M1672" t="n">
        <x:v>29.3</x:v>
      </x:c>
      <x:c r="N1672" t="str">
        <x:v>Optimistic</x:v>
      </x:c>
      <x:c r="O1672" t="str">
        <x:v>Optimistic</x:v>
      </x:c>
    </x:row>
    <x:row r="1673">
      <x:c r="A1673" t="str">
        <x:v>PJT_1672</x:v>
      </x:c>
      <x:c r="B1673" t="n">
        <x:v>52010340</x:v>
      </x:c>
      <x:c r="C1673" t="n">
        <x:v>54193606</x:v>
      </x:c>
      <x:c r="D1673" t="n">
        <x:v>2183266</x:v>
      </x:c>
      <x:c r="E1673" t="n">
        <x:v>0.042</x:v>
      </x:c>
      <x:c r="F1673" t="n">
        <x:v>896</x:v>
      </x:c>
      <x:c r="G1673" t="n">
        <x:v>948</x:v>
      </x:c>
      <x:c r="H1673" t="n">
        <x:v>52</x:v>
      </x:c>
      <x:c r="I1673" t="n">
        <x:v>0.058</x:v>
      </x:c>
      <x:c r="J1673" t="str">
        <x:v>Medium</x:v>
      </x:c>
      <x:c r="K1673" t="n">
        <x:v>52.9</x:v>
      </x:c>
      <x:c r="L1673" t="n">
        <x:v>54.1</x:v>
      </x:c>
      <x:c r="M1673" t="n">
        <x:v>47.2</x:v>
      </x:c>
      <x:c r="N1673" t="str">
        <x:v>Most Likely</x:v>
      </x:c>
      <x:c r="O1673" t="str">
        <x:v>Most Likely</x:v>
      </x:c>
    </x:row>
    <x:row r="1674">
      <x:c r="A1674" t="str">
        <x:v>PJT_1673</x:v>
      </x:c>
      <x:c r="B1674" t="n">
        <x:v>58282170</x:v>
      </x:c>
      <x:c r="C1674" t="n">
        <x:v>60936833</x:v>
      </x:c>
      <x:c r="D1674" t="n">
        <x:v>2654663</x:v>
      </x:c>
      <x:c r="E1674" t="n">
        <x:v>0.0455</x:v>
      </x:c>
      <x:c r="F1674" t="n">
        <x:v>1022</x:v>
      </x:c>
      <x:c r="G1674" t="n">
        <x:v>1091</x:v>
      </x:c>
      <x:c r="H1674" t="n">
        <x:v>69</x:v>
      </x:c>
      <x:c r="I1674" t="n">
        <x:v>0.0675</x:v>
      </x:c>
      <x:c r="J1674" t="str">
        <x:v>Medium</x:v>
      </x:c>
      <x:c r="K1674" t="n">
        <x:v>57.4</x:v>
      </x:c>
      <x:c r="L1674" t="n">
        <x:v>59.6</x:v>
      </x:c>
      <x:c r="M1674" t="n">
        <x:v>53.2</x:v>
      </x:c>
      <x:c r="N1674" t="str">
        <x:v>Most Likely</x:v>
      </x:c>
      <x:c r="O1674" t="str">
        <x:v>Most Likely</x:v>
      </x:c>
    </x:row>
    <x:row r="1675">
      <x:c r="A1675" t="str">
        <x:v>PJT_1674</x:v>
      </x:c>
      <x:c r="B1675" t="n">
        <x:v>64471050</x:v>
      </x:c>
      <x:c r="C1675" t="n">
        <x:v>67074737</x:v>
      </x:c>
      <x:c r="D1675" t="n">
        <x:v>2603687</x:v>
      </x:c>
      <x:c r="E1675" t="n">
        <x:v>0.0404</x:v>
      </x:c>
      <x:c r="F1675" t="n">
        <x:v>988</x:v>
      </x:c>
      <x:c r="G1675" t="n">
        <x:v>1027</x:v>
      </x:c>
      <x:c r="H1675" t="n">
        <x:v>39</x:v>
      </x:c>
      <x:c r="I1675" t="n">
        <x:v>0.0395</x:v>
      </x:c>
      <x:c r="J1675" t="str">
        <x:v>Medium</x:v>
      </x:c>
      <x:c r="K1675" t="n">
        <x:v>56.8</x:v>
      </x:c>
      <x:c r="L1675" t="n">
        <x:v>53.5</x:v>
      </x:c>
      <x:c r="M1675" t="n">
        <x:v>53.9</x:v>
      </x:c>
      <x:c r="N1675" t="str">
        <x:v>Most Likely</x:v>
      </x:c>
      <x:c r="O1675" t="str">
        <x:v>Most Likely</x:v>
      </x:c>
    </x:row>
    <x:row r="1676">
      <x:c r="A1676" t="str">
        <x:v>PJT_1675</x:v>
      </x:c>
      <x:c r="B1676" t="n">
        <x:v>8618400</x:v>
      </x:c>
      <x:c r="C1676" t="n">
        <x:v>9037257</x:v>
      </x:c>
      <x:c r="D1676" t="n">
        <x:v>418857</x:v>
      </x:c>
      <x:c r="E1676" t="n">
        <x:v>0.0486</x:v>
      </x:c>
      <x:c r="F1676" t="n">
        <x:v>180</x:v>
      </x:c>
      <x:c r="G1676" t="n">
        <x:v>198</x:v>
      </x:c>
      <x:c r="H1676" t="n">
        <x:v>18</x:v>
      </x:c>
      <x:c r="I1676" t="n">
        <x:v>0.1</x:v>
      </x:c>
      <x:c r="J1676" t="str">
        <x:v>Low</x:v>
      </x:c>
      <x:c r="K1676" t="n">
        <x:v>31.7</x:v>
      </x:c>
      <x:c r="L1676" t="n">
        <x:v>26.8</x:v>
      </x:c>
      <x:c r="M1676" t="n">
        <x:v>25</x:v>
      </x:c>
      <x:c r="N1676" t="str">
        <x:v>Most Likely</x:v>
      </x:c>
      <x:c r="O1676" t="str">
        <x:v>Most Likely</x:v>
      </x:c>
    </x:row>
    <x:row r="1677">
      <x:c r="A1677" t="str">
        <x:v>PJT_1676</x:v>
      </x:c>
      <x:c r="B1677" t="n">
        <x:v>24617640</x:v>
      </x:c>
      <x:c r="C1677" t="n">
        <x:v>25051169</x:v>
      </x:c>
      <x:c r="D1677" t="n">
        <x:v>433529</x:v>
      </x:c>
      <x:c r="E1677" t="n">
        <x:v>0.0176</x:v>
      </x:c>
      <x:c r="F1677" t="n">
        <x:v>494</x:v>
      </x:c>
      <x:c r="G1677" t="n">
        <x:v>510</x:v>
      </x:c>
      <x:c r="H1677" t="n">
        <x:v>16</x:v>
      </x:c>
      <x:c r="I1677" t="n">
        <x:v>0.0324</x:v>
      </x:c>
      <x:c r="J1677" t="str">
        <x:v>Medium</x:v>
      </x:c>
      <x:c r="K1677" t="n">
        <x:v>46.7</x:v>
      </x:c>
      <x:c r="L1677" t="n">
        <x:v>50.2</x:v>
      </x:c>
      <x:c r="M1677" t="n">
        <x:v>51</x:v>
      </x:c>
      <x:c r="N1677" t="str">
        <x:v>Most Likely</x:v>
      </x:c>
      <x:c r="O1677" t="str">
        <x:v>Most Likely</x:v>
      </x:c>
    </x:row>
    <x:row r="1678">
      <x:c r="A1678" t="str">
        <x:v>PJT_1677</x:v>
      </x:c>
      <x:c r="B1678" t="n">
        <x:v>58694850</x:v>
      </x:c>
      <x:c r="C1678" t="n">
        <x:v>63511890</x:v>
      </x:c>
      <x:c r="D1678" t="n">
        <x:v>4817040</x:v>
      </x:c>
      <x:c r="E1678" t="n">
        <x:v>0.0821</x:v>
      </x:c>
      <x:c r="F1678" t="n">
        <x:v>1191</x:v>
      </x:c>
      <x:c r="G1678" t="n">
        <x:v>1248</x:v>
      </x:c>
      <x:c r="H1678" t="n">
        <x:v>57</x:v>
      </x:c>
      <x:c r="I1678" t="n">
        <x:v>0.0479</x:v>
      </x:c>
      <x:c r="J1678" t="str">
        <x:v>Medium</x:v>
      </x:c>
      <x:c r="K1678" t="n">
        <x:v>53</x:v>
      </x:c>
      <x:c r="L1678" t="n">
        <x:v>58</x:v>
      </x:c>
      <x:c r="M1678" t="n">
        <x:v>48.6</x:v>
      </x:c>
      <x:c r="N1678" t="str">
        <x:v>Most Likely</x:v>
      </x:c>
      <x:c r="O1678" t="str">
        <x:v>Most Likely</x:v>
      </x:c>
    </x:row>
    <x:row r="1679">
      <x:c r="A1679" t="str">
        <x:v>PJT_1678</x:v>
      </x:c>
      <x:c r="B1679" t="n">
        <x:v>18799380</x:v>
      </x:c>
      <x:c r="C1679" t="n">
        <x:v>18332992</x:v>
      </x:c>
      <x:c r="D1679" t="n">
        <x:v>-466388</x:v>
      </x:c>
      <x:c r="E1679" t="n">
        <x:v>-0.0248</x:v>
      </x:c>
      <x:c r="F1679" t="n">
        <x:v>390</x:v>
      </x:c>
      <x:c r="G1679" t="n">
        <x:v>385</x:v>
      </x:c>
      <x:c r="H1679" t="n">
        <x:v>-5</x:v>
      </x:c>
      <x:c r="I1679" t="n">
        <x:v>-0.0128</x:v>
      </x:c>
      <x:c r="J1679" t="str">
        <x:v>Low</x:v>
      </x:c>
      <x:c r="K1679" t="n">
        <x:v>33.9</x:v>
      </x:c>
      <x:c r="L1679" t="n">
        <x:v>34.7</x:v>
      </x:c>
      <x:c r="M1679" t="n">
        <x:v>31.7</x:v>
      </x:c>
      <x:c r="N1679" t="str">
        <x:v>Optimistic</x:v>
      </x:c>
      <x:c r="O1679" t="str">
        <x:v>Optimistic</x:v>
      </x:c>
    </x:row>
    <x:row r="1680">
      <x:c r="A1680" t="str">
        <x:v>PJT_1679</x:v>
      </x:c>
      <x:c r="B1680" t="n">
        <x:v>10031040</x:v>
      </x:c>
      <x:c r="C1680" t="n">
        <x:v>9936080</x:v>
      </x:c>
      <x:c r="D1680" t="n">
        <x:v>-94960</x:v>
      </x:c>
      <x:c r="E1680" t="n">
        <x:v>-0.0095</x:v>
      </x:c>
      <x:c r="F1680" t="n">
        <x:v>231</x:v>
      </x:c>
      <x:c r="G1680" t="n">
        <x:v>230</x:v>
      </x:c>
      <x:c r="H1680" t="n">
        <x:v>-1</x:v>
      </x:c>
      <x:c r="I1680" t="n">
        <x:v>-0.0043</x:v>
      </x:c>
      <x:c r="J1680" t="str">
        <x:v>Low</x:v>
      </x:c>
      <x:c r="K1680" t="n">
        <x:v>24</x:v>
      </x:c>
      <x:c r="L1680" t="n">
        <x:v>22</x:v>
      </x:c>
      <x:c r="M1680" t="n">
        <x:v>22</x:v>
      </x:c>
      <x:c r="N1680" t="str">
        <x:v>Optimistic</x:v>
      </x:c>
      <x:c r="O1680" t="str">
        <x:v>Optimistic</x:v>
      </x:c>
    </x:row>
    <x:row r="1681">
      <x:c r="A1681" t="str">
        <x:v>PJT_1680</x:v>
      </x:c>
      <x:c r="B1681" t="n">
        <x:v>23586500</x:v>
      </x:c>
      <x:c r="C1681" t="n">
        <x:v>24246126</x:v>
      </x:c>
      <x:c r="D1681" t="n">
        <x:v>659626</x:v>
      </x:c>
      <x:c r="E1681" t="n">
        <x:v>0.028</x:v>
      </x:c>
      <x:c r="F1681" t="n">
        <x:v>595</x:v>
      </x:c>
      <x:c r="G1681" t="n">
        <x:v>622</x:v>
      </x:c>
      <x:c r="H1681" t="n">
        <x:v>27</x:v>
      </x:c>
      <x:c r="I1681" t="n">
        <x:v>0.0454</x:v>
      </x:c>
      <x:c r="J1681" t="str">
        <x:v>Medium</x:v>
      </x:c>
      <x:c r="K1681" t="n">
        <x:v>49.1</x:v>
      </x:c>
      <x:c r="L1681" t="n">
        <x:v>49.7</x:v>
      </x:c>
      <x:c r="M1681" t="n">
        <x:v>49.6</x:v>
      </x:c>
      <x:c r="N1681" t="str">
        <x:v>Most Likely</x:v>
      </x:c>
      <x:c r="O1681" t="str">
        <x:v>Most Likely</x:v>
      </x:c>
    </x:row>
    <x:row r="1682">
      <x:c r="A1682" t="str">
        <x:v>PJT_1681</x:v>
      </x:c>
      <x:c r="B1682" t="n">
        <x:v>15498780</x:v>
      </x:c>
      <x:c r="C1682" t="n">
        <x:v>16426787</x:v>
      </x:c>
      <x:c r="D1682" t="n">
        <x:v>928007</x:v>
      </x:c>
      <x:c r="E1682" t="n">
        <x:v>0.0599</x:v>
      </x:c>
      <x:c r="F1682" t="n">
        <x:v>292</x:v>
      </x:c>
      <x:c r="G1682" t="n">
        <x:v>297</x:v>
      </x:c>
      <x:c r="H1682" t="n">
        <x:v>5</x:v>
      </x:c>
      <x:c r="I1682" t="n">
        <x:v>0.0171</x:v>
      </x:c>
      <x:c r="J1682" t="str">
        <x:v>Low</x:v>
      </x:c>
      <x:c r="K1682" t="n">
        <x:v>39.1</x:v>
      </x:c>
      <x:c r="L1682" t="n">
        <x:v>42.3</x:v>
      </x:c>
      <x:c r="M1682" t="n">
        <x:v>39.5</x:v>
      </x:c>
      <x:c r="N1682" t="str">
        <x:v>Most Likely</x:v>
      </x:c>
      <x:c r="O1682" t="str">
        <x:v>Most Likely</x:v>
      </x:c>
    </x:row>
    <x:row r="1683">
      <x:c r="A1683" t="str">
        <x:v>PJT_1682</x:v>
      </x:c>
      <x:c r="B1683" t="n">
        <x:v>59265180</x:v>
      </x:c>
      <x:c r="C1683" t="n">
        <x:v>63166742</x:v>
      </x:c>
      <x:c r="D1683" t="n">
        <x:v>3901562</x:v>
      </x:c>
      <x:c r="E1683" t="n">
        <x:v>0.0658</x:v>
      </x:c>
      <x:c r="F1683" t="n">
        <x:v>1094</x:v>
      </x:c>
      <x:c r="G1683" t="n">
        <x:v>1194</x:v>
      </x:c>
      <x:c r="H1683" t="n">
        <x:v>100</x:v>
      </x:c>
      <x:c r="I1683" t="n">
        <x:v>0.0914</x:v>
      </x:c>
      <x:c r="J1683" t="str">
        <x:v>Medium</x:v>
      </x:c>
      <x:c r="K1683" t="n">
        <x:v>48.3</x:v>
      </x:c>
      <x:c r="L1683" t="n">
        <x:v>52.7</x:v>
      </x:c>
      <x:c r="M1683" t="n">
        <x:v>54.7</x:v>
      </x:c>
      <x:c r="N1683" t="str">
        <x:v>Most Likely</x:v>
      </x:c>
      <x:c r="O1683" t="str">
        <x:v>Most Likely</x:v>
      </x:c>
    </x:row>
    <x:row r="1684">
      <x:c r="A1684" t="str">
        <x:v>PJT_1683</x:v>
      </x:c>
      <x:c r="B1684" t="n">
        <x:v>41579560</x:v>
      </x:c>
      <x:c r="C1684" t="n">
        <x:v>44827725</x:v>
      </x:c>
      <x:c r="D1684" t="n">
        <x:v>3248165</x:v>
      </x:c>
      <x:c r="E1684" t="n">
        <x:v>0.0781</x:v>
      </x:c>
      <x:c r="F1684" t="n">
        <x:v>808</x:v>
      </x:c>
      <x:c r="G1684" t="n">
        <x:v>835</x:v>
      </x:c>
      <x:c r="H1684" t="n">
        <x:v>27</x:v>
      </x:c>
      <x:c r="I1684" t="n">
        <x:v>0.0334</x:v>
      </x:c>
      <x:c r="J1684" t="str">
        <x:v>Medium</x:v>
      </x:c>
      <x:c r="K1684" t="n">
        <x:v>45.9</x:v>
      </x:c>
      <x:c r="L1684" t="n">
        <x:v>50.1</x:v>
      </x:c>
      <x:c r="M1684" t="n">
        <x:v>50.8</x:v>
      </x:c>
      <x:c r="N1684" t="str">
        <x:v>Most Likely</x:v>
      </x:c>
      <x:c r="O1684" t="str">
        <x:v>Most Likely</x:v>
      </x:c>
    </x:row>
    <x:row r="1685">
      <x:c r="A1685" t="str">
        <x:v>PJT_1684</x:v>
      </x:c>
      <x:c r="B1685" t="n">
        <x:v>9278400</x:v>
      </x:c>
      <x:c r="C1685" t="n">
        <x:v>8738978</x:v>
      </x:c>
      <x:c r="D1685" t="n">
        <x:v>-539422</x:v>
      </x:c>
      <x:c r="E1685" t="n">
        <x:v>-0.0581</x:v>
      </x:c>
      <x:c r="F1685" t="n">
        <x:v>180</x:v>
      </x:c>
      <x:c r="G1685" t="n">
        <x:v>173</x:v>
      </x:c>
      <x:c r="H1685" t="n">
        <x:v>-7</x:v>
      </x:c>
      <x:c r="I1685" t="n">
        <x:v>-0.0389</x:v>
      </x:c>
      <x:c r="J1685" t="str">
        <x:v>Low</x:v>
      </x:c>
      <x:c r="K1685" t="n">
        <x:v>34.9</x:v>
      </x:c>
      <x:c r="L1685" t="n">
        <x:v>36.1</x:v>
      </x:c>
      <x:c r="M1685" t="n">
        <x:v>34.5</x:v>
      </x:c>
      <x:c r="N1685" t="str">
        <x:v>Optimistic</x:v>
      </x:c>
      <x:c r="O1685" t="str">
        <x:v>Optimistic</x:v>
      </x:c>
    </x:row>
    <x:row r="1686">
      <x:c r="A1686" t="str">
        <x:v>PJT_1685</x:v>
      </x:c>
      <x:c r="B1686" t="n">
        <x:v>26486280</x:v>
      </x:c>
      <x:c r="C1686" t="n">
        <x:v>27083142</x:v>
      </x:c>
      <x:c r="D1686" t="n">
        <x:v>596862</x:v>
      </x:c>
      <x:c r="E1686" t="n">
        <x:v>0.0225</x:v>
      </x:c>
      <x:c r="F1686" t="n">
        <x:v>514</x:v>
      </x:c>
      <x:c r="G1686" t="n">
        <x:v>512</x:v>
      </x:c>
      <x:c r="H1686" t="n">
        <x:v>-2</x:v>
      </x:c>
      <x:c r="I1686" t="n">
        <x:v>-0.0039</x:v>
      </x:c>
      <x:c r="J1686" t="str">
        <x:v>Low</x:v>
      </x:c>
      <x:c r="K1686" t="n">
        <x:v>39.9</x:v>
      </x:c>
      <x:c r="L1686" t="n">
        <x:v>42.1</x:v>
      </x:c>
      <x:c r="M1686" t="n">
        <x:v>39.8</x:v>
      </x:c>
      <x:c r="N1686" t="str">
        <x:v>Most Likely</x:v>
      </x:c>
      <x:c r="O1686" t="str">
        <x:v>Optimistic</x:v>
      </x:c>
    </x:row>
    <x:row r="1687">
      <x:c r="A1687" t="str">
        <x:v>PJT_1686</x:v>
      </x:c>
      <x:c r="B1687" t="n">
        <x:v>31215860</x:v>
      </x:c>
      <x:c r="C1687" t="n">
        <x:v>29966227</x:v>
      </x:c>
      <x:c r="D1687" t="n">
        <x:v>-1249633</x:v>
      </x:c>
      <x:c r="E1687" t="n">
        <x:v>-0.04</x:v>
      </x:c>
      <x:c r="F1687" t="n">
        <x:v>852</x:v>
      </x:c>
      <x:c r="G1687" t="n">
        <x:v>864</x:v>
      </x:c>
      <x:c r="H1687" t="n">
        <x:v>12</x:v>
      </x:c>
      <x:c r="I1687" t="n">
        <x:v>0.0141</x:v>
      </x:c>
      <x:c r="J1687" t="str">
        <x:v>Low</x:v>
      </x:c>
      <x:c r="K1687" t="n">
        <x:v>42.5</x:v>
      </x:c>
      <x:c r="L1687" t="n">
        <x:v>35.1</x:v>
      </x:c>
      <x:c r="M1687" t="n">
        <x:v>42.7</x:v>
      </x:c>
      <x:c r="N1687" t="str">
        <x:v>Optimistic</x:v>
      </x:c>
      <x:c r="O1687" t="str">
        <x:v>Most Likely</x:v>
      </x:c>
    </x:row>
    <x:row r="1688">
      <x:c r="A1688" t="str">
        <x:v>PJT_1687</x:v>
      </x:c>
      <x:c r="B1688" t="n">
        <x:v>94912440</x:v>
      </x:c>
      <x:c r="C1688" t="n">
        <x:v>107702882</x:v>
      </x:c>
      <x:c r="D1688" t="n">
        <x:v>12790442</x:v>
      </x:c>
      <x:c r="E1688" t="n">
        <x:v>0.1348</x:v>
      </x:c>
      <x:c r="F1688" t="n">
        <x:v>1876</x:v>
      </x:c>
      <x:c r="G1688" t="n">
        <x:v>2098</x:v>
      </x:c>
      <x:c r="H1688" t="n">
        <x:v>222</x:v>
      </x:c>
      <x:c r="I1688" t="n">
        <x:v>0.1183</x:v>
      </x:c>
      <x:c r="J1688" t="str">
        <x:v>High</x:v>
      </x:c>
      <x:c r="K1688" t="n">
        <x:v>69.3</x:v>
      </x:c>
      <x:c r="L1688" t="n">
        <x:v>70.5</x:v>
      </x:c>
      <x:c r="M1688" t="n">
        <x:v>68.9</x:v>
      </x:c>
      <x:c r="N1688" t="str">
        <x:v>Pessimistic</x:v>
      </x:c>
      <x:c r="O1688" t="str">
        <x:v>Pessimistic</x:v>
      </x:c>
    </x:row>
    <x:row r="1689">
      <x:c r="A1689" t="str">
        <x:v>PJT_1688</x:v>
      </x:c>
      <x:c r="B1689" t="n">
        <x:v>52899840</x:v>
      </x:c>
      <x:c r="C1689" t="n">
        <x:v>55425030</x:v>
      </x:c>
      <x:c r="D1689" t="n">
        <x:v>2525190</x:v>
      </x:c>
      <x:c r="E1689" t="n">
        <x:v>0.0477</x:v>
      </x:c>
      <x:c r="F1689" t="n">
        <x:v>1087</x:v>
      </x:c>
      <x:c r="G1689" t="n">
        <x:v>1180</x:v>
      </x:c>
      <x:c r="H1689" t="n">
        <x:v>93</x:v>
      </x:c>
      <x:c r="I1689" t="n">
        <x:v>0.0856</x:v>
      </x:c>
      <x:c r="J1689" t="str">
        <x:v>Medium</x:v>
      </x:c>
      <x:c r="K1689" t="n">
        <x:v>59.7</x:v>
      </x:c>
      <x:c r="L1689" t="n">
        <x:v>58</x:v>
      </x:c>
      <x:c r="M1689" t="n">
        <x:v>59.6</x:v>
      </x:c>
      <x:c r="N1689" t="str">
        <x:v>Most Likely</x:v>
      </x:c>
      <x:c r="O1689" t="str">
        <x:v>Most Likely</x:v>
      </x:c>
    </x:row>
    <x:row r="1690">
      <x:c r="A1690" t="str">
        <x:v>PJT_1689</x:v>
      </x:c>
      <x:c r="B1690" t="n">
        <x:v>39629590</x:v>
      </x:c>
      <x:c r="C1690" t="n">
        <x:v>42379633</x:v>
      </x:c>
      <x:c r="D1690" t="n">
        <x:v>2750043</x:v>
      </x:c>
      <x:c r="E1690" t="n">
        <x:v>0.0694</x:v>
      </x:c>
      <x:c r="F1690" t="n">
        <x:v>705</x:v>
      </x:c>
      <x:c r="G1690" t="n">
        <x:v>741</x:v>
      </x:c>
      <x:c r="H1690" t="n">
        <x:v>36</x:v>
      </x:c>
      <x:c r="I1690" t="n">
        <x:v>0.0511</x:v>
      </x:c>
      <x:c r="J1690" t="str">
        <x:v>Medium</x:v>
      </x:c>
      <x:c r="K1690" t="n">
        <x:v>56.1</x:v>
      </x:c>
      <x:c r="L1690" t="n">
        <x:v>58.3</x:v>
      </x:c>
      <x:c r="M1690" t="n">
        <x:v>53</x:v>
      </x:c>
      <x:c r="N1690" t="str">
        <x:v>Most Likely</x:v>
      </x:c>
      <x:c r="O1690" t="str">
        <x:v>Most Likely</x:v>
      </x:c>
    </x:row>
    <x:row r="1691">
      <x:c r="A1691" t="str">
        <x:v>PJT_1690</x:v>
      </x:c>
      <x:c r="B1691" t="n">
        <x:v>47810100</x:v>
      </x:c>
      <x:c r="C1691" t="n">
        <x:v>51598887</x:v>
      </x:c>
      <x:c r="D1691" t="n">
        <x:v>3788787</x:v>
      </x:c>
      <x:c r="E1691" t="n">
        <x:v>0.0792</x:v>
      </x:c>
      <x:c r="F1691" t="n">
        <x:v>960</x:v>
      </x:c>
      <x:c r="G1691" t="n">
        <x:v>1017</x:v>
      </x:c>
      <x:c r="H1691" t="n">
        <x:v>57</x:v>
      </x:c>
      <x:c r="I1691" t="n">
        <x:v>0.0594</x:v>
      </x:c>
      <x:c r="J1691" t="str">
        <x:v>Medium</x:v>
      </x:c>
      <x:c r="K1691" t="n">
        <x:v>49</x:v>
      </x:c>
      <x:c r="L1691" t="n">
        <x:v>52.6</x:v>
      </x:c>
      <x:c r="M1691" t="n">
        <x:v>52.4</x:v>
      </x:c>
      <x:c r="N1691" t="str">
        <x:v>Most Likely</x:v>
      </x:c>
      <x:c r="O1691" t="str">
        <x:v>Most Likely</x:v>
      </x:c>
    </x:row>
    <x:row r="1692">
      <x:c r="A1692" t="str">
        <x:v>PJT_1691</x:v>
      </x:c>
      <x:c r="B1692" t="n">
        <x:v>40883550</x:v>
      </x:c>
      <x:c r="C1692" t="n">
        <x:v>41293876</x:v>
      </x:c>
      <x:c r="D1692" t="n">
        <x:v>410326</x:v>
      </x:c>
      <x:c r="E1692" t="n">
        <x:v>0.01</x:v>
      </x:c>
      <x:c r="F1692" t="n">
        <x:v>636</x:v>
      </x:c>
      <x:c r="G1692" t="n">
        <x:v>672</x:v>
      </x:c>
      <x:c r="H1692" t="n">
        <x:v>36</x:v>
      </x:c>
      <x:c r="I1692" t="n">
        <x:v>0.0566</x:v>
      </x:c>
      <x:c r="J1692" t="str">
        <x:v>Low</x:v>
      </x:c>
      <x:c r="K1692" t="n">
        <x:v>44.5</x:v>
      </x:c>
      <x:c r="L1692" t="n">
        <x:v>44.7</x:v>
      </x:c>
      <x:c r="M1692" t="n">
        <x:v>38.9</x:v>
      </x:c>
      <x:c r="N1692" t="str">
        <x:v>Most Likely</x:v>
      </x:c>
      <x:c r="O1692" t="str">
        <x:v>Most Likely</x:v>
      </x:c>
    </x:row>
    <x:row r="1693">
      <x:c r="A1693" t="str">
        <x:v>PJT_1692</x:v>
      </x:c>
      <x:c r="B1693" t="n">
        <x:v>12781330</x:v>
      </x:c>
      <x:c r="C1693" t="n">
        <x:v>12563865</x:v>
      </x:c>
      <x:c r="D1693" t="n">
        <x:v>-217465</x:v>
      </x:c>
      <x:c r="E1693" t="n">
        <x:v>-0.017</x:v>
      </x:c>
      <x:c r="F1693" t="n">
        <x:v>320</x:v>
      </x:c>
      <x:c r="G1693" t="n">
        <x:v>328</x:v>
      </x:c>
      <x:c r="H1693" t="n">
        <x:v>8</x:v>
      </x:c>
      <x:c r="I1693" t="n">
        <x:v>0.025</x:v>
      </x:c>
      <x:c r="J1693" t="str">
        <x:v>Low</x:v>
      </x:c>
      <x:c r="K1693" t="n">
        <x:v>34.8</x:v>
      </x:c>
      <x:c r="L1693" t="n">
        <x:v>34.6</x:v>
      </x:c>
      <x:c r="M1693" t="n">
        <x:v>33.4</x:v>
      </x:c>
      <x:c r="N1693" t="str">
        <x:v>Optimistic</x:v>
      </x:c>
      <x:c r="O1693" t="str">
        <x:v>Most Likely</x:v>
      </x:c>
    </x:row>
    <x:row r="1694">
      <x:c r="A1694" t="str">
        <x:v>PJT_1693</x:v>
      </x:c>
      <x:c r="B1694" t="n">
        <x:v>52041000</x:v>
      </x:c>
      <x:c r="C1694" t="n">
        <x:v>56691148</x:v>
      </x:c>
      <x:c r="D1694" t="n">
        <x:v>4650148</x:v>
      </x:c>
      <x:c r="E1694" t="n">
        <x:v>0.0894</x:v>
      </x:c>
      <x:c r="F1694" t="n">
        <x:v>820</x:v>
      </x:c>
      <x:c r="G1694" t="n">
        <x:v>862</x:v>
      </x:c>
      <x:c r="H1694" t="n">
        <x:v>42</x:v>
      </x:c>
      <x:c r="I1694" t="n">
        <x:v>0.0512</x:v>
      </x:c>
      <x:c r="J1694" t="str">
        <x:v>Medium</x:v>
      </x:c>
      <x:c r="K1694" t="n">
        <x:v>47.8</x:v>
      </x:c>
      <x:c r="L1694" t="n">
        <x:v>53</x:v>
      </x:c>
      <x:c r="M1694" t="n">
        <x:v>49.2</x:v>
      </x:c>
      <x:c r="N1694" t="str">
        <x:v>Most Likely</x:v>
      </x:c>
      <x:c r="O1694" t="str">
        <x:v>Most Likely</x:v>
      </x:c>
    </x:row>
    <x:row r="1695">
      <x:c r="A1695" t="str">
        <x:v>PJT_1694</x:v>
      </x:c>
      <x:c r="B1695" t="n">
        <x:v>57399600</x:v>
      </x:c>
      <x:c r="C1695" t="n">
        <x:v>63075831</x:v>
      </x:c>
      <x:c r="D1695" t="n">
        <x:v>5676231</x:v>
      </x:c>
      <x:c r="E1695" t="n">
        <x:v>0.0989</x:v>
      </x:c>
      <x:c r="F1695" t="n">
        <x:v>986</x:v>
      </x:c>
      <x:c r="G1695" t="n">
        <x:v>1070</x:v>
      </x:c>
      <x:c r="H1695" t="n">
        <x:v>84</x:v>
      </x:c>
      <x:c r="I1695" t="n">
        <x:v>0.0852</x:v>
      </x:c>
      <x:c r="J1695" t="str">
        <x:v>Medium</x:v>
      </x:c>
      <x:c r="K1695" t="n">
        <x:v>61</x:v>
      </x:c>
      <x:c r="L1695" t="n">
        <x:v>63.6</x:v>
      </x:c>
      <x:c r="M1695" t="n">
        <x:v>57.8</x:v>
      </x:c>
      <x:c r="N1695" t="str">
        <x:v>Most Likely</x:v>
      </x:c>
      <x:c r="O1695" t="str">
        <x:v>Most Likely</x:v>
      </x:c>
    </x:row>
    <x:row r="1696">
      <x:c r="A1696" t="str">
        <x:v>PJT_1695</x:v>
      </x:c>
      <x:c r="B1696" t="n">
        <x:v>27810720</x:v>
      </x:c>
      <x:c r="C1696" t="n">
        <x:v>28105880</x:v>
      </x:c>
      <x:c r="D1696" t="n">
        <x:v>295160</x:v>
      </x:c>
      <x:c r="E1696" t="n">
        <x:v>0.0106</x:v>
      </x:c>
      <x:c r="F1696" t="n">
        <x:v>483</x:v>
      </x:c>
      <x:c r="G1696" t="n">
        <x:v>478</x:v>
      </x:c>
      <x:c r="H1696" t="n">
        <x:v>-5</x:v>
      </x:c>
      <x:c r="I1696" t="n">
        <x:v>-0.0104</x:v>
      </x:c>
      <x:c r="J1696" t="str">
        <x:v>Low</x:v>
      </x:c>
      <x:c r="K1696" t="n">
        <x:v>41.6</x:v>
      </x:c>
      <x:c r="L1696" t="n">
        <x:v>39.7</x:v>
      </x:c>
      <x:c r="M1696" t="n">
        <x:v>40.5</x:v>
      </x:c>
      <x:c r="N1696" t="str">
        <x:v>Most Likely</x:v>
      </x:c>
      <x:c r="O1696" t="str">
        <x:v>Optimistic</x:v>
      </x:c>
    </x:row>
    <x:row r="1697">
      <x:c r="A1697" t="str">
        <x:v>PJT_1696</x:v>
      </x:c>
      <x:c r="B1697" t="n">
        <x:v>15321680</x:v>
      </x:c>
      <x:c r="C1697" t="n">
        <x:v>15010914</x:v>
      </x:c>
      <x:c r="D1697" t="n">
        <x:v>-310766</x:v>
      </x:c>
      <x:c r="E1697" t="n">
        <x:v>-0.0203</x:v>
      </x:c>
      <x:c r="F1697" t="n">
        <x:v>365</x:v>
      </x:c>
      <x:c r="G1697" t="n">
        <x:v>371</x:v>
      </x:c>
      <x:c r="H1697" t="n">
        <x:v>6</x:v>
      </x:c>
      <x:c r="I1697" t="n">
        <x:v>0.0164</x:v>
      </x:c>
      <x:c r="J1697" t="str">
        <x:v>Medium</x:v>
      </x:c>
      <x:c r="K1697" t="n">
        <x:v>47</x:v>
      </x:c>
      <x:c r="L1697" t="n">
        <x:v>42.1</x:v>
      </x:c>
      <x:c r="M1697" t="n">
        <x:v>42.5</x:v>
      </x:c>
      <x:c r="N1697" t="str">
        <x:v>Optimistic</x:v>
      </x:c>
      <x:c r="O1697" t="str">
        <x:v>Most Likely</x:v>
      </x:c>
    </x:row>
    <x:row r="1698">
      <x:c r="A1698" t="str">
        <x:v>PJT_1697</x:v>
      </x:c>
      <x:c r="B1698" t="n">
        <x:v>24415960</x:v>
      </x:c>
      <x:c r="C1698" t="n">
        <x:v>25974951</x:v>
      </x:c>
      <x:c r="D1698" t="n">
        <x:v>1558991</x:v>
      </x:c>
      <x:c r="E1698" t="n">
        <x:v>0.0639</x:v>
      </x:c>
      <x:c r="F1698" t="n">
        <x:v>466</x:v>
      </x:c>
      <x:c r="G1698" t="n">
        <x:v>489</x:v>
      </x:c>
      <x:c r="H1698" t="n">
        <x:v>23</x:v>
      </x:c>
      <x:c r="I1698" t="n">
        <x:v>0.0494</x:v>
      </x:c>
      <x:c r="J1698" t="str">
        <x:v>Medium</x:v>
      </x:c>
      <x:c r="K1698" t="n">
        <x:v>51.7</x:v>
      </x:c>
      <x:c r="L1698" t="n">
        <x:v>51.3</x:v>
      </x:c>
      <x:c r="M1698" t="n">
        <x:v>51.6</x:v>
      </x:c>
      <x:c r="N1698" t="str">
        <x:v>Most Likely</x:v>
      </x:c>
      <x:c r="O1698" t="str">
        <x:v>Most Likely</x:v>
      </x:c>
    </x:row>
    <x:row r="1699">
      <x:c r="A1699" t="str">
        <x:v>PJT_1698</x:v>
      </x:c>
      <x:c r="B1699" t="n">
        <x:v>64311620</x:v>
      </x:c>
      <x:c r="C1699" t="n">
        <x:v>72207232</x:v>
      </x:c>
      <x:c r="D1699" t="n">
        <x:v>7895612</x:v>
      </x:c>
      <x:c r="E1699" t="n">
        <x:v>0.1228</x:v>
      </x:c>
      <x:c r="F1699" t="n">
        <x:v>1027</x:v>
      </x:c>
      <x:c r="G1699" t="n">
        <x:v>1129</x:v>
      </x:c>
      <x:c r="H1699" t="n">
        <x:v>102</x:v>
      </x:c>
      <x:c r="I1699" t="n">
        <x:v>0.0993</x:v>
      </x:c>
      <x:c r="J1699" t="str">
        <x:v>High</x:v>
      </x:c>
      <x:c r="K1699" t="n">
        <x:v>70.4</x:v>
      </x:c>
      <x:c r="L1699" t="n">
        <x:v>71.9</x:v>
      </x:c>
      <x:c r="M1699" t="n">
        <x:v>67.6</x:v>
      </x:c>
      <x:c r="N1699" t="str">
        <x:v>Pessimistic</x:v>
      </x:c>
      <x:c r="O1699" t="str">
        <x:v>Most Likely</x:v>
      </x:c>
    </x:row>
    <x:row r="1700">
      <x:c r="A1700" t="str">
        <x:v>PJT_1699</x:v>
      </x:c>
      <x:c r="B1700" t="n">
        <x:v>25800010</x:v>
      </x:c>
      <x:c r="C1700" t="n">
        <x:v>26195710</x:v>
      </x:c>
      <x:c r="D1700" t="n">
        <x:v>395700</x:v>
      </x:c>
      <x:c r="E1700" t="n">
        <x:v>0.0153</x:v>
      </x:c>
      <x:c r="F1700" t="n">
        <x:v>667</x:v>
      </x:c>
      <x:c r="G1700" t="n">
        <x:v>675</x:v>
      </x:c>
      <x:c r="H1700" t="n">
        <x:v>8</x:v>
      </x:c>
      <x:c r="I1700" t="n">
        <x:v>0.012</x:v>
      </x:c>
      <x:c r="J1700" t="str">
        <x:v>Low</x:v>
      </x:c>
      <x:c r="K1700" t="n">
        <x:v>38.1</x:v>
      </x:c>
      <x:c r="L1700" t="n">
        <x:v>34.8</x:v>
      </x:c>
      <x:c r="M1700" t="n">
        <x:v>36.1</x:v>
      </x:c>
      <x:c r="N1700" t="str">
        <x:v>Most Likely</x:v>
      </x:c>
      <x:c r="O1700" t="str">
        <x:v>Most Likely</x:v>
      </x:c>
    </x:row>
    <x:row r="1701">
      <x:c r="A1701" t="str">
        <x:v>PJT_1700</x:v>
      </x:c>
      <x:c r="B1701" t="n">
        <x:v>12414600</x:v>
      </x:c>
      <x:c r="C1701" t="n">
        <x:v>12989718</x:v>
      </x:c>
      <x:c r="D1701" t="n">
        <x:v>575118</x:v>
      </x:c>
      <x:c r="E1701" t="n">
        <x:v>0.0463</x:v>
      </x:c>
      <x:c r="F1701" t="n">
        <x:v>277</x:v>
      </x:c>
      <x:c r="G1701" t="n">
        <x:v>272</x:v>
      </x:c>
      <x:c r="H1701" t="n">
        <x:v>-5</x:v>
      </x:c>
      <x:c r="I1701" t="n">
        <x:v>-0.0181</x:v>
      </x:c>
      <x:c r="J1701" t="str">
        <x:v>Medium</x:v>
      </x:c>
      <x:c r="K1701" t="n">
        <x:v>46.8</x:v>
      </x:c>
      <x:c r="L1701" t="n">
        <x:v>41</x:v>
      </x:c>
      <x:c r="M1701" t="n">
        <x:v>44.1</x:v>
      </x:c>
      <x:c r="N1701" t="str">
        <x:v>Most Likely</x:v>
      </x:c>
      <x:c r="O1701" t="str">
        <x:v>Optimistic</x:v>
      </x:c>
    </x:row>
    <x:row r="1702">
      <x:c r="A1702" t="str">
        <x:v>PJT_1701</x:v>
      </x:c>
      <x:c r="B1702" t="n">
        <x:v>17006640</x:v>
      </x:c>
      <x:c r="C1702" t="n">
        <x:v>15858723</x:v>
      </x:c>
      <x:c r="D1702" t="n">
        <x:v>-1147917</x:v>
      </x:c>
      <x:c r="E1702" t="n">
        <x:v>-0.0675</x:v>
      </x:c>
      <x:c r="F1702" t="n">
        <x:v>439</x:v>
      </x:c>
      <x:c r="G1702" t="n">
        <x:v>452</x:v>
      </x:c>
      <x:c r="H1702" t="n">
        <x:v>13</x:v>
      </x:c>
      <x:c r="I1702" t="n">
        <x:v>0.0296</x:v>
      </x:c>
      <x:c r="J1702" t="str">
        <x:v>Low</x:v>
      </x:c>
      <x:c r="K1702" t="n">
        <x:v>30.5</x:v>
      </x:c>
      <x:c r="L1702" t="n">
        <x:v>33.6</x:v>
      </x:c>
      <x:c r="M1702" t="n">
        <x:v>28.2</x:v>
      </x:c>
      <x:c r="N1702" t="str">
        <x:v>Optimistic</x:v>
      </x:c>
      <x:c r="O1702" t="str">
        <x:v>Most Likely</x:v>
      </x:c>
    </x:row>
    <x:row r="1703">
      <x:c r="A1703" t="str">
        <x:v>PJT_1702</x:v>
      </x:c>
      <x:c r="B1703" t="n">
        <x:v>40300260</x:v>
      </x:c>
      <x:c r="C1703" t="n">
        <x:v>44006661</x:v>
      </x:c>
      <x:c r="D1703" t="n">
        <x:v>3706401</x:v>
      </x:c>
      <x:c r="E1703" t="n">
        <x:v>0.092</x:v>
      </x:c>
      <x:c r="F1703" t="n">
        <x:v>766</x:v>
      </x:c>
      <x:c r="G1703" t="n">
        <x:v>790</x:v>
      </x:c>
      <x:c r="H1703" t="n">
        <x:v>24</x:v>
      </x:c>
      <x:c r="I1703" t="n">
        <x:v>0.0313</x:v>
      </x:c>
      <x:c r="J1703" t="str">
        <x:v>Low</x:v>
      </x:c>
      <x:c r="K1703" t="n">
        <x:v>42.7</x:v>
      </x:c>
      <x:c r="L1703" t="n">
        <x:v>50.8</x:v>
      </x:c>
      <x:c r="M1703" t="n">
        <x:v>41.9</x:v>
      </x:c>
      <x:c r="N1703" t="str">
        <x:v>Most Likely</x:v>
      </x:c>
      <x:c r="O1703" t="str">
        <x:v>Most Likely</x:v>
      </x:c>
    </x:row>
    <x:row r="1704">
      <x:c r="A1704" t="str">
        <x:v>PJT_1703</x:v>
      </x:c>
      <x:c r="B1704" t="n">
        <x:v>17410740</x:v>
      </x:c>
      <x:c r="C1704" t="n">
        <x:v>16906017</x:v>
      </x:c>
      <x:c r="D1704" t="n">
        <x:v>-504723</x:v>
      </x:c>
      <x:c r="E1704" t="n">
        <x:v>-0.029</x:v>
      </x:c>
      <x:c r="F1704" t="n">
        <x:v>416</x:v>
      </x:c>
      <x:c r="G1704" t="n">
        <x:v>424</x:v>
      </x:c>
      <x:c r="H1704" t="n">
        <x:v>8</x:v>
      </x:c>
      <x:c r="I1704" t="n">
        <x:v>0.0192</x:v>
      </x:c>
      <x:c r="J1704" t="str">
        <x:v>Low</x:v>
      </x:c>
      <x:c r="K1704" t="n">
        <x:v>24.2</x:v>
      </x:c>
      <x:c r="L1704" t="n">
        <x:v>24.7</x:v>
      </x:c>
      <x:c r="M1704" t="n">
        <x:v>22.5</x:v>
      </x:c>
      <x:c r="N1704" t="str">
        <x:v>Optimistic</x:v>
      </x:c>
      <x:c r="O1704" t="str">
        <x:v>Most Likely</x:v>
      </x:c>
    </x:row>
    <x:row r="1705">
      <x:c r="A1705" t="str">
        <x:v>PJT_1704</x:v>
      </x:c>
      <x:c r="B1705" t="n">
        <x:v>37668960</x:v>
      </x:c>
      <x:c r="C1705" t="n">
        <x:v>36325339</x:v>
      </x:c>
      <x:c r="D1705" t="n">
        <x:v>-1343621</x:v>
      </x:c>
      <x:c r="E1705" t="n">
        <x:v>-0.0357</x:v>
      </x:c>
      <x:c r="F1705" t="n">
        <x:v>721</x:v>
      </x:c>
      <x:c r="G1705" t="n">
        <x:v>755</x:v>
      </x:c>
      <x:c r="H1705" t="n">
        <x:v>34</x:v>
      </x:c>
      <x:c r="I1705" t="n">
        <x:v>0.0472</x:v>
      </x:c>
      <x:c r="J1705" t="str">
        <x:v>Low</x:v>
      </x:c>
      <x:c r="K1705" t="n">
        <x:v>38.9</x:v>
      </x:c>
      <x:c r="L1705" t="n">
        <x:v>41.8</x:v>
      </x:c>
      <x:c r="M1705" t="n">
        <x:v>40.9</x:v>
      </x:c>
      <x:c r="N1705" t="str">
        <x:v>Optimistic</x:v>
      </x:c>
      <x:c r="O1705" t="str">
        <x:v>Most Likely</x:v>
      </x:c>
    </x:row>
    <x:row r="1706">
      <x:c r="A1706" t="str">
        <x:v>PJT_1705</x:v>
      </x:c>
      <x:c r="B1706" t="n">
        <x:v>52087860</x:v>
      </x:c>
      <x:c r="C1706" t="n">
        <x:v>56235773</x:v>
      </x:c>
      <x:c r="D1706" t="n">
        <x:v>4147913</x:v>
      </x:c>
      <x:c r="E1706" t="n">
        <x:v>0.0796</x:v>
      </x:c>
      <x:c r="F1706" t="n">
        <x:v>939</x:v>
      </x:c>
      <x:c r="G1706" t="n">
        <x:v>954</x:v>
      </x:c>
      <x:c r="H1706" t="n">
        <x:v>15</x:v>
      </x:c>
      <x:c r="I1706" t="n">
        <x:v>0.016</x:v>
      </x:c>
      <x:c r="J1706" t="str">
        <x:v>Medium</x:v>
      </x:c>
      <x:c r="K1706" t="n">
        <x:v>51.6</x:v>
      </x:c>
      <x:c r="L1706" t="n">
        <x:v>51.3</x:v>
      </x:c>
      <x:c r="M1706" t="n">
        <x:v>46.2</x:v>
      </x:c>
      <x:c r="N1706" t="str">
        <x:v>Most Likely</x:v>
      </x:c>
      <x:c r="O1706" t="str">
        <x:v>Most Likely</x:v>
      </x:c>
    </x:row>
    <x:row r="1707">
      <x:c r="A1707" t="str">
        <x:v>PJT_1706</x:v>
      </x:c>
      <x:c r="B1707" t="n">
        <x:v>47006850</x:v>
      </x:c>
      <x:c r="C1707" t="n">
        <x:v>51152154</x:v>
      </x:c>
      <x:c r="D1707" t="n">
        <x:v>4145304</x:v>
      </x:c>
      <x:c r="E1707" t="n">
        <x:v>0.0882</x:v>
      </x:c>
      <x:c r="F1707" t="n">
        <x:v>914</x:v>
      </x:c>
      <x:c r="G1707" t="n">
        <x:v>940</x:v>
      </x:c>
      <x:c r="H1707" t="n">
        <x:v>26</x:v>
      </x:c>
      <x:c r="I1707" t="n">
        <x:v>0.0284</x:v>
      </x:c>
      <x:c r="J1707" t="str">
        <x:v>Medium</x:v>
      </x:c>
      <x:c r="K1707" t="n">
        <x:v>56.6</x:v>
      </x:c>
      <x:c r="L1707" t="n">
        <x:v>56.3</x:v>
      </x:c>
      <x:c r="M1707" t="n">
        <x:v>61.8</x:v>
      </x:c>
      <x:c r="N1707" t="str">
        <x:v>Most Likely</x:v>
      </x:c>
      <x:c r="O1707" t="str">
        <x:v>Most Likely</x:v>
      </x:c>
    </x:row>
    <x:row r="1708">
      <x:c r="A1708" t="str">
        <x:v>PJT_1707</x:v>
      </x:c>
      <x:c r="B1708" t="n">
        <x:v>71760800</x:v>
      </x:c>
      <x:c r="C1708" t="n">
        <x:v>77521756</x:v>
      </x:c>
      <x:c r="D1708" t="n">
        <x:v>5760956</x:v>
      </x:c>
      <x:c r="E1708" t="n">
        <x:v>0.0803</x:v>
      </x:c>
      <x:c r="F1708" t="n">
        <x:v>1209</x:v>
      </x:c>
      <x:c r="G1708" t="n">
        <x:v>1316</x:v>
      </x:c>
      <x:c r="H1708" t="n">
        <x:v>107</x:v>
      </x:c>
      <x:c r="I1708" t="n">
        <x:v>0.0885</x:v>
      </x:c>
      <x:c r="J1708" t="str">
        <x:v>Medium</x:v>
      </x:c>
      <x:c r="K1708" t="n">
        <x:v>50.1</x:v>
      </x:c>
      <x:c r="L1708" t="n">
        <x:v>54.1</x:v>
      </x:c>
      <x:c r="M1708" t="n">
        <x:v>50.6</x:v>
      </x:c>
      <x:c r="N1708" t="str">
        <x:v>Most Likely</x:v>
      </x:c>
      <x:c r="O1708" t="str">
        <x:v>Most Likely</x:v>
      </x:c>
    </x:row>
    <x:row r="1709">
      <x:c r="A1709" t="str">
        <x:v>PJT_1708</x:v>
      </x:c>
      <x:c r="B1709" t="n">
        <x:v>43885920</x:v>
      </x:c>
      <x:c r="C1709" t="n">
        <x:v>47888002</x:v>
      </x:c>
      <x:c r="D1709" t="n">
        <x:v>4002082</x:v>
      </x:c>
      <x:c r="E1709" t="n">
        <x:v>0.0912</x:v>
      </x:c>
      <x:c r="F1709" t="n">
        <x:v>797</x:v>
      </x:c>
      <x:c r="G1709" t="n">
        <x:v>794</x:v>
      </x:c>
      <x:c r="H1709" t="n">
        <x:v>-3</x:v>
      </x:c>
      <x:c r="I1709" t="n">
        <x:v>-0.0038</x:v>
      </x:c>
      <x:c r="J1709" t="str">
        <x:v>Medium</x:v>
      </x:c>
      <x:c r="K1709" t="n">
        <x:v>53.7</x:v>
      </x:c>
      <x:c r="L1709" t="n">
        <x:v>60</x:v>
      </x:c>
      <x:c r="M1709" t="n">
        <x:v>49.7</x:v>
      </x:c>
      <x:c r="N1709" t="str">
        <x:v>Most Likely</x:v>
      </x:c>
      <x:c r="O1709" t="str">
        <x:v>Optimistic</x:v>
      </x:c>
    </x:row>
    <x:row r="1710">
      <x:c r="A1710" t="str">
        <x:v>PJT_1709</x:v>
      </x:c>
      <x:c r="B1710" t="n">
        <x:v>79550880</x:v>
      </x:c>
      <x:c r="C1710" t="n">
        <x:v>86386747</x:v>
      </x:c>
      <x:c r="D1710" t="n">
        <x:v>6835867</x:v>
      </x:c>
      <x:c r="E1710" t="n">
        <x:v>0.0859</x:v>
      </x:c>
      <x:c r="F1710" t="n">
        <x:v>1436</x:v>
      </x:c>
      <x:c r="G1710" t="n">
        <x:v>1489</x:v>
      </x:c>
      <x:c r="H1710" t="n">
        <x:v>53</x:v>
      </x:c>
      <x:c r="I1710" t="n">
        <x:v>0.0369</x:v>
      </x:c>
      <x:c r="J1710" t="str">
        <x:v>Medium</x:v>
      </x:c>
      <x:c r="K1710" t="n">
        <x:v>57.2</x:v>
      </x:c>
      <x:c r="L1710" t="n">
        <x:v>63</x:v>
      </x:c>
      <x:c r="M1710" t="n">
        <x:v>52.2</x:v>
      </x:c>
      <x:c r="N1710" t="str">
        <x:v>Most Likely</x:v>
      </x:c>
      <x:c r="O1710" t="str">
        <x:v>Most Likely</x:v>
      </x:c>
    </x:row>
    <x:row r="1711">
      <x:c r="A1711" t="str">
        <x:v>PJT_1710</x:v>
      </x:c>
      <x:c r="B1711" t="n">
        <x:v>101281250</x:v>
      </x:c>
      <x:c r="C1711" t="n">
        <x:v>108234333</x:v>
      </x:c>
      <x:c r="D1711" t="n">
        <x:v>6953083</x:v>
      </x:c>
      <x:c r="E1711" t="n">
        <x:v>0.0687</x:v>
      </x:c>
      <x:c r="F1711" t="n">
        <x:v>1606</x:v>
      </x:c>
      <x:c r="G1711" t="n">
        <x:v>1676</x:v>
      </x:c>
      <x:c r="H1711" t="n">
        <x:v>70</x:v>
      </x:c>
      <x:c r="I1711" t="n">
        <x:v>0.0436</x:v>
      </x:c>
      <x:c r="J1711" t="str">
        <x:v>Medium</x:v>
      </x:c>
      <x:c r="K1711" t="n">
        <x:v>53.3</x:v>
      </x:c>
      <x:c r="L1711" t="n">
        <x:v>56.4</x:v>
      </x:c>
      <x:c r="M1711" t="n">
        <x:v>51.7</x:v>
      </x:c>
      <x:c r="N1711" t="str">
        <x:v>Most Likely</x:v>
      </x:c>
      <x:c r="O1711" t="str">
        <x:v>Most Likely</x:v>
      </x:c>
    </x:row>
    <x:row r="1712">
      <x:c r="A1712" t="str">
        <x:v>PJT_1711</x:v>
      </x:c>
      <x:c r="B1712" t="n">
        <x:v>32193790</x:v>
      </x:c>
      <x:c r="C1712" t="n">
        <x:v>36126323</x:v>
      </x:c>
      <x:c r="D1712" t="n">
        <x:v>3932533</x:v>
      </x:c>
      <x:c r="E1712" t="n">
        <x:v>0.1222</x:v>
      </x:c>
      <x:c r="F1712" t="n">
        <x:v>579</x:v>
      </x:c>
      <x:c r="G1712" t="n">
        <x:v>617</x:v>
      </x:c>
      <x:c r="H1712" t="n">
        <x:v>38</x:v>
      </x:c>
      <x:c r="I1712" t="n">
        <x:v>0.0656</x:v>
      </x:c>
      <x:c r="J1712" t="str">
        <x:v>Low</x:v>
      </x:c>
      <x:c r="K1712" t="n">
        <x:v>44.4</x:v>
      </x:c>
      <x:c r="L1712" t="n">
        <x:v>50.9</x:v>
      </x:c>
      <x:c r="M1712" t="n">
        <x:v>45.1</x:v>
      </x:c>
      <x:c r="N1712" t="str">
        <x:v>Pessimistic</x:v>
      </x:c>
      <x:c r="O1712" t="str">
        <x:v>Most Likely</x:v>
      </x:c>
    </x:row>
    <x:row r="1713">
      <x:c r="A1713" t="str">
        <x:v>PJT_1712</x:v>
      </x:c>
      <x:c r="B1713" t="n">
        <x:v>67912880</x:v>
      </x:c>
      <x:c r="C1713" t="n">
        <x:v>71621428</x:v>
      </x:c>
      <x:c r="D1713" t="n">
        <x:v>3708548</x:v>
      </x:c>
      <x:c r="E1713" t="n">
        <x:v>0.0546</x:v>
      </x:c>
      <x:c r="F1713" t="n">
        <x:v>1405</x:v>
      </x:c>
      <x:c r="G1713" t="n">
        <x:v>1665</x:v>
      </x:c>
      <x:c r="H1713" t="n">
        <x:v>260</x:v>
      </x:c>
      <x:c r="I1713" t="n">
        <x:v>0.1851</x:v>
      </x:c>
      <x:c r="J1713" t="str">
        <x:v>Medium</x:v>
      </x:c>
      <x:c r="K1713" t="n">
        <x:v>63.4</x:v>
      </x:c>
      <x:c r="L1713" t="n">
        <x:v>62.9</x:v>
      </x:c>
      <x:c r="M1713" t="n">
        <x:v>67</x:v>
      </x:c>
      <x:c r="N1713" t="str">
        <x:v>Most Likely</x:v>
      </x:c>
      <x:c r="O1713" t="str">
        <x:v>Pessimistic</x:v>
      </x:c>
    </x:row>
    <x:row r="1714">
      <x:c r="A1714" t="str">
        <x:v>PJT_1713</x:v>
      </x:c>
      <x:c r="B1714" t="n">
        <x:v>62403000</x:v>
      </x:c>
      <x:c r="C1714" t="n">
        <x:v>64448200</x:v>
      </x:c>
      <x:c r="D1714" t="n">
        <x:v>2045200</x:v>
      </x:c>
      <x:c r="E1714" t="n">
        <x:v>0.0328</x:v>
      </x:c>
      <x:c r="F1714" t="n">
        <x:v>919</x:v>
      </x:c>
      <x:c r="G1714" t="n">
        <x:v>1005</x:v>
      </x:c>
      <x:c r="H1714" t="n">
        <x:v>86</x:v>
      </x:c>
      <x:c r="I1714" t="n">
        <x:v>0.0936</x:v>
      </x:c>
      <x:c r="J1714" t="str">
        <x:v>Medium</x:v>
      </x:c>
      <x:c r="K1714" t="n">
        <x:v>55</x:v>
      </x:c>
      <x:c r="L1714" t="n">
        <x:v>61.9</x:v>
      </x:c>
      <x:c r="M1714" t="n">
        <x:v>53.3</x:v>
      </x:c>
      <x:c r="N1714" t="str">
        <x:v>Most Likely</x:v>
      </x:c>
      <x:c r="O1714" t="str">
        <x:v>Most Likely</x:v>
      </x:c>
    </x:row>
    <x:row r="1715">
      <x:c r="A1715" t="str">
        <x:v>PJT_1714</x:v>
      </x:c>
      <x:c r="B1715" t="n">
        <x:v>85580550</x:v>
      </x:c>
      <x:c r="C1715" t="n">
        <x:v>90751704</x:v>
      </x:c>
      <x:c r="D1715" t="n">
        <x:v>5171154</x:v>
      </x:c>
      <x:c r="E1715" t="n">
        <x:v>0.0604</x:v>
      </x:c>
      <x:c r="F1715" t="n">
        <x:v>1529</x:v>
      </x:c>
      <x:c r="G1715" t="n">
        <x:v>1685</x:v>
      </x:c>
      <x:c r="H1715" t="n">
        <x:v>156</x:v>
      </x:c>
      <x:c r="I1715" t="n">
        <x:v>0.102</x:v>
      </x:c>
      <x:c r="J1715" t="str">
        <x:v>Medium</x:v>
      </x:c>
      <x:c r="K1715" t="n">
        <x:v>62.4</x:v>
      </x:c>
      <x:c r="L1715" t="n">
        <x:v>66.9</x:v>
      </x:c>
      <x:c r="M1715" t="n">
        <x:v>64.5</x:v>
      </x:c>
      <x:c r="N1715" t="str">
        <x:v>Most Likely</x:v>
      </x:c>
      <x:c r="O1715" t="str">
        <x:v>Pessimistic</x:v>
      </x:c>
    </x:row>
    <x:row r="1716">
      <x:c r="A1716" t="str">
        <x:v>PJT_1715</x:v>
      </x:c>
      <x:c r="B1716" t="n">
        <x:v>26901840</x:v>
      </x:c>
      <x:c r="C1716" t="n">
        <x:v>29564041</x:v>
      </x:c>
      <x:c r="D1716" t="n">
        <x:v>2662201</x:v>
      </x:c>
      <x:c r="E1716" t="n">
        <x:v>0.099</x:v>
      </x:c>
      <x:c r="F1716" t="n">
        <x:v>712</x:v>
      </x:c>
      <x:c r="G1716" t="n">
        <x:v>763</x:v>
      </x:c>
      <x:c r="H1716" t="n">
        <x:v>51</x:v>
      </x:c>
      <x:c r="I1716" t="n">
        <x:v>0.0716</x:v>
      </x:c>
      <x:c r="J1716" t="str">
        <x:v>Medium</x:v>
      </x:c>
      <x:c r="K1716" t="n">
        <x:v>53</x:v>
      </x:c>
      <x:c r="L1716" t="n">
        <x:v>53</x:v>
      </x:c>
      <x:c r="M1716" t="n">
        <x:v>55.3</x:v>
      </x:c>
      <x:c r="N1716" t="str">
        <x:v>Most Likely</x:v>
      </x:c>
      <x:c r="O1716" t="str">
        <x:v>Most Likely</x:v>
      </x:c>
    </x:row>
    <x:row r="1717">
      <x:c r="A1717" t="str">
        <x:v>PJT_1716</x:v>
      </x:c>
      <x:c r="B1717" t="n">
        <x:v>50051680</x:v>
      </x:c>
      <x:c r="C1717" t="n">
        <x:v>52656708</x:v>
      </x:c>
      <x:c r="D1717" t="n">
        <x:v>2605028</x:v>
      </x:c>
      <x:c r="E1717" t="n">
        <x:v>0.052</x:v>
      </x:c>
      <x:c r="F1717" t="n">
        <x:v>888</x:v>
      </x:c>
      <x:c r="G1717" t="n">
        <x:v>1022</x:v>
      </x:c>
      <x:c r="H1717" t="n">
        <x:v>134</x:v>
      </x:c>
      <x:c r="I1717" t="n">
        <x:v>0.1509</x:v>
      </x:c>
      <x:c r="J1717" t="str">
        <x:v>Medium</x:v>
      </x:c>
      <x:c r="K1717" t="n">
        <x:v>49.4</x:v>
      </x:c>
      <x:c r="L1717" t="n">
        <x:v>52.3</x:v>
      </x:c>
      <x:c r="M1717" t="n">
        <x:v>52.1</x:v>
      </x:c>
      <x:c r="N1717" t="str">
        <x:v>Most Likely</x:v>
      </x:c>
      <x:c r="O1717" t="str">
        <x:v>Pessimistic</x:v>
      </x:c>
    </x:row>
    <x:row r="1718">
      <x:c r="A1718" t="str">
        <x:v>PJT_1717</x:v>
      </x:c>
      <x:c r="B1718" t="n">
        <x:v>33873840</x:v>
      </x:c>
      <x:c r="C1718" t="n">
        <x:v>36438382</x:v>
      </x:c>
      <x:c r="D1718" t="n">
        <x:v>2564542</x:v>
      </x:c>
      <x:c r="E1718" t="n">
        <x:v>0.0757</x:v>
      </x:c>
      <x:c r="F1718" t="n">
        <x:v>647</x:v>
      </x:c>
      <x:c r="G1718" t="n">
        <x:v>682</x:v>
      </x:c>
      <x:c r="H1718" t="n">
        <x:v>35</x:v>
      </x:c>
      <x:c r="I1718" t="n">
        <x:v>0.0541</x:v>
      </x:c>
      <x:c r="J1718" t="str">
        <x:v>Medium</x:v>
      </x:c>
      <x:c r="K1718" t="n">
        <x:v>50.7</x:v>
      </x:c>
      <x:c r="L1718" t="n">
        <x:v>59.6</x:v>
      </x:c>
      <x:c r="M1718" t="n">
        <x:v>50.5</x:v>
      </x:c>
      <x:c r="N1718" t="str">
        <x:v>Most Likely</x:v>
      </x:c>
      <x:c r="O1718" t="str">
        <x:v>Most Likely</x:v>
      </x:c>
    </x:row>
    <x:row r="1719">
      <x:c r="A1719" t="str">
        <x:v>PJT_1718</x:v>
      </x:c>
      <x:c r="B1719" t="n">
        <x:v>48872050</x:v>
      </x:c>
      <x:c r="C1719" t="n">
        <x:v>50747837</x:v>
      </x:c>
      <x:c r="D1719" t="n">
        <x:v>1875787</x:v>
      </x:c>
      <x:c r="E1719" t="n">
        <x:v>0.0384</x:v>
      </x:c>
      <x:c r="F1719" t="n">
        <x:v>828</x:v>
      </x:c>
      <x:c r="G1719" t="n">
        <x:v>839</x:v>
      </x:c>
      <x:c r="H1719" t="n">
        <x:v>11</x:v>
      </x:c>
      <x:c r="I1719" t="n">
        <x:v>0.0133</x:v>
      </x:c>
      <x:c r="J1719" t="str">
        <x:v>Medium</x:v>
      </x:c>
      <x:c r="K1719" t="n">
        <x:v>45.5</x:v>
      </x:c>
      <x:c r="L1719" t="n">
        <x:v>51.6</x:v>
      </x:c>
      <x:c r="M1719" t="n">
        <x:v>46</x:v>
      </x:c>
      <x:c r="N1719" t="str">
        <x:v>Most Likely</x:v>
      </x:c>
      <x:c r="O1719" t="str">
        <x:v>Most Likely</x:v>
      </x:c>
    </x:row>
    <x:row r="1720">
      <x:c r="A1720" t="str">
        <x:v>PJT_1719</x:v>
      </x:c>
      <x:c r="B1720" t="n">
        <x:v>58003680</x:v>
      </x:c>
      <x:c r="C1720" t="n">
        <x:v>62331779</x:v>
      </x:c>
      <x:c r="D1720" t="n">
        <x:v>4328099</x:v>
      </x:c>
      <x:c r="E1720" t="n">
        <x:v>0.0746</x:v>
      </x:c>
      <x:c r="F1720" t="n">
        <x:v>1032</x:v>
      </x:c>
      <x:c r="G1720" t="n">
        <x:v>1093</x:v>
      </x:c>
      <x:c r="H1720" t="n">
        <x:v>61</x:v>
      </x:c>
      <x:c r="I1720" t="n">
        <x:v>0.0591</x:v>
      </x:c>
      <x:c r="J1720" t="str">
        <x:v>Medium</x:v>
      </x:c>
      <x:c r="K1720" t="n">
        <x:v>60.2</x:v>
      </x:c>
      <x:c r="L1720" t="n">
        <x:v>58.4</x:v>
      </x:c>
      <x:c r="M1720" t="n">
        <x:v>54.4</x:v>
      </x:c>
      <x:c r="N1720" t="str">
        <x:v>Most Likely</x:v>
      </x:c>
      <x:c r="O1720" t="str">
        <x:v>Most Likely</x:v>
      </x:c>
    </x:row>
    <x:row r="1721">
      <x:c r="A1721" t="str">
        <x:v>PJT_1720</x:v>
      </x:c>
      <x:c r="B1721" t="n">
        <x:v>27359800</x:v>
      </x:c>
      <x:c r="C1721" t="n">
        <x:v>28253728</x:v>
      </x:c>
      <x:c r="D1721" t="n">
        <x:v>893928</x:v>
      </x:c>
      <x:c r="E1721" t="n">
        <x:v>0.0327</x:v>
      </x:c>
      <x:c r="F1721" t="n">
        <x:v>506</x:v>
      </x:c>
      <x:c r="G1721" t="n">
        <x:v>531</x:v>
      </x:c>
      <x:c r="H1721" t="n">
        <x:v>25</x:v>
      </x:c>
      <x:c r="I1721" t="n">
        <x:v>0.0494</x:v>
      </x:c>
      <x:c r="J1721" t="str">
        <x:v>Medium</x:v>
      </x:c>
      <x:c r="K1721" t="n">
        <x:v>48.4</x:v>
      </x:c>
      <x:c r="L1721" t="n">
        <x:v>54.5</x:v>
      </x:c>
      <x:c r="M1721" t="n">
        <x:v>54.5</x:v>
      </x:c>
      <x:c r="N1721" t="str">
        <x:v>Most Likely</x:v>
      </x:c>
      <x:c r="O1721" t="str">
        <x:v>Most Likely</x:v>
      </x:c>
    </x:row>
    <x:row r="1722">
      <x:c r="A1722" t="str">
        <x:v>PJT_1721</x:v>
      </x:c>
      <x:c r="B1722" t="n">
        <x:v>43186640</x:v>
      </x:c>
      <x:c r="C1722" t="n">
        <x:v>46909831</x:v>
      </x:c>
      <x:c r="D1722" t="n">
        <x:v>3723191</x:v>
      </x:c>
      <x:c r="E1722" t="n">
        <x:v>0.0862</x:v>
      </x:c>
      <x:c r="F1722" t="n">
        <x:v>918</x:v>
      </x:c>
      <x:c r="G1722" t="n">
        <x:v>987</x:v>
      </x:c>
      <x:c r="H1722" t="n">
        <x:v>69</x:v>
      </x:c>
      <x:c r="I1722" t="n">
        <x:v>0.0752</x:v>
      </x:c>
      <x:c r="J1722" t="str">
        <x:v>Medium</x:v>
      </x:c>
      <x:c r="K1722" t="n">
        <x:v>52.8</x:v>
      </x:c>
      <x:c r="L1722" t="n">
        <x:v>50.3</x:v>
      </x:c>
      <x:c r="M1722" t="n">
        <x:v>50.7</x:v>
      </x:c>
      <x:c r="N1722" t="str">
        <x:v>Most Likely</x:v>
      </x:c>
      <x:c r="O1722" t="str">
        <x:v>Most Likely</x:v>
      </x:c>
    </x:row>
    <x:row r="1723">
      <x:c r="A1723" t="str">
        <x:v>PJT_1722</x:v>
      </x:c>
      <x:c r="B1723" t="n">
        <x:v>18288220</x:v>
      </x:c>
      <x:c r="C1723" t="n">
        <x:v>18303140</x:v>
      </x:c>
      <x:c r="D1723" t="n">
        <x:v>14920</x:v>
      </x:c>
      <x:c r="E1723" t="n">
        <x:v>0.0008</x:v>
      </x:c>
      <x:c r="F1723" t="n">
        <x:v>284</x:v>
      </x:c>
      <x:c r="G1723" t="n">
        <x:v>292</x:v>
      </x:c>
      <x:c r="H1723" t="n">
        <x:v>8</x:v>
      </x:c>
      <x:c r="I1723" t="n">
        <x:v>0.0282</x:v>
      </x:c>
      <x:c r="J1723" t="str">
        <x:v>Low</x:v>
      </x:c>
      <x:c r="K1723" t="n">
        <x:v>31.2</x:v>
      </x:c>
      <x:c r="L1723" t="n">
        <x:v>33</x:v>
      </x:c>
      <x:c r="M1723" t="n">
        <x:v>26.8</x:v>
      </x:c>
      <x:c r="N1723" t="str">
        <x:v>Most Likely</x:v>
      </x:c>
      <x:c r="O1723" t="str">
        <x:v>Most Likely</x:v>
      </x:c>
    </x:row>
    <x:row r="1724">
      <x:c r="A1724" t="str">
        <x:v>PJT_1723</x:v>
      </x:c>
      <x:c r="B1724" t="n">
        <x:v>32044600</x:v>
      </x:c>
      <x:c r="C1724" t="n">
        <x:v>31970953</x:v>
      </x:c>
      <x:c r="D1724" t="n">
        <x:v>-73647</x:v>
      </x:c>
      <x:c r="E1724" t="n">
        <x:v>-0.0023</x:v>
      </x:c>
      <x:c r="F1724" t="n">
        <x:v>766</x:v>
      </x:c>
      <x:c r="G1724" t="n">
        <x:v>764</x:v>
      </x:c>
      <x:c r="H1724" t="n">
        <x:v>-2</x:v>
      </x:c>
      <x:c r="I1724" t="n">
        <x:v>-0.0026</x:v>
      </x:c>
      <x:c r="J1724" t="str">
        <x:v>Medium</x:v>
      </x:c>
      <x:c r="K1724" t="n">
        <x:v>46.7</x:v>
      </x:c>
      <x:c r="L1724" t="n">
        <x:v>49.1</x:v>
      </x:c>
      <x:c r="M1724" t="n">
        <x:v>43.7</x:v>
      </x:c>
      <x:c r="N1724" t="str">
        <x:v>Optimistic</x:v>
      </x:c>
      <x:c r="O1724" t="str">
        <x:v>Optimistic</x:v>
      </x:c>
    </x:row>
    <x:row r="1725">
      <x:c r="A1725" t="str">
        <x:v>PJT_1724</x:v>
      </x:c>
      <x:c r="B1725" t="n">
        <x:v>27707040</x:v>
      </x:c>
      <x:c r="C1725" t="n">
        <x:v>29550689</x:v>
      </x:c>
      <x:c r="D1725" t="n">
        <x:v>1843649</x:v>
      </x:c>
      <x:c r="E1725" t="n">
        <x:v>0.0665</x:v>
      </x:c>
      <x:c r="F1725" t="n">
        <x:v>517</x:v>
      </x:c>
      <x:c r="G1725" t="n">
        <x:v>530</x:v>
      </x:c>
      <x:c r="H1725" t="n">
        <x:v>13</x:v>
      </x:c>
      <x:c r="I1725" t="n">
        <x:v>0.0251</x:v>
      </x:c>
      <x:c r="J1725" t="str">
        <x:v>Medium</x:v>
      </x:c>
      <x:c r="K1725" t="n">
        <x:v>55.8</x:v>
      </x:c>
      <x:c r="L1725" t="n">
        <x:v>53</x:v>
      </x:c>
      <x:c r="M1725" t="n">
        <x:v>48.7</x:v>
      </x:c>
      <x:c r="N1725" t="str">
        <x:v>Most Likely</x:v>
      </x:c>
      <x:c r="O1725" t="str">
        <x:v>Most Likely</x:v>
      </x:c>
    </x:row>
    <x:row r="1726">
      <x:c r="A1726" t="str">
        <x:v>PJT_1725</x:v>
      </x:c>
      <x:c r="B1726" t="n">
        <x:v>47847360</x:v>
      </x:c>
      <x:c r="C1726" t="n">
        <x:v>51743101</x:v>
      </x:c>
      <x:c r="D1726" t="n">
        <x:v>3895741</x:v>
      </x:c>
      <x:c r="E1726" t="n">
        <x:v>0.0814</x:v>
      </x:c>
      <x:c r="F1726" t="n">
        <x:v>720</x:v>
      </x:c>
      <x:c r="G1726" t="n">
        <x:v>761</x:v>
      </x:c>
      <x:c r="H1726" t="n">
        <x:v>41</x:v>
      </x:c>
      <x:c r="I1726" t="n">
        <x:v>0.0569</x:v>
      </x:c>
      <x:c r="J1726" t="str">
        <x:v>Medium</x:v>
      </x:c>
      <x:c r="K1726" t="n">
        <x:v>51.4</x:v>
      </x:c>
      <x:c r="L1726" t="n">
        <x:v>51.9</x:v>
      </x:c>
      <x:c r="M1726" t="n">
        <x:v>47.3</x:v>
      </x:c>
      <x:c r="N1726" t="str">
        <x:v>Most Likely</x:v>
      </x:c>
      <x:c r="O1726" t="str">
        <x:v>Most Likely</x:v>
      </x:c>
    </x:row>
    <x:row r="1727">
      <x:c r="A1727" t="str">
        <x:v>PJT_1726</x:v>
      </x:c>
      <x:c r="B1727" t="n">
        <x:v>81424710</x:v>
      </x:c>
      <x:c r="C1727" t="n">
        <x:v>83589559</x:v>
      </x:c>
      <x:c r="D1727" t="n">
        <x:v>2164849</x:v>
      </x:c>
      <x:c r="E1727" t="n">
        <x:v>0.0266</x:v>
      </x:c>
      <x:c r="F1727" t="n">
        <x:v>1670</x:v>
      </x:c>
      <x:c r="G1727" t="n">
        <x:v>1787</x:v>
      </x:c>
      <x:c r="H1727" t="n">
        <x:v>117</x:v>
      </x:c>
      <x:c r="I1727" t="n">
        <x:v>0.0701</x:v>
      </x:c>
      <x:c r="J1727" t="str">
        <x:v>Medium</x:v>
      </x:c>
      <x:c r="K1727" t="n">
        <x:v>53.3</x:v>
      </x:c>
      <x:c r="L1727" t="n">
        <x:v>57.5</x:v>
      </x:c>
      <x:c r="M1727" t="n">
        <x:v>59.3</x:v>
      </x:c>
      <x:c r="N1727" t="str">
        <x:v>Most Likely</x:v>
      </x:c>
      <x:c r="O1727" t="str">
        <x:v>Most Likely</x:v>
      </x:c>
    </x:row>
    <x:row r="1728">
      <x:c r="A1728" t="str">
        <x:v>PJT_1727</x:v>
      </x:c>
      <x:c r="B1728" t="n">
        <x:v>33579280</x:v>
      </x:c>
      <x:c r="C1728" t="n">
        <x:v>34919151</x:v>
      </x:c>
      <x:c r="D1728" t="n">
        <x:v>1339871</x:v>
      </x:c>
      <x:c r="E1728" t="n">
        <x:v>0.0399</x:v>
      </x:c>
      <x:c r="F1728" t="n">
        <x:v>725</x:v>
      </x:c>
      <x:c r="G1728" t="n">
        <x:v>772</x:v>
      </x:c>
      <x:c r="H1728" t="n">
        <x:v>47</x:v>
      </x:c>
      <x:c r="I1728" t="n">
        <x:v>0.0648</x:v>
      </x:c>
      <x:c r="J1728" t="str">
        <x:v>Medium</x:v>
      </x:c>
      <x:c r="K1728" t="n">
        <x:v>50.7</x:v>
      </x:c>
      <x:c r="L1728" t="n">
        <x:v>52.6</x:v>
      </x:c>
      <x:c r="M1728" t="n">
        <x:v>50.6</x:v>
      </x:c>
      <x:c r="N1728" t="str">
        <x:v>Most Likely</x:v>
      </x:c>
      <x:c r="O1728" t="str">
        <x:v>Most Likely</x:v>
      </x:c>
    </x:row>
    <x:row r="1729">
      <x:c r="A1729" t="str">
        <x:v>PJT_1728</x:v>
      </x:c>
      <x:c r="B1729" t="n">
        <x:v>13218810</x:v>
      </x:c>
      <x:c r="C1729" t="n">
        <x:v>13185843</x:v>
      </x:c>
      <x:c r="D1729" t="n">
        <x:v>-32967</x:v>
      </x:c>
      <x:c r="E1729" t="n">
        <x:v>-0.0025</x:v>
      </x:c>
      <x:c r="F1729" t="n">
        <x:v>335</x:v>
      </x:c>
      <x:c r="G1729" t="n">
        <x:v>342</x:v>
      </x:c>
      <x:c r="H1729" t="n">
        <x:v>7</x:v>
      </x:c>
      <x:c r="I1729" t="n">
        <x:v>0.0209</x:v>
      </x:c>
      <x:c r="J1729" t="str">
        <x:v>Low</x:v>
      </x:c>
      <x:c r="K1729" t="n">
        <x:v>37.2</x:v>
      </x:c>
      <x:c r="L1729" t="n">
        <x:v>32.7</x:v>
      </x:c>
      <x:c r="M1729" t="n">
        <x:v>37.1</x:v>
      </x:c>
      <x:c r="N1729" t="str">
        <x:v>Optimistic</x:v>
      </x:c>
      <x:c r="O1729" t="str">
        <x:v>Most Likely</x:v>
      </x:c>
    </x:row>
    <x:row r="1730">
      <x:c r="A1730" t="str">
        <x:v>PJT_1729</x:v>
      </x:c>
      <x:c r="B1730" t="n">
        <x:v>73003440</x:v>
      </x:c>
      <x:c r="C1730" t="n">
        <x:v>76312817</x:v>
      </x:c>
      <x:c r="D1730" t="n">
        <x:v>3309377</x:v>
      </x:c>
      <x:c r="E1730" t="n">
        <x:v>0.0453</x:v>
      </x:c>
      <x:c r="F1730" t="n">
        <x:v>1532</x:v>
      </x:c>
      <x:c r="G1730" t="n">
        <x:v>1643</x:v>
      </x:c>
      <x:c r="H1730" t="n">
        <x:v>111</x:v>
      </x:c>
      <x:c r="I1730" t="n">
        <x:v>0.0725</x:v>
      </x:c>
      <x:c r="J1730" t="str">
        <x:v>Medium</x:v>
      </x:c>
      <x:c r="K1730" t="n">
        <x:v>48.7</x:v>
      </x:c>
      <x:c r="L1730" t="n">
        <x:v>45.8</x:v>
      </x:c>
      <x:c r="M1730" t="n">
        <x:v>50.3</x:v>
      </x:c>
      <x:c r="N1730" t="str">
        <x:v>Most Likely</x:v>
      </x:c>
      <x:c r="O1730" t="str">
        <x:v>Most Likely</x:v>
      </x:c>
    </x:row>
    <x:row r="1731">
      <x:c r="A1731" t="str">
        <x:v>PJT_1730</x:v>
      </x:c>
      <x:c r="B1731" t="n">
        <x:v>13873320</x:v>
      </x:c>
      <x:c r="C1731" t="n">
        <x:v>12849411</x:v>
      </x:c>
      <x:c r="D1731" t="n">
        <x:v>-1023909</x:v>
      </x:c>
      <x:c r="E1731" t="n">
        <x:v>-0.0738</x:v>
      </x:c>
      <x:c r="F1731" t="n">
        <x:v>348</x:v>
      </x:c>
      <x:c r="G1731" t="n">
        <x:v>342</x:v>
      </x:c>
      <x:c r="H1731" t="n">
        <x:v>-6</x:v>
      </x:c>
      <x:c r="I1731" t="n">
        <x:v>-0.0172</x:v>
      </x:c>
      <x:c r="J1731" t="str">
        <x:v>Low</x:v>
      </x:c>
      <x:c r="K1731" t="n">
        <x:v>36.6</x:v>
      </x:c>
      <x:c r="L1731" t="n">
        <x:v>32.3</x:v>
      </x:c>
      <x:c r="M1731" t="n">
        <x:v>29.3</x:v>
      </x:c>
      <x:c r="N1731" t="str">
        <x:v>Optimistic</x:v>
      </x:c>
      <x:c r="O1731" t="str">
        <x:v>Optimistic</x:v>
      </x:c>
    </x:row>
    <x:row r="1732">
      <x:c r="A1732" t="str">
        <x:v>PJT_1731</x:v>
      </x:c>
      <x:c r="B1732" t="n">
        <x:v>48629520</x:v>
      </x:c>
      <x:c r="C1732" t="n">
        <x:v>50056752</x:v>
      </x:c>
      <x:c r="D1732" t="n">
        <x:v>1427232</x:v>
      </x:c>
      <x:c r="E1732" t="n">
        <x:v>0.0293</x:v>
      </x:c>
      <x:c r="F1732" t="n">
        <x:v>819</x:v>
      </x:c>
      <x:c r="G1732" t="n">
        <x:v>849</x:v>
      </x:c>
      <x:c r="H1732" t="n">
        <x:v>30</x:v>
      </x:c>
      <x:c r="I1732" t="n">
        <x:v>0.0366</x:v>
      </x:c>
      <x:c r="J1732" t="str">
        <x:v>Medium</x:v>
      </x:c>
      <x:c r="K1732" t="n">
        <x:v>55.5</x:v>
      </x:c>
      <x:c r="L1732" t="n">
        <x:v>64.4</x:v>
      </x:c>
      <x:c r="M1732" t="n">
        <x:v>57.4</x:v>
      </x:c>
      <x:c r="N1732" t="str">
        <x:v>Most Likely</x:v>
      </x:c>
      <x:c r="O1732" t="str">
        <x:v>Most Likely</x:v>
      </x:c>
    </x:row>
    <x:row r="1733">
      <x:c r="A1733" t="str">
        <x:v>PJT_1732</x:v>
      </x:c>
      <x:c r="B1733" t="n">
        <x:v>29271750</x:v>
      </x:c>
      <x:c r="C1733" t="n">
        <x:v>30385836</x:v>
      </x:c>
      <x:c r="D1733" t="n">
        <x:v>1114086</x:v>
      </x:c>
      <x:c r="E1733" t="n">
        <x:v>0.0381</x:v>
      </x:c>
      <x:c r="F1733" t="n">
        <x:v>543</x:v>
      </x:c>
      <x:c r="G1733" t="n">
        <x:v>574</x:v>
      </x:c>
      <x:c r="H1733" t="n">
        <x:v>31</x:v>
      </x:c>
      <x:c r="I1733" t="n">
        <x:v>0.0571</x:v>
      </x:c>
      <x:c r="J1733" t="str">
        <x:v>Medium</x:v>
      </x:c>
      <x:c r="K1733" t="n">
        <x:v>47</x:v>
      </x:c>
      <x:c r="L1733" t="n">
        <x:v>43.7</x:v>
      </x:c>
      <x:c r="M1733" t="n">
        <x:v>50.8</x:v>
      </x:c>
      <x:c r="N1733" t="str">
        <x:v>Most Likely</x:v>
      </x:c>
      <x:c r="O1733" t="str">
        <x:v>Most Likely</x:v>
      </x:c>
    </x:row>
    <x:row r="1734">
      <x:c r="A1734" t="str">
        <x:v>PJT_1733</x:v>
      </x:c>
      <x:c r="B1734" t="n">
        <x:v>27482400</x:v>
      </x:c>
      <x:c r="C1734" t="n">
        <x:v>25122410</x:v>
      </x:c>
      <x:c r="D1734" t="n">
        <x:v>-2359990</x:v>
      </x:c>
      <x:c r="E1734" t="n">
        <x:v>-0.0859</x:v>
      </x:c>
      <x:c r="F1734" t="n">
        <x:v>484</x:v>
      </x:c>
      <x:c r="G1734" t="n">
        <x:v>456</x:v>
      </x:c>
      <x:c r="H1734" t="n">
        <x:v>-28</x:v>
      </x:c>
      <x:c r="I1734" t="n">
        <x:v>-0.0579</x:v>
      </x:c>
      <x:c r="J1734" t="str">
        <x:v>Low</x:v>
      </x:c>
      <x:c r="K1734" t="n">
        <x:v>32.5</x:v>
      </x:c>
      <x:c r="L1734" t="n">
        <x:v>33.2</x:v>
      </x:c>
      <x:c r="M1734" t="n">
        <x:v>36.3</x:v>
      </x:c>
      <x:c r="N1734" t="str">
        <x:v>Optimistic</x:v>
      </x:c>
      <x:c r="O1734" t="str">
        <x:v>Optimistic</x:v>
      </x:c>
    </x:row>
    <x:row r="1735">
      <x:c r="A1735" t="str">
        <x:v>PJT_1734</x:v>
      </x:c>
      <x:c r="B1735" t="n">
        <x:v>32555250</x:v>
      </x:c>
      <x:c r="C1735" t="n">
        <x:v>34768359</x:v>
      </x:c>
      <x:c r="D1735" t="n">
        <x:v>2213109</x:v>
      </x:c>
      <x:c r="E1735" t="n">
        <x:v>0.068</x:v>
      </x:c>
      <x:c r="F1735" t="n">
        <x:v>581</x:v>
      </x:c>
      <x:c r="G1735" t="n">
        <x:v>582</x:v>
      </x:c>
      <x:c r="H1735" t="n">
        <x:v>1</x:v>
      </x:c>
      <x:c r="I1735" t="n">
        <x:v>0.0017</x:v>
      </x:c>
      <x:c r="J1735" t="str">
        <x:v>Medium</x:v>
      </x:c>
      <x:c r="K1735" t="n">
        <x:v>50.1</x:v>
      </x:c>
      <x:c r="L1735" t="n">
        <x:v>54.8</x:v>
      </x:c>
      <x:c r="M1735" t="n">
        <x:v>49.7</x:v>
      </x:c>
      <x:c r="N1735" t="str">
        <x:v>Most Likely</x:v>
      </x:c>
      <x:c r="O1735" t="str">
        <x:v>Most Likely</x:v>
      </x:c>
    </x:row>
    <x:row r="1736">
      <x:c r="A1736" t="str">
        <x:v>PJT_1735</x:v>
      </x:c>
      <x:c r="B1736" t="n">
        <x:v>5212600</x:v>
      </x:c>
      <x:c r="C1736" t="n">
        <x:v>5126240</x:v>
      </x:c>
      <x:c r="D1736" t="n">
        <x:v>-86360</x:v>
      </x:c>
      <x:c r="E1736" t="n">
        <x:v>-0.0166</x:v>
      </x:c>
      <x:c r="F1736" t="n">
        <x:v>180</x:v>
      </x:c>
      <x:c r="G1736" t="n">
        <x:v>169</x:v>
      </x:c>
      <x:c r="H1736" t="n">
        <x:v>-11</x:v>
      </x:c>
      <x:c r="I1736" t="n">
        <x:v>-0.0611</x:v>
      </x:c>
      <x:c r="J1736" t="str">
        <x:v>Low</x:v>
      </x:c>
      <x:c r="K1736" t="n">
        <x:v>25.5</x:v>
      </x:c>
      <x:c r="L1736" t="n">
        <x:v>26.4</x:v>
      </x:c>
      <x:c r="M1736" t="n">
        <x:v>22.1</x:v>
      </x:c>
      <x:c r="N1736" t="str">
        <x:v>Optimistic</x:v>
      </x:c>
      <x:c r="O1736" t="str">
        <x:v>Optimistic</x:v>
      </x:c>
    </x:row>
    <x:row r="1737">
      <x:c r="A1737" t="str">
        <x:v>PJT_1736</x:v>
      </x:c>
      <x:c r="B1737" t="n">
        <x:v>59175840</x:v>
      </x:c>
      <x:c r="C1737" t="n">
        <x:v>62736902</x:v>
      </x:c>
      <x:c r="D1737" t="n">
        <x:v>3561062</x:v>
      </x:c>
      <x:c r="E1737" t="n">
        <x:v>0.0602</x:v>
      </x:c>
      <x:c r="F1737" t="n">
        <x:v>1165</x:v>
      </x:c>
      <x:c r="G1737" t="n">
        <x:v>1209</x:v>
      </x:c>
      <x:c r="H1737" t="n">
        <x:v>44</x:v>
      </x:c>
      <x:c r="I1737" t="n">
        <x:v>0.0378</x:v>
      </x:c>
      <x:c r="J1737" t="str">
        <x:v>Medium</x:v>
      </x:c>
      <x:c r="K1737" t="n">
        <x:v>59.6</x:v>
      </x:c>
      <x:c r="L1737" t="n">
        <x:v>63.7</x:v>
      </x:c>
      <x:c r="M1737" t="n">
        <x:v>61.3</x:v>
      </x:c>
      <x:c r="N1737" t="str">
        <x:v>Most Likely</x:v>
      </x:c>
      <x:c r="O1737" t="str">
        <x:v>Most Likely</x:v>
      </x:c>
    </x:row>
    <x:row r="1738">
      <x:c r="A1738" t="str">
        <x:v>PJT_1737</x:v>
      </x:c>
      <x:c r="B1738" t="n">
        <x:v>19796270</x:v>
      </x:c>
      <x:c r="C1738" t="n">
        <x:v>19531227</x:v>
      </x:c>
      <x:c r="D1738" t="n">
        <x:v>-265043</x:v>
      </x:c>
      <x:c r="E1738" t="n">
        <x:v>-0.0134</x:v>
      </x:c>
      <x:c r="F1738" t="n">
        <x:v>297</x:v>
      </x:c>
      <x:c r="G1738" t="n">
        <x:v>295</x:v>
      </x:c>
      <x:c r="H1738" t="n">
        <x:v>-2</x:v>
      </x:c>
      <x:c r="I1738" t="n">
        <x:v>-0.0067</x:v>
      </x:c>
      <x:c r="J1738" t="str">
        <x:v>Low</x:v>
      </x:c>
      <x:c r="K1738" t="n">
        <x:v>34.6</x:v>
      </x:c>
      <x:c r="L1738" t="n">
        <x:v>40.2</x:v>
      </x:c>
      <x:c r="M1738" t="n">
        <x:v>28.9</x:v>
      </x:c>
      <x:c r="N1738" t="str">
        <x:v>Optimistic</x:v>
      </x:c>
      <x:c r="O1738" t="str">
        <x:v>Optimistic</x:v>
      </x:c>
    </x:row>
    <x:row r="1739">
      <x:c r="A1739" t="str">
        <x:v>PJT_1738</x:v>
      </x:c>
      <x:c r="B1739" t="n">
        <x:v>47722400</x:v>
      </x:c>
      <x:c r="C1739" t="n">
        <x:v>48914261</x:v>
      </x:c>
      <x:c r="D1739" t="n">
        <x:v>1191861</x:v>
      </x:c>
      <x:c r="E1739" t="n">
        <x:v>0.025</x:v>
      </x:c>
      <x:c r="F1739" t="n">
        <x:v>881</x:v>
      </x:c>
      <x:c r="G1739" t="n">
        <x:v>948</x:v>
      </x:c>
      <x:c r="H1739" t="n">
        <x:v>67</x:v>
      </x:c>
      <x:c r="I1739" t="n">
        <x:v>0.076</x:v>
      </x:c>
      <x:c r="J1739" t="str">
        <x:v>Low</x:v>
      </x:c>
      <x:c r="K1739" t="n">
        <x:v>41.4</x:v>
      </x:c>
      <x:c r="L1739" t="n">
        <x:v>46.4</x:v>
      </x:c>
      <x:c r="M1739" t="n">
        <x:v>43.1</x:v>
      </x:c>
      <x:c r="N1739" t="str">
        <x:v>Most Likely</x:v>
      </x:c>
      <x:c r="O1739" t="str">
        <x:v>Most Likely</x:v>
      </x:c>
    </x:row>
    <x:row r="1740">
      <x:c r="A1740" t="str">
        <x:v>PJT_1739</x:v>
      </x:c>
      <x:c r="B1740" t="n">
        <x:v>8954480</x:v>
      </x:c>
      <x:c r="C1740" t="n">
        <x:v>9037229</x:v>
      </x:c>
      <x:c r="D1740" t="n">
        <x:v>82749</x:v>
      </x:c>
      <x:c r="E1740" t="n">
        <x:v>0.0092</x:v>
      </x:c>
      <x:c r="F1740" t="n">
        <x:v>208</x:v>
      </x:c>
      <x:c r="G1740" t="n">
        <x:v>210</x:v>
      </x:c>
      <x:c r="H1740" t="n">
        <x:v>2</x:v>
      </x:c>
      <x:c r="I1740" t="n">
        <x:v>0.0096</x:v>
      </x:c>
      <x:c r="J1740" t="str">
        <x:v>Low</x:v>
      </x:c>
      <x:c r="K1740" t="n">
        <x:v>33.8</x:v>
      </x:c>
      <x:c r="L1740" t="n">
        <x:v>33.6</x:v>
      </x:c>
      <x:c r="M1740" t="n">
        <x:v>28.5</x:v>
      </x:c>
      <x:c r="N1740" t="str">
        <x:v>Most Likely</x:v>
      </x:c>
      <x:c r="O1740" t="str">
        <x:v>Most Likely</x:v>
      </x:c>
    </x:row>
    <x:row r="1741">
      <x:c r="A1741" t="str">
        <x:v>PJT_1740</x:v>
      </x:c>
      <x:c r="B1741" t="n">
        <x:v>58110360</x:v>
      </x:c>
      <x:c r="C1741" t="n">
        <x:v>62800278</x:v>
      </x:c>
      <x:c r="D1741" t="n">
        <x:v>4689918</x:v>
      </x:c>
      <x:c r="E1741" t="n">
        <x:v>0.0807</x:v>
      </x:c>
      <x:c r="F1741" t="n">
        <x:v>1066</x:v>
      </x:c>
      <x:c r="G1741" t="n">
        <x:v>1133</x:v>
      </x:c>
      <x:c r="H1741" t="n">
        <x:v>67</x:v>
      </x:c>
      <x:c r="I1741" t="n">
        <x:v>0.0629</x:v>
      </x:c>
      <x:c r="J1741" t="str">
        <x:v>Medium</x:v>
      </x:c>
      <x:c r="K1741" t="n">
        <x:v>56.8</x:v>
      </x:c>
      <x:c r="L1741" t="n">
        <x:v>60.7</x:v>
      </x:c>
      <x:c r="M1741" t="n">
        <x:v>64.6</x:v>
      </x:c>
      <x:c r="N1741" t="str">
        <x:v>Most Likely</x:v>
      </x:c>
      <x:c r="O1741" t="str">
        <x:v>Most Likely</x:v>
      </x:c>
    </x:row>
    <x:row r="1742">
      <x:c r="A1742" t="str">
        <x:v>PJT_1741</x:v>
      </x:c>
      <x:c r="B1742" t="n">
        <x:v>18975690</x:v>
      </x:c>
      <x:c r="C1742" t="n">
        <x:v>18124719</x:v>
      </x:c>
      <x:c r="D1742" t="n">
        <x:v>-850971</x:v>
      </x:c>
      <x:c r="E1742" t="n">
        <x:v>-0.0448</x:v>
      </x:c>
      <x:c r="F1742" t="n">
        <x:v>343</x:v>
      </x:c>
      <x:c r="G1742" t="n">
        <x:v>344</x:v>
      </x:c>
      <x:c r="H1742" t="n">
        <x:v>1</x:v>
      </x:c>
      <x:c r="I1742" t="n">
        <x:v>0.0029</x:v>
      </x:c>
      <x:c r="J1742" t="str">
        <x:v>Low</x:v>
      </x:c>
      <x:c r="K1742" t="n">
        <x:v>44.9</x:v>
      </x:c>
      <x:c r="L1742" t="n">
        <x:v>44.3</x:v>
      </x:c>
      <x:c r="M1742" t="n">
        <x:v>39.2</x:v>
      </x:c>
      <x:c r="N1742" t="str">
        <x:v>Optimistic</x:v>
      </x:c>
      <x:c r="O1742" t="str">
        <x:v>Most Likely</x:v>
      </x:c>
    </x:row>
    <x:row r="1743">
      <x:c r="A1743" t="str">
        <x:v>PJT_1742</x:v>
      </x:c>
      <x:c r="B1743" t="n">
        <x:v>36451800</x:v>
      </x:c>
      <x:c r="C1743" t="n">
        <x:v>38532959</x:v>
      </x:c>
      <x:c r="D1743" t="n">
        <x:v>2081159</x:v>
      </x:c>
      <x:c r="E1743" t="n">
        <x:v>0.0571</x:v>
      </x:c>
      <x:c r="F1743" t="n">
        <x:v>770</x:v>
      </x:c>
      <x:c r="G1743" t="n">
        <x:v>836</x:v>
      </x:c>
      <x:c r="H1743" t="n">
        <x:v>66</x:v>
      </x:c>
      <x:c r="I1743" t="n">
        <x:v>0.0857</x:v>
      </x:c>
      <x:c r="J1743" t="str">
        <x:v>Medium</x:v>
      </x:c>
      <x:c r="K1743" t="n">
        <x:v>48.3</x:v>
      </x:c>
      <x:c r="L1743" t="n">
        <x:v>53.6</x:v>
      </x:c>
      <x:c r="M1743" t="n">
        <x:v>45.7</x:v>
      </x:c>
      <x:c r="N1743" t="str">
        <x:v>Most Likely</x:v>
      </x:c>
      <x:c r="O1743" t="str">
        <x:v>Most Likely</x:v>
      </x:c>
    </x:row>
    <x:row r="1744">
      <x:c r="A1744" t="str">
        <x:v>PJT_1743</x:v>
      </x:c>
      <x:c r="B1744" t="n">
        <x:v>14156940</x:v>
      </x:c>
      <x:c r="C1744" t="n">
        <x:v>14388188</x:v>
      </x:c>
      <x:c r="D1744" t="n">
        <x:v>231248</x:v>
      </x:c>
      <x:c r="E1744" t="n">
        <x:v>0.0163</x:v>
      </x:c>
      <x:c r="F1744" t="n">
        <x:v>268</x:v>
      </x:c>
      <x:c r="G1744" t="n">
        <x:v>248</x:v>
      </x:c>
      <x:c r="H1744" t="n">
        <x:v>-20</x:v>
      </x:c>
      <x:c r="I1744" t="n">
        <x:v>-0.0746</x:v>
      </x:c>
      <x:c r="J1744" t="str">
        <x:v>Low</x:v>
      </x:c>
      <x:c r="K1744" t="n">
        <x:v>36.7</x:v>
      </x:c>
      <x:c r="L1744" t="n">
        <x:v>39.7</x:v>
      </x:c>
      <x:c r="M1744" t="n">
        <x:v>34.5</x:v>
      </x:c>
      <x:c r="N1744" t="str">
        <x:v>Most Likely</x:v>
      </x:c>
      <x:c r="O1744" t="str">
        <x:v>Optimistic</x:v>
      </x:c>
    </x:row>
    <x:row r="1745">
      <x:c r="A1745" t="str">
        <x:v>PJT_1744</x:v>
      </x:c>
      <x:c r="B1745" t="n">
        <x:v>14879280</x:v>
      </x:c>
      <x:c r="C1745" t="n">
        <x:v>14088276</x:v>
      </x:c>
      <x:c r="D1745" t="n">
        <x:v>-791004</x:v>
      </x:c>
      <x:c r="E1745" t="n">
        <x:v>-0.0532</x:v>
      </x:c>
      <x:c r="F1745" t="n">
        <x:v>323</x:v>
      </x:c>
      <x:c r="G1745" t="n">
        <x:v>323</x:v>
      </x:c>
      <x:c r="H1745" t="n">
        <x:v>0</x:v>
      </x:c>
      <x:c r="I1745" t="n">
        <x:v>0</x:v>
      </x:c>
      <x:c r="J1745" t="str">
        <x:v>Low</x:v>
      </x:c>
      <x:c r="K1745" t="n">
        <x:v>33.2</x:v>
      </x:c>
      <x:c r="L1745" t="n">
        <x:v>34.7</x:v>
      </x:c>
      <x:c r="M1745" t="n">
        <x:v>29.4</x:v>
      </x:c>
      <x:c r="N1745" t="str">
        <x:v>Optimistic</x:v>
      </x:c>
      <x:c r="O1745" t="str">
        <x:v>Optimistic</x:v>
      </x:c>
    </x:row>
    <x:row r="1746">
      <x:c r="A1746" t="str">
        <x:v>PJT_1745</x:v>
      </x:c>
      <x:c r="B1746" t="n">
        <x:v>55774110</x:v>
      </x:c>
      <x:c r="C1746" t="n">
        <x:v>59770632</x:v>
      </x:c>
      <x:c r="D1746" t="n">
        <x:v>3996522</x:v>
      </x:c>
      <x:c r="E1746" t="n">
        <x:v>0.0717</x:v>
      </x:c>
      <x:c r="F1746" t="n">
        <x:v>951</x:v>
      </x:c>
      <x:c r="G1746" t="n">
        <x:v>974</x:v>
      </x:c>
      <x:c r="H1746" t="n">
        <x:v>23</x:v>
      </x:c>
      <x:c r="I1746" t="n">
        <x:v>0.0242</x:v>
      </x:c>
      <x:c r="J1746" t="str">
        <x:v>Medium</x:v>
      </x:c>
      <x:c r="K1746" t="n">
        <x:v>49.7</x:v>
      </x:c>
      <x:c r="L1746" t="n">
        <x:v>48.5</x:v>
      </x:c>
      <x:c r="M1746" t="n">
        <x:v>50.4</x:v>
      </x:c>
      <x:c r="N1746" t="str">
        <x:v>Most Likely</x:v>
      </x:c>
      <x:c r="O1746" t="str">
        <x:v>Most Likely</x:v>
      </x:c>
    </x:row>
    <x:row r="1747">
      <x:c r="A1747" t="str">
        <x:v>PJT_1746</x:v>
      </x:c>
      <x:c r="B1747" t="n">
        <x:v>34619600</x:v>
      </x:c>
      <x:c r="C1747" t="n">
        <x:v>35750385</x:v>
      </x:c>
      <x:c r="D1747" t="n">
        <x:v>1130785</x:v>
      </x:c>
      <x:c r="E1747" t="n">
        <x:v>0.0327</x:v>
      </x:c>
      <x:c r="F1747" t="n">
        <x:v>696</x:v>
      </x:c>
      <x:c r="G1747" t="n">
        <x:v>765</x:v>
      </x:c>
      <x:c r="H1747" t="n">
        <x:v>69</x:v>
      </x:c>
      <x:c r="I1747" t="n">
        <x:v>0.0991</x:v>
      </x:c>
      <x:c r="J1747" t="str">
        <x:v>Medium</x:v>
      </x:c>
      <x:c r="K1747" t="n">
        <x:v>52.3</x:v>
      </x:c>
      <x:c r="L1747" t="n">
        <x:v>48.6</x:v>
      </x:c>
      <x:c r="M1747" t="n">
        <x:v>53.7</x:v>
      </x:c>
      <x:c r="N1747" t="str">
        <x:v>Most Likely</x:v>
      </x:c>
      <x:c r="O1747" t="str">
        <x:v>Most Likely</x:v>
      </x:c>
    </x:row>
    <x:row r="1748">
      <x:c r="A1748" t="str">
        <x:v>PJT_1747</x:v>
      </x:c>
      <x:c r="B1748" t="n">
        <x:v>49596300</x:v>
      </x:c>
      <x:c r="C1748" t="n">
        <x:v>50685047</x:v>
      </x:c>
      <x:c r="D1748" t="n">
        <x:v>1088747</x:v>
      </x:c>
      <x:c r="E1748" t="n">
        <x:v>0.022</x:v>
      </x:c>
      <x:c r="F1748" t="n">
        <x:v>1049</x:v>
      </x:c>
      <x:c r="G1748" t="n">
        <x:v>1083</x:v>
      </x:c>
      <x:c r="H1748" t="n">
        <x:v>34</x:v>
      </x:c>
      <x:c r="I1748" t="n">
        <x:v>0.0324</x:v>
      </x:c>
      <x:c r="J1748" t="str">
        <x:v>Medium</x:v>
      </x:c>
      <x:c r="K1748" t="n">
        <x:v>54.3</x:v>
      </x:c>
      <x:c r="L1748" t="n">
        <x:v>55.4</x:v>
      </x:c>
      <x:c r="M1748" t="n">
        <x:v>54.1</x:v>
      </x:c>
      <x:c r="N1748" t="str">
        <x:v>Most Likely</x:v>
      </x:c>
      <x:c r="O1748" t="str">
        <x:v>Most Likely</x:v>
      </x:c>
    </x:row>
    <x:row r="1749">
      <x:c r="A1749" t="str">
        <x:v>PJT_1748</x:v>
      </x:c>
      <x:c r="B1749" t="n">
        <x:v>75075640</x:v>
      </x:c>
      <x:c r="C1749" t="n">
        <x:v>77332066</x:v>
      </x:c>
      <x:c r="D1749" t="n">
        <x:v>2256426</x:v>
      </x:c>
      <x:c r="E1749" t="n">
        <x:v>0.0301</x:v>
      </x:c>
      <x:c r="F1749" t="n">
        <x:v>1351</x:v>
      </x:c>
      <x:c r="G1749" t="n">
        <x:v>1439</x:v>
      </x:c>
      <x:c r="H1749" t="n">
        <x:v>88</x:v>
      </x:c>
      <x:c r="I1749" t="n">
        <x:v>0.0651</x:v>
      </x:c>
      <x:c r="J1749" t="str">
        <x:v>Medium</x:v>
      </x:c>
      <x:c r="K1749" t="n">
        <x:v>45.6</x:v>
      </x:c>
      <x:c r="L1749" t="n">
        <x:v>51.5</x:v>
      </x:c>
      <x:c r="M1749" t="n">
        <x:v>44.4</x:v>
      </x:c>
      <x:c r="N1749" t="str">
        <x:v>Most Likely</x:v>
      </x:c>
      <x:c r="O1749" t="str">
        <x:v>Most Likely</x:v>
      </x:c>
    </x:row>
    <x:row r="1750">
      <x:c r="A1750" t="str">
        <x:v>PJT_1749</x:v>
      </x:c>
      <x:c r="B1750" t="n">
        <x:v>9051750</x:v>
      </x:c>
      <x:c r="C1750" t="n">
        <x:v>8919155</x:v>
      </x:c>
      <x:c r="D1750" t="n">
        <x:v>-132595</x:v>
      </x:c>
      <x:c r="E1750" t="n">
        <x:v>-0.0146</x:v>
      </x:c>
      <x:c r="F1750" t="n">
        <x:v>219</x:v>
      </x:c>
      <x:c r="G1750" t="n">
        <x:v>209</x:v>
      </x:c>
      <x:c r="H1750" t="n">
        <x:v>-10</x:v>
      </x:c>
      <x:c r="I1750" t="n">
        <x:v>-0.0457</x:v>
      </x:c>
      <x:c r="J1750" t="str">
        <x:v>Low</x:v>
      </x:c>
      <x:c r="K1750" t="n">
        <x:v>24</x:v>
      </x:c>
      <x:c r="L1750" t="n">
        <x:v>24.8</x:v>
      </x:c>
      <x:c r="M1750" t="n">
        <x:v>22.8</x:v>
      </x:c>
      <x:c r="N1750" t="str">
        <x:v>Optimistic</x:v>
      </x:c>
      <x:c r="O1750" t="str">
        <x:v>Optimistic</x:v>
      </x:c>
    </x:row>
    <x:row r="1751">
      <x:c r="A1751" t="str">
        <x:v>PJT_1750</x:v>
      </x:c>
      <x:c r="B1751" t="n">
        <x:v>12569760</x:v>
      </x:c>
      <x:c r="C1751" t="n">
        <x:v>12610490</x:v>
      </x:c>
      <x:c r="D1751" t="n">
        <x:v>40730</x:v>
      </x:c>
      <x:c r="E1751" t="n">
        <x:v>0.0032</x:v>
      </x:c>
      <x:c r="F1751" t="n">
        <x:v>284</x:v>
      </x:c>
      <x:c r="G1751" t="n">
        <x:v>284</x:v>
      </x:c>
      <x:c r="H1751" t="n">
        <x:v>0</x:v>
      </x:c>
      <x:c r="I1751" t="n">
        <x:v>0</x:v>
      </x:c>
      <x:c r="J1751" t="str">
        <x:v>Low</x:v>
      </x:c>
      <x:c r="K1751" t="n">
        <x:v>30.5</x:v>
      </x:c>
      <x:c r="L1751" t="n">
        <x:v>29.8</x:v>
      </x:c>
      <x:c r="M1751" t="n">
        <x:v>34.3</x:v>
      </x:c>
      <x:c r="N1751" t="str">
        <x:v>Most Likely</x:v>
      </x:c>
      <x:c r="O1751" t="str">
        <x:v>Optimistic</x:v>
      </x:c>
    </x:row>
    <x:row r="1752">
      <x:c r="A1752" t="str">
        <x:v>PJT_1751</x:v>
      </x:c>
      <x:c r="B1752" t="n">
        <x:v>31947540</x:v>
      </x:c>
      <x:c r="C1752" t="n">
        <x:v>32300759</x:v>
      </x:c>
      <x:c r="D1752" t="n">
        <x:v>353219</x:v>
      </x:c>
      <x:c r="E1752" t="n">
        <x:v>0.0111</x:v>
      </x:c>
      <x:c r="F1752" t="n">
        <x:v>617</x:v>
      </x:c>
      <x:c r="G1752" t="n">
        <x:v>649</x:v>
      </x:c>
      <x:c r="H1752" t="n">
        <x:v>32</x:v>
      </x:c>
      <x:c r="I1752" t="n">
        <x:v>0.0519</x:v>
      </x:c>
      <x:c r="J1752" t="str">
        <x:v>Low</x:v>
      </x:c>
      <x:c r="K1752" t="n">
        <x:v>44.3</x:v>
      </x:c>
      <x:c r="L1752" t="n">
        <x:v>39.4</x:v>
      </x:c>
      <x:c r="M1752" t="n">
        <x:v>43.8</x:v>
      </x:c>
      <x:c r="N1752" t="str">
        <x:v>Most Likely</x:v>
      </x:c>
      <x:c r="O1752" t="str">
        <x:v>Most Likely</x:v>
      </x:c>
    </x:row>
    <x:row r="1753">
      <x:c r="A1753" t="str">
        <x:v>PJT_1752</x:v>
      </x:c>
      <x:c r="B1753" t="n">
        <x:v>20040160</x:v>
      </x:c>
      <x:c r="C1753" t="n">
        <x:v>18996388</x:v>
      </x:c>
      <x:c r="D1753" t="n">
        <x:v>-1043772</x:v>
      </x:c>
      <x:c r="E1753" t="n">
        <x:v>-0.0521</x:v>
      </x:c>
      <x:c r="F1753" t="n">
        <x:v>315</x:v>
      </x:c>
      <x:c r="G1753" t="n">
        <x:v>311</x:v>
      </x:c>
      <x:c r="H1753" t="n">
        <x:v>-4</x:v>
      </x:c>
      <x:c r="I1753" t="n">
        <x:v>-0.0127</x:v>
      </x:c>
      <x:c r="J1753" t="str">
        <x:v>Low</x:v>
      </x:c>
      <x:c r="K1753" t="n">
        <x:v>24</x:v>
      </x:c>
      <x:c r="L1753" t="n">
        <x:v>23.7</x:v>
      </x:c>
      <x:c r="M1753" t="n">
        <x:v>26</x:v>
      </x:c>
      <x:c r="N1753" t="str">
        <x:v>Optimistic</x:v>
      </x:c>
      <x:c r="O1753" t="str">
        <x:v>Optimistic</x:v>
      </x:c>
    </x:row>
    <x:row r="1754">
      <x:c r="A1754" t="str">
        <x:v>PJT_1753</x:v>
      </x:c>
      <x:c r="B1754" t="n">
        <x:v>15277050</x:v>
      </x:c>
      <x:c r="C1754" t="n">
        <x:v>14905553</x:v>
      </x:c>
      <x:c r="D1754" t="n">
        <x:v>-371497</x:v>
      </x:c>
      <x:c r="E1754" t="n">
        <x:v>-0.0243</x:v>
      </x:c>
      <x:c r="F1754" t="n">
        <x:v>213</x:v>
      </x:c>
      <x:c r="G1754" t="n">
        <x:v>209</x:v>
      </x:c>
      <x:c r="H1754" t="n">
        <x:v>-4</x:v>
      </x:c>
      <x:c r="I1754" t="n">
        <x:v>-0.0188</x:v>
      </x:c>
      <x:c r="J1754" t="str">
        <x:v>Low</x:v>
      </x:c>
      <x:c r="K1754" t="n">
        <x:v>33.1</x:v>
      </x:c>
      <x:c r="L1754" t="n">
        <x:v>34.1</x:v>
      </x:c>
      <x:c r="M1754" t="n">
        <x:v>27.4</x:v>
      </x:c>
      <x:c r="N1754" t="str">
        <x:v>Optimistic</x:v>
      </x:c>
      <x:c r="O1754" t="str">
        <x:v>Optimistic</x:v>
      </x:c>
    </x:row>
    <x:row r="1755">
      <x:c r="A1755" t="str">
        <x:v>PJT_1754</x:v>
      </x:c>
      <x:c r="B1755" t="n">
        <x:v>13503560</x:v>
      </x:c>
      <x:c r="C1755" t="n">
        <x:v>12746197</x:v>
      </x:c>
      <x:c r="D1755" t="n">
        <x:v>-757363</x:v>
      </x:c>
      <x:c r="E1755" t="n">
        <x:v>-0.0561</x:v>
      </x:c>
      <x:c r="F1755" t="n">
        <x:v>230</x:v>
      </x:c>
      <x:c r="G1755" t="n">
        <x:v>226</x:v>
      </x:c>
      <x:c r="H1755" t="n">
        <x:v>-4</x:v>
      </x:c>
      <x:c r="I1755" t="n">
        <x:v>-0.0174</x:v>
      </x:c>
      <x:c r="J1755" t="str">
        <x:v>Low</x:v>
      </x:c>
      <x:c r="K1755" t="n">
        <x:v>32.5</x:v>
      </x:c>
      <x:c r="L1755" t="n">
        <x:v>31.5</x:v>
      </x:c>
      <x:c r="M1755" t="n">
        <x:v>25</x:v>
      </x:c>
      <x:c r="N1755" t="str">
        <x:v>Optimistic</x:v>
      </x:c>
      <x:c r="O1755" t="str">
        <x:v>Optimistic</x:v>
      </x:c>
    </x:row>
    <x:row r="1756">
      <x:c r="A1756" t="str">
        <x:v>PJT_1755</x:v>
      </x:c>
      <x:c r="B1756" t="n">
        <x:v>12214960</x:v>
      </x:c>
      <x:c r="C1756" t="n">
        <x:v>11335703</x:v>
      </x:c>
      <x:c r="D1756" t="n">
        <x:v>-879257</x:v>
      </x:c>
      <x:c r="E1756" t="n">
        <x:v>-0.072</x:v>
      </x:c>
      <x:c r="F1756" t="n">
        <x:v>229</x:v>
      </x:c>
      <x:c r="G1756" t="n">
        <x:v>231</x:v>
      </x:c>
      <x:c r="H1756" t="n">
        <x:v>2</x:v>
      </x:c>
      <x:c r="I1756" t="n">
        <x:v>0.0087</x:v>
      </x:c>
      <x:c r="J1756" t="str">
        <x:v>Low</x:v>
      </x:c>
      <x:c r="K1756" t="n">
        <x:v>35.4</x:v>
      </x:c>
      <x:c r="L1756" t="n">
        <x:v>31.7</x:v>
      </x:c>
      <x:c r="M1756" t="n">
        <x:v>35.3</x:v>
      </x:c>
      <x:c r="N1756" t="str">
        <x:v>Optimistic</x:v>
      </x:c>
      <x:c r="O1756" t="str">
        <x:v>Most Likely</x:v>
      </x:c>
    </x:row>
    <x:row r="1757">
      <x:c r="A1757" t="str">
        <x:v>PJT_1756</x:v>
      </x:c>
      <x:c r="B1757" t="n">
        <x:v>5942160</x:v>
      </x:c>
      <x:c r="C1757" t="n">
        <x:v>5804127</x:v>
      </x:c>
      <x:c r="D1757" t="n">
        <x:v>-138033</x:v>
      </x:c>
      <x:c r="E1757" t="n">
        <x:v>-0.0232</x:v>
      </x:c>
      <x:c r="F1757" t="n">
        <x:v>180</x:v>
      </x:c>
      <x:c r="G1757" t="n">
        <x:v>191</x:v>
      </x:c>
      <x:c r="H1757" t="n">
        <x:v>11</x:v>
      </x:c>
      <x:c r="I1757" t="n">
        <x:v>0.0611</x:v>
      </x:c>
      <x:c r="J1757" t="str">
        <x:v>Low</x:v>
      </x:c>
      <x:c r="K1757" t="n">
        <x:v>30.3</x:v>
      </x:c>
      <x:c r="L1757" t="n">
        <x:v>32.6</x:v>
      </x:c>
      <x:c r="M1757" t="n">
        <x:v>25.7</x:v>
      </x:c>
      <x:c r="N1757" t="str">
        <x:v>Optimistic</x:v>
      </x:c>
      <x:c r="O1757" t="str">
        <x:v>Most Likely</x:v>
      </x:c>
    </x:row>
    <x:row r="1758">
      <x:c r="A1758" t="str">
        <x:v>PJT_1757</x:v>
      </x:c>
      <x:c r="B1758" t="n">
        <x:v>27686750</x:v>
      </x:c>
      <x:c r="C1758" t="n">
        <x:v>26927062</x:v>
      </x:c>
      <x:c r="D1758" t="n">
        <x:v>-759688</x:v>
      </x:c>
      <x:c r="E1758" t="n">
        <x:v>-0.0274</x:v>
      </x:c>
      <x:c r="F1758" t="n">
        <x:v>554</x:v>
      </x:c>
      <x:c r="G1758" t="n">
        <x:v>593</x:v>
      </x:c>
      <x:c r="H1758" t="n">
        <x:v>39</x:v>
      </x:c>
      <x:c r="I1758" t="n">
        <x:v>0.0704</x:v>
      </x:c>
      <x:c r="J1758" t="str">
        <x:v>Medium</x:v>
      </x:c>
      <x:c r="K1758" t="n">
        <x:v>50.5</x:v>
      </x:c>
      <x:c r="L1758" t="n">
        <x:v>48.1</x:v>
      </x:c>
      <x:c r="M1758" t="n">
        <x:v>49.4</x:v>
      </x:c>
      <x:c r="N1758" t="str">
        <x:v>Optimistic</x:v>
      </x:c>
      <x:c r="O1758" t="str">
        <x:v>Most Likely</x:v>
      </x:c>
    </x:row>
    <x:row r="1759">
      <x:c r="A1759" t="str">
        <x:v>PJT_1758</x:v>
      </x:c>
      <x:c r="B1759" t="n">
        <x:v>69690240</x:v>
      </x:c>
      <x:c r="C1759" t="n">
        <x:v>74267723</x:v>
      </x:c>
      <x:c r="D1759" t="n">
        <x:v>4577483</x:v>
      </x:c>
      <x:c r="E1759" t="n">
        <x:v>0.0657</x:v>
      </x:c>
      <x:c r="F1759" t="n">
        <x:v>1305</x:v>
      </x:c>
      <x:c r="G1759" t="n">
        <x:v>1408</x:v>
      </x:c>
      <x:c r="H1759" t="n">
        <x:v>103</x:v>
      </x:c>
      <x:c r="I1759" t="n">
        <x:v>0.0789</x:v>
      </x:c>
      <x:c r="J1759" t="str">
        <x:v>Medium</x:v>
      </x:c>
      <x:c r="K1759" t="n">
        <x:v>57.6</x:v>
      </x:c>
      <x:c r="L1759" t="n">
        <x:v>64.9</x:v>
      </x:c>
      <x:c r="M1759" t="n">
        <x:v>58.5</x:v>
      </x:c>
      <x:c r="N1759" t="str">
        <x:v>Most Likely</x:v>
      </x:c>
      <x:c r="O1759" t="str">
        <x:v>Most Likely</x:v>
      </x:c>
    </x:row>
    <x:row r="1760">
      <x:c r="A1760" t="str">
        <x:v>PJT_1759</x:v>
      </x:c>
      <x:c r="B1760" t="n">
        <x:v>86145600</x:v>
      </x:c>
      <x:c r="C1760" t="n">
        <x:v>89239271</x:v>
      </x:c>
      <x:c r="D1760" t="n">
        <x:v>3093671</x:v>
      </x:c>
      <x:c r="E1760" t="n">
        <x:v>0.0359</x:v>
      </x:c>
      <x:c r="F1760" t="n">
        <x:v>1523</x:v>
      </x:c>
      <x:c r="G1760" t="n">
        <x:v>1635</x:v>
      </x:c>
      <x:c r="H1760" t="n">
        <x:v>112</x:v>
      </x:c>
      <x:c r="I1760" t="n">
        <x:v>0.0735</x:v>
      </x:c>
      <x:c r="J1760" t="str">
        <x:v>Medium</x:v>
      </x:c>
      <x:c r="K1760" t="n">
        <x:v>53.4</x:v>
      </x:c>
      <x:c r="L1760" t="n">
        <x:v>57.6</x:v>
      </x:c>
      <x:c r="M1760" t="n">
        <x:v>57.6</x:v>
      </x:c>
      <x:c r="N1760" t="str">
        <x:v>Most Likely</x:v>
      </x:c>
      <x:c r="O1760" t="str">
        <x:v>Most Likely</x:v>
      </x:c>
    </x:row>
    <x:row r="1761">
      <x:c r="A1761" t="str">
        <x:v>PJT_1760</x:v>
      </x:c>
      <x:c r="B1761" t="n">
        <x:v>21512490</x:v>
      </x:c>
      <x:c r="C1761" t="n">
        <x:v>22930351</x:v>
      </x:c>
      <x:c r="D1761" t="n">
        <x:v>1417861</x:v>
      </x:c>
      <x:c r="E1761" t="n">
        <x:v>0.0659</x:v>
      </x:c>
      <x:c r="F1761" t="n">
        <x:v>402</x:v>
      </x:c>
      <x:c r="G1761" t="n">
        <x:v>421</x:v>
      </x:c>
      <x:c r="H1761" t="n">
        <x:v>19</x:v>
      </x:c>
      <x:c r="I1761" t="n">
        <x:v>0.0473</x:v>
      </x:c>
      <x:c r="J1761" t="str">
        <x:v>Low</x:v>
      </x:c>
      <x:c r="K1761" t="n">
        <x:v>37.5</x:v>
      </x:c>
      <x:c r="L1761" t="n">
        <x:v>43.8</x:v>
      </x:c>
      <x:c r="M1761" t="n">
        <x:v>38.9</x:v>
      </x:c>
      <x:c r="N1761" t="str">
        <x:v>Most Likely</x:v>
      </x:c>
      <x:c r="O1761" t="str">
        <x:v>Most Likely</x:v>
      </x:c>
    </x:row>
    <x:row r="1762">
      <x:c r="A1762" t="str">
        <x:v>PJT_1761</x:v>
      </x:c>
      <x:c r="B1762" t="n">
        <x:v>46502720</x:v>
      </x:c>
      <x:c r="C1762" t="n">
        <x:v>49276443</x:v>
      </x:c>
      <x:c r="D1762" t="n">
        <x:v>2773723</x:v>
      </x:c>
      <x:c r="E1762" t="n">
        <x:v>0.0596</x:v>
      </x:c>
      <x:c r="F1762" t="n">
        <x:v>844</x:v>
      </x:c>
      <x:c r="G1762" t="n">
        <x:v>890</x:v>
      </x:c>
      <x:c r="H1762" t="n">
        <x:v>46</x:v>
      </x:c>
      <x:c r="I1762" t="n">
        <x:v>0.0545</x:v>
      </x:c>
      <x:c r="J1762" t="str">
        <x:v>Medium</x:v>
      </x:c>
      <x:c r="K1762" t="n">
        <x:v>54.8</x:v>
      </x:c>
      <x:c r="L1762" t="n">
        <x:v>57.6</x:v>
      </x:c>
      <x:c r="M1762" t="n">
        <x:v>52.1</x:v>
      </x:c>
      <x:c r="N1762" t="str">
        <x:v>Most Likely</x:v>
      </x:c>
      <x:c r="O1762" t="str">
        <x:v>Most Likely</x:v>
      </x:c>
    </x:row>
    <x:row r="1763">
      <x:c r="A1763" t="str">
        <x:v>PJT_1762</x:v>
      </x:c>
      <x:c r="B1763" t="n">
        <x:v>18878670</x:v>
      </x:c>
      <x:c r="C1763" t="n">
        <x:v>19522812</x:v>
      </x:c>
      <x:c r="D1763" t="n">
        <x:v>644142</x:v>
      </x:c>
      <x:c r="E1763" t="n">
        <x:v>0.0341</x:v>
      </x:c>
      <x:c r="F1763" t="n">
        <x:v>444</x:v>
      </x:c>
      <x:c r="G1763" t="n">
        <x:v>408</x:v>
      </x:c>
      <x:c r="H1763" t="n">
        <x:v>-36</x:v>
      </x:c>
      <x:c r="I1763" t="n">
        <x:v>-0.0811</x:v>
      </x:c>
      <x:c r="J1763" t="str">
        <x:v>Low</x:v>
      </x:c>
      <x:c r="K1763" t="n">
        <x:v>37.5</x:v>
      </x:c>
      <x:c r="L1763" t="n">
        <x:v>28.9</x:v>
      </x:c>
      <x:c r="M1763" t="n">
        <x:v>30.6</x:v>
      </x:c>
      <x:c r="N1763" t="str">
        <x:v>Most Likely</x:v>
      </x:c>
      <x:c r="O1763" t="str">
        <x:v>Optimistic</x:v>
      </x:c>
    </x:row>
    <x:row r="1764">
      <x:c r="A1764" t="str">
        <x:v>PJT_1763</x:v>
      </x:c>
      <x:c r="B1764" t="n">
        <x:v>66380600</x:v>
      </x:c>
      <x:c r="C1764" t="n">
        <x:v>70727524</x:v>
      </x:c>
      <x:c r="D1764" t="n">
        <x:v>4346924</x:v>
      </x:c>
      <x:c r="E1764" t="n">
        <x:v>0.0655</x:v>
      </x:c>
      <x:c r="F1764" t="n">
        <x:v>1380</x:v>
      </x:c>
      <x:c r="G1764" t="n">
        <x:v>1418</x:v>
      </x:c>
      <x:c r="H1764" t="n">
        <x:v>38</x:v>
      </x:c>
      <x:c r="I1764" t="n">
        <x:v>0.0275</x:v>
      </x:c>
      <x:c r="J1764" t="str">
        <x:v>Medium</x:v>
      </x:c>
      <x:c r="K1764" t="n">
        <x:v>51.7</x:v>
      </x:c>
      <x:c r="L1764" t="n">
        <x:v>55.2</x:v>
      </x:c>
      <x:c r="M1764" t="n">
        <x:v>56.7</x:v>
      </x:c>
      <x:c r="N1764" t="str">
        <x:v>Most Likely</x:v>
      </x:c>
      <x:c r="O1764" t="str">
        <x:v>Most Likely</x:v>
      </x:c>
    </x:row>
    <x:row r="1765">
      <x:c r="A1765" t="str">
        <x:v>PJT_1764</x:v>
      </x:c>
      <x:c r="B1765" t="n">
        <x:v>50871420</x:v>
      </x:c>
      <x:c r="C1765" t="n">
        <x:v>54504182</x:v>
      </x:c>
      <x:c r="D1765" t="n">
        <x:v>3632762</x:v>
      </x:c>
      <x:c r="E1765" t="n">
        <x:v>0.0714</x:v>
      </x:c>
      <x:c r="F1765" t="n">
        <x:v>1047</x:v>
      </x:c>
      <x:c r="G1765" t="n">
        <x:v>1016</x:v>
      </x:c>
      <x:c r="H1765" t="n">
        <x:v>-31</x:v>
      </x:c>
      <x:c r="I1765" t="n">
        <x:v>-0.0296</x:v>
      </x:c>
      <x:c r="J1765" t="str">
        <x:v>Medium</x:v>
      </x:c>
      <x:c r="K1765" t="n">
        <x:v>53.4</x:v>
      </x:c>
      <x:c r="L1765" t="n">
        <x:v>53.1</x:v>
      </x:c>
      <x:c r="M1765" t="n">
        <x:v>47.6</x:v>
      </x:c>
      <x:c r="N1765" t="str">
        <x:v>Most Likely</x:v>
      </x:c>
      <x:c r="O1765" t="str">
        <x:v>Optimistic</x:v>
      </x:c>
    </x:row>
    <x:row r="1766">
      <x:c r="A1766" t="str">
        <x:v>PJT_1765</x:v>
      </x:c>
      <x:c r="B1766" t="n">
        <x:v>65840320</x:v>
      </x:c>
      <x:c r="C1766" t="n">
        <x:v>71319964</x:v>
      </x:c>
      <x:c r="D1766" t="n">
        <x:v>5479644</x:v>
      </x:c>
      <x:c r="E1766" t="n">
        <x:v>0.0832</x:v>
      </x:c>
      <x:c r="F1766" t="n">
        <x:v>1093</x:v>
      </x:c>
      <x:c r="G1766" t="n">
        <x:v>1159</x:v>
      </x:c>
      <x:c r="H1766" t="n">
        <x:v>66</x:v>
      </x:c>
      <x:c r="I1766" t="n">
        <x:v>0.0604</x:v>
      </x:c>
      <x:c r="J1766" t="str">
        <x:v>Medium</x:v>
      </x:c>
      <x:c r="K1766" t="n">
        <x:v>52.4</x:v>
      </x:c>
      <x:c r="L1766" t="n">
        <x:v>56</x:v>
      </x:c>
      <x:c r="M1766" t="n">
        <x:v>52.2</x:v>
      </x:c>
      <x:c r="N1766" t="str">
        <x:v>Most Likely</x:v>
      </x:c>
      <x:c r="O1766" t="str">
        <x:v>Most Likely</x:v>
      </x:c>
    </x:row>
    <x:row r="1767">
      <x:c r="A1767" t="str">
        <x:v>PJT_1766</x:v>
      </x:c>
      <x:c r="B1767" t="n">
        <x:v>36970160</x:v>
      </x:c>
      <x:c r="C1767" t="n">
        <x:v>39567395</x:v>
      </x:c>
      <x:c r="D1767" t="n">
        <x:v>2597235</x:v>
      </x:c>
      <x:c r="E1767" t="n">
        <x:v>0.0703</x:v>
      </x:c>
      <x:c r="F1767" t="n">
        <x:v>834</x:v>
      </x:c>
      <x:c r="G1767" t="n">
        <x:v>841</x:v>
      </x:c>
      <x:c r="H1767" t="n">
        <x:v>7</x:v>
      </x:c>
      <x:c r="I1767" t="n">
        <x:v>0.0084</x:v>
      </x:c>
      <x:c r="J1767" t="str">
        <x:v>Medium</x:v>
      </x:c>
      <x:c r="K1767" t="n">
        <x:v>47.4</x:v>
      </x:c>
      <x:c r="L1767" t="n">
        <x:v>45.6</x:v>
      </x:c>
      <x:c r="M1767" t="n">
        <x:v>42.2</x:v>
      </x:c>
      <x:c r="N1767" t="str">
        <x:v>Most Likely</x:v>
      </x:c>
      <x:c r="O1767" t="str">
        <x:v>Most Likely</x:v>
      </x:c>
    </x:row>
    <x:row r="1768">
      <x:c r="A1768" t="str">
        <x:v>PJT_1767</x:v>
      </x:c>
      <x:c r="B1768" t="n">
        <x:v>27111500</x:v>
      </x:c>
      <x:c r="C1768" t="n">
        <x:v>24973922</x:v>
      </x:c>
      <x:c r="D1768" t="n">
        <x:v>-2137578</x:v>
      </x:c>
      <x:c r="E1768" t="n">
        <x:v>-0.0788</x:v>
      </x:c>
      <x:c r="F1768" t="n">
        <x:v>502</x:v>
      </x:c>
      <x:c r="G1768" t="n">
        <x:v>474</x:v>
      </x:c>
      <x:c r="H1768" t="n">
        <x:v>-28</x:v>
      </x:c>
      <x:c r="I1768" t="n">
        <x:v>-0.0558</x:v>
      </x:c>
      <x:c r="J1768" t="str">
        <x:v>Low</x:v>
      </x:c>
      <x:c r="K1768" t="n">
        <x:v>31.3</x:v>
      </x:c>
      <x:c r="L1768" t="n">
        <x:v>28.5</x:v>
      </x:c>
      <x:c r="M1768" t="n">
        <x:v>25</x:v>
      </x:c>
      <x:c r="N1768" t="str">
        <x:v>Optimistic</x:v>
      </x:c>
      <x:c r="O1768" t="str">
        <x:v>Optimistic</x:v>
      </x:c>
    </x:row>
    <x:row r="1769">
      <x:c r="A1769" t="str">
        <x:v>PJT_1768</x:v>
      </x:c>
      <x:c r="B1769" t="n">
        <x:v>16753090</x:v>
      </x:c>
      <x:c r="C1769" t="n">
        <x:v>16819691</x:v>
      </x:c>
      <x:c r="D1769" t="n">
        <x:v>66601</x:v>
      </x:c>
      <x:c r="E1769" t="n">
        <x:v>0.004</x:v>
      </x:c>
      <x:c r="F1769" t="n">
        <x:v>408</x:v>
      </x:c>
      <x:c r="G1769" t="n">
        <x:v>435</x:v>
      </x:c>
      <x:c r="H1769" t="n">
        <x:v>27</x:v>
      </x:c>
      <x:c r="I1769" t="n">
        <x:v>0.0662</x:v>
      </x:c>
      <x:c r="J1769" t="str">
        <x:v>Low</x:v>
      </x:c>
      <x:c r="K1769" t="n">
        <x:v>36.5</x:v>
      </x:c>
      <x:c r="L1769" t="n">
        <x:v>39.4</x:v>
      </x:c>
      <x:c r="M1769" t="n">
        <x:v>41.3</x:v>
      </x:c>
      <x:c r="N1769" t="str">
        <x:v>Most Likely</x:v>
      </x:c>
      <x:c r="O1769" t="str">
        <x:v>Most Likely</x:v>
      </x:c>
    </x:row>
    <x:row r="1770">
      <x:c r="A1770" t="str">
        <x:v>PJT_1769</x:v>
      </x:c>
      <x:c r="B1770" t="n">
        <x:v>84793280</x:v>
      </x:c>
      <x:c r="C1770" t="n">
        <x:v>89145775</x:v>
      </x:c>
      <x:c r="D1770" t="n">
        <x:v>4352495</x:v>
      </x:c>
      <x:c r="E1770" t="n">
        <x:v>0.0513</x:v>
      </x:c>
      <x:c r="F1770" t="n">
        <x:v>1590</x:v>
      </x:c>
      <x:c r="G1770" t="n">
        <x:v>1681</x:v>
      </x:c>
      <x:c r="H1770" t="n">
        <x:v>91</x:v>
      </x:c>
      <x:c r="I1770" t="n">
        <x:v>0.0572</x:v>
      </x:c>
      <x:c r="J1770" t="str">
        <x:v>Medium</x:v>
      </x:c>
      <x:c r="K1770" t="n">
        <x:v>59.5</x:v>
      </x:c>
      <x:c r="L1770" t="n">
        <x:v>62.5</x:v>
      </x:c>
      <x:c r="M1770" t="n">
        <x:v>64.2</x:v>
      </x:c>
      <x:c r="N1770" t="str">
        <x:v>Most Likely</x:v>
      </x:c>
      <x:c r="O1770" t="str">
        <x:v>Most Likely</x:v>
      </x:c>
    </x:row>
    <x:row r="1771">
      <x:c r="A1771" t="str">
        <x:v>PJT_1770</x:v>
      </x:c>
      <x:c r="B1771" t="n">
        <x:v>25216720</x:v>
      </x:c>
      <x:c r="C1771" t="n">
        <x:v>27187239</x:v>
      </x:c>
      <x:c r="D1771" t="n">
        <x:v>1970519</x:v>
      </x:c>
      <x:c r="E1771" t="n">
        <x:v>0.0781</x:v>
      </x:c>
      <x:c r="F1771" t="n">
        <x:v>573</x:v>
      </x:c>
      <x:c r="G1771" t="n">
        <x:v>590</x:v>
      </x:c>
      <x:c r="H1771" t="n">
        <x:v>17</x:v>
      </x:c>
      <x:c r="I1771" t="n">
        <x:v>0.0297</x:v>
      </x:c>
      <x:c r="J1771" t="str">
        <x:v>Medium</x:v>
      </x:c>
      <x:c r="K1771" t="n">
        <x:v>51.1</x:v>
      </x:c>
      <x:c r="L1771" t="n">
        <x:v>51.6</x:v>
      </x:c>
      <x:c r="M1771" t="n">
        <x:v>47.7</x:v>
      </x:c>
      <x:c r="N1771" t="str">
        <x:v>Most Likely</x:v>
      </x:c>
      <x:c r="O1771" t="str">
        <x:v>Most Likely</x:v>
      </x:c>
    </x:row>
    <x:row r="1772">
      <x:c r="A1772" t="str">
        <x:v>PJT_1771</x:v>
      </x:c>
      <x:c r="B1772" t="n">
        <x:v>67050080</x:v>
      </x:c>
      <x:c r="C1772" t="n">
        <x:v>68959817</x:v>
      </x:c>
      <x:c r="D1772" t="n">
        <x:v>1909737</x:v>
      </x:c>
      <x:c r="E1772" t="n">
        <x:v>0.0285</x:v>
      </x:c>
      <x:c r="F1772" t="n">
        <x:v>1290</x:v>
      </x:c>
      <x:c r="G1772" t="n">
        <x:v>1328</x:v>
      </x:c>
      <x:c r="H1772" t="n">
        <x:v>38</x:v>
      </x:c>
      <x:c r="I1772" t="n">
        <x:v>0.0295</x:v>
      </x:c>
      <x:c r="J1772" t="str">
        <x:v>Medium</x:v>
      </x:c>
      <x:c r="K1772" t="n">
        <x:v>51.7</x:v>
      </x:c>
      <x:c r="L1772" t="n">
        <x:v>58.4</x:v>
      </x:c>
      <x:c r="M1772" t="n">
        <x:v>48.4</x:v>
      </x:c>
      <x:c r="N1772" t="str">
        <x:v>Most Likely</x:v>
      </x:c>
      <x:c r="O1772" t="str">
        <x:v>Most Likely</x:v>
      </x:c>
    </x:row>
    <x:row r="1773">
      <x:c r="A1773" t="str">
        <x:v>PJT_1772</x:v>
      </x:c>
      <x:c r="B1773" t="n">
        <x:v>58465000</x:v>
      </x:c>
      <x:c r="C1773" t="n">
        <x:v>62869126</x:v>
      </x:c>
      <x:c r="D1773" t="n">
        <x:v>4404126</x:v>
      </x:c>
      <x:c r="E1773" t="n">
        <x:v>0.0753</x:v>
      </x:c>
      <x:c r="F1773" t="n">
        <x:v>1169</x:v>
      </x:c>
      <x:c r="G1773" t="n">
        <x:v>1277</x:v>
      </x:c>
      <x:c r="H1773" t="n">
        <x:v>108</x:v>
      </x:c>
      <x:c r="I1773" t="n">
        <x:v>0.0924</x:v>
      </x:c>
      <x:c r="J1773" t="str">
        <x:v>Medium</x:v>
      </x:c>
      <x:c r="K1773" t="n">
        <x:v>59.7</x:v>
      </x:c>
      <x:c r="L1773" t="n">
        <x:v>59.6</x:v>
      </x:c>
      <x:c r="M1773" t="n">
        <x:v>58.7</x:v>
      </x:c>
      <x:c r="N1773" t="str">
        <x:v>Most Likely</x:v>
      </x:c>
      <x:c r="O1773" t="str">
        <x:v>Most Likely</x:v>
      </x:c>
    </x:row>
    <x:row r="1774">
      <x:c r="A1774" t="str">
        <x:v>PJT_1773</x:v>
      </x:c>
      <x:c r="B1774" t="n">
        <x:v>55473080</x:v>
      </x:c>
      <x:c r="C1774" t="n">
        <x:v>61148289</x:v>
      </x:c>
      <x:c r="D1774" t="n">
        <x:v>5675209</x:v>
      </x:c>
      <x:c r="E1774" t="n">
        <x:v>0.1023</x:v>
      </x:c>
      <x:c r="F1774" t="n">
        <x:v>1061</x:v>
      </x:c>
      <x:c r="G1774" t="n">
        <x:v>1123</x:v>
      </x:c>
      <x:c r="H1774" t="n">
        <x:v>62</x:v>
      </x:c>
      <x:c r="I1774" t="n">
        <x:v>0.0584</x:v>
      </x:c>
      <x:c r="J1774" t="str">
        <x:v>High</x:v>
      </x:c>
      <x:c r="K1774" t="n">
        <x:v>67.4</x:v>
      </x:c>
      <x:c r="L1774" t="n">
        <x:v>67</x:v>
      </x:c>
      <x:c r="M1774" t="n">
        <x:v>65.5</x:v>
      </x:c>
      <x:c r="N1774" t="str">
        <x:v>Pessimistic</x:v>
      </x:c>
      <x:c r="O1774" t="str">
        <x:v>Most Likely</x:v>
      </x:c>
    </x:row>
    <x:row r="1775">
      <x:c r="A1775" t="str">
        <x:v>PJT_1774</x:v>
      </x:c>
      <x:c r="B1775" t="n">
        <x:v>83287750</x:v>
      </x:c>
      <x:c r="C1775" t="n">
        <x:v>91932737</x:v>
      </x:c>
      <x:c r="D1775" t="n">
        <x:v>8644987</x:v>
      </x:c>
      <x:c r="E1775" t="n">
        <x:v>0.1038</x:v>
      </x:c>
      <x:c r="F1775" t="n">
        <x:v>1484</x:v>
      </x:c>
      <x:c r="G1775" t="n">
        <x:v>1661</x:v>
      </x:c>
      <x:c r="H1775" t="n">
        <x:v>177</x:v>
      </x:c>
      <x:c r="I1775" t="n">
        <x:v>0.1193</x:v>
      </x:c>
      <x:c r="J1775" t="str">
        <x:v>Medium</x:v>
      </x:c>
      <x:c r="K1775" t="n">
        <x:v>58.6</x:v>
      </x:c>
      <x:c r="L1775" t="n">
        <x:v>60.8</x:v>
      </x:c>
      <x:c r="M1775" t="n">
        <x:v>54.6</x:v>
      </x:c>
      <x:c r="N1775" t="str">
        <x:v>Pessimistic</x:v>
      </x:c>
      <x:c r="O1775" t="str">
        <x:v>Pessimistic</x:v>
      </x:c>
    </x:row>
    <x:row r="1776">
      <x:c r="A1776" t="str">
        <x:v>PJT_1775</x:v>
      </x:c>
      <x:c r="B1776" t="n">
        <x:v>41290200</x:v>
      </x:c>
      <x:c r="C1776" t="n">
        <x:v>43376111</x:v>
      </x:c>
      <x:c r="D1776" t="n">
        <x:v>2085911</x:v>
      </x:c>
      <x:c r="E1776" t="n">
        <x:v>0.0505</x:v>
      </x:c>
      <x:c r="F1776" t="n">
        <x:v>737</x:v>
      </x:c>
      <x:c r="G1776" t="n">
        <x:v>752</x:v>
      </x:c>
      <x:c r="H1776" t="n">
        <x:v>15</x:v>
      </x:c>
      <x:c r="I1776" t="n">
        <x:v>0.0204</x:v>
      </x:c>
      <x:c r="J1776" t="str">
        <x:v>Medium</x:v>
      </x:c>
      <x:c r="K1776" t="n">
        <x:v>49</x:v>
      </x:c>
      <x:c r="L1776" t="n">
        <x:v>52.2</x:v>
      </x:c>
      <x:c r="M1776" t="n">
        <x:v>42.9</x:v>
      </x:c>
      <x:c r="N1776" t="str">
        <x:v>Most Likely</x:v>
      </x:c>
      <x:c r="O1776" t="str">
        <x:v>Most Likely</x:v>
      </x:c>
    </x:row>
    <x:row r="1777">
      <x:c r="A1777" t="str">
        <x:v>PJT_1776</x:v>
      </x:c>
      <x:c r="B1777" t="n">
        <x:v>27303240</x:v>
      </x:c>
      <x:c r="C1777" t="n">
        <x:v>29944252</x:v>
      </x:c>
      <x:c r="D1777" t="n">
        <x:v>2641012</x:v>
      </x:c>
      <x:c r="E1777" t="n">
        <x:v>0.0967</x:v>
      </x:c>
      <x:c r="F1777" t="n">
        <x:v>498</x:v>
      </x:c>
      <x:c r="G1777" t="n">
        <x:v>494</x:v>
      </x:c>
      <x:c r="H1777" t="n">
        <x:v>-4</x:v>
      </x:c>
      <x:c r="I1777" t="n">
        <x:v>-0.008</x:v>
      </x:c>
      <x:c r="J1777" t="str">
        <x:v>Low</x:v>
      </x:c>
      <x:c r="K1777" t="n">
        <x:v>44.7</x:v>
      </x:c>
      <x:c r="L1777" t="n">
        <x:v>50.9</x:v>
      </x:c>
      <x:c r="M1777" t="n">
        <x:v>43.8</x:v>
      </x:c>
      <x:c r="N1777" t="str">
        <x:v>Most Likely</x:v>
      </x:c>
      <x:c r="O1777" t="str">
        <x:v>Optimistic</x:v>
      </x:c>
    </x:row>
    <x:row r="1778">
      <x:c r="A1778" t="str">
        <x:v>PJT_1777</x:v>
      </x:c>
      <x:c r="B1778" t="n">
        <x:v>13443060</x:v>
      </x:c>
      <x:c r="C1778" t="n">
        <x:v>13375613</x:v>
      </x:c>
      <x:c r="D1778" t="n">
        <x:v>-67447</x:v>
      </x:c>
      <x:c r="E1778" t="n">
        <x:v>-0.005</x:v>
      </x:c>
      <x:c r="F1778" t="n">
        <x:v>300</x:v>
      </x:c>
      <x:c r="G1778" t="n">
        <x:v>303</x:v>
      </x:c>
      <x:c r="H1778" t="n">
        <x:v>3</x:v>
      </x:c>
      <x:c r="I1778" t="n">
        <x:v>0.01</x:v>
      </x:c>
      <x:c r="J1778" t="str">
        <x:v>Low</x:v>
      </x:c>
      <x:c r="K1778" t="n">
        <x:v>30.5</x:v>
      </x:c>
      <x:c r="L1778" t="n">
        <x:v>24.6</x:v>
      </x:c>
      <x:c r="M1778" t="n">
        <x:v>22.9</x:v>
      </x:c>
      <x:c r="N1778" t="str">
        <x:v>Optimistic</x:v>
      </x:c>
      <x:c r="O1778" t="str">
        <x:v>Most Likely</x:v>
      </x:c>
    </x:row>
    <x:row r="1779">
      <x:c r="A1779" t="str">
        <x:v>PJT_1778</x:v>
      </x:c>
      <x:c r="B1779" t="n">
        <x:v>13041600</x:v>
      </x:c>
      <x:c r="C1779" t="n">
        <x:v>11642158</x:v>
      </x:c>
      <x:c r="D1779" t="n">
        <x:v>-1399442</x:v>
      </x:c>
      <x:c r="E1779" t="n">
        <x:v>-0.1073</x:v>
      </x:c>
      <x:c r="F1779" t="n">
        <x:v>312</x:v>
      </x:c>
      <x:c r="G1779" t="n">
        <x:v>293</x:v>
      </x:c>
      <x:c r="H1779" t="n">
        <x:v>-19</x:v>
      </x:c>
      <x:c r="I1779" t="n">
        <x:v>-0.0609</x:v>
      </x:c>
      <x:c r="J1779" t="str">
        <x:v>Low</x:v>
      </x:c>
      <x:c r="K1779" t="n">
        <x:v>35.5</x:v>
      </x:c>
      <x:c r="L1779" t="n">
        <x:v>34.5</x:v>
      </x:c>
      <x:c r="M1779" t="n">
        <x:v>35.3</x:v>
      </x:c>
      <x:c r="N1779" t="str">
        <x:v>Optimistic</x:v>
      </x:c>
      <x:c r="O1779" t="str">
        <x:v>Optimistic</x:v>
      </x:c>
    </x:row>
    <x:row r="1780">
      <x:c r="A1780" t="str">
        <x:v>PJT_1779</x:v>
      </x:c>
      <x:c r="B1780" t="n">
        <x:v>49906210</x:v>
      </x:c>
      <x:c r="C1780" t="n">
        <x:v>49392034</x:v>
      </x:c>
      <x:c r="D1780" t="n">
        <x:v>-514176</x:v>
      </x:c>
      <x:c r="E1780" t="n">
        <x:v>-0.0103</x:v>
      </x:c>
      <x:c r="F1780" t="n">
        <x:v>934</x:v>
      </x:c>
      <x:c r="G1780" t="n">
        <x:v>986</x:v>
      </x:c>
      <x:c r="H1780" t="n">
        <x:v>52</x:v>
      </x:c>
      <x:c r="I1780" t="n">
        <x:v>0.0557</x:v>
      </x:c>
      <x:c r="J1780" t="str">
        <x:v>Low</x:v>
      </x:c>
      <x:c r="K1780" t="n">
        <x:v>42.8</x:v>
      </x:c>
      <x:c r="L1780" t="n">
        <x:v>46.4</x:v>
      </x:c>
      <x:c r="M1780" t="n">
        <x:v>42.9</x:v>
      </x:c>
      <x:c r="N1780" t="str">
        <x:v>Optimistic</x:v>
      </x:c>
      <x:c r="O1780" t="str">
        <x:v>Most Likely</x:v>
      </x:c>
    </x:row>
    <x:row r="1781">
      <x:c r="A1781" t="str">
        <x:v>PJT_1780</x:v>
      </x:c>
      <x:c r="B1781" t="n">
        <x:v>73337000</x:v>
      </x:c>
      <x:c r="C1781" t="n">
        <x:v>72164137</x:v>
      </x:c>
      <x:c r="D1781" t="n">
        <x:v>-1172863</x:v>
      </x:c>
      <x:c r="E1781" t="n">
        <x:v>-0.016</x:v>
      </x:c>
      <x:c r="F1781" t="n">
        <x:v>1439</x:v>
      </x:c>
      <x:c r="G1781" t="n">
        <x:v>1551</x:v>
      </x:c>
      <x:c r="H1781" t="n">
        <x:v>112</x:v>
      </x:c>
      <x:c r="I1781" t="n">
        <x:v>0.0778</x:v>
      </x:c>
      <x:c r="J1781" t="str">
        <x:v>High</x:v>
      </x:c>
      <x:c r="K1781" t="n">
        <x:v>67.6</x:v>
      </x:c>
      <x:c r="L1781" t="n">
        <x:v>62.9</x:v>
      </x:c>
      <x:c r="M1781" t="n">
        <x:v>63</x:v>
      </x:c>
      <x:c r="N1781" t="str">
        <x:v>Optimistic</x:v>
      </x:c>
      <x:c r="O1781" t="str">
        <x:v>Most Likely</x:v>
      </x:c>
    </x:row>
    <x:row r="1782">
      <x:c r="A1782" t="str">
        <x:v>PJT_1781</x:v>
      </x:c>
      <x:c r="B1782" t="n">
        <x:v>39022200</x:v>
      </x:c>
      <x:c r="C1782" t="n">
        <x:v>42672298</x:v>
      </x:c>
      <x:c r="D1782" t="n">
        <x:v>3650098</x:v>
      </x:c>
      <x:c r="E1782" t="n">
        <x:v>0.0935</x:v>
      </x:c>
      <x:c r="F1782" t="n">
        <x:v>749</x:v>
      </x:c>
      <x:c r="G1782" t="n">
        <x:v>796</x:v>
      </x:c>
      <x:c r="H1782" t="n">
        <x:v>47</x:v>
      </x:c>
      <x:c r="I1782" t="n">
        <x:v>0.0628</x:v>
      </x:c>
      <x:c r="J1782" t="str">
        <x:v>Medium</x:v>
      </x:c>
      <x:c r="K1782" t="n">
        <x:v>54</x:v>
      </x:c>
      <x:c r="L1782" t="n">
        <x:v>58.6</x:v>
      </x:c>
      <x:c r="M1782" t="n">
        <x:v>55.9</x:v>
      </x:c>
      <x:c r="N1782" t="str">
        <x:v>Most Likely</x:v>
      </x:c>
      <x:c r="O1782" t="str">
        <x:v>Most Likely</x:v>
      </x:c>
    </x:row>
    <x:row r="1783">
      <x:c r="A1783" t="str">
        <x:v>PJT_1782</x:v>
      </x:c>
      <x:c r="B1783" t="n">
        <x:v>23576500</x:v>
      </x:c>
      <x:c r="C1783" t="n">
        <x:v>23165749</x:v>
      </x:c>
      <x:c r="D1783" t="n">
        <x:v>-410751</x:v>
      </x:c>
      <x:c r="E1783" t="n">
        <x:v>-0.0174</x:v>
      </x:c>
      <x:c r="F1783" t="n">
        <x:v>536</x:v>
      </x:c>
      <x:c r="G1783" t="n">
        <x:v>528</x:v>
      </x:c>
      <x:c r="H1783" t="n">
        <x:v>-8</x:v>
      </x:c>
      <x:c r="I1783" t="n">
        <x:v>-0.0149</x:v>
      </x:c>
      <x:c r="J1783" t="str">
        <x:v>Low</x:v>
      </x:c>
      <x:c r="K1783" t="n">
        <x:v>39.3</x:v>
      </x:c>
      <x:c r="L1783" t="n">
        <x:v>41.7</x:v>
      </x:c>
      <x:c r="M1783" t="n">
        <x:v>34</x:v>
      </x:c>
      <x:c r="N1783" t="str">
        <x:v>Optimistic</x:v>
      </x:c>
      <x:c r="O1783" t="str">
        <x:v>Optimistic</x:v>
      </x:c>
    </x:row>
    <x:row r="1784">
      <x:c r="A1784" t="str">
        <x:v>PJT_1783</x:v>
      </x:c>
      <x:c r="B1784" t="n">
        <x:v>56842700</x:v>
      </x:c>
      <x:c r="C1784" t="n">
        <x:v>58844429</x:v>
      </x:c>
      <x:c r="D1784" t="n">
        <x:v>2001729</x:v>
      </x:c>
      <x:c r="E1784" t="n">
        <x:v>0.0352</x:v>
      </x:c>
      <x:c r="F1784" t="n">
        <x:v>1208</x:v>
      </x:c>
      <x:c r="G1784" t="n">
        <x:v>1244</x:v>
      </x:c>
      <x:c r="H1784" t="n">
        <x:v>36</x:v>
      </x:c>
      <x:c r="I1784" t="n">
        <x:v>0.0298</x:v>
      </x:c>
      <x:c r="J1784" t="str">
        <x:v>Medium</x:v>
      </x:c>
      <x:c r="K1784" t="n">
        <x:v>48.8</x:v>
      </x:c>
      <x:c r="L1784" t="n">
        <x:v>52.3</x:v>
      </x:c>
      <x:c r="M1784" t="n">
        <x:v>55.2</x:v>
      </x:c>
      <x:c r="N1784" t="str">
        <x:v>Most Likely</x:v>
      </x:c>
      <x:c r="O1784" t="str">
        <x:v>Most Likely</x:v>
      </x:c>
    </x:row>
    <x:row r="1785">
      <x:c r="A1785" t="str">
        <x:v>PJT_1784</x:v>
      </x:c>
      <x:c r="B1785" t="n">
        <x:v>21819800</x:v>
      </x:c>
      <x:c r="C1785" t="n">
        <x:v>22296003</x:v>
      </x:c>
      <x:c r="D1785" t="n">
        <x:v>476203</x:v>
      </x:c>
      <x:c r="E1785" t="n">
        <x:v>0.0218</x:v>
      </x:c>
      <x:c r="F1785" t="n">
        <x:v>550</x:v>
      </x:c>
      <x:c r="G1785" t="n">
        <x:v>560</x:v>
      </x:c>
      <x:c r="H1785" t="n">
        <x:v>10</x:v>
      </x:c>
      <x:c r="I1785" t="n">
        <x:v>0.0182</x:v>
      </x:c>
      <x:c r="J1785" t="str">
        <x:v>Medium</x:v>
      </x:c>
      <x:c r="K1785" t="n">
        <x:v>50.2</x:v>
      </x:c>
      <x:c r="L1785" t="n">
        <x:v>42.7</x:v>
      </x:c>
      <x:c r="M1785" t="n">
        <x:v>42</x:v>
      </x:c>
      <x:c r="N1785" t="str">
        <x:v>Most Likely</x:v>
      </x:c>
      <x:c r="O1785" t="str">
        <x:v>Most Likely</x:v>
      </x:c>
    </x:row>
    <x:row r="1786">
      <x:c r="A1786" t="str">
        <x:v>PJT_1785</x:v>
      </x:c>
      <x:c r="B1786" t="n">
        <x:v>13236160</x:v>
      </x:c>
      <x:c r="C1786" t="n">
        <x:v>13605901</x:v>
      </x:c>
      <x:c r="D1786" t="n">
        <x:v>369741</x:v>
      </x:c>
      <x:c r="E1786" t="n">
        <x:v>0.0279</x:v>
      </x:c>
      <x:c r="F1786" t="n">
        <x:v>238</x:v>
      </x:c>
      <x:c r="G1786" t="n">
        <x:v>246</x:v>
      </x:c>
      <x:c r="H1786" t="n">
        <x:v>8</x:v>
      </x:c>
      <x:c r="I1786" t="n">
        <x:v>0.0336</x:v>
      </x:c>
      <x:c r="J1786" t="str">
        <x:v>Low</x:v>
      </x:c>
      <x:c r="K1786" t="n">
        <x:v>34.4</x:v>
      </x:c>
      <x:c r="L1786" t="n">
        <x:v>36</x:v>
      </x:c>
      <x:c r="M1786" t="n">
        <x:v>29.1</x:v>
      </x:c>
      <x:c r="N1786" t="str">
        <x:v>Most Likely</x:v>
      </x:c>
      <x:c r="O1786" t="str">
        <x:v>Most Likely</x:v>
      </x:c>
    </x:row>
    <x:row r="1787">
      <x:c r="A1787" t="str">
        <x:v>PJT_1786</x:v>
      </x:c>
      <x:c r="B1787" t="n">
        <x:v>23679240</x:v>
      </x:c>
      <x:c r="C1787" t="n">
        <x:v>24642018</x:v>
      </x:c>
      <x:c r="D1787" t="n">
        <x:v>962778</x:v>
      </x:c>
      <x:c r="E1787" t="n">
        <x:v>0.0407</x:v>
      </x:c>
      <x:c r="F1787" t="n">
        <x:v>580</x:v>
      </x:c>
      <x:c r="G1787" t="n">
        <x:v>575</x:v>
      </x:c>
      <x:c r="H1787" t="n">
        <x:v>-5</x:v>
      </x:c>
      <x:c r="I1787" t="n">
        <x:v>-0.0086</x:v>
      </x:c>
      <x:c r="J1787" t="str">
        <x:v>Medium</x:v>
      </x:c>
      <x:c r="K1787" t="n">
        <x:v>46.2</x:v>
      </x:c>
      <x:c r="L1787" t="n">
        <x:v>43.2</x:v>
      </x:c>
      <x:c r="M1787" t="n">
        <x:v>48.2</x:v>
      </x:c>
      <x:c r="N1787" t="str">
        <x:v>Most Likely</x:v>
      </x:c>
      <x:c r="O1787" t="str">
        <x:v>Optimistic</x:v>
      </x:c>
    </x:row>
    <x:row r="1788">
      <x:c r="A1788" t="str">
        <x:v>PJT_1787</x:v>
      </x:c>
      <x:c r="B1788" t="n">
        <x:v>28332400</x:v>
      </x:c>
      <x:c r="C1788" t="n">
        <x:v>25863111</x:v>
      </x:c>
      <x:c r="D1788" t="n">
        <x:v>-2469289</x:v>
      </x:c>
      <x:c r="E1788" t="n">
        <x:v>-0.0872</x:v>
      </x:c>
      <x:c r="F1788" t="n">
        <x:v>670</x:v>
      </x:c>
      <x:c r="G1788" t="n">
        <x:v>655</x:v>
      </x:c>
      <x:c r="H1788" t="n">
        <x:v>-15</x:v>
      </x:c>
      <x:c r="I1788" t="n">
        <x:v>-0.0224</x:v>
      </x:c>
      <x:c r="J1788" t="str">
        <x:v>Low</x:v>
      </x:c>
      <x:c r="K1788" t="n">
        <x:v>37.3</x:v>
      </x:c>
      <x:c r="L1788" t="n">
        <x:v>35.5</x:v>
      </x:c>
      <x:c r="M1788" t="n">
        <x:v>33.4</x:v>
      </x:c>
      <x:c r="N1788" t="str">
        <x:v>Optimistic</x:v>
      </x:c>
      <x:c r="O1788" t="str">
        <x:v>Optimistic</x:v>
      </x:c>
    </x:row>
    <x:row r="1789">
      <x:c r="A1789" t="str">
        <x:v>PJT_1788</x:v>
      </x:c>
      <x:c r="B1789" t="n">
        <x:v>40297400</x:v>
      </x:c>
      <x:c r="C1789" t="n">
        <x:v>40982372</x:v>
      </x:c>
      <x:c r="D1789" t="n">
        <x:v>684972</x:v>
      </x:c>
      <x:c r="E1789" t="n">
        <x:v>0.017</x:v>
      </x:c>
      <x:c r="F1789" t="n">
        <x:v>719</x:v>
      </x:c>
      <x:c r="G1789" t="n">
        <x:v>729</x:v>
      </x:c>
      <x:c r="H1789" t="n">
        <x:v>10</x:v>
      </x:c>
      <x:c r="I1789" t="n">
        <x:v>0.0139</x:v>
      </x:c>
      <x:c r="J1789" t="str">
        <x:v>Medium</x:v>
      </x:c>
      <x:c r="K1789" t="n">
        <x:v>45.8</x:v>
      </x:c>
      <x:c r="L1789" t="n">
        <x:v>42.3</x:v>
      </x:c>
      <x:c r="M1789" t="n">
        <x:v>48.4</x:v>
      </x:c>
      <x:c r="N1789" t="str">
        <x:v>Most Likely</x:v>
      </x:c>
      <x:c r="O1789" t="str">
        <x:v>Most Likely</x:v>
      </x:c>
    </x:row>
    <x:row r="1790">
      <x:c r="A1790" t="str">
        <x:v>PJT_1789</x:v>
      </x:c>
      <x:c r="B1790" t="n">
        <x:v>55288650</x:v>
      </x:c>
      <x:c r="C1790" t="n">
        <x:v>56170445</x:v>
      </x:c>
      <x:c r="D1790" t="n">
        <x:v>881795</x:v>
      </x:c>
      <x:c r="E1790" t="n">
        <x:v>0.0159</x:v>
      </x:c>
      <x:c r="F1790" t="n">
        <x:v>1074</x:v>
      </x:c>
      <x:c r="G1790" t="n">
        <x:v>1021</x:v>
      </x:c>
      <x:c r="H1790" t="n">
        <x:v>-53</x:v>
      </x:c>
      <x:c r="I1790" t="n">
        <x:v>-0.0493</x:v>
      </x:c>
      <x:c r="J1790" t="str">
        <x:v>Low</x:v>
      </x:c>
      <x:c r="K1790" t="n">
        <x:v>38.6</x:v>
      </x:c>
      <x:c r="L1790" t="n">
        <x:v>41</x:v>
      </x:c>
      <x:c r="M1790" t="n">
        <x:v>42.6</x:v>
      </x:c>
      <x:c r="N1790" t="str">
        <x:v>Most Likely</x:v>
      </x:c>
      <x:c r="O1790" t="str">
        <x:v>Optimistic</x:v>
      </x:c>
    </x:row>
    <x:row r="1791">
      <x:c r="A1791" t="str">
        <x:v>PJT_1790</x:v>
      </x:c>
      <x:c r="B1791" t="n">
        <x:v>23427540</x:v>
      </x:c>
      <x:c r="C1791" t="n">
        <x:v>21736152</x:v>
      </x:c>
      <x:c r="D1791" t="n">
        <x:v>-1691388</x:v>
      </x:c>
      <x:c r="E1791" t="n">
        <x:v>-0.0722</x:v>
      </x:c>
      <x:c r="F1791" t="n">
        <x:v>407</x:v>
      </x:c>
      <x:c r="G1791" t="n">
        <x:v>407</x:v>
      </x:c>
      <x:c r="H1791" t="n">
        <x:v>0</x:v>
      </x:c>
      <x:c r="I1791" t="n">
        <x:v>0</x:v>
      </x:c>
      <x:c r="J1791" t="str">
        <x:v>Low</x:v>
      </x:c>
      <x:c r="K1791" t="n">
        <x:v>29.6</x:v>
      </x:c>
      <x:c r="L1791" t="n">
        <x:v>25.6</x:v>
      </x:c>
      <x:c r="M1791" t="n">
        <x:v>23.2</x:v>
      </x:c>
      <x:c r="N1791" t="str">
        <x:v>Optimistic</x:v>
      </x:c>
      <x:c r="O1791" t="str">
        <x:v>Optimistic</x:v>
      </x:c>
    </x:row>
    <x:row r="1792">
      <x:c r="A1792" t="str">
        <x:v>PJT_1791</x:v>
      </x:c>
      <x:c r="B1792" t="n">
        <x:v>13963950</x:v>
      </x:c>
      <x:c r="C1792" t="n">
        <x:v>14871776</x:v>
      </x:c>
      <x:c r="D1792" t="n">
        <x:v>907826</x:v>
      </x:c>
      <x:c r="E1792" t="n">
        <x:v>0.065</x:v>
      </x:c>
      <x:c r="F1792" t="n">
        <x:v>342</x:v>
      </x:c>
      <x:c r="G1792" t="n">
        <x:v>346</x:v>
      </x:c>
      <x:c r="H1792" t="n">
        <x:v>4</x:v>
      </x:c>
      <x:c r="I1792" t="n">
        <x:v>0.0117</x:v>
      </x:c>
      <x:c r="J1792" t="str">
        <x:v>Low</x:v>
      </x:c>
      <x:c r="K1792" t="n">
        <x:v>36.8</x:v>
      </x:c>
      <x:c r="L1792" t="n">
        <x:v>42.4</x:v>
      </x:c>
      <x:c r="M1792" t="n">
        <x:v>36.7</x:v>
      </x:c>
      <x:c r="N1792" t="str">
        <x:v>Most Likely</x:v>
      </x:c>
      <x:c r="O1792" t="str">
        <x:v>Most Likely</x:v>
      </x:c>
    </x:row>
    <x:row r="1793">
      <x:c r="A1793" t="str">
        <x:v>PJT_1792</x:v>
      </x:c>
      <x:c r="B1793" t="n">
        <x:v>77437120</x:v>
      </x:c>
      <x:c r="C1793" t="n">
        <x:v>83790437</x:v>
      </x:c>
      <x:c r="D1793" t="n">
        <x:v>6353317</x:v>
      </x:c>
      <x:c r="E1793" t="n">
        <x:v>0.082</x:v>
      </x:c>
      <x:c r="F1793" t="n">
        <x:v>1577</x:v>
      </x:c>
      <x:c r="G1793" t="n">
        <x:v>1721</x:v>
      </x:c>
      <x:c r="H1793" t="n">
        <x:v>144</x:v>
      </x:c>
      <x:c r="I1793" t="n">
        <x:v>0.0913</x:v>
      </x:c>
      <x:c r="J1793" t="str">
        <x:v>Medium</x:v>
      </x:c>
      <x:c r="K1793" t="n">
        <x:v>62.3</x:v>
      </x:c>
      <x:c r="L1793" t="n">
        <x:v>60.9</x:v>
      </x:c>
      <x:c r="M1793" t="n">
        <x:v>59</x:v>
      </x:c>
      <x:c r="N1793" t="str">
        <x:v>Most Likely</x:v>
      </x:c>
      <x:c r="O1793" t="str">
        <x:v>Most Likely</x:v>
      </x:c>
    </x:row>
    <x:row r="1794">
      <x:c r="A1794" t="str">
        <x:v>PJT_1793</x:v>
      </x:c>
      <x:c r="B1794" t="n">
        <x:v>31997550</x:v>
      </x:c>
      <x:c r="C1794" t="n">
        <x:v>32726811</x:v>
      </x:c>
      <x:c r="D1794" t="n">
        <x:v>729261</x:v>
      </x:c>
      <x:c r="E1794" t="n">
        <x:v>0.0228</x:v>
      </x:c>
      <x:c r="F1794" t="n">
        <x:v>607</x:v>
      </x:c>
      <x:c r="G1794" t="n">
        <x:v>631</x:v>
      </x:c>
      <x:c r="H1794" t="n">
        <x:v>24</x:v>
      </x:c>
      <x:c r="I1794" t="n">
        <x:v>0.0395</x:v>
      </x:c>
      <x:c r="J1794" t="str">
        <x:v>Low</x:v>
      </x:c>
      <x:c r="K1794" t="n">
        <x:v>42.7</x:v>
      </x:c>
      <x:c r="L1794" t="n">
        <x:v>49.9</x:v>
      </x:c>
      <x:c r="M1794" t="n">
        <x:v>39</x:v>
      </x:c>
      <x:c r="N1794" t="str">
        <x:v>Most Likely</x:v>
      </x:c>
      <x:c r="O1794" t="str">
        <x:v>Most Likely</x:v>
      </x:c>
    </x:row>
    <x:row r="1795">
      <x:c r="A1795" t="str">
        <x:v>PJT_1794</x:v>
      </x:c>
      <x:c r="B1795" t="n">
        <x:v>36433920</x:v>
      </x:c>
      <x:c r="C1795" t="n">
        <x:v>37596391</x:v>
      </x:c>
      <x:c r="D1795" t="n">
        <x:v>1162471</x:v>
      </x:c>
      <x:c r="E1795" t="n">
        <x:v>0.0319</x:v>
      </x:c>
      <x:c r="F1795" t="n">
        <x:v>648</x:v>
      </x:c>
      <x:c r="G1795" t="n">
        <x:v>683</x:v>
      </x:c>
      <x:c r="H1795" t="n">
        <x:v>35</x:v>
      </x:c>
      <x:c r="I1795" t="n">
        <x:v>0.054</x:v>
      </x:c>
      <x:c r="J1795" t="str">
        <x:v>Medium</x:v>
      </x:c>
      <x:c r="K1795" t="n">
        <x:v>47.7</x:v>
      </x:c>
      <x:c r="L1795" t="n">
        <x:v>51.6</x:v>
      </x:c>
      <x:c r="M1795" t="n">
        <x:v>49</x:v>
      </x:c>
      <x:c r="N1795" t="str">
        <x:v>Most Likely</x:v>
      </x:c>
      <x:c r="O1795" t="str">
        <x:v>Most Likely</x:v>
      </x:c>
    </x:row>
    <x:row r="1796">
      <x:c r="A1796" t="str">
        <x:v>PJT_1795</x:v>
      </x:c>
      <x:c r="B1796" t="n">
        <x:v>56184810</x:v>
      </x:c>
      <x:c r="C1796" t="n">
        <x:v>61300498</x:v>
      </x:c>
      <x:c r="D1796" t="n">
        <x:v>5115688</x:v>
      </x:c>
      <x:c r="E1796" t="n">
        <x:v>0.0911</x:v>
      </x:c>
      <x:c r="F1796" t="n">
        <x:v>1087</x:v>
      </x:c>
      <x:c r="G1796" t="n">
        <x:v>1175</x:v>
      </x:c>
      <x:c r="H1796" t="n">
        <x:v>88</x:v>
      </x:c>
      <x:c r="I1796" t="n">
        <x:v>0.081</x:v>
      </x:c>
      <x:c r="J1796" t="str">
        <x:v>Medium</x:v>
      </x:c>
      <x:c r="K1796" t="n">
        <x:v>51.4</x:v>
      </x:c>
      <x:c r="L1796" t="n">
        <x:v>56.8</x:v>
      </x:c>
      <x:c r="M1796" t="n">
        <x:v>56</x:v>
      </x:c>
      <x:c r="N1796" t="str">
        <x:v>Most Likely</x:v>
      </x:c>
      <x:c r="O1796" t="str">
        <x:v>Most Likely</x:v>
      </x:c>
    </x:row>
    <x:row r="1797">
      <x:c r="A1797" t="str">
        <x:v>PJT_1796</x:v>
      </x:c>
      <x:c r="B1797" t="n">
        <x:v>73353280</x:v>
      </x:c>
      <x:c r="C1797" t="n">
        <x:v>74538671</x:v>
      </x:c>
      <x:c r="D1797" t="n">
        <x:v>1185391</x:v>
      </x:c>
      <x:c r="E1797" t="n">
        <x:v>0.0162</x:v>
      </x:c>
      <x:c r="F1797" t="n">
        <x:v>1373</x:v>
      </x:c>
      <x:c r="G1797" t="n">
        <x:v>1461</x:v>
      </x:c>
      <x:c r="H1797" t="n">
        <x:v>88</x:v>
      </x:c>
      <x:c r="I1797" t="n">
        <x:v>0.0641</x:v>
      </x:c>
      <x:c r="J1797" t="str">
        <x:v>Medium</x:v>
      </x:c>
      <x:c r="K1797" t="n">
        <x:v>53</x:v>
      </x:c>
      <x:c r="L1797" t="n">
        <x:v>58.9</x:v>
      </x:c>
      <x:c r="M1797" t="n">
        <x:v>53.6</x:v>
      </x:c>
      <x:c r="N1797" t="str">
        <x:v>Most Likely</x:v>
      </x:c>
      <x:c r="O1797" t="str">
        <x:v>Most Likely</x:v>
      </x:c>
    </x:row>
    <x:row r="1798">
      <x:c r="A1798" t="str">
        <x:v>PJT_1797</x:v>
      </x:c>
      <x:c r="B1798" t="n">
        <x:v>67971540</x:v>
      </x:c>
      <x:c r="C1798" t="n">
        <x:v>72409492</x:v>
      </x:c>
      <x:c r="D1798" t="n">
        <x:v>4437952</x:v>
      </x:c>
      <x:c r="E1798" t="n">
        <x:v>0.0653</x:v>
      </x:c>
      <x:c r="F1798" t="n">
        <x:v>1209</x:v>
      </x:c>
      <x:c r="G1798" t="n">
        <x:v>1268</x:v>
      </x:c>
      <x:c r="H1798" t="n">
        <x:v>59</x:v>
      </x:c>
      <x:c r="I1798" t="n">
        <x:v>0.0488</x:v>
      </x:c>
      <x:c r="J1798" t="str">
        <x:v>Medium</x:v>
      </x:c>
      <x:c r="K1798" t="n">
        <x:v>53.2</x:v>
      </x:c>
      <x:c r="L1798" t="n">
        <x:v>52.1</x:v>
      </x:c>
      <x:c r="M1798" t="n">
        <x:v>50.3</x:v>
      </x:c>
      <x:c r="N1798" t="str">
        <x:v>Most Likely</x:v>
      </x:c>
      <x:c r="O1798" t="str">
        <x:v>Most Likely</x:v>
      </x:c>
    </x:row>
    <x:row r="1799">
      <x:c r="A1799" t="str">
        <x:v>PJT_1798</x:v>
      </x:c>
      <x:c r="B1799" t="n">
        <x:v>12447600</x:v>
      </x:c>
      <x:c r="C1799" t="n">
        <x:v>12421941</x:v>
      </x:c>
      <x:c r="D1799" t="n">
        <x:v>-25659</x:v>
      </x:c>
      <x:c r="E1799" t="n">
        <x:v>-0.0021</x:v>
      </x:c>
      <x:c r="F1799" t="n">
        <x:v>306</x:v>
      </x:c>
      <x:c r="G1799" t="n">
        <x:v>305</x:v>
      </x:c>
      <x:c r="H1799" t="n">
        <x:v>-1</x:v>
      </x:c>
      <x:c r="I1799" t="n">
        <x:v>-0.0033</x:v>
      </x:c>
      <x:c r="J1799" t="str">
        <x:v>Low</x:v>
      </x:c>
      <x:c r="K1799" t="n">
        <x:v>24</x:v>
      </x:c>
      <x:c r="L1799" t="n">
        <x:v>22</x:v>
      </x:c>
      <x:c r="M1799" t="n">
        <x:v>26.1</x:v>
      </x:c>
      <x:c r="N1799" t="str">
        <x:v>Optimistic</x:v>
      </x:c>
      <x:c r="O1799" t="str">
        <x:v>Optimistic</x:v>
      </x:c>
    </x:row>
    <x:row r="1800">
      <x:c r="A1800" t="str">
        <x:v>PJT_1799</x:v>
      </x:c>
      <x:c r="B1800" t="n">
        <x:v>13009300</x:v>
      </x:c>
      <x:c r="C1800" t="n">
        <x:v>13348807</x:v>
      </x:c>
      <x:c r="D1800" t="n">
        <x:v>339507</x:v>
      </x:c>
      <x:c r="E1800" t="n">
        <x:v>0.0261</x:v>
      </x:c>
      <x:c r="F1800" t="n">
        <x:v>231</x:v>
      </x:c>
      <x:c r="G1800" t="n">
        <x:v>222</x:v>
      </x:c>
      <x:c r="H1800" t="n">
        <x:v>-9</x:v>
      </x:c>
      <x:c r="I1800" t="n">
        <x:v>-0.039</x:v>
      </x:c>
      <x:c r="J1800" t="str">
        <x:v>Low</x:v>
      </x:c>
      <x:c r="K1800" t="n">
        <x:v>26</x:v>
      </x:c>
      <x:c r="L1800" t="n">
        <x:v>26.5</x:v>
      </x:c>
      <x:c r="M1800" t="n">
        <x:v>24.3</x:v>
      </x:c>
      <x:c r="N1800" t="str">
        <x:v>Most Likely</x:v>
      </x:c>
      <x:c r="O1800" t="str">
        <x:v>Optimistic</x:v>
      </x:c>
    </x:row>
    <x:row r="1801">
      <x:c r="A1801" t="str">
        <x:v>PJT_1800</x:v>
      </x:c>
      <x:c r="B1801" t="n">
        <x:v>40329240</x:v>
      </x:c>
      <x:c r="C1801" t="n">
        <x:v>43201167</x:v>
      </x:c>
      <x:c r="D1801" t="n">
        <x:v>2871927</x:v>
      </x:c>
      <x:c r="E1801" t="n">
        <x:v>0.0712</x:v>
      </x:c>
      <x:c r="F1801" t="n">
        <x:v>713</x:v>
      </x:c>
      <x:c r="G1801" t="n">
        <x:v>742</x:v>
      </x:c>
      <x:c r="H1801" t="n">
        <x:v>29</x:v>
      </x:c>
      <x:c r="I1801" t="n">
        <x:v>0.0407</x:v>
      </x:c>
      <x:c r="J1801" t="str">
        <x:v>Medium</x:v>
      </x:c>
      <x:c r="K1801" t="n">
        <x:v>50.2</x:v>
      </x:c>
      <x:c r="L1801" t="n">
        <x:v>55.6</x:v>
      </x:c>
      <x:c r="M1801" t="n">
        <x:v>45.8</x:v>
      </x:c>
      <x:c r="N1801" t="str">
        <x:v>Most Likely</x:v>
      </x:c>
      <x:c r="O1801" t="str">
        <x:v>Most Likely</x:v>
      </x:c>
    </x:row>
    <x:row r="1802">
      <x:c r="A1802" t="str">
        <x:v>PJT_1801</x:v>
      </x:c>
      <x:c r="B1802" t="n">
        <x:v>32742360</x:v>
      </x:c>
      <x:c r="C1802" t="n">
        <x:v>32777352</x:v>
      </x:c>
      <x:c r="D1802" t="n">
        <x:v>34992</x:v>
      </x:c>
      <x:c r="E1802" t="n">
        <x:v>0.0011</x:v>
      </x:c>
      <x:c r="F1802" t="n">
        <x:v>841</x:v>
      </x:c>
      <x:c r="G1802" t="n">
        <x:v>856</x:v>
      </x:c>
      <x:c r="H1802" t="n">
        <x:v>15</x:v>
      </x:c>
      <x:c r="I1802" t="n">
        <x:v>0.0178</x:v>
      </x:c>
      <x:c r="J1802" t="str">
        <x:v>Medium</x:v>
      </x:c>
      <x:c r="K1802" t="n">
        <x:v>49.9</x:v>
      </x:c>
      <x:c r="L1802" t="n">
        <x:v>47.2</x:v>
      </x:c>
      <x:c r="M1802" t="n">
        <x:v>49.4</x:v>
      </x:c>
      <x:c r="N1802" t="str">
        <x:v>Most Likely</x:v>
      </x:c>
      <x:c r="O1802" t="str">
        <x:v>Most Likely</x:v>
      </x:c>
    </x:row>
    <x:row r="1803">
      <x:c r="A1803" t="str">
        <x:v>PJT_1802</x:v>
      </x:c>
      <x:c r="B1803" t="n">
        <x:v>11828280</x:v>
      </x:c>
      <x:c r="C1803" t="n">
        <x:v>11726867</x:v>
      </x:c>
      <x:c r="D1803" t="n">
        <x:v>-101413</x:v>
      </x:c>
      <x:c r="E1803" t="n">
        <x:v>-0.0086</x:v>
      </x:c>
      <x:c r="F1803" t="n">
        <x:v>290</x:v>
      </x:c>
      <x:c r="G1803" t="n">
        <x:v>290</x:v>
      </x:c>
      <x:c r="H1803" t="n">
        <x:v>0</x:v>
      </x:c>
      <x:c r="I1803" t="n">
        <x:v>0</x:v>
      </x:c>
      <x:c r="J1803" t="str">
        <x:v>Low</x:v>
      </x:c>
      <x:c r="K1803" t="n">
        <x:v>24</x:v>
      </x:c>
      <x:c r="L1803" t="n">
        <x:v>22</x:v>
      </x:c>
      <x:c r="M1803" t="n">
        <x:v>22</x:v>
      </x:c>
      <x:c r="N1803" t="str">
        <x:v>Optimistic</x:v>
      </x:c>
      <x:c r="O1803" t="str">
        <x:v>Optimistic</x:v>
      </x:c>
    </x:row>
    <x:row r="1804">
      <x:c r="A1804" t="str">
        <x:v>PJT_1803</x:v>
      </x:c>
      <x:c r="B1804" t="n">
        <x:v>39431850</x:v>
      </x:c>
      <x:c r="C1804" t="n">
        <x:v>42170906</x:v>
      </x:c>
      <x:c r="D1804" t="n">
        <x:v>2739056</x:v>
      </x:c>
      <x:c r="E1804" t="n">
        <x:v>0.0695</x:v>
      </x:c>
      <x:c r="F1804" t="n">
        <x:v>690</x:v>
      </x:c>
      <x:c r="G1804" t="n">
        <x:v>765</x:v>
      </x:c>
      <x:c r="H1804" t="n">
        <x:v>75</x:v>
      </x:c>
      <x:c r="I1804" t="n">
        <x:v>0.1087</x:v>
      </x:c>
      <x:c r="J1804" t="str">
        <x:v>Medium</x:v>
      </x:c>
      <x:c r="K1804" t="n">
        <x:v>60.8</x:v>
      </x:c>
      <x:c r="L1804" t="n">
        <x:v>58.4</x:v>
      </x:c>
      <x:c r="M1804" t="n">
        <x:v>59.1</x:v>
      </x:c>
      <x:c r="N1804" t="str">
        <x:v>Most Likely</x:v>
      </x:c>
      <x:c r="O1804" t="str">
        <x:v>Pessimistic</x:v>
      </x:c>
    </x:row>
    <x:row r="1805">
      <x:c r="A1805" t="str">
        <x:v>PJT_1804</x:v>
      </x:c>
      <x:c r="B1805" t="n">
        <x:v>28169480</x:v>
      </x:c>
      <x:c r="C1805" t="n">
        <x:v>30531653</x:v>
      </x:c>
      <x:c r="D1805" t="n">
        <x:v>2362173</x:v>
      </x:c>
      <x:c r="E1805" t="n">
        <x:v>0.0839</x:v>
      </x:c>
      <x:c r="F1805" t="n">
        <x:v>704</x:v>
      </x:c>
      <x:c r="G1805" t="n">
        <x:v>720</x:v>
      </x:c>
      <x:c r="H1805" t="n">
        <x:v>16</x:v>
      </x:c>
      <x:c r="I1805" t="n">
        <x:v>0.0227</x:v>
      </x:c>
      <x:c r="J1805" t="str">
        <x:v>Low</x:v>
      </x:c>
      <x:c r="K1805" t="n">
        <x:v>41.4</x:v>
      </x:c>
      <x:c r="L1805" t="n">
        <x:v>41</x:v>
      </x:c>
      <x:c r="M1805" t="n">
        <x:v>38.5</x:v>
      </x:c>
      <x:c r="N1805" t="str">
        <x:v>Most Likely</x:v>
      </x:c>
      <x:c r="O1805" t="str">
        <x:v>Most Likely</x:v>
      </x:c>
    </x:row>
    <x:row r="1806">
      <x:c r="A1806" t="str">
        <x:v>PJT_1805</x:v>
      </x:c>
      <x:c r="B1806" t="n">
        <x:v>51293120</x:v>
      </x:c>
      <x:c r="C1806" t="n">
        <x:v>53901163</x:v>
      </x:c>
      <x:c r="D1806" t="n">
        <x:v>2608043</x:v>
      </x:c>
      <x:c r="E1806" t="n">
        <x:v>0.0508</x:v>
      </x:c>
      <x:c r="F1806" t="n">
        <x:v>1025</x:v>
      </x:c>
      <x:c r="G1806" t="n">
        <x:v>1049</x:v>
      </x:c>
      <x:c r="H1806" t="n">
        <x:v>24</x:v>
      </x:c>
      <x:c r="I1806" t="n">
        <x:v>0.0234</x:v>
      </x:c>
      <x:c r="J1806" t="str">
        <x:v>Low</x:v>
      </x:c>
      <x:c r="K1806" t="n">
        <x:v>43.3</x:v>
      </x:c>
      <x:c r="L1806" t="n">
        <x:v>52.7</x:v>
      </x:c>
      <x:c r="M1806" t="n">
        <x:v>42.1</x:v>
      </x:c>
      <x:c r="N1806" t="str">
        <x:v>Most Likely</x:v>
      </x:c>
      <x:c r="O1806" t="str">
        <x:v>Most Likely</x:v>
      </x:c>
    </x:row>
    <x:row r="1807">
      <x:c r="A1807" t="str">
        <x:v>PJT_1806</x:v>
      </x:c>
      <x:c r="B1807" t="n">
        <x:v>11679150</x:v>
      </x:c>
      <x:c r="C1807" t="n">
        <x:v>11938536</x:v>
      </x:c>
      <x:c r="D1807" t="n">
        <x:v>259386</x:v>
      </x:c>
      <x:c r="E1807" t="n">
        <x:v>0.0222</x:v>
      </x:c>
      <x:c r="F1807" t="n">
        <x:v>224</x:v>
      </x:c>
      <x:c r="G1807" t="n">
        <x:v>219</x:v>
      </x:c>
      <x:c r="H1807" t="n">
        <x:v>-5</x:v>
      </x:c>
      <x:c r="I1807" t="n">
        <x:v>-0.0223</x:v>
      </x:c>
      <x:c r="J1807" t="str">
        <x:v>Low</x:v>
      </x:c>
      <x:c r="K1807" t="n">
        <x:v>28.4</x:v>
      </x:c>
      <x:c r="L1807" t="n">
        <x:v>27.8</x:v>
      </x:c>
      <x:c r="M1807" t="n">
        <x:v>33</x:v>
      </x:c>
      <x:c r="N1807" t="str">
        <x:v>Most Likely</x:v>
      </x:c>
      <x:c r="O1807" t="str">
        <x:v>Optimistic</x:v>
      </x:c>
    </x:row>
    <x:row r="1808">
      <x:c r="A1808" t="str">
        <x:v>PJT_1807</x:v>
      </x:c>
      <x:c r="B1808" t="n">
        <x:v>79802400</x:v>
      </x:c>
      <x:c r="C1808" t="n">
        <x:v>88023621</x:v>
      </x:c>
      <x:c r="D1808" t="n">
        <x:v>8221221</x:v>
      </x:c>
      <x:c r="E1808" t="n">
        <x:v>0.103</x:v>
      </x:c>
      <x:c r="F1808" t="n">
        <x:v>1380</x:v>
      </x:c>
      <x:c r="G1808" t="n">
        <x:v>1510</x:v>
      </x:c>
      <x:c r="H1808" t="n">
        <x:v>130</x:v>
      </x:c>
      <x:c r="I1808" t="n">
        <x:v>0.0942</x:v>
      </x:c>
      <x:c r="J1808" t="str">
        <x:v>Medium</x:v>
      </x:c>
      <x:c r="K1808" t="n">
        <x:v>65.7</x:v>
      </x:c>
      <x:c r="L1808" t="n">
        <x:v>64.7</x:v>
      </x:c>
      <x:c r="M1808" t="n">
        <x:v>63.4</x:v>
      </x:c>
      <x:c r="N1808" t="str">
        <x:v>Pessimistic</x:v>
      </x:c>
      <x:c r="O1808" t="str">
        <x:v>Most Likely</x:v>
      </x:c>
    </x:row>
    <x:row r="1809">
      <x:c r="A1809" t="str">
        <x:v>PJT_1808</x:v>
      </x:c>
      <x:c r="B1809" t="n">
        <x:v>35176680</x:v>
      </x:c>
      <x:c r="C1809" t="n">
        <x:v>37159258</x:v>
      </x:c>
      <x:c r="D1809" t="n">
        <x:v>1982578</x:v>
      </x:c>
      <x:c r="E1809" t="n">
        <x:v>0.0564</x:v>
      </x:c>
      <x:c r="F1809" t="n">
        <x:v>840</x:v>
      </x:c>
      <x:c r="G1809" t="n">
        <x:v>871</x:v>
      </x:c>
      <x:c r="H1809" t="n">
        <x:v>31</x:v>
      </x:c>
      <x:c r="I1809" t="n">
        <x:v>0.0369</x:v>
      </x:c>
      <x:c r="J1809" t="str">
        <x:v>Medium</x:v>
      </x:c>
      <x:c r="K1809" t="n">
        <x:v>51.9</x:v>
      </x:c>
      <x:c r="L1809" t="n">
        <x:v>49.5</x:v>
      </x:c>
      <x:c r="M1809" t="n">
        <x:v>51.6</x:v>
      </x:c>
      <x:c r="N1809" t="str">
        <x:v>Most Likely</x:v>
      </x:c>
      <x:c r="O1809" t="str">
        <x:v>Most Likely</x:v>
      </x:c>
    </x:row>
    <x:row r="1810">
      <x:c r="A1810" t="str">
        <x:v>PJT_1809</x:v>
      </x:c>
      <x:c r="B1810" t="n">
        <x:v>12801320</x:v>
      </x:c>
      <x:c r="C1810" t="n">
        <x:v>12947435</x:v>
      </x:c>
      <x:c r="D1810" t="n">
        <x:v>146115</x:v>
      </x:c>
      <x:c r="E1810" t="n">
        <x:v>0.0114</x:v>
      </x:c>
      <x:c r="F1810" t="n">
        <x:v>303</x:v>
      </x:c>
      <x:c r="G1810" t="n">
        <x:v>293</x:v>
      </x:c>
      <x:c r="H1810" t="n">
        <x:v>-10</x:v>
      </x:c>
      <x:c r="I1810" t="n">
        <x:v>-0.033</x:v>
      </x:c>
      <x:c r="J1810" t="str">
        <x:v>Low</x:v>
      </x:c>
      <x:c r="K1810" t="n">
        <x:v>28.5</x:v>
      </x:c>
      <x:c r="L1810" t="n">
        <x:v>28.3</x:v>
      </x:c>
      <x:c r="M1810" t="n">
        <x:v>33.3</x:v>
      </x:c>
      <x:c r="N1810" t="str">
        <x:v>Most Likely</x:v>
      </x:c>
      <x:c r="O1810" t="str">
        <x:v>Optimistic</x:v>
      </x:c>
    </x:row>
    <x:row r="1811">
      <x:c r="A1811" t="str">
        <x:v>PJT_1810</x:v>
      </x:c>
      <x:c r="B1811" t="n">
        <x:v>46588540</x:v>
      </x:c>
      <x:c r="C1811" t="n">
        <x:v>49630434</x:v>
      </x:c>
      <x:c r="D1811" t="n">
        <x:v>3041894</x:v>
      </x:c>
      <x:c r="E1811" t="n">
        <x:v>0.0653</x:v>
      </x:c>
      <x:c r="F1811" t="n">
        <x:v>927</x:v>
      </x:c>
      <x:c r="G1811" t="n">
        <x:v>945</x:v>
      </x:c>
      <x:c r="H1811" t="n">
        <x:v>18</x:v>
      </x:c>
      <x:c r="I1811" t="n">
        <x:v>0.0194</x:v>
      </x:c>
      <x:c r="J1811" t="str">
        <x:v>Medium</x:v>
      </x:c>
      <x:c r="K1811" t="n">
        <x:v>59.3</x:v>
      </x:c>
      <x:c r="L1811" t="n">
        <x:v>57.8</x:v>
      </x:c>
      <x:c r="M1811" t="n">
        <x:v>59.4</x:v>
      </x:c>
      <x:c r="N1811" t="str">
        <x:v>Most Likely</x:v>
      </x:c>
      <x:c r="O1811" t="str">
        <x:v>Most Likely</x:v>
      </x:c>
    </x:row>
    <x:row r="1812">
      <x:c r="A1812" t="str">
        <x:v>PJT_1811</x:v>
      </x:c>
      <x:c r="B1812" t="n">
        <x:v>15641250</x:v>
      </x:c>
      <x:c r="C1812" t="n">
        <x:v>15076548</x:v>
      </x:c>
      <x:c r="D1812" t="n">
        <x:v>-564702</x:v>
      </x:c>
      <x:c r="E1812" t="n">
        <x:v>-0.0361</x:v>
      </x:c>
      <x:c r="F1812" t="n">
        <x:v>390</x:v>
      </x:c>
      <x:c r="G1812" t="n">
        <x:v>395</x:v>
      </x:c>
      <x:c r="H1812" t="n">
        <x:v>5</x:v>
      </x:c>
      <x:c r="I1812" t="n">
        <x:v>0.0128</x:v>
      </x:c>
      <x:c r="J1812" t="str">
        <x:v>Low</x:v>
      </x:c>
      <x:c r="K1812" t="n">
        <x:v>40.9</x:v>
      </x:c>
      <x:c r="L1812" t="n">
        <x:v>37</x:v>
      </x:c>
      <x:c r="M1812" t="n">
        <x:v>36.3</x:v>
      </x:c>
      <x:c r="N1812" t="str">
        <x:v>Optimistic</x:v>
      </x:c>
      <x:c r="O1812" t="str">
        <x:v>Most Likely</x:v>
      </x:c>
    </x:row>
    <x:row r="1813">
      <x:c r="A1813" t="str">
        <x:v>PJT_1812</x:v>
      </x:c>
      <x:c r="B1813" t="n">
        <x:v>20779160</x:v>
      </x:c>
      <x:c r="C1813" t="n">
        <x:v>20726052</x:v>
      </x:c>
      <x:c r="D1813" t="n">
        <x:v>-53108</x:v>
      </x:c>
      <x:c r="E1813" t="n">
        <x:v>-0.0026</x:v>
      </x:c>
      <x:c r="F1813" t="n">
        <x:v>580</x:v>
      </x:c>
      <x:c r="G1813" t="n">
        <x:v>565</x:v>
      </x:c>
      <x:c r="H1813" t="n">
        <x:v>-15</x:v>
      </x:c>
      <x:c r="I1813" t="n">
        <x:v>-0.0259</x:v>
      </x:c>
      <x:c r="J1813" t="str">
        <x:v>Low</x:v>
      </x:c>
      <x:c r="K1813" t="n">
        <x:v>44.7</x:v>
      </x:c>
      <x:c r="L1813" t="n">
        <x:v>42.6</x:v>
      </x:c>
      <x:c r="M1813" t="n">
        <x:v>44.7</x:v>
      </x:c>
      <x:c r="N1813" t="str">
        <x:v>Optimistic</x:v>
      </x:c>
      <x:c r="O1813" t="str">
        <x:v>Optimistic</x:v>
      </x:c>
    </x:row>
    <x:row r="1814">
      <x:c r="A1814" t="str">
        <x:v>PJT_1813</x:v>
      </x:c>
      <x:c r="B1814" t="n">
        <x:v>36673560</x:v>
      </x:c>
      <x:c r="C1814" t="n">
        <x:v>36873308</x:v>
      </x:c>
      <x:c r="D1814" t="n">
        <x:v>199748</x:v>
      </x:c>
      <x:c r="E1814" t="n">
        <x:v>0.0054</x:v>
      </x:c>
      <x:c r="F1814" t="n">
        <x:v>1023</x:v>
      </x:c>
      <x:c r="G1814" t="n">
        <x:v>1097</x:v>
      </x:c>
      <x:c r="H1814" t="n">
        <x:v>74</x:v>
      </x:c>
      <x:c r="I1814" t="n">
        <x:v>0.0723</x:v>
      </x:c>
      <x:c r="J1814" t="str">
        <x:v>Medium</x:v>
      </x:c>
      <x:c r="K1814" t="n">
        <x:v>49.5</x:v>
      </x:c>
      <x:c r="L1814" t="n">
        <x:v>44.9</x:v>
      </x:c>
      <x:c r="M1814" t="n">
        <x:v>49.5</x:v>
      </x:c>
      <x:c r="N1814" t="str">
        <x:v>Most Likely</x:v>
      </x:c>
      <x:c r="O1814" t="str">
        <x:v>Most Likely</x:v>
      </x:c>
    </x:row>
    <x:row r="1815">
      <x:c r="A1815" t="str">
        <x:v>PJT_1814</x:v>
      </x:c>
      <x:c r="B1815" t="n">
        <x:v>98712320</x:v>
      </x:c>
      <x:c r="C1815" t="n">
        <x:v>104313496</x:v>
      </x:c>
      <x:c r="D1815" t="n">
        <x:v>5601176</x:v>
      </x:c>
      <x:c r="E1815" t="n">
        <x:v>0.0567</x:v>
      </x:c>
      <x:c r="F1815" t="n">
        <x:v>1767</x:v>
      </x:c>
      <x:c r="G1815" t="n">
        <x:v>1926</x:v>
      </x:c>
      <x:c r="H1815" t="n">
        <x:v>159</x:v>
      </x:c>
      <x:c r="I1815" t="n">
        <x:v>0.09</x:v>
      </x:c>
      <x:c r="J1815" t="str">
        <x:v>Medium</x:v>
      </x:c>
      <x:c r="K1815" t="n">
        <x:v>60</x:v>
      </x:c>
      <x:c r="L1815" t="n">
        <x:v>61.4</x:v>
      </x:c>
      <x:c r="M1815" t="n">
        <x:v>52.3</x:v>
      </x:c>
      <x:c r="N1815" t="str">
        <x:v>Most Likely</x:v>
      </x:c>
      <x:c r="O1815" t="str">
        <x:v>Most Likely</x:v>
      </x:c>
    </x:row>
    <x:row r="1816">
      <x:c r="A1816" t="str">
        <x:v>PJT_1815</x:v>
      </x:c>
      <x:c r="B1816" t="n">
        <x:v>22471680</x:v>
      </x:c>
      <x:c r="C1816" t="n">
        <x:v>22854382</x:v>
      </x:c>
      <x:c r="D1816" t="n">
        <x:v>382702</x:v>
      </x:c>
      <x:c r="E1816" t="n">
        <x:v>0.017</x:v>
      </x:c>
      <x:c r="F1816" t="n">
        <x:v>594</x:v>
      </x:c>
      <x:c r="G1816" t="n">
        <x:v>626</x:v>
      </x:c>
      <x:c r="H1816" t="n">
        <x:v>32</x:v>
      </x:c>
      <x:c r="I1816" t="n">
        <x:v>0.0539</x:v>
      </x:c>
      <x:c r="J1816" t="str">
        <x:v>Medium</x:v>
      </x:c>
      <x:c r="K1816" t="n">
        <x:v>47.3</x:v>
      </x:c>
      <x:c r="L1816" t="n">
        <x:v>47.5</x:v>
      </x:c>
      <x:c r="M1816" t="n">
        <x:v>47.9</x:v>
      </x:c>
      <x:c r="N1816" t="str">
        <x:v>Most Likely</x:v>
      </x:c>
      <x:c r="O1816" t="str">
        <x:v>Most Likely</x:v>
      </x:c>
    </x:row>
    <x:row r="1817">
      <x:c r="A1817" t="str">
        <x:v>PJT_1816</x:v>
      </x:c>
      <x:c r="B1817" t="n">
        <x:v>47813850</x:v>
      </x:c>
      <x:c r="C1817" t="n">
        <x:v>51129497</x:v>
      </x:c>
      <x:c r="D1817" t="n">
        <x:v>3315647</x:v>
      </x:c>
      <x:c r="E1817" t="n">
        <x:v>0.0693</x:v>
      </x:c>
      <x:c r="F1817" t="n">
        <x:v>1002</x:v>
      </x:c>
      <x:c r="G1817" t="n">
        <x:v>1010</x:v>
      </x:c>
      <x:c r="H1817" t="n">
        <x:v>8</x:v>
      </x:c>
      <x:c r="I1817" t="n">
        <x:v>0.008</x:v>
      </x:c>
      <x:c r="J1817" t="str">
        <x:v>Medium</x:v>
      </x:c>
      <x:c r="K1817" t="n">
        <x:v>62.2</x:v>
      </x:c>
      <x:c r="L1817" t="n">
        <x:v>59.2</x:v>
      </x:c>
      <x:c r="M1817" t="n">
        <x:v>62.3</x:v>
      </x:c>
      <x:c r="N1817" t="str">
        <x:v>Most Likely</x:v>
      </x:c>
      <x:c r="O1817" t="str">
        <x:v>Most Likely</x:v>
      </x:c>
    </x:row>
    <x:row r="1818">
      <x:c r="A1818" t="str">
        <x:v>PJT_1817</x:v>
      </x:c>
      <x:c r="B1818" t="n">
        <x:v>14960400</x:v>
      </x:c>
      <x:c r="C1818" t="n">
        <x:v>15010152</x:v>
      </x:c>
      <x:c r="D1818" t="n">
        <x:v>49752</x:v>
      </x:c>
      <x:c r="E1818" t="n">
        <x:v>0.0033</x:v>
      </x:c>
      <x:c r="F1818" t="n">
        <x:v>268</x:v>
      </x:c>
      <x:c r="G1818" t="n">
        <x:v>278</x:v>
      </x:c>
      <x:c r="H1818" t="n">
        <x:v>10</x:v>
      </x:c>
      <x:c r="I1818" t="n">
        <x:v>0.0373</x:v>
      </x:c>
      <x:c r="J1818" t="str">
        <x:v>Low</x:v>
      </x:c>
      <x:c r="K1818" t="n">
        <x:v>33.2</x:v>
      </x:c>
      <x:c r="L1818" t="n">
        <x:v>40</x:v>
      </x:c>
      <x:c r="M1818" t="n">
        <x:v>36.9</x:v>
      </x:c>
      <x:c r="N1818" t="str">
        <x:v>Most Likely</x:v>
      </x:c>
      <x:c r="O1818" t="str">
        <x:v>Most Likely</x:v>
      </x:c>
    </x:row>
    <x:row r="1819">
      <x:c r="A1819" t="str">
        <x:v>PJT_1818</x:v>
      </x:c>
      <x:c r="B1819" t="n">
        <x:v>23791680</x:v>
      </x:c>
      <x:c r="C1819" t="n">
        <x:v>23563198</x:v>
      </x:c>
      <x:c r="D1819" t="n">
        <x:v>-228482</x:v>
      </x:c>
      <x:c r="E1819" t="n">
        <x:v>-0.0096</x:v>
      </x:c>
      <x:c r="F1819" t="n">
        <x:v>478</x:v>
      </x:c>
      <x:c r="G1819" t="n">
        <x:v>494</x:v>
      </x:c>
      <x:c r="H1819" t="n">
        <x:v>16</x:v>
      </x:c>
      <x:c r="I1819" t="n">
        <x:v>0.0335</x:v>
      </x:c>
      <x:c r="J1819" t="str">
        <x:v>Medium</x:v>
      </x:c>
      <x:c r="K1819" t="n">
        <x:v>48.9</x:v>
      </x:c>
      <x:c r="L1819" t="n">
        <x:v>47.2</x:v>
      </x:c>
      <x:c r="M1819" t="n">
        <x:v>48.8</x:v>
      </x:c>
      <x:c r="N1819" t="str">
        <x:v>Optimistic</x:v>
      </x:c>
      <x:c r="O1819" t="str">
        <x:v>Most Likely</x:v>
      </x:c>
    </x:row>
    <x:row r="1820">
      <x:c r="A1820" t="str">
        <x:v>PJT_1819</x:v>
      </x:c>
      <x:c r="B1820" t="n">
        <x:v>10704330</x:v>
      </x:c>
      <x:c r="C1820" t="n">
        <x:v>10301742</x:v>
      </x:c>
      <x:c r="D1820" t="n">
        <x:v>-402588</x:v>
      </x:c>
      <x:c r="E1820" t="n">
        <x:v>-0.0376</x:v>
      </x:c>
      <x:c r="F1820" t="n">
        <x:v>296</x:v>
      </x:c>
      <x:c r="G1820" t="n">
        <x:v>300</x:v>
      </x:c>
      <x:c r="H1820" t="n">
        <x:v>4</x:v>
      </x:c>
      <x:c r="I1820" t="n">
        <x:v>0.0135</x:v>
      </x:c>
      <x:c r="J1820" t="str">
        <x:v>Low</x:v>
      </x:c>
      <x:c r="K1820" t="n">
        <x:v>33.2</x:v>
      </x:c>
      <x:c r="L1820" t="n">
        <x:v>34.8</x:v>
      </x:c>
      <x:c r="M1820" t="n">
        <x:v>30.3</x:v>
      </x:c>
      <x:c r="N1820" t="str">
        <x:v>Optimistic</x:v>
      </x:c>
      <x:c r="O1820" t="str">
        <x:v>Most Likely</x:v>
      </x:c>
    </x:row>
    <x:row r="1821">
      <x:c r="A1821" t="str">
        <x:v>PJT_1820</x:v>
      </x:c>
      <x:c r="B1821" t="n">
        <x:v>24344320</x:v>
      </x:c>
      <x:c r="C1821" t="n">
        <x:v>25219659</x:v>
      </x:c>
      <x:c r="D1821" t="n">
        <x:v>875339</x:v>
      </x:c>
      <x:c r="E1821" t="n">
        <x:v>0.036</x:v>
      </x:c>
      <x:c r="F1821" t="n">
        <x:v>458</x:v>
      </x:c>
      <x:c r="G1821" t="n">
        <x:v>480</x:v>
      </x:c>
      <x:c r="H1821" t="n">
        <x:v>22</x:v>
      </x:c>
      <x:c r="I1821" t="n">
        <x:v>0.048</x:v>
      </x:c>
      <x:c r="J1821" t="str">
        <x:v>Low</x:v>
      </x:c>
      <x:c r="K1821" t="n">
        <x:v>41.2</x:v>
      </x:c>
      <x:c r="L1821" t="n">
        <x:v>40.2</x:v>
      </x:c>
      <x:c r="M1821" t="n">
        <x:v>40.7</x:v>
      </x:c>
      <x:c r="N1821" t="str">
        <x:v>Most Likely</x:v>
      </x:c>
      <x:c r="O1821" t="str">
        <x:v>Most Likely</x:v>
      </x:c>
    </x:row>
    <x:row r="1822">
      <x:c r="A1822" t="str">
        <x:v>PJT_1821</x:v>
      </x:c>
      <x:c r="B1822" t="n">
        <x:v>11551500</x:v>
      </x:c>
      <x:c r="C1822" t="n">
        <x:v>11291764</x:v>
      </x:c>
      <x:c r="D1822" t="n">
        <x:v>-259736</x:v>
      </x:c>
      <x:c r="E1822" t="n">
        <x:v>-0.0225</x:v>
      </x:c>
      <x:c r="F1822" t="n">
        <x:v>299</x:v>
      </x:c>
      <x:c r="G1822" t="n">
        <x:v>298</x:v>
      </x:c>
      <x:c r="H1822" t="n">
        <x:v>-1</x:v>
      </x:c>
      <x:c r="I1822" t="n">
        <x:v>-0.0033</x:v>
      </x:c>
      <x:c r="J1822" t="str">
        <x:v>Low</x:v>
      </x:c>
      <x:c r="K1822" t="n">
        <x:v>29.5</x:v>
      </x:c>
      <x:c r="L1822" t="n">
        <x:v>27.7</x:v>
      </x:c>
      <x:c r="M1822" t="n">
        <x:v>29.3</x:v>
      </x:c>
      <x:c r="N1822" t="str">
        <x:v>Optimistic</x:v>
      </x:c>
      <x:c r="O1822" t="str">
        <x:v>Optimistic</x:v>
      </x:c>
    </x:row>
    <x:row r="1823">
      <x:c r="A1823" t="str">
        <x:v>PJT_1822</x:v>
      </x:c>
      <x:c r="B1823" t="n">
        <x:v>57615660</x:v>
      </x:c>
      <x:c r="C1823" t="n">
        <x:v>60808749</x:v>
      </x:c>
      <x:c r="D1823" t="n">
        <x:v>3193089</x:v>
      </x:c>
      <x:c r="E1823" t="n">
        <x:v>0.0554</x:v>
      </x:c>
      <x:c r="F1823" t="n">
        <x:v>915</x:v>
      </x:c>
      <x:c r="G1823" t="n">
        <x:v>883</x:v>
      </x:c>
      <x:c r="H1823" t="n">
        <x:v>-32</x:v>
      </x:c>
      <x:c r="I1823" t="n">
        <x:v>-0.035</x:v>
      </x:c>
      <x:c r="J1823" t="str">
        <x:v>Medium</x:v>
      </x:c>
      <x:c r="K1823" t="n">
        <x:v>46.6</x:v>
      </x:c>
      <x:c r="L1823" t="n">
        <x:v>50.1</x:v>
      </x:c>
      <x:c r="M1823" t="n">
        <x:v>45.1</x:v>
      </x:c>
      <x:c r="N1823" t="str">
        <x:v>Most Likely</x:v>
      </x:c>
      <x:c r="O1823" t="str">
        <x:v>Optimistic</x:v>
      </x:c>
    </x:row>
    <x:row r="1824">
      <x:c r="A1824" t="str">
        <x:v>PJT_1823</x:v>
      </x:c>
      <x:c r="B1824" t="n">
        <x:v>10483340</x:v>
      </x:c>
      <x:c r="C1824" t="n">
        <x:v>10147760</x:v>
      </x:c>
      <x:c r="D1824" t="n">
        <x:v>-335580</x:v>
      </x:c>
      <x:c r="E1824" t="n">
        <x:v>-0.032</x:v>
      </x:c>
      <x:c r="F1824" t="n">
        <x:v>259</x:v>
      </x:c>
      <x:c r="G1824" t="n">
        <x:v>272</x:v>
      </x:c>
      <x:c r="H1824" t="n">
        <x:v>13</x:v>
      </x:c>
      <x:c r="I1824" t="n">
        <x:v>0.0502</x:v>
      </x:c>
      <x:c r="J1824" t="str">
        <x:v>Low</x:v>
      </x:c>
      <x:c r="K1824" t="n">
        <x:v>39.1</x:v>
      </x:c>
      <x:c r="L1824" t="n">
        <x:v>35.8</x:v>
      </x:c>
      <x:c r="M1824" t="n">
        <x:v>41.8</x:v>
      </x:c>
      <x:c r="N1824" t="str">
        <x:v>Optimistic</x:v>
      </x:c>
      <x:c r="O1824" t="str">
        <x:v>Most Likely</x:v>
      </x:c>
    </x:row>
    <x:row r="1825">
      <x:c r="A1825" t="str">
        <x:v>PJT_1824</x:v>
      </x:c>
      <x:c r="B1825" t="n">
        <x:v>21046720</x:v>
      </x:c>
      <x:c r="C1825" t="n">
        <x:v>19858326</x:v>
      </x:c>
      <x:c r="D1825" t="n">
        <x:v>-1188394</x:v>
      </x:c>
      <x:c r="E1825" t="n">
        <x:v>-0.0565</x:v>
      </x:c>
      <x:c r="F1825" t="n">
        <x:v>488</x:v>
      </x:c>
      <x:c r="G1825" t="n">
        <x:v>475</x:v>
      </x:c>
      <x:c r="H1825" t="n">
        <x:v>-13</x:v>
      </x:c>
      <x:c r="I1825" t="n">
        <x:v>-0.0266</x:v>
      </x:c>
      <x:c r="J1825" t="str">
        <x:v>Low</x:v>
      </x:c>
      <x:c r="K1825" t="n">
        <x:v>29.3</x:v>
      </x:c>
      <x:c r="L1825" t="n">
        <x:v>31</x:v>
      </x:c>
      <x:c r="M1825" t="n">
        <x:v>33.8</x:v>
      </x:c>
      <x:c r="N1825" t="str">
        <x:v>Optimistic</x:v>
      </x:c>
      <x:c r="O1825" t="str">
        <x:v>Optimistic</x:v>
      </x:c>
    </x:row>
    <x:row r="1826">
      <x:c r="A1826" t="str">
        <x:v>PJT_1825</x:v>
      </x:c>
      <x:c r="B1826" t="n">
        <x:v>29573880</x:v>
      </x:c>
      <x:c r="C1826" t="n">
        <x:v>29244538</x:v>
      </x:c>
      <x:c r="D1826" t="n">
        <x:v>-329342</x:v>
      </x:c>
      <x:c r="E1826" t="n">
        <x:v>-0.0111</x:v>
      </x:c>
      <x:c r="F1826" t="n">
        <x:v>535</x:v>
      </x:c>
      <x:c r="G1826" t="n">
        <x:v>544</x:v>
      </x:c>
      <x:c r="H1826" t="n">
        <x:v>9</x:v>
      </x:c>
      <x:c r="I1826" t="n">
        <x:v>0.0168</x:v>
      </x:c>
      <x:c r="J1826" t="str">
        <x:v>Low</x:v>
      </x:c>
      <x:c r="K1826" t="n">
        <x:v>41.1</x:v>
      </x:c>
      <x:c r="L1826" t="n">
        <x:v>42.7</x:v>
      </x:c>
      <x:c r="M1826" t="n">
        <x:v>40.9</x:v>
      </x:c>
      <x:c r="N1826" t="str">
        <x:v>Optimistic</x:v>
      </x:c>
      <x:c r="O1826" t="str">
        <x:v>Most Likely</x:v>
      </x:c>
    </x:row>
    <x:row r="1827">
      <x:c r="A1827" t="str">
        <x:v>PJT_1826</x:v>
      </x:c>
      <x:c r="B1827" t="n">
        <x:v>38391980</x:v>
      </x:c>
      <x:c r="C1827" t="n">
        <x:v>40806829</x:v>
      </x:c>
      <x:c r="D1827" t="n">
        <x:v>2414849</x:v>
      </x:c>
      <x:c r="E1827" t="n">
        <x:v>0.0629</x:v>
      </x:c>
      <x:c r="F1827" t="n">
        <x:v>661</x:v>
      </x:c>
      <x:c r="G1827" t="n">
        <x:v>675</x:v>
      </x:c>
      <x:c r="H1827" t="n">
        <x:v>14</x:v>
      </x:c>
      <x:c r="I1827" t="n">
        <x:v>0.0212</x:v>
      </x:c>
      <x:c r="J1827" t="str">
        <x:v>Medium</x:v>
      </x:c>
      <x:c r="K1827" t="n">
        <x:v>49.3</x:v>
      </x:c>
      <x:c r="L1827" t="n">
        <x:v>51.1</x:v>
      </x:c>
      <x:c r="M1827" t="n">
        <x:v>48.4</x:v>
      </x:c>
      <x:c r="N1827" t="str">
        <x:v>Most Likely</x:v>
      </x:c>
      <x:c r="O1827" t="str">
        <x:v>Most Likely</x:v>
      </x:c>
    </x:row>
    <x:row r="1828">
      <x:c r="A1828" t="str">
        <x:v>PJT_1827</x:v>
      </x:c>
      <x:c r="B1828" t="n">
        <x:v>90485400</x:v>
      </x:c>
      <x:c r="C1828" t="n">
        <x:v>98844152</x:v>
      </x:c>
      <x:c r="D1828" t="n">
        <x:v>8358752</x:v>
      </x:c>
      <x:c r="E1828" t="n">
        <x:v>0.0924</x:v>
      </x:c>
      <x:c r="F1828" t="n">
        <x:v>1606</x:v>
      </x:c>
      <x:c r="G1828" t="n">
        <x:v>1695</x:v>
      </x:c>
      <x:c r="H1828" t="n">
        <x:v>89</x:v>
      </x:c>
      <x:c r="I1828" t="n">
        <x:v>0.0554</x:v>
      </x:c>
      <x:c r="J1828" t="str">
        <x:v>Medium</x:v>
      </x:c>
      <x:c r="K1828" t="n">
        <x:v>59.5</x:v>
      </x:c>
      <x:c r="L1828" t="n">
        <x:v>54.8</x:v>
      </x:c>
      <x:c r="M1828" t="n">
        <x:v>59.1</x:v>
      </x:c>
      <x:c r="N1828" t="str">
        <x:v>Most Likely</x:v>
      </x:c>
      <x:c r="O1828" t="str">
        <x:v>Most Likely</x:v>
      </x:c>
    </x:row>
    <x:row r="1829">
      <x:c r="A1829" t="str">
        <x:v>PJT_1828</x:v>
      </x:c>
      <x:c r="B1829" t="n">
        <x:v>27468000</x:v>
      </x:c>
      <x:c r="C1829" t="n">
        <x:v>27040595</x:v>
      </x:c>
      <x:c r="D1829" t="n">
        <x:v>-427405</x:v>
      </x:c>
      <x:c r="E1829" t="n">
        <x:v>-0.0156</x:v>
      </x:c>
      <x:c r="F1829" t="n">
        <x:v>492</x:v>
      </x:c>
      <x:c r="G1829" t="n">
        <x:v>508</x:v>
      </x:c>
      <x:c r="H1829" t="n">
        <x:v>16</x:v>
      </x:c>
      <x:c r="I1829" t="n">
        <x:v>0.0325</x:v>
      </x:c>
      <x:c r="J1829" t="str">
        <x:v>Low</x:v>
      </x:c>
      <x:c r="K1829" t="n">
        <x:v>44.4</x:v>
      </x:c>
      <x:c r="L1829" t="n">
        <x:v>41.2</x:v>
      </x:c>
      <x:c r="M1829" t="n">
        <x:v>38.8</x:v>
      </x:c>
      <x:c r="N1829" t="str">
        <x:v>Optimistic</x:v>
      </x:c>
      <x:c r="O1829" t="str">
        <x:v>Most Likely</x:v>
      </x:c>
    </x:row>
    <x:row r="1830">
      <x:c r="A1830" t="str">
        <x:v>PJT_1829</x:v>
      </x:c>
      <x:c r="B1830" t="n">
        <x:v>23963040</x:v>
      </x:c>
      <x:c r="C1830" t="n">
        <x:v>24270433</x:v>
      </x:c>
      <x:c r="D1830" t="n">
        <x:v>307393</x:v>
      </x:c>
      <x:c r="E1830" t="n">
        <x:v>0.0128</x:v>
      </x:c>
      <x:c r="F1830" t="n">
        <x:v>601</x:v>
      </x:c>
      <x:c r="G1830" t="n">
        <x:v>609</x:v>
      </x:c>
      <x:c r="H1830" t="n">
        <x:v>8</x:v>
      </x:c>
      <x:c r="I1830" t="n">
        <x:v>0.0133</x:v>
      </x:c>
      <x:c r="J1830" t="str">
        <x:v>Medium</x:v>
      </x:c>
      <x:c r="K1830" t="n">
        <x:v>47.9</x:v>
      </x:c>
      <x:c r="L1830" t="n">
        <x:v>48.1</x:v>
      </x:c>
      <x:c r="M1830" t="n">
        <x:v>49.2</x:v>
      </x:c>
      <x:c r="N1830" t="str">
        <x:v>Most Likely</x:v>
      </x:c>
      <x:c r="O1830" t="str">
        <x:v>Most Likely</x:v>
      </x:c>
    </x:row>
    <x:row r="1831">
      <x:c r="A1831" t="str">
        <x:v>PJT_1830</x:v>
      </x:c>
      <x:c r="B1831" t="n">
        <x:v>55299870</x:v>
      </x:c>
      <x:c r="C1831" t="n">
        <x:v>58644630</x:v>
      </x:c>
      <x:c r="D1831" t="n">
        <x:v>3344760</x:v>
      </x:c>
      <x:c r="E1831" t="n">
        <x:v>0.0605</x:v>
      </x:c>
      <x:c r="F1831" t="n">
        <x:v>926</x:v>
      </x:c>
      <x:c r="G1831" t="n">
        <x:v>972</x:v>
      </x:c>
      <x:c r="H1831" t="n">
        <x:v>46</x:v>
      </x:c>
      <x:c r="I1831" t="n">
        <x:v>0.0497</x:v>
      </x:c>
      <x:c r="J1831" t="str">
        <x:v>Medium</x:v>
      </x:c>
      <x:c r="K1831" t="n">
        <x:v>54.1</x:v>
      </x:c>
      <x:c r="L1831" t="n">
        <x:v>55.7</x:v>
      </x:c>
      <x:c r="M1831" t="n">
        <x:v>52.1</x:v>
      </x:c>
      <x:c r="N1831" t="str">
        <x:v>Most Likely</x:v>
      </x:c>
      <x:c r="O1831" t="str">
        <x:v>Most Likely</x:v>
      </x:c>
    </x:row>
    <x:row r="1832">
      <x:c r="A1832" t="str">
        <x:v>PJT_1831</x:v>
      </x:c>
      <x:c r="B1832" t="n">
        <x:v>50793060</x:v>
      </x:c>
      <x:c r="C1832" t="n">
        <x:v>50850842</x:v>
      </x:c>
      <x:c r="D1832" t="n">
        <x:v>57782</x:v>
      </x:c>
      <x:c r="E1832" t="n">
        <x:v>0.0011</x:v>
      </x:c>
      <x:c r="F1832" t="n">
        <x:v>799</x:v>
      </x:c>
      <x:c r="G1832" t="n">
        <x:v>866</x:v>
      </x:c>
      <x:c r="H1832" t="n">
        <x:v>67</x:v>
      </x:c>
      <x:c r="I1832" t="n">
        <x:v>0.0839</x:v>
      </x:c>
      <x:c r="J1832" t="str">
        <x:v>Low</x:v>
      </x:c>
      <x:c r="K1832" t="n">
        <x:v>40.6</x:v>
      </x:c>
      <x:c r="L1832" t="n">
        <x:v>42.2</x:v>
      </x:c>
      <x:c r="M1832" t="n">
        <x:v>39</x:v>
      </x:c>
      <x:c r="N1832" t="str">
        <x:v>Most Likely</x:v>
      </x:c>
      <x:c r="O1832" t="str">
        <x:v>Most Likely</x:v>
      </x:c>
    </x:row>
    <x:row r="1833">
      <x:c r="A1833" t="str">
        <x:v>PJT_1832</x:v>
      </x:c>
      <x:c r="B1833" t="n">
        <x:v>44431880</x:v>
      </x:c>
      <x:c r="C1833" t="n">
        <x:v>45148459</x:v>
      </x:c>
      <x:c r="D1833" t="n">
        <x:v>716579</x:v>
      </x:c>
      <x:c r="E1833" t="n">
        <x:v>0.0161</x:v>
      </x:c>
      <x:c r="F1833" t="n">
        <x:v>755</x:v>
      </x:c>
      <x:c r="G1833" t="n">
        <x:v>797</x:v>
      </x:c>
      <x:c r="H1833" t="n">
        <x:v>42</x:v>
      </x:c>
      <x:c r="I1833" t="n">
        <x:v>0.0556</x:v>
      </x:c>
      <x:c r="J1833" t="str">
        <x:v>Medium</x:v>
      </x:c>
      <x:c r="K1833" t="n">
        <x:v>46.9</x:v>
      </x:c>
      <x:c r="L1833" t="n">
        <x:v>49.9</x:v>
      </x:c>
      <x:c r="M1833" t="n">
        <x:v>53.9</x:v>
      </x:c>
      <x:c r="N1833" t="str">
        <x:v>Most Likely</x:v>
      </x:c>
      <x:c r="O1833" t="str">
        <x:v>Most Likely</x:v>
      </x:c>
    </x:row>
    <x:row r="1834">
      <x:c r="A1834" t="str">
        <x:v>PJT_1833</x:v>
      </x:c>
      <x:c r="B1834" t="n">
        <x:v>70892550</x:v>
      </x:c>
      <x:c r="C1834" t="n">
        <x:v>77468709</x:v>
      </x:c>
      <x:c r="D1834" t="n">
        <x:v>6576159</x:v>
      </x:c>
      <x:c r="E1834" t="n">
        <x:v>0.0928</x:v>
      </x:c>
      <x:c r="F1834" t="n">
        <x:v>1262</x:v>
      </x:c>
      <x:c r="G1834" t="n">
        <x:v>1348</x:v>
      </x:c>
      <x:c r="H1834" t="n">
        <x:v>86</x:v>
      </x:c>
      <x:c r="I1834" t="n">
        <x:v>0.0681</x:v>
      </x:c>
      <x:c r="J1834" t="str">
        <x:v>Medium</x:v>
      </x:c>
      <x:c r="K1834" t="n">
        <x:v>57.2</x:v>
      </x:c>
      <x:c r="L1834" t="n">
        <x:v>60.4</x:v>
      </x:c>
      <x:c r="M1834" t="n">
        <x:v>58.5</x:v>
      </x:c>
      <x:c r="N1834" t="str">
        <x:v>Most Likely</x:v>
      </x:c>
      <x:c r="O1834" t="str">
        <x:v>Most Likely</x:v>
      </x:c>
    </x:row>
    <x:row r="1835">
      <x:c r="A1835" t="str">
        <x:v>PJT_1834</x:v>
      </x:c>
      <x:c r="B1835" t="n">
        <x:v>55721260</x:v>
      </x:c>
      <x:c r="C1835" t="n">
        <x:v>57396728</x:v>
      </x:c>
      <x:c r="D1835" t="n">
        <x:v>1675468</x:v>
      </x:c>
      <x:c r="E1835" t="n">
        <x:v>0.0301</x:v>
      </x:c>
      <x:c r="F1835" t="n">
        <x:v>1142</x:v>
      </x:c>
      <x:c r="G1835" t="n">
        <x:v>1248</x:v>
      </x:c>
      <x:c r="H1835" t="n">
        <x:v>106</x:v>
      </x:c>
      <x:c r="I1835" t="n">
        <x:v>0.0928</x:v>
      </x:c>
      <x:c r="J1835" t="str">
        <x:v>Medium</x:v>
      </x:c>
      <x:c r="K1835" t="n">
        <x:v>56.8</x:v>
      </x:c>
      <x:c r="L1835" t="n">
        <x:v>55.2</x:v>
      </x:c>
      <x:c r="M1835" t="n">
        <x:v>57.4</x:v>
      </x:c>
      <x:c r="N1835" t="str">
        <x:v>Most Likely</x:v>
      </x:c>
      <x:c r="O1835" t="str">
        <x:v>Most Likely</x:v>
      </x:c>
    </x:row>
    <x:row r="1836">
      <x:c r="A1836" t="str">
        <x:v>PJT_1835</x:v>
      </x:c>
      <x:c r="B1836" t="n">
        <x:v>42292080</x:v>
      </x:c>
      <x:c r="C1836" t="n">
        <x:v>46292315</x:v>
      </x:c>
      <x:c r="D1836" t="n">
        <x:v>4000235</x:v>
      </x:c>
      <x:c r="E1836" t="n">
        <x:v>0.0946</x:v>
      </x:c>
      <x:c r="F1836" t="n">
        <x:v>881</x:v>
      </x:c>
      <x:c r="G1836" t="n">
        <x:v>916</x:v>
      </x:c>
      <x:c r="H1836" t="n">
        <x:v>35</x:v>
      </x:c>
      <x:c r="I1836" t="n">
        <x:v>0.0397</x:v>
      </x:c>
      <x:c r="J1836" t="str">
        <x:v>Medium</x:v>
      </x:c>
      <x:c r="K1836" t="n">
        <x:v>47.5</x:v>
      </x:c>
      <x:c r="L1836" t="n">
        <x:v>41</x:v>
      </x:c>
      <x:c r="M1836" t="n">
        <x:v>44.4</x:v>
      </x:c>
      <x:c r="N1836" t="str">
        <x:v>Most Likely</x:v>
      </x:c>
      <x:c r="O1836" t="str">
        <x:v>Most Likely</x:v>
      </x:c>
    </x:row>
    <x:row r="1837">
      <x:c r="A1837" t="str">
        <x:v>PJT_1836</x:v>
      </x:c>
      <x:c r="B1837" t="n">
        <x:v>29469440</x:v>
      </x:c>
      <x:c r="C1837" t="n">
        <x:v>30437491</x:v>
      </x:c>
      <x:c r="D1837" t="n">
        <x:v>968051</x:v>
      </x:c>
      <x:c r="E1837" t="n">
        <x:v>0.0328</x:v>
      </x:c>
      <x:c r="F1837" t="n">
        <x:v>554</x:v>
      </x:c>
      <x:c r="G1837" t="n">
        <x:v>591</x:v>
      </x:c>
      <x:c r="H1837" t="n">
        <x:v>37</x:v>
      </x:c>
      <x:c r="I1837" t="n">
        <x:v>0.0668</x:v>
      </x:c>
      <x:c r="J1837" t="str">
        <x:v>Medium</x:v>
      </x:c>
      <x:c r="K1837" t="n">
        <x:v>45.6</x:v>
      </x:c>
      <x:c r="L1837" t="n">
        <x:v>47.9</x:v>
      </x:c>
      <x:c r="M1837" t="n">
        <x:v>47.4</x:v>
      </x:c>
      <x:c r="N1837" t="str">
        <x:v>Most Likely</x:v>
      </x:c>
      <x:c r="O1837" t="str">
        <x:v>Most Likely</x:v>
      </x:c>
    </x:row>
    <x:row r="1838">
      <x:c r="A1838" t="str">
        <x:v>PJT_1837</x:v>
      </x:c>
      <x:c r="B1838" t="n">
        <x:v>16098480</x:v>
      </x:c>
      <x:c r="C1838" t="n">
        <x:v>17171499</x:v>
      </x:c>
      <x:c r="D1838" t="n">
        <x:v>1073019</x:v>
      </x:c>
      <x:c r="E1838" t="n">
        <x:v>0.0667</x:v>
      </x:c>
      <x:c r="F1838" t="n">
        <x:v>304</x:v>
      </x:c>
      <x:c r="G1838" t="n">
        <x:v>301</x:v>
      </x:c>
      <x:c r="H1838" t="n">
        <x:v>-3</x:v>
      </x:c>
      <x:c r="I1838" t="n">
        <x:v>-0.0099</x:v>
      </x:c>
      <x:c r="J1838" t="str">
        <x:v>Low</x:v>
      </x:c>
      <x:c r="K1838" t="n">
        <x:v>32.2</x:v>
      </x:c>
      <x:c r="L1838" t="n">
        <x:v>26.5</x:v>
      </x:c>
      <x:c r="M1838" t="n">
        <x:v>26.2</x:v>
      </x:c>
      <x:c r="N1838" t="str">
        <x:v>Most Likely</x:v>
      </x:c>
      <x:c r="O1838" t="str">
        <x:v>Optimistic</x:v>
      </x:c>
    </x:row>
    <x:row r="1839">
      <x:c r="A1839" t="str">
        <x:v>PJT_1838</x:v>
      </x:c>
      <x:c r="B1839" t="n">
        <x:v>56557000</x:v>
      </x:c>
      <x:c r="C1839" t="n">
        <x:v>60331884</x:v>
      </x:c>
      <x:c r="D1839" t="n">
        <x:v>3774884</x:v>
      </x:c>
      <x:c r="E1839" t="n">
        <x:v>0.0667</x:v>
      </x:c>
      <x:c r="F1839" t="n">
        <x:v>1200</x:v>
      </x:c>
      <x:c r="G1839" t="n">
        <x:v>1303</x:v>
      </x:c>
      <x:c r="H1839" t="n">
        <x:v>103</x:v>
      </x:c>
      <x:c r="I1839" t="n">
        <x:v>0.0858</x:v>
      </x:c>
      <x:c r="J1839" t="str">
        <x:v>Medium</x:v>
      </x:c>
      <x:c r="K1839" t="n">
        <x:v>50.5</x:v>
      </x:c>
      <x:c r="L1839" t="n">
        <x:v>46.2</x:v>
      </x:c>
      <x:c r="M1839" t="n">
        <x:v>51.1</x:v>
      </x:c>
      <x:c r="N1839" t="str">
        <x:v>Most Likely</x:v>
      </x:c>
      <x:c r="O1839" t="str">
        <x:v>Most Likely</x:v>
      </x:c>
    </x:row>
    <x:row r="1840">
      <x:c r="A1840" t="str">
        <x:v>PJT_1839</x:v>
      </x:c>
      <x:c r="B1840" t="n">
        <x:v>54262150</x:v>
      </x:c>
      <x:c r="C1840" t="n">
        <x:v>58770008</x:v>
      </x:c>
      <x:c r="D1840" t="n">
        <x:v>4507858</x:v>
      </x:c>
      <x:c r="E1840" t="n">
        <x:v>0.0831</x:v>
      </x:c>
      <x:c r="F1840" t="n">
        <x:v>948</x:v>
      </x:c>
      <x:c r="G1840" t="n">
        <x:v>974</x:v>
      </x:c>
      <x:c r="H1840" t="n">
        <x:v>26</x:v>
      </x:c>
      <x:c r="I1840" t="n">
        <x:v>0.0274</x:v>
      </x:c>
      <x:c r="J1840" t="str">
        <x:v>Medium</x:v>
      </x:c>
      <x:c r="K1840" t="n">
        <x:v>52.8</x:v>
      </x:c>
      <x:c r="L1840" t="n">
        <x:v>56.1</x:v>
      </x:c>
      <x:c r="M1840" t="n">
        <x:v>48.8</x:v>
      </x:c>
      <x:c r="N1840" t="str">
        <x:v>Most Likely</x:v>
      </x:c>
      <x:c r="O1840" t="str">
        <x:v>Most Likely</x:v>
      </x:c>
    </x:row>
    <x:row r="1841">
      <x:c r="A1841" t="str">
        <x:v>PJT_1840</x:v>
      </x:c>
      <x:c r="B1841" t="n">
        <x:v>12081330</x:v>
      </x:c>
      <x:c r="C1841" t="n">
        <x:v>11612657</x:v>
      </x:c>
      <x:c r="D1841" t="n">
        <x:v>-468673</x:v>
      </x:c>
      <x:c r="E1841" t="n">
        <x:v>-0.0388</x:v>
      </x:c>
      <x:c r="F1841" t="n">
        <x:v>265</x:v>
      </x:c>
      <x:c r="G1841" t="n">
        <x:v>273</x:v>
      </x:c>
      <x:c r="H1841" t="n">
        <x:v>8</x:v>
      </x:c>
      <x:c r="I1841" t="n">
        <x:v>0.0302</x:v>
      </x:c>
      <x:c r="J1841" t="str">
        <x:v>Medium</x:v>
      </x:c>
      <x:c r="K1841" t="n">
        <x:v>46.5</x:v>
      </x:c>
      <x:c r="L1841" t="n">
        <x:v>47</x:v>
      </x:c>
      <x:c r="M1841" t="n">
        <x:v>42.5</x:v>
      </x:c>
      <x:c r="N1841" t="str">
        <x:v>Optimistic</x:v>
      </x:c>
      <x:c r="O1841" t="str">
        <x:v>Most Likely</x:v>
      </x:c>
    </x:row>
    <x:row r="1842">
      <x:c r="A1842" t="str">
        <x:v>PJT_1841</x:v>
      </x:c>
      <x:c r="B1842" t="n">
        <x:v>89409760</x:v>
      </x:c>
      <x:c r="C1842" t="n">
        <x:v>95557489</x:v>
      </x:c>
      <x:c r="D1842" t="n">
        <x:v>6147729</x:v>
      </x:c>
      <x:c r="E1842" t="n">
        <x:v>0.0688</x:v>
      </x:c>
      <x:c r="F1842" t="n">
        <x:v>1400</x:v>
      </x:c>
      <x:c r="G1842" t="n">
        <x:v>1519</x:v>
      </x:c>
      <x:c r="H1842" t="n">
        <x:v>119</x:v>
      </x:c>
      <x:c r="I1842" t="n">
        <x:v>0.085</x:v>
      </x:c>
      <x:c r="J1842" t="str">
        <x:v>Medium</x:v>
      </x:c>
      <x:c r="K1842" t="n">
        <x:v>46.9</x:v>
      </x:c>
      <x:c r="L1842" t="n">
        <x:v>55.2</x:v>
      </x:c>
      <x:c r="M1842" t="n">
        <x:v>48.4</x:v>
      </x:c>
      <x:c r="N1842" t="str">
        <x:v>Most Likely</x:v>
      </x:c>
      <x:c r="O1842" t="str">
        <x:v>Most Likely</x:v>
      </x:c>
    </x:row>
    <x:row r="1843">
      <x:c r="A1843" t="str">
        <x:v>PJT_1842</x:v>
      </x:c>
      <x:c r="B1843" t="n">
        <x:v>28749720</x:v>
      </x:c>
      <x:c r="C1843" t="n">
        <x:v>29005157</x:v>
      </x:c>
      <x:c r="D1843" t="n">
        <x:v>255437</x:v>
      </x:c>
      <x:c r="E1843" t="n">
        <x:v>0.0089</x:v>
      </x:c>
      <x:c r="F1843" t="n">
        <x:v>792</x:v>
      </x:c>
      <x:c r="G1843" t="n">
        <x:v>837</x:v>
      </x:c>
      <x:c r="H1843" t="n">
        <x:v>45</x:v>
      </x:c>
      <x:c r="I1843" t="n">
        <x:v>0.0568</x:v>
      </x:c>
      <x:c r="J1843" t="str">
        <x:v>Medium</x:v>
      </x:c>
      <x:c r="K1843" t="n">
        <x:v>52.7</x:v>
      </x:c>
      <x:c r="L1843" t="n">
        <x:v>47.8</x:v>
      </x:c>
      <x:c r="M1843" t="n">
        <x:v>56.6</x:v>
      </x:c>
      <x:c r="N1843" t="str">
        <x:v>Most Likely</x:v>
      </x:c>
      <x:c r="O1843" t="str">
        <x:v>Most Likely</x:v>
      </x:c>
    </x:row>
    <x:row r="1844">
      <x:c r="A1844" t="str">
        <x:v>PJT_1843</x:v>
      </x:c>
      <x:c r="B1844" t="n">
        <x:v>28628480</x:v>
      </x:c>
      <x:c r="C1844" t="n">
        <x:v>30492112</x:v>
      </x:c>
      <x:c r="D1844" t="n">
        <x:v>1863632</x:v>
      </x:c>
      <x:c r="E1844" t="n">
        <x:v>0.0651</x:v>
      </x:c>
      <x:c r="F1844" t="n">
        <x:v>690</x:v>
      </x:c>
      <x:c r="G1844" t="n">
        <x:v>775</x:v>
      </x:c>
      <x:c r="H1844" t="n">
        <x:v>85</x:v>
      </x:c>
      <x:c r="I1844" t="n">
        <x:v>0.1232</x:v>
      </x:c>
      <x:c r="J1844" t="str">
        <x:v>Medium</x:v>
      </x:c>
      <x:c r="K1844" t="n">
        <x:v>54.1</x:v>
      </x:c>
      <x:c r="L1844" t="n">
        <x:v>57.6</x:v>
      </x:c>
      <x:c r="M1844" t="n">
        <x:v>54.4</x:v>
      </x:c>
      <x:c r="N1844" t="str">
        <x:v>Most Likely</x:v>
      </x:c>
      <x:c r="O1844" t="str">
        <x:v>Pessimistic</x:v>
      </x:c>
    </x:row>
    <x:row r="1845">
      <x:c r="A1845" t="str">
        <x:v>PJT_1844</x:v>
      </x:c>
      <x:c r="B1845" t="n">
        <x:v>72243160</x:v>
      </x:c>
      <x:c r="C1845" t="n">
        <x:v>81970922</x:v>
      </x:c>
      <x:c r="D1845" t="n">
        <x:v>9727762</x:v>
      </x:c>
      <x:c r="E1845" t="n">
        <x:v>0.1347</x:v>
      </x:c>
      <x:c r="F1845" t="n">
        <x:v>1400</x:v>
      </x:c>
      <x:c r="G1845" t="n">
        <x:v>1624</x:v>
      </x:c>
      <x:c r="H1845" t="n">
        <x:v>224</x:v>
      </x:c>
      <x:c r="I1845" t="n">
        <x:v>0.16</x:v>
      </x:c>
      <x:c r="J1845" t="str">
        <x:v>High</x:v>
      </x:c>
      <x:c r="K1845" t="n">
        <x:v>69.4</x:v>
      </x:c>
      <x:c r="L1845" t="n">
        <x:v>69.5</x:v>
      </x:c>
      <x:c r="M1845" t="n">
        <x:v>68.5</x:v>
      </x:c>
      <x:c r="N1845" t="str">
        <x:v>Pessimistic</x:v>
      </x:c>
      <x:c r="O1845" t="str">
        <x:v>Pessimistic</x:v>
      </x:c>
    </x:row>
    <x:row r="1846">
      <x:c r="A1846" t="str">
        <x:v>PJT_1845</x:v>
      </x:c>
      <x:c r="B1846" t="n">
        <x:v>20534160</x:v>
      </x:c>
      <x:c r="C1846" t="n">
        <x:v>20613852</x:v>
      </x:c>
      <x:c r="D1846" t="n">
        <x:v>79692</x:v>
      </x:c>
      <x:c r="E1846" t="n">
        <x:v>0.0039</x:v>
      </x:c>
      <x:c r="F1846" t="n">
        <x:v>387</x:v>
      </x:c>
      <x:c r="G1846" t="n">
        <x:v>405</x:v>
      </x:c>
      <x:c r="H1846" t="n">
        <x:v>18</x:v>
      </x:c>
      <x:c r="I1846" t="n">
        <x:v>0.0465</x:v>
      </x:c>
      <x:c r="J1846" t="str">
        <x:v>Low</x:v>
      </x:c>
      <x:c r="K1846" t="n">
        <x:v>33.9</x:v>
      </x:c>
      <x:c r="L1846" t="n">
        <x:v>25.6</x:v>
      </x:c>
      <x:c r="M1846" t="n">
        <x:v>28.4</x:v>
      </x:c>
      <x:c r="N1846" t="str">
        <x:v>Most Likely</x:v>
      </x:c>
      <x:c r="O1846" t="str">
        <x:v>Most Likely</x:v>
      </x:c>
    </x:row>
    <x:row r="1847">
      <x:c r="A1847" t="str">
        <x:v>PJT_1846</x:v>
      </x:c>
      <x:c r="B1847" t="n">
        <x:v>63844400</x:v>
      </x:c>
      <x:c r="C1847" t="n">
        <x:v>70162758</x:v>
      </x:c>
      <x:c r="D1847" t="n">
        <x:v>6318358</x:v>
      </x:c>
      <x:c r="E1847" t="n">
        <x:v>0.099</x:v>
      </x:c>
      <x:c r="F1847" t="n">
        <x:v>963</x:v>
      </x:c>
      <x:c r="G1847" t="n">
        <x:v>1087</x:v>
      </x:c>
      <x:c r="H1847" t="n">
        <x:v>124</x:v>
      </x:c>
      <x:c r="I1847" t="n">
        <x:v>0.1288</x:v>
      </x:c>
      <x:c r="J1847" t="str">
        <x:v>Medium</x:v>
      </x:c>
      <x:c r="K1847" t="n">
        <x:v>54.8</x:v>
      </x:c>
      <x:c r="L1847" t="n">
        <x:v>53.7</x:v>
      </x:c>
      <x:c r="M1847" t="n">
        <x:v>56.6</x:v>
      </x:c>
      <x:c r="N1847" t="str">
        <x:v>Most Likely</x:v>
      </x:c>
      <x:c r="O1847" t="str">
        <x:v>Pessimistic</x:v>
      </x:c>
    </x:row>
    <x:row r="1848">
      <x:c r="A1848" t="str">
        <x:v>PJT_1847</x:v>
      </x:c>
      <x:c r="B1848" t="n">
        <x:v>60141810</x:v>
      </x:c>
      <x:c r="C1848" t="n">
        <x:v>66210851</x:v>
      </x:c>
      <x:c r="D1848" t="n">
        <x:v>6069041</x:v>
      </x:c>
      <x:c r="E1848" t="n">
        <x:v>0.1009</x:v>
      </x:c>
      <x:c r="F1848" t="n">
        <x:v>1033</x:v>
      </x:c>
      <x:c r="G1848" t="n">
        <x:v>1105</x:v>
      </x:c>
      <x:c r="H1848" t="n">
        <x:v>72</x:v>
      </x:c>
      <x:c r="I1848" t="n">
        <x:v>0.0697</x:v>
      </x:c>
      <x:c r="J1848" t="str">
        <x:v>Medium</x:v>
      </x:c>
      <x:c r="K1848" t="n">
        <x:v>57.2</x:v>
      </x:c>
      <x:c r="L1848" t="n">
        <x:v>61.5</x:v>
      </x:c>
      <x:c r="M1848" t="n">
        <x:v>58.4</x:v>
      </x:c>
      <x:c r="N1848" t="str">
        <x:v>Pessimistic</x:v>
      </x:c>
      <x:c r="O1848" t="str">
        <x:v>Most Likely</x:v>
      </x:c>
    </x:row>
    <x:row r="1849">
      <x:c r="A1849" t="str">
        <x:v>PJT_1848</x:v>
      </x:c>
      <x:c r="B1849" t="n">
        <x:v>49214300</x:v>
      </x:c>
      <x:c r="C1849" t="n">
        <x:v>50691291</x:v>
      </x:c>
      <x:c r="D1849" t="n">
        <x:v>1476991</x:v>
      </x:c>
      <x:c r="E1849" t="n">
        <x:v>0.03</x:v>
      </x:c>
      <x:c r="F1849" t="n">
        <x:v>994</x:v>
      </x:c>
      <x:c r="G1849" t="n">
        <x:v>1057</x:v>
      </x:c>
      <x:c r="H1849" t="n">
        <x:v>63</x:v>
      </x:c>
      <x:c r="I1849" t="n">
        <x:v>0.0634</x:v>
      </x:c>
      <x:c r="J1849" t="str">
        <x:v>Medium</x:v>
      </x:c>
      <x:c r="K1849" t="n">
        <x:v>62.1</x:v>
      </x:c>
      <x:c r="L1849" t="n">
        <x:v>59.4</x:v>
      </x:c>
      <x:c r="M1849" t="n">
        <x:v>60.8</x:v>
      </x:c>
      <x:c r="N1849" t="str">
        <x:v>Most Likely</x:v>
      </x:c>
      <x:c r="O1849" t="str">
        <x:v>Most Likely</x:v>
      </x:c>
    </x:row>
    <x:row r="1850">
      <x:c r="A1850" t="str">
        <x:v>PJT_1849</x:v>
      </x:c>
      <x:c r="B1850" t="n">
        <x:v>54685030</x:v>
      </x:c>
      <x:c r="C1850" t="n">
        <x:v>59805061</x:v>
      </x:c>
      <x:c r="D1850" t="n">
        <x:v>5120031</x:v>
      </x:c>
      <x:c r="E1850" t="n">
        <x:v>0.0936</x:v>
      </x:c>
      <x:c r="F1850" t="n">
        <x:v>814</x:v>
      </x:c>
      <x:c r="G1850" t="n">
        <x:v>909</x:v>
      </x:c>
      <x:c r="H1850" t="n">
        <x:v>95</x:v>
      </x:c>
      <x:c r="I1850" t="n">
        <x:v>0.1167</x:v>
      </x:c>
      <x:c r="J1850" t="str">
        <x:v>Medium</x:v>
      </x:c>
      <x:c r="K1850" t="n">
        <x:v>49.7</x:v>
      </x:c>
      <x:c r="L1850" t="n">
        <x:v>56.1</x:v>
      </x:c>
      <x:c r="M1850" t="n">
        <x:v>52.5</x:v>
      </x:c>
      <x:c r="N1850" t="str">
        <x:v>Most Likely</x:v>
      </x:c>
      <x:c r="O1850" t="str">
        <x:v>Pessimistic</x:v>
      </x:c>
    </x:row>
    <x:row r="1851">
      <x:c r="A1851" t="str">
        <x:v>PJT_1850</x:v>
      </x:c>
      <x:c r="B1851" t="n">
        <x:v>34513080</x:v>
      </x:c>
      <x:c r="C1851" t="n">
        <x:v>38146508</x:v>
      </x:c>
      <x:c r="D1851" t="n">
        <x:v>3633428</x:v>
      </x:c>
      <x:c r="E1851" t="n">
        <x:v>0.1053</x:v>
      </x:c>
      <x:c r="F1851" t="n">
        <x:v>666</x:v>
      </x:c>
      <x:c r="G1851" t="n">
        <x:v>674</x:v>
      </x:c>
      <x:c r="H1851" t="n">
        <x:v>8</x:v>
      </x:c>
      <x:c r="I1851" t="n">
        <x:v>0.012</x:v>
      </x:c>
      <x:c r="J1851" t="str">
        <x:v>Medium</x:v>
      </x:c>
      <x:c r="K1851" t="n">
        <x:v>49.2</x:v>
      </x:c>
      <x:c r="L1851" t="n">
        <x:v>57.1</x:v>
      </x:c>
      <x:c r="M1851" t="n">
        <x:v>47.5</x:v>
      </x:c>
      <x:c r="N1851" t="str">
        <x:v>Pessimistic</x:v>
      </x:c>
      <x:c r="O1851" t="str">
        <x:v>Most Likely</x:v>
      </x:c>
    </x:row>
    <x:row r="1852">
      <x:c r="A1852" t="str">
        <x:v>PJT_1851</x:v>
      </x:c>
      <x:c r="B1852" t="n">
        <x:v>19010600</x:v>
      </x:c>
      <x:c r="C1852" t="n">
        <x:v>17110962</x:v>
      </x:c>
      <x:c r="D1852" t="n">
        <x:v>-1899638</x:v>
      </x:c>
      <x:c r="E1852" t="n">
        <x:v>-0.0999</x:v>
      </x:c>
      <x:c r="F1852" t="n">
        <x:v>278</x:v>
      </x:c>
      <x:c r="G1852" t="n">
        <x:v>282</x:v>
      </x:c>
      <x:c r="H1852" t="n">
        <x:v>4</x:v>
      </x:c>
      <x:c r="I1852" t="n">
        <x:v>0.0144</x:v>
      </x:c>
      <x:c r="J1852" t="str">
        <x:v>Low</x:v>
      </x:c>
      <x:c r="K1852" t="n">
        <x:v>36.4</x:v>
      </x:c>
      <x:c r="L1852" t="n">
        <x:v>34.8</x:v>
      </x:c>
      <x:c r="M1852" t="n">
        <x:v>30</x:v>
      </x:c>
      <x:c r="N1852" t="str">
        <x:v>Optimistic</x:v>
      </x:c>
      <x:c r="O1852" t="str">
        <x:v>Most Likely</x:v>
      </x:c>
    </x:row>
    <x:row r="1853">
      <x:c r="A1853" t="str">
        <x:v>PJT_1852</x:v>
      </x:c>
      <x:c r="B1853" t="n">
        <x:v>24877040</x:v>
      </x:c>
      <x:c r="C1853" t="n">
        <x:v>25235766</x:v>
      </x:c>
      <x:c r="D1853" t="n">
        <x:v>358726</x:v>
      </x:c>
      <x:c r="E1853" t="n">
        <x:v>0.0144</x:v>
      </x:c>
      <x:c r="F1853" t="n">
        <x:v>516</x:v>
      </x:c>
      <x:c r="G1853" t="n">
        <x:v>538</x:v>
      </x:c>
      <x:c r="H1853" t="n">
        <x:v>22</x:v>
      </x:c>
      <x:c r="I1853" t="n">
        <x:v>0.0426</x:v>
      </x:c>
      <x:c r="J1853" t="str">
        <x:v>Medium</x:v>
      </x:c>
      <x:c r="K1853" t="n">
        <x:v>53.9</x:v>
      </x:c>
      <x:c r="L1853" t="n">
        <x:v>54.7</x:v>
      </x:c>
      <x:c r="M1853" t="n">
        <x:v>48.4</x:v>
      </x:c>
      <x:c r="N1853" t="str">
        <x:v>Most Likely</x:v>
      </x:c>
      <x:c r="O1853" t="str">
        <x:v>Most Likely</x:v>
      </x:c>
    </x:row>
    <x:row r="1854">
      <x:c r="A1854" t="str">
        <x:v>PJT_1853</x:v>
      </x:c>
      <x:c r="B1854" t="n">
        <x:v>100005720</x:v>
      </x:c>
      <x:c r="C1854" t="n">
        <x:v>105958080</x:v>
      </x:c>
      <x:c r="D1854" t="n">
        <x:v>5952360</x:v>
      </x:c>
      <x:c r="E1854" t="n">
        <x:v>0.0595</x:v>
      </x:c>
      <x:c r="F1854" t="n">
        <x:v>1962</x:v>
      </x:c>
      <x:c r="G1854" t="n">
        <x:v>2129</x:v>
      </x:c>
      <x:c r="H1854" t="n">
        <x:v>167</x:v>
      </x:c>
      <x:c r="I1854" t="n">
        <x:v>0.0851</x:v>
      </x:c>
      <x:c r="J1854" t="str">
        <x:v>Medium</x:v>
      </x:c>
      <x:c r="K1854" t="n">
        <x:v>63.9</x:v>
      </x:c>
      <x:c r="L1854" t="n">
        <x:v>66.8</x:v>
      </x:c>
      <x:c r="M1854" t="n">
        <x:v>59.7</x:v>
      </x:c>
      <x:c r="N1854" t="str">
        <x:v>Most Likely</x:v>
      </x:c>
      <x:c r="O1854" t="str">
        <x:v>Most Likely</x:v>
      </x:c>
    </x:row>
    <x:row r="1855">
      <x:c r="A1855" t="str">
        <x:v>PJT_1854</x:v>
      </x:c>
      <x:c r="B1855" t="n">
        <x:v>34395190</x:v>
      </x:c>
      <x:c r="C1855" t="n">
        <x:v>37216305</x:v>
      </x:c>
      <x:c r="D1855" t="n">
        <x:v>2821115</x:v>
      </x:c>
      <x:c r="E1855" t="n">
        <x:v>0.082</x:v>
      </x:c>
      <x:c r="F1855" t="n">
        <x:v>653</x:v>
      </x:c>
      <x:c r="G1855" t="n">
        <x:v>665</x:v>
      </x:c>
      <x:c r="H1855" t="n">
        <x:v>12</x:v>
      </x:c>
      <x:c r="I1855" t="n">
        <x:v>0.0184</x:v>
      </x:c>
      <x:c r="J1855" t="str">
        <x:v>Low</x:v>
      </x:c>
      <x:c r="K1855" t="n">
        <x:v>44.9</x:v>
      </x:c>
      <x:c r="L1855" t="n">
        <x:v>46.9</x:v>
      </x:c>
      <x:c r="M1855" t="n">
        <x:v>45.1</x:v>
      </x:c>
      <x:c r="N1855" t="str">
        <x:v>Most Likely</x:v>
      </x:c>
      <x:c r="O1855" t="str">
        <x:v>Most Likely</x:v>
      </x:c>
    </x:row>
    <x:row r="1856">
      <x:c r="A1856" t="str">
        <x:v>PJT_1855</x:v>
      </x:c>
      <x:c r="B1856" t="n">
        <x:v>75527160</x:v>
      </x:c>
      <x:c r="C1856" t="n">
        <x:v>80184741</x:v>
      </x:c>
      <x:c r="D1856" t="n">
        <x:v>4657581</x:v>
      </x:c>
      <x:c r="E1856" t="n">
        <x:v>0.0617</x:v>
      </x:c>
      <x:c r="F1856" t="n">
        <x:v>1298</x:v>
      </x:c>
      <x:c r="G1856" t="n">
        <x:v>1361</x:v>
      </x:c>
      <x:c r="H1856" t="n">
        <x:v>63</x:v>
      </x:c>
      <x:c r="I1856" t="n">
        <x:v>0.0485</x:v>
      </x:c>
      <x:c r="J1856" t="str">
        <x:v>Medium</x:v>
      </x:c>
      <x:c r="K1856" t="n">
        <x:v>56.8</x:v>
      </x:c>
      <x:c r="L1856" t="n">
        <x:v>53.2</x:v>
      </x:c>
      <x:c r="M1856" t="n">
        <x:v>58.3</x:v>
      </x:c>
      <x:c r="N1856" t="str">
        <x:v>Most Likely</x:v>
      </x:c>
      <x:c r="O1856" t="str">
        <x:v>Most Likely</x:v>
      </x:c>
    </x:row>
    <x:row r="1857">
      <x:c r="A1857" t="str">
        <x:v>PJT_1856</x:v>
      </x:c>
      <x:c r="B1857" t="n">
        <x:v>45793070</x:v>
      </x:c>
      <x:c r="C1857" t="n">
        <x:v>47889601</x:v>
      </x:c>
      <x:c r="D1857" t="n">
        <x:v>2096531</x:v>
      </x:c>
      <x:c r="E1857" t="n">
        <x:v>0.0458</x:v>
      </x:c>
      <x:c r="F1857" t="n">
        <x:v>816</x:v>
      </x:c>
      <x:c r="G1857" t="n">
        <x:v>864</x:v>
      </x:c>
      <x:c r="H1857" t="n">
        <x:v>48</x:v>
      </x:c>
      <x:c r="I1857" t="n">
        <x:v>0.0588</x:v>
      </x:c>
      <x:c r="J1857" t="str">
        <x:v>Medium</x:v>
      </x:c>
      <x:c r="K1857" t="n">
        <x:v>60.2</x:v>
      </x:c>
      <x:c r="L1857" t="n">
        <x:v>58.2</x:v>
      </x:c>
      <x:c r="M1857" t="n">
        <x:v>56.4</x:v>
      </x:c>
      <x:c r="N1857" t="str">
        <x:v>Most Likely</x:v>
      </x:c>
      <x:c r="O1857" t="str">
        <x:v>Most Likely</x:v>
      </x:c>
    </x:row>
    <x:row r="1858">
      <x:c r="A1858" t="str">
        <x:v>PJT_1857</x:v>
      </x:c>
      <x:c r="B1858" t="n">
        <x:v>7717050</x:v>
      </x:c>
      <x:c r="C1858" t="n">
        <x:v>7252708</x:v>
      </x:c>
      <x:c r="D1858" t="n">
        <x:v>-464342</x:v>
      </x:c>
      <x:c r="E1858" t="n">
        <x:v>-0.0602</x:v>
      </x:c>
      <x:c r="F1858" t="n">
        <x:v>180</x:v>
      </x:c>
      <x:c r="G1858" t="n">
        <x:v>176</x:v>
      </x:c>
      <x:c r="H1858" t="n">
        <x:v>-4</x:v>
      </x:c>
      <x:c r="I1858" t="n">
        <x:v>-0.0222</x:v>
      </x:c>
      <x:c r="J1858" t="str">
        <x:v>Low</x:v>
      </x:c>
      <x:c r="K1858" t="n">
        <x:v>34</x:v>
      </x:c>
      <x:c r="L1858" t="n">
        <x:v>31.3</x:v>
      </x:c>
      <x:c r="M1858" t="n">
        <x:v>30.2</x:v>
      </x:c>
      <x:c r="N1858" t="str">
        <x:v>Optimistic</x:v>
      </x:c>
      <x:c r="O1858" t="str">
        <x:v>Optimistic</x:v>
      </x:c>
    </x:row>
    <x:row r="1859">
      <x:c r="A1859" t="str">
        <x:v>PJT_1858</x:v>
      </x:c>
      <x:c r="B1859" t="n">
        <x:v>15624400</x:v>
      </x:c>
      <x:c r="C1859" t="n">
        <x:v>15585230</x:v>
      </x:c>
      <x:c r="D1859" t="n">
        <x:v>-39170</x:v>
      </x:c>
      <x:c r="E1859" t="n">
        <x:v>-0.0025</x:v>
      </x:c>
      <x:c r="F1859" t="n">
        <x:v>254</x:v>
      </x:c>
      <x:c r="G1859" t="n">
        <x:v>247</x:v>
      </x:c>
      <x:c r="H1859" t="n">
        <x:v>-7</x:v>
      </x:c>
      <x:c r="I1859" t="n">
        <x:v>-0.0276</x:v>
      </x:c>
      <x:c r="J1859" t="str">
        <x:v>Low</x:v>
      </x:c>
      <x:c r="K1859" t="n">
        <x:v>30.6</x:v>
      </x:c>
      <x:c r="L1859" t="n">
        <x:v>28.3</x:v>
      </x:c>
      <x:c r="M1859" t="n">
        <x:v>29.9</x:v>
      </x:c>
      <x:c r="N1859" t="str">
        <x:v>Optimistic</x:v>
      </x:c>
      <x:c r="O1859" t="str">
        <x:v>Optimistic</x:v>
      </x:c>
    </x:row>
    <x:row r="1860">
      <x:c r="A1860" t="str">
        <x:v>PJT_1859</x:v>
      </x:c>
      <x:c r="B1860" t="n">
        <x:v>21292600</x:v>
      </x:c>
      <x:c r="C1860" t="n">
        <x:v>22382697</x:v>
      </x:c>
      <x:c r="D1860" t="n">
        <x:v>1090097</x:v>
      </x:c>
      <x:c r="E1860" t="n">
        <x:v>0.0512</x:v>
      </x:c>
      <x:c r="F1860" t="n">
        <x:v>358</x:v>
      </x:c>
      <x:c r="G1860" t="n">
        <x:v>334</x:v>
      </x:c>
      <x:c r="H1860" t="n">
        <x:v>-24</x:v>
      </x:c>
      <x:c r="I1860" t="n">
        <x:v>-0.067</x:v>
      </x:c>
      <x:c r="J1860" t="str">
        <x:v>Low</x:v>
      </x:c>
      <x:c r="K1860" t="n">
        <x:v>37.7</x:v>
      </x:c>
      <x:c r="L1860" t="n">
        <x:v>38.9</x:v>
      </x:c>
      <x:c r="M1860" t="n">
        <x:v>35.7</x:v>
      </x:c>
      <x:c r="N1860" t="str">
        <x:v>Most Likely</x:v>
      </x:c>
      <x:c r="O1860" t="str">
        <x:v>Optimistic</x:v>
      </x:c>
    </x:row>
    <x:row r="1861">
      <x:c r="A1861" t="str">
        <x:v>PJT_1860</x:v>
      </x:c>
      <x:c r="B1861" t="n">
        <x:v>19671960</x:v>
      </x:c>
      <x:c r="C1861" t="n">
        <x:v>19112176</x:v>
      </x:c>
      <x:c r="D1861" t="n">
        <x:v>-559784</x:v>
      </x:c>
      <x:c r="E1861" t="n">
        <x:v>-0.0285</x:v>
      </x:c>
      <x:c r="F1861" t="n">
        <x:v>343</x:v>
      </x:c>
      <x:c r="G1861" t="n">
        <x:v>345</x:v>
      </x:c>
      <x:c r="H1861" t="n">
        <x:v>2</x:v>
      </x:c>
      <x:c r="I1861" t="n">
        <x:v>0.0058</x:v>
      </x:c>
      <x:c r="J1861" t="str">
        <x:v>Low</x:v>
      </x:c>
      <x:c r="K1861" t="n">
        <x:v>35.6</x:v>
      </x:c>
      <x:c r="L1861" t="n">
        <x:v>34.2</x:v>
      </x:c>
      <x:c r="M1861" t="n">
        <x:v>29.3</x:v>
      </x:c>
      <x:c r="N1861" t="str">
        <x:v>Optimistic</x:v>
      </x:c>
      <x:c r="O1861" t="str">
        <x:v>Most Likely</x:v>
      </x:c>
    </x:row>
    <x:row r="1862">
      <x:c r="A1862" t="str">
        <x:v>PJT_1861</x:v>
      </x:c>
      <x:c r="B1862" t="n">
        <x:v>13761800</x:v>
      </x:c>
      <x:c r="C1862" t="n">
        <x:v>13338139</x:v>
      </x:c>
      <x:c r="D1862" t="n">
        <x:v>-423661</x:v>
      </x:c>
      <x:c r="E1862" t="n">
        <x:v>-0.0308</x:v>
      </x:c>
      <x:c r="F1862" t="n">
        <x:v>255</x:v>
      </x:c>
      <x:c r="G1862" t="n">
        <x:v>256</x:v>
      </x:c>
      <x:c r="H1862" t="n">
        <x:v>1</x:v>
      </x:c>
      <x:c r="I1862" t="n">
        <x:v>0.0039</x:v>
      </x:c>
      <x:c r="J1862" t="str">
        <x:v>Low</x:v>
      </x:c>
      <x:c r="K1862" t="n">
        <x:v>34.4</x:v>
      </x:c>
      <x:c r="L1862" t="n">
        <x:v>32.2</x:v>
      </x:c>
      <x:c r="M1862" t="n">
        <x:v>29.6</x:v>
      </x:c>
      <x:c r="N1862" t="str">
        <x:v>Optimistic</x:v>
      </x:c>
      <x:c r="O1862" t="str">
        <x:v>Most Likely</x:v>
      </x:c>
    </x:row>
    <x:row r="1863">
      <x:c r="A1863" t="str">
        <x:v>PJT_1862</x:v>
      </x:c>
      <x:c r="B1863" t="n">
        <x:v>38407600</x:v>
      </x:c>
      <x:c r="C1863" t="n">
        <x:v>39285866</x:v>
      </x:c>
      <x:c r="D1863" t="n">
        <x:v>878266</x:v>
      </x:c>
      <x:c r="E1863" t="n">
        <x:v>0.0229</x:v>
      </x:c>
      <x:c r="F1863" t="n">
        <x:v>749</x:v>
      </x:c>
      <x:c r="G1863" t="n">
        <x:v>730</x:v>
      </x:c>
      <x:c r="H1863" t="n">
        <x:v>-19</x:v>
      </x:c>
      <x:c r="I1863" t="n">
        <x:v>-0.0254</x:v>
      </x:c>
      <x:c r="J1863" t="str">
        <x:v>Medium</x:v>
      </x:c>
      <x:c r="K1863" t="n">
        <x:v>49.1</x:v>
      </x:c>
      <x:c r="L1863" t="n">
        <x:v>49.9</x:v>
      </x:c>
      <x:c r="M1863" t="n">
        <x:v>48.1</x:v>
      </x:c>
      <x:c r="N1863" t="str">
        <x:v>Most Likely</x:v>
      </x:c>
      <x:c r="O1863" t="str">
        <x:v>Optimistic</x:v>
      </x:c>
    </x:row>
    <x:row r="1864">
      <x:c r="A1864" t="str">
        <x:v>PJT_1863</x:v>
      </x:c>
      <x:c r="B1864" t="n">
        <x:v>52304070</x:v>
      </x:c>
      <x:c r="C1864" t="n">
        <x:v>54335428</x:v>
      </x:c>
      <x:c r="D1864" t="n">
        <x:v>2031358</x:v>
      </x:c>
      <x:c r="E1864" t="n">
        <x:v>0.0388</x:v>
      </x:c>
      <x:c r="F1864" t="n">
        <x:v>1017</x:v>
      </x:c>
      <x:c r="G1864" t="n">
        <x:v>1149</x:v>
      </x:c>
      <x:c r="H1864" t="n">
        <x:v>132</x:v>
      </x:c>
      <x:c r="I1864" t="n">
        <x:v>0.1298</x:v>
      </x:c>
      <x:c r="J1864" t="str">
        <x:v>Medium</x:v>
      </x:c>
      <x:c r="K1864" t="n">
        <x:v>49.7</x:v>
      </x:c>
      <x:c r="L1864" t="n">
        <x:v>59.5</x:v>
      </x:c>
      <x:c r="M1864" t="n">
        <x:v>54.8</x:v>
      </x:c>
      <x:c r="N1864" t="str">
        <x:v>Most Likely</x:v>
      </x:c>
      <x:c r="O1864" t="str">
        <x:v>Pessimistic</x:v>
      </x:c>
    </x:row>
    <x:row r="1865">
      <x:c r="A1865" t="str">
        <x:v>PJT_1864</x:v>
      </x:c>
      <x:c r="B1865" t="n">
        <x:v>21829600</x:v>
      </x:c>
      <x:c r="C1865" t="n">
        <x:v>20760723</x:v>
      </x:c>
      <x:c r="D1865" t="n">
        <x:v>-1068877</x:v>
      </x:c>
      <x:c r="E1865" t="n">
        <x:v>-0.049</x:v>
      </x:c>
      <x:c r="F1865" t="n">
        <x:v>400</x:v>
      </x:c>
      <x:c r="G1865" t="n">
        <x:v>397</x:v>
      </x:c>
      <x:c r="H1865" t="n">
        <x:v>-3</x:v>
      </x:c>
      <x:c r="I1865" t="n">
        <x:v>-0.0075</x:v>
      </x:c>
      <x:c r="J1865" t="str">
        <x:v>Low</x:v>
      </x:c>
      <x:c r="K1865" t="n">
        <x:v>31.6</x:v>
      </x:c>
      <x:c r="L1865" t="n">
        <x:v>37.4</x:v>
      </x:c>
      <x:c r="M1865" t="n">
        <x:v>37.6</x:v>
      </x:c>
      <x:c r="N1865" t="str">
        <x:v>Optimistic</x:v>
      </x:c>
      <x:c r="O1865" t="str">
        <x:v>Optimistic</x:v>
      </x:c>
    </x:row>
    <x:row r="1866">
      <x:c r="A1866" t="str">
        <x:v>PJT_1865</x:v>
      </x:c>
      <x:c r="B1866" t="n">
        <x:v>19173700</x:v>
      </x:c>
      <x:c r="C1866" t="n">
        <x:v>19224663</x:v>
      </x:c>
      <x:c r="D1866" t="n">
        <x:v>50963</x:v>
      </x:c>
      <x:c r="E1866" t="n">
        <x:v>0.0027</x:v>
      </x:c>
      <x:c r="F1866" t="n">
        <x:v>582</x:v>
      </x:c>
      <x:c r="G1866" t="n">
        <x:v>587</x:v>
      </x:c>
      <x:c r="H1866" t="n">
        <x:v>5</x:v>
      </x:c>
      <x:c r="I1866" t="n">
        <x:v>0.0086</x:v>
      </x:c>
      <x:c r="J1866" t="str">
        <x:v>Low</x:v>
      </x:c>
      <x:c r="K1866" t="n">
        <x:v>44.4</x:v>
      </x:c>
      <x:c r="L1866" t="n">
        <x:v>42.2</x:v>
      </x:c>
      <x:c r="M1866" t="n">
        <x:v>41.5</x:v>
      </x:c>
      <x:c r="N1866" t="str">
        <x:v>Most Likely</x:v>
      </x:c>
      <x:c r="O1866" t="str">
        <x:v>Most Likely</x:v>
      </x:c>
    </x:row>
    <x:row r="1867">
      <x:c r="A1867" t="str">
        <x:v>PJT_1866</x:v>
      </x:c>
      <x:c r="B1867" t="n">
        <x:v>65803320</x:v>
      </x:c>
      <x:c r="C1867" t="n">
        <x:v>67894705</x:v>
      </x:c>
      <x:c r="D1867" t="n">
        <x:v>2091385</x:v>
      </x:c>
      <x:c r="E1867" t="n">
        <x:v>0.0318</x:v>
      </x:c>
      <x:c r="F1867" t="n">
        <x:v>1300</x:v>
      </x:c>
      <x:c r="G1867" t="n">
        <x:v>1470</x:v>
      </x:c>
      <x:c r="H1867" t="n">
        <x:v>170</x:v>
      </x:c>
      <x:c r="I1867" t="n">
        <x:v>0.1308</x:v>
      </x:c>
      <x:c r="J1867" t="str">
        <x:v>Medium</x:v>
      </x:c>
      <x:c r="K1867" t="n">
        <x:v>65.5</x:v>
      </x:c>
      <x:c r="L1867" t="n">
        <x:v>65.5</x:v>
      </x:c>
      <x:c r="M1867" t="n">
        <x:v>68.9</x:v>
      </x:c>
      <x:c r="N1867" t="str">
        <x:v>Most Likely</x:v>
      </x:c>
      <x:c r="O1867" t="str">
        <x:v>Pessimistic</x:v>
      </x:c>
    </x:row>
    <x:row r="1868">
      <x:c r="A1868" t="str">
        <x:v>PJT_1867</x:v>
      </x:c>
      <x:c r="B1868" t="n">
        <x:v>82605460</x:v>
      </x:c>
      <x:c r="C1868" t="n">
        <x:v>87853893</x:v>
      </x:c>
      <x:c r="D1868" t="n">
        <x:v>5248433</x:v>
      </x:c>
      <x:c r="E1868" t="n">
        <x:v>0.0635</x:v>
      </x:c>
      <x:c r="F1868" t="n">
        <x:v>1503</x:v>
      </x:c>
      <x:c r="G1868" t="n">
        <x:v>1555</x:v>
      </x:c>
      <x:c r="H1868" t="n">
        <x:v>52</x:v>
      </x:c>
      <x:c r="I1868" t="n">
        <x:v>0.0346</x:v>
      </x:c>
      <x:c r="J1868" t="str">
        <x:v>Medium</x:v>
      </x:c>
      <x:c r="K1868" t="n">
        <x:v>57.9</x:v>
      </x:c>
      <x:c r="L1868" t="n">
        <x:v>58.1</x:v>
      </x:c>
      <x:c r="M1868" t="n">
        <x:v>56.2</x:v>
      </x:c>
      <x:c r="N1868" t="str">
        <x:v>Most Likely</x:v>
      </x:c>
      <x:c r="O1868" t="str">
        <x:v>Most Likely</x:v>
      </x:c>
    </x:row>
    <x:row r="1869">
      <x:c r="A1869" t="str">
        <x:v>PJT_1868</x:v>
      </x:c>
      <x:c r="B1869" t="n">
        <x:v>32908770</x:v>
      </x:c>
      <x:c r="C1869" t="n">
        <x:v>32991522</x:v>
      </x:c>
      <x:c r="D1869" t="n">
        <x:v>82752</x:v>
      </x:c>
      <x:c r="E1869" t="n">
        <x:v>0.0025</x:v>
      </x:c>
      <x:c r="F1869" t="n">
        <x:v>585</x:v>
      </x:c>
      <x:c r="G1869" t="n">
        <x:v>565</x:v>
      </x:c>
      <x:c r="H1869" t="n">
        <x:v>-20</x:v>
      </x:c>
      <x:c r="I1869" t="n">
        <x:v>-0.0342</x:v>
      </x:c>
      <x:c r="J1869" t="str">
        <x:v>Low</x:v>
      </x:c>
      <x:c r="K1869" t="n">
        <x:v>38.4</x:v>
      </x:c>
      <x:c r="L1869" t="n">
        <x:v>42.2</x:v>
      </x:c>
      <x:c r="M1869" t="n">
        <x:v>37.9</x:v>
      </x:c>
      <x:c r="N1869" t="str">
        <x:v>Most Likely</x:v>
      </x:c>
      <x:c r="O1869" t="str">
        <x:v>Optimistic</x:v>
      </x:c>
    </x:row>
    <x:row r="1870">
      <x:c r="A1870" t="str">
        <x:v>PJT_1869</x:v>
      </x:c>
      <x:c r="B1870" t="n">
        <x:v>40285070</x:v>
      </x:c>
      <x:c r="C1870" t="n">
        <x:v>43109878</x:v>
      </x:c>
      <x:c r="D1870" t="n">
        <x:v>2824808</x:v>
      </x:c>
      <x:c r="E1870" t="n">
        <x:v>0.0701</x:v>
      </x:c>
      <x:c r="F1870" t="n">
        <x:v>785</x:v>
      </x:c>
      <x:c r="G1870" t="n">
        <x:v>852</x:v>
      </x:c>
      <x:c r="H1870" t="n">
        <x:v>67</x:v>
      </x:c>
      <x:c r="I1870" t="n">
        <x:v>0.0854</x:v>
      </x:c>
      <x:c r="J1870" t="str">
        <x:v>Medium</x:v>
      </x:c>
      <x:c r="K1870" t="n">
        <x:v>55.5</x:v>
      </x:c>
      <x:c r="L1870" t="n">
        <x:v>52.1</x:v>
      </x:c>
      <x:c r="M1870" t="n">
        <x:v>55.8</x:v>
      </x:c>
      <x:c r="N1870" t="str">
        <x:v>Most Likely</x:v>
      </x:c>
      <x:c r="O1870" t="str">
        <x:v>Most Likely</x:v>
      </x:c>
    </x:row>
    <x:row r="1871">
      <x:c r="A1871" t="str">
        <x:v>PJT_1870</x:v>
      </x:c>
      <x:c r="B1871" t="n">
        <x:v>24891750</x:v>
      </x:c>
      <x:c r="C1871" t="n">
        <x:v>25942435</x:v>
      </x:c>
      <x:c r="D1871" t="n">
        <x:v>1050685</x:v>
      </x:c>
      <x:c r="E1871" t="n">
        <x:v>0.0422</x:v>
      </x:c>
      <x:c r="F1871" t="n">
        <x:v>554</x:v>
      </x:c>
      <x:c r="G1871" t="n">
        <x:v>548</x:v>
      </x:c>
      <x:c r="H1871" t="n">
        <x:v>-6</x:v>
      </x:c>
      <x:c r="I1871" t="n">
        <x:v>-0.0108</x:v>
      </x:c>
      <x:c r="J1871" t="str">
        <x:v>Low</x:v>
      </x:c>
      <x:c r="K1871" t="n">
        <x:v>36.7</x:v>
      </x:c>
      <x:c r="L1871" t="n">
        <x:v>39</x:v>
      </x:c>
      <x:c r="M1871" t="n">
        <x:v>33.9</x:v>
      </x:c>
      <x:c r="N1871" t="str">
        <x:v>Most Likely</x:v>
      </x:c>
      <x:c r="O1871" t="str">
        <x:v>Optimistic</x:v>
      </x:c>
    </x:row>
    <x:row r="1872">
      <x:c r="A1872" t="str">
        <x:v>PJT_1871</x:v>
      </x:c>
      <x:c r="B1872" t="n">
        <x:v>40971150</x:v>
      </x:c>
      <x:c r="C1872" t="n">
        <x:v>44427586</x:v>
      </x:c>
      <x:c r="D1872" t="n">
        <x:v>3456436</x:v>
      </x:c>
      <x:c r="E1872" t="n">
        <x:v>0.0844</x:v>
      </x:c>
      <x:c r="F1872" t="n">
        <x:v>1028</x:v>
      </x:c>
      <x:c r="G1872" t="n">
        <x:v>1086</x:v>
      </x:c>
      <x:c r="H1872" t="n">
        <x:v>58</x:v>
      </x:c>
      <x:c r="I1872" t="n">
        <x:v>0.0564</x:v>
      </x:c>
      <x:c r="J1872" t="str">
        <x:v>Medium</x:v>
      </x:c>
      <x:c r="K1872" t="n">
        <x:v>51.3</x:v>
      </x:c>
      <x:c r="L1872" t="n">
        <x:v>50.5</x:v>
      </x:c>
      <x:c r="M1872" t="n">
        <x:v>49.7</x:v>
      </x:c>
      <x:c r="N1872" t="str">
        <x:v>Most Likely</x:v>
      </x:c>
      <x:c r="O1872" t="str">
        <x:v>Most Likely</x:v>
      </x:c>
    </x:row>
    <x:row r="1873">
      <x:c r="A1873" t="str">
        <x:v>PJT_1872</x:v>
      </x:c>
      <x:c r="B1873" t="n">
        <x:v>21858410</x:v>
      </x:c>
      <x:c r="C1873" t="n">
        <x:v>20572188</x:v>
      </x:c>
      <x:c r="D1873" t="n">
        <x:v>-1286222</x:v>
      </x:c>
      <x:c r="E1873" t="n">
        <x:v>-0.0588</x:v>
      </x:c>
      <x:c r="F1873" t="n">
        <x:v>586</x:v>
      </x:c>
      <x:c r="G1873" t="n">
        <x:v>625</x:v>
      </x:c>
      <x:c r="H1873" t="n">
        <x:v>39</x:v>
      </x:c>
      <x:c r="I1873" t="n">
        <x:v>0.0666</x:v>
      </x:c>
      <x:c r="J1873" t="str">
        <x:v>Low</x:v>
      </x:c>
      <x:c r="K1873" t="n">
        <x:v>36.1</x:v>
      </x:c>
      <x:c r="L1873" t="n">
        <x:v>34.2</x:v>
      </x:c>
      <x:c r="M1873" t="n">
        <x:v>44.7</x:v>
      </x:c>
      <x:c r="N1873" t="str">
        <x:v>Optimistic</x:v>
      </x:c>
      <x:c r="O1873" t="str">
        <x:v>Most Likely</x:v>
      </x:c>
    </x:row>
    <x:row r="1874">
      <x:c r="A1874" t="str">
        <x:v>PJT_1873</x:v>
      </x:c>
      <x:c r="B1874" t="n">
        <x:v>50829200</x:v>
      </x:c>
      <x:c r="C1874" t="n">
        <x:v>53424148</x:v>
      </x:c>
      <x:c r="D1874" t="n">
        <x:v>2594948</x:v>
      </x:c>
      <x:c r="E1874" t="n">
        <x:v>0.0511</x:v>
      </x:c>
      <x:c r="F1874" t="n">
        <x:v>800</x:v>
      </x:c>
      <x:c r="G1874" t="n">
        <x:v>854</x:v>
      </x:c>
      <x:c r="H1874" t="n">
        <x:v>54</x:v>
      </x:c>
      <x:c r="I1874" t="n">
        <x:v>0.0675</x:v>
      </x:c>
      <x:c r="J1874" t="str">
        <x:v>Medium</x:v>
      </x:c>
      <x:c r="K1874" t="n">
        <x:v>49.3</x:v>
      </x:c>
      <x:c r="L1874" t="n">
        <x:v>50</x:v>
      </x:c>
      <x:c r="M1874" t="n">
        <x:v>52.9</x:v>
      </x:c>
      <x:c r="N1874" t="str">
        <x:v>Most Likely</x:v>
      </x:c>
      <x:c r="O1874" t="str">
        <x:v>Most Likely</x:v>
      </x:c>
    </x:row>
    <x:row r="1875">
      <x:c r="A1875" t="str">
        <x:v>PJT_1874</x:v>
      </x:c>
      <x:c r="B1875" t="n">
        <x:v>56378400</x:v>
      </x:c>
      <x:c r="C1875" t="n">
        <x:v>61342321</x:v>
      </x:c>
      <x:c r="D1875" t="n">
        <x:v>4963921</x:v>
      </x:c>
      <x:c r="E1875" t="n">
        <x:v>0.088</x:v>
      </x:c>
      <x:c r="F1875" t="n">
        <x:v>1051</x:v>
      </x:c>
      <x:c r="G1875" t="n">
        <x:v>1099</x:v>
      </x:c>
      <x:c r="H1875" t="n">
        <x:v>48</x:v>
      </x:c>
      <x:c r="I1875" t="n">
        <x:v>0.0457</x:v>
      </x:c>
      <x:c r="J1875" t="str">
        <x:v>Medium</x:v>
      </x:c>
      <x:c r="K1875" t="n">
        <x:v>56.8</x:v>
      </x:c>
      <x:c r="L1875" t="n">
        <x:v>59.4</x:v>
      </x:c>
      <x:c r="M1875" t="n">
        <x:v>56.7</x:v>
      </x:c>
      <x:c r="N1875" t="str">
        <x:v>Most Likely</x:v>
      </x:c>
      <x:c r="O1875" t="str">
        <x:v>Most Likely</x:v>
      </x:c>
    </x:row>
    <x:row r="1876">
      <x:c r="A1876" t="str">
        <x:v>PJT_1875</x:v>
      </x:c>
      <x:c r="B1876" t="n">
        <x:v>33418100</x:v>
      </x:c>
      <x:c r="C1876" t="n">
        <x:v>36537435</x:v>
      </x:c>
      <x:c r="D1876" t="n">
        <x:v>3119335</x:v>
      </x:c>
      <x:c r="E1876" t="n">
        <x:v>0.0933</x:v>
      </x:c>
      <x:c r="F1876" t="n">
        <x:v>646</x:v>
      </x:c>
      <x:c r="G1876" t="n">
        <x:v>654</x:v>
      </x:c>
      <x:c r="H1876" t="n">
        <x:v>8</x:v>
      </x:c>
      <x:c r="I1876" t="n">
        <x:v>0.0124</x:v>
      </x:c>
      <x:c r="J1876" t="str">
        <x:v>Medium</x:v>
      </x:c>
      <x:c r="K1876" t="n">
        <x:v>55.5</x:v>
      </x:c>
      <x:c r="L1876" t="n">
        <x:v>53.9</x:v>
      </x:c>
      <x:c r="M1876" t="n">
        <x:v>61.3</x:v>
      </x:c>
      <x:c r="N1876" t="str">
        <x:v>Most Likely</x:v>
      </x:c>
      <x:c r="O1876" t="str">
        <x:v>Most Likely</x:v>
      </x:c>
    </x:row>
    <x:row r="1877">
      <x:c r="A1877" t="str">
        <x:v>PJT_1876</x:v>
      </x:c>
      <x:c r="B1877" t="n">
        <x:v>88278080</x:v>
      </x:c>
      <x:c r="C1877" t="n">
        <x:v>100960949</x:v>
      </x:c>
      <x:c r="D1877" t="n">
        <x:v>12682869</x:v>
      </x:c>
      <x:c r="E1877" t="n">
        <x:v>0.1437</x:v>
      </x:c>
      <x:c r="F1877" t="n">
        <x:v>1582</x:v>
      </x:c>
      <x:c r="G1877" t="n">
        <x:v>1764</x:v>
      </x:c>
      <x:c r="H1877" t="n">
        <x:v>182</x:v>
      </x:c>
      <x:c r="I1877" t="n">
        <x:v>0.115</x:v>
      </x:c>
      <x:c r="J1877" t="str">
        <x:v>Medium</x:v>
      </x:c>
      <x:c r="K1877" t="n">
        <x:v>65.6</x:v>
      </x:c>
      <x:c r="L1877" t="n">
        <x:v>70.4</x:v>
      </x:c>
      <x:c r="M1877" t="n">
        <x:v>72.2</x:v>
      </x:c>
      <x:c r="N1877" t="str">
        <x:v>Pessimistic</x:v>
      </x:c>
      <x:c r="O1877" t="str">
        <x:v>Pessimistic</x:v>
      </x:c>
    </x:row>
    <x:row r="1878">
      <x:c r="A1878" t="str">
        <x:v>PJT_1877</x:v>
      </x:c>
      <x:c r="B1878" t="n">
        <x:v>19946530</x:v>
      </x:c>
      <x:c r="C1878" t="n">
        <x:v>19399555</x:v>
      </x:c>
      <x:c r="D1878" t="n">
        <x:v>-546975</x:v>
      </x:c>
      <x:c r="E1878" t="n">
        <x:v>-0.0274</x:v>
      </x:c>
      <x:c r="F1878" t="n">
        <x:v>487</x:v>
      </x:c>
      <x:c r="G1878" t="n">
        <x:v>529</x:v>
      </x:c>
      <x:c r="H1878" t="n">
        <x:v>42</x:v>
      </x:c>
      <x:c r="I1878" t="n">
        <x:v>0.0862</x:v>
      </x:c>
      <x:c r="J1878" t="str">
        <x:v>Low</x:v>
      </x:c>
      <x:c r="K1878" t="n">
        <x:v>40.6</x:v>
      </x:c>
      <x:c r="L1878" t="n">
        <x:v>44.9</x:v>
      </x:c>
      <x:c r="M1878" t="n">
        <x:v>38.2</x:v>
      </x:c>
      <x:c r="N1878" t="str">
        <x:v>Optimistic</x:v>
      </x:c>
      <x:c r="O1878" t="str">
        <x:v>Most Likely</x:v>
      </x:c>
    </x:row>
    <x:row r="1879">
      <x:c r="A1879" t="str">
        <x:v>PJT_1878</x:v>
      </x:c>
      <x:c r="B1879" t="n">
        <x:v>36441600</x:v>
      </x:c>
      <x:c r="C1879" t="n">
        <x:v>38846988</x:v>
      </x:c>
      <x:c r="D1879" t="n">
        <x:v>2405388</x:v>
      </x:c>
      <x:c r="E1879" t="n">
        <x:v>0.066</x:v>
      </x:c>
      <x:c r="F1879" t="n">
        <x:v>708</x:v>
      </x:c>
      <x:c r="G1879" t="n">
        <x:v>733</x:v>
      </x:c>
      <x:c r="H1879" t="n">
        <x:v>25</x:v>
      </x:c>
      <x:c r="I1879" t="n">
        <x:v>0.0353</x:v>
      </x:c>
      <x:c r="J1879" t="str">
        <x:v>Medium</x:v>
      </x:c>
      <x:c r="K1879" t="n">
        <x:v>61.6</x:v>
      </x:c>
      <x:c r="L1879" t="n">
        <x:v>55.2</x:v>
      </x:c>
      <x:c r="M1879" t="n">
        <x:v>60.7</x:v>
      </x:c>
      <x:c r="N1879" t="str">
        <x:v>Most Likely</x:v>
      </x:c>
      <x:c r="O1879" t="str">
        <x:v>Most Likely</x:v>
      </x:c>
    </x:row>
    <x:row r="1880">
      <x:c r="A1880" t="str">
        <x:v>PJT_1879</x:v>
      </x:c>
      <x:c r="B1880" t="n">
        <x:v>68015830</x:v>
      </x:c>
      <x:c r="C1880" t="n">
        <x:v>71946464</x:v>
      </x:c>
      <x:c r="D1880" t="n">
        <x:v>3930634</x:v>
      </x:c>
      <x:c r="E1880" t="n">
        <x:v>0.0578</x:v>
      </x:c>
      <x:c r="F1880" t="n">
        <x:v>1288</x:v>
      </x:c>
      <x:c r="G1880" t="n">
        <x:v>1349</x:v>
      </x:c>
      <x:c r="H1880" t="n">
        <x:v>61</x:v>
      </x:c>
      <x:c r="I1880" t="n">
        <x:v>0.0474</x:v>
      </x:c>
      <x:c r="J1880" t="str">
        <x:v>Medium</x:v>
      </x:c>
      <x:c r="K1880" t="n">
        <x:v>54.5</x:v>
      </x:c>
      <x:c r="L1880" t="n">
        <x:v>60.4</x:v>
      </x:c>
      <x:c r="M1880" t="n">
        <x:v>48.8</x:v>
      </x:c>
      <x:c r="N1880" t="str">
        <x:v>Most Likely</x:v>
      </x:c>
      <x:c r="O1880" t="str">
        <x:v>Most Likely</x:v>
      </x:c>
    </x:row>
    <x:row r="1881">
      <x:c r="A1881" t="str">
        <x:v>PJT_1880</x:v>
      </x:c>
      <x:c r="B1881" t="n">
        <x:v>12165900</x:v>
      </x:c>
      <x:c r="C1881" t="n">
        <x:v>12400131</x:v>
      </x:c>
      <x:c r="D1881" t="n">
        <x:v>234231</x:v>
      </x:c>
      <x:c r="E1881" t="n">
        <x:v>0.0193</x:v>
      </x:c>
      <x:c r="F1881" t="n">
        <x:v>213</x:v>
      </x:c>
      <x:c r="G1881" t="n">
        <x:v>219</x:v>
      </x:c>
      <x:c r="H1881" t="n">
        <x:v>6</x:v>
      </x:c>
      <x:c r="I1881" t="n">
        <x:v>0.0282</x:v>
      </x:c>
      <x:c r="J1881" t="str">
        <x:v>Low</x:v>
      </x:c>
      <x:c r="K1881" t="n">
        <x:v>35.2</x:v>
      </x:c>
      <x:c r="L1881" t="n">
        <x:v>41</x:v>
      </x:c>
      <x:c r="M1881" t="n">
        <x:v>38.7</x:v>
      </x:c>
      <x:c r="N1881" t="str">
        <x:v>Most Likely</x:v>
      </x:c>
      <x:c r="O1881" t="str">
        <x:v>Most Likely</x:v>
      </x:c>
    </x:row>
    <x:row r="1882">
      <x:c r="A1882" t="str">
        <x:v>PJT_1881</x:v>
      </x:c>
      <x:c r="B1882" t="n">
        <x:v>93236080</x:v>
      </x:c>
      <x:c r="C1882" t="n">
        <x:v>98217252</x:v>
      </x:c>
      <x:c r="D1882" t="n">
        <x:v>4981172</x:v>
      </x:c>
      <x:c r="E1882" t="n">
        <x:v>0.0534</x:v>
      </x:c>
      <x:c r="F1882" t="n">
        <x:v>1701</x:v>
      </x:c>
      <x:c r="G1882" t="n">
        <x:v>1682</x:v>
      </x:c>
      <x:c r="H1882" t="n">
        <x:v>-19</x:v>
      </x:c>
      <x:c r="I1882" t="n">
        <x:v>-0.0112</x:v>
      </x:c>
      <x:c r="J1882" t="str">
        <x:v>Medium</x:v>
      </x:c>
      <x:c r="K1882" t="n">
        <x:v>48.4</x:v>
      </x:c>
      <x:c r="L1882" t="n">
        <x:v>54.4</x:v>
      </x:c>
      <x:c r="M1882" t="n">
        <x:v>49.6</x:v>
      </x:c>
      <x:c r="N1882" t="str">
        <x:v>Most Likely</x:v>
      </x:c>
      <x:c r="O1882" t="str">
        <x:v>Optimistic</x:v>
      </x:c>
    </x:row>
    <x:row r="1883">
      <x:c r="A1883" t="str">
        <x:v>PJT_1882</x:v>
      </x:c>
      <x:c r="B1883" t="n">
        <x:v>38007560</x:v>
      </x:c>
      <x:c r="C1883" t="n">
        <x:v>40877628</x:v>
      </x:c>
      <x:c r="D1883" t="n">
        <x:v>2870068</x:v>
      </x:c>
      <x:c r="E1883" t="n">
        <x:v>0.0755</x:v>
      </x:c>
      <x:c r="F1883" t="n">
        <x:v>679</x:v>
      </x:c>
      <x:c r="G1883" t="n">
        <x:v>726</x:v>
      </x:c>
      <x:c r="H1883" t="n">
        <x:v>47</x:v>
      </x:c>
      <x:c r="I1883" t="n">
        <x:v>0.0692</x:v>
      </x:c>
      <x:c r="J1883" t="str">
        <x:v>Medium</x:v>
      </x:c>
      <x:c r="K1883" t="n">
        <x:v>49.4</x:v>
      </x:c>
      <x:c r="L1883" t="n">
        <x:v>59.8</x:v>
      </x:c>
      <x:c r="M1883" t="n">
        <x:v>50.2</x:v>
      </x:c>
      <x:c r="N1883" t="str">
        <x:v>Most Likely</x:v>
      </x:c>
      <x:c r="O1883" t="str">
        <x:v>Most Likely</x:v>
      </x:c>
    </x:row>
    <x:row r="1884">
      <x:c r="A1884" t="str">
        <x:v>PJT_1883</x:v>
      </x:c>
      <x:c r="B1884" t="n">
        <x:v>46493760</x:v>
      </x:c>
      <x:c r="C1884" t="n">
        <x:v>48361435</x:v>
      </x:c>
      <x:c r="D1884" t="n">
        <x:v>1867675</x:v>
      </x:c>
      <x:c r="E1884" t="n">
        <x:v>0.0402</x:v>
      </x:c>
      <x:c r="F1884" t="n">
        <x:v>854</x:v>
      </x:c>
      <x:c r="G1884" t="n">
        <x:v>890</x:v>
      </x:c>
      <x:c r="H1884" t="n">
        <x:v>36</x:v>
      </x:c>
      <x:c r="I1884" t="n">
        <x:v>0.0422</x:v>
      </x:c>
      <x:c r="J1884" t="str">
        <x:v>Low</x:v>
      </x:c>
      <x:c r="K1884" t="n">
        <x:v>42.2</x:v>
      </x:c>
      <x:c r="L1884" t="n">
        <x:v>49.3</x:v>
      </x:c>
      <x:c r="M1884" t="n">
        <x:v>43.1</x:v>
      </x:c>
      <x:c r="N1884" t="str">
        <x:v>Most Likely</x:v>
      </x:c>
      <x:c r="O1884" t="str">
        <x:v>Most Likely</x:v>
      </x:c>
    </x:row>
    <x:row r="1885">
      <x:c r="A1885" t="str">
        <x:v>PJT_1884</x:v>
      </x:c>
      <x:c r="B1885" t="n">
        <x:v>25338460</x:v>
      </x:c>
      <x:c r="C1885" t="n">
        <x:v>25946478</x:v>
      </x:c>
      <x:c r="D1885" t="n">
        <x:v>608018</x:v>
      </x:c>
      <x:c r="E1885" t="n">
        <x:v>0.024</x:v>
      </x:c>
      <x:c r="F1885" t="n">
        <x:v>486</x:v>
      </x:c>
      <x:c r="G1885" t="n">
        <x:v>507</x:v>
      </x:c>
      <x:c r="H1885" t="n">
        <x:v>21</x:v>
      </x:c>
      <x:c r="I1885" t="n">
        <x:v>0.0432</x:v>
      </x:c>
      <x:c r="J1885" t="str">
        <x:v>Medium</x:v>
      </x:c>
      <x:c r="K1885" t="n">
        <x:v>59.2</x:v>
      </x:c>
      <x:c r="L1885" t="n">
        <x:v>54.8</x:v>
      </x:c>
      <x:c r="M1885" t="n">
        <x:v>55.5</x:v>
      </x:c>
      <x:c r="N1885" t="str">
        <x:v>Most Likely</x:v>
      </x:c>
      <x:c r="O1885" t="str">
        <x:v>Most Likely</x:v>
      </x:c>
    </x:row>
    <x:row r="1886">
      <x:c r="A1886" t="str">
        <x:v>PJT_1885</x:v>
      </x:c>
      <x:c r="B1886" t="n">
        <x:v>9757730</x:v>
      </x:c>
      <x:c r="C1886" t="n">
        <x:v>9776193</x:v>
      </x:c>
      <x:c r="D1886" t="n">
        <x:v>18463</x:v>
      </x:c>
      <x:c r="E1886" t="n">
        <x:v>0.0019</x:v>
      </x:c>
      <x:c r="F1886" t="n">
        <x:v>251</x:v>
      </x:c>
      <x:c r="G1886" t="n">
        <x:v>252</x:v>
      </x:c>
      <x:c r="H1886" t="n">
        <x:v>1</x:v>
      </x:c>
      <x:c r="I1886" t="n">
        <x:v>0.004</x:v>
      </x:c>
      <x:c r="J1886" t="str">
        <x:v>Low</x:v>
      </x:c>
      <x:c r="K1886" t="n">
        <x:v>32.6</x:v>
      </x:c>
      <x:c r="L1886" t="n">
        <x:v>32</x:v>
      </x:c>
      <x:c r="M1886" t="n">
        <x:v>31.1</x:v>
      </x:c>
      <x:c r="N1886" t="str">
        <x:v>Most Likely</x:v>
      </x:c>
      <x:c r="O1886" t="str">
        <x:v>Most Likely</x:v>
      </x:c>
    </x:row>
    <x:row r="1887">
      <x:c r="A1887" t="str">
        <x:v>PJT_1886</x:v>
      </x:c>
      <x:c r="B1887" t="n">
        <x:v>11796340</x:v>
      </x:c>
      <x:c r="C1887" t="n">
        <x:v>10987594</x:v>
      </x:c>
      <x:c r="D1887" t="n">
        <x:v>-808746</x:v>
      </x:c>
      <x:c r="E1887" t="n">
        <x:v>-0.0686</x:v>
      </x:c>
      <x:c r="F1887" t="n">
        <x:v>226</x:v>
      </x:c>
      <x:c r="G1887" t="n">
        <x:v>228</x:v>
      </x:c>
      <x:c r="H1887" t="n">
        <x:v>2</x:v>
      </x:c>
      <x:c r="I1887" t="n">
        <x:v>0.0088</x:v>
      </x:c>
      <x:c r="J1887" t="str">
        <x:v>Low</x:v>
      </x:c>
      <x:c r="K1887" t="n">
        <x:v>26.4</x:v>
      </x:c>
      <x:c r="L1887" t="n">
        <x:v>25.9</x:v>
      </x:c>
      <x:c r="M1887" t="n">
        <x:v>28.3</x:v>
      </x:c>
      <x:c r="N1887" t="str">
        <x:v>Optimistic</x:v>
      </x:c>
      <x:c r="O1887" t="str">
        <x:v>Most Likely</x:v>
      </x:c>
    </x:row>
    <x:row r="1888">
      <x:c r="A1888" t="str">
        <x:v>PJT_1887</x:v>
      </x:c>
      <x:c r="B1888" t="n">
        <x:v>57014900</x:v>
      </x:c>
      <x:c r="C1888" t="n">
        <x:v>61059632</x:v>
      </x:c>
      <x:c r="D1888" t="n">
        <x:v>4044732</x:v>
      </x:c>
      <x:c r="E1888" t="n">
        <x:v>0.0709</x:v>
      </x:c>
      <x:c r="F1888" t="n">
        <x:v>1014</x:v>
      </x:c>
      <x:c r="G1888" t="n">
        <x:v>1107</x:v>
      </x:c>
      <x:c r="H1888" t="n">
        <x:v>93</x:v>
      </x:c>
      <x:c r="I1888" t="n">
        <x:v>0.0917</x:v>
      </x:c>
      <x:c r="J1888" t="str">
        <x:v>Medium</x:v>
      </x:c>
      <x:c r="K1888" t="n">
        <x:v>59.1</x:v>
      </x:c>
      <x:c r="L1888" t="n">
        <x:v>63.8</x:v>
      </x:c>
      <x:c r="M1888" t="n">
        <x:v>61.3</x:v>
      </x:c>
      <x:c r="N1888" t="str">
        <x:v>Most Likely</x:v>
      </x:c>
      <x:c r="O1888" t="str">
        <x:v>Most Likely</x:v>
      </x:c>
    </x:row>
    <x:row r="1889">
      <x:c r="A1889" t="str">
        <x:v>PJT_1888</x:v>
      </x:c>
      <x:c r="B1889" t="n">
        <x:v>34718200</x:v>
      </x:c>
      <x:c r="C1889" t="n">
        <x:v>36655812</x:v>
      </x:c>
      <x:c r="D1889" t="n">
        <x:v>1937612</x:v>
      </x:c>
      <x:c r="E1889" t="n">
        <x:v>0.0558</x:v>
      </x:c>
      <x:c r="F1889" t="n">
        <x:v>647</x:v>
      </x:c>
      <x:c r="G1889" t="n">
        <x:v>658</x:v>
      </x:c>
      <x:c r="H1889" t="n">
        <x:v>11</x:v>
      </x:c>
      <x:c r="I1889" t="n">
        <x:v>0.017</x:v>
      </x:c>
      <x:c r="J1889" t="str">
        <x:v>Medium</x:v>
      </x:c>
      <x:c r="K1889" t="n">
        <x:v>52</x:v>
      </x:c>
      <x:c r="L1889" t="n">
        <x:v>55.1</x:v>
      </x:c>
      <x:c r="M1889" t="n">
        <x:v>49.4</x:v>
      </x:c>
      <x:c r="N1889" t="str">
        <x:v>Most Likely</x:v>
      </x:c>
      <x:c r="O1889" t="str">
        <x:v>Most Likely</x:v>
      </x:c>
    </x:row>
    <x:row r="1890">
      <x:c r="A1890" t="str">
        <x:v>PJT_1889</x:v>
      </x:c>
      <x:c r="B1890" t="n">
        <x:v>93953150</x:v>
      </x:c>
      <x:c r="C1890" t="n">
        <x:v>112044176</x:v>
      </x:c>
      <x:c r="D1890" t="n">
        <x:v>18091026</x:v>
      </x:c>
      <x:c r="E1890" t="n">
        <x:v>0.1926</x:v>
      </x:c>
      <x:c r="F1890" t="n">
        <x:v>1681</x:v>
      </x:c>
      <x:c r="G1890" t="n">
        <x:v>1755</x:v>
      </x:c>
      <x:c r="H1890" t="n">
        <x:v>74</x:v>
      </x:c>
      <x:c r="I1890" t="n">
        <x:v>0.044</x:v>
      </x:c>
      <x:c r="J1890" t="str">
        <x:v>Medium</x:v>
      </x:c>
      <x:c r="K1890" t="n">
        <x:v>64</x:v>
      </x:c>
      <x:c r="L1890" t="n">
        <x:v>68</x:v>
      </x:c>
      <x:c r="M1890" t="n">
        <x:v>63.7</x:v>
      </x:c>
      <x:c r="N1890" t="str">
        <x:v>Pessimistic</x:v>
      </x:c>
      <x:c r="O1890" t="str">
        <x:v>Most Likely</x:v>
      </x:c>
    </x:row>
    <x:row r="1891">
      <x:c r="A1891" t="str">
        <x:v>PJT_1890</x:v>
      </x:c>
      <x:c r="B1891" t="n">
        <x:v>27621600</x:v>
      </x:c>
      <x:c r="C1891" t="n">
        <x:v>29012669</x:v>
      </x:c>
      <x:c r="D1891" t="n">
        <x:v>1391069</x:v>
      </x:c>
      <x:c r="E1891" t="n">
        <x:v>0.0504</x:v>
      </x:c>
      <x:c r="F1891" t="n">
        <x:v>529</x:v>
      </x:c>
      <x:c r="G1891" t="n">
        <x:v>495</x:v>
      </x:c>
      <x:c r="H1891" t="n">
        <x:v>-34</x:v>
      </x:c>
      <x:c r="I1891" t="n">
        <x:v>-0.0643</x:v>
      </x:c>
      <x:c r="J1891" t="str">
        <x:v>Low</x:v>
      </x:c>
      <x:c r="K1891" t="n">
        <x:v>34</x:v>
      </x:c>
      <x:c r="L1891" t="n">
        <x:v>41.9</x:v>
      </x:c>
      <x:c r="M1891" t="n">
        <x:v>32.4</x:v>
      </x:c>
      <x:c r="N1891" t="str">
        <x:v>Most Likely</x:v>
      </x:c>
      <x:c r="O1891" t="str">
        <x:v>Optimistic</x:v>
      </x:c>
    </x:row>
    <x:row r="1892">
      <x:c r="A1892" t="str">
        <x:v>PJT_1891</x:v>
      </x:c>
      <x:c r="B1892" t="n">
        <x:v>82214860</x:v>
      </x:c>
      <x:c r="C1892" t="n">
        <x:v>86276819</x:v>
      </x:c>
      <x:c r="D1892" t="n">
        <x:v>4061959</x:v>
      </x:c>
      <x:c r="E1892" t="n">
        <x:v>0.0494</x:v>
      </x:c>
      <x:c r="F1892" t="n">
        <x:v>1545</x:v>
      </x:c>
      <x:c r="G1892" t="n">
        <x:v>1704</x:v>
      </x:c>
      <x:c r="H1892" t="n">
        <x:v>159</x:v>
      </x:c>
      <x:c r="I1892" t="n">
        <x:v>0.1029</x:v>
      </x:c>
      <x:c r="J1892" t="str">
        <x:v>Medium</x:v>
      </x:c>
      <x:c r="K1892" t="n">
        <x:v>56.3</x:v>
      </x:c>
      <x:c r="L1892" t="n">
        <x:v>63.8</x:v>
      </x:c>
      <x:c r="M1892" t="n">
        <x:v>60.8</x:v>
      </x:c>
      <x:c r="N1892" t="str">
        <x:v>Most Likely</x:v>
      </x:c>
      <x:c r="O1892" t="str">
        <x:v>Pessimistic</x:v>
      </x:c>
    </x:row>
    <x:row r="1893">
      <x:c r="A1893" t="str">
        <x:v>PJT_1892</x:v>
      </x:c>
      <x:c r="B1893" t="n">
        <x:v>59347610</x:v>
      </x:c>
      <x:c r="C1893" t="n">
        <x:v>59847382</x:v>
      </x:c>
      <x:c r="D1893" t="n">
        <x:v>499772</x:v>
      </x:c>
      <x:c r="E1893" t="n">
        <x:v>0.0084</x:v>
      </x:c>
      <x:c r="F1893" t="n">
        <x:v>1094</x:v>
      </x:c>
      <x:c r="G1893" t="n">
        <x:v>1175</x:v>
      </x:c>
      <x:c r="H1893" t="n">
        <x:v>81</x:v>
      </x:c>
      <x:c r="I1893" t="n">
        <x:v>0.074</x:v>
      </x:c>
      <x:c r="J1893" t="str">
        <x:v>Medium</x:v>
      </x:c>
      <x:c r="K1893" t="n">
        <x:v>49.6</x:v>
      </x:c>
      <x:c r="L1893" t="n">
        <x:v>57.4</x:v>
      </x:c>
      <x:c r="M1893" t="n">
        <x:v>51.1</x:v>
      </x:c>
      <x:c r="N1893" t="str">
        <x:v>Most Likely</x:v>
      </x:c>
      <x:c r="O1893" t="str">
        <x:v>Most Likely</x:v>
      </x:c>
    </x:row>
    <x:row r="1894">
      <x:c r="A1894" t="str">
        <x:v>PJT_1893</x:v>
      </x:c>
      <x:c r="B1894" t="n">
        <x:v>77183400</x:v>
      </x:c>
      <x:c r="C1894" t="n">
        <x:v>91288428</x:v>
      </x:c>
      <x:c r="D1894" t="n">
        <x:v>14105028</x:v>
      </x:c>
      <x:c r="E1894" t="n">
        <x:v>0.1827</x:v>
      </x:c>
      <x:c r="F1894" t="n">
        <x:v>1356</x:v>
      </x:c>
      <x:c r="G1894" t="n">
        <x:v>1605</x:v>
      </x:c>
      <x:c r="H1894" t="n">
        <x:v>249</x:v>
      </x:c>
      <x:c r="I1894" t="n">
        <x:v>0.1836</x:v>
      </x:c>
      <x:c r="J1894" t="str">
        <x:v>High</x:v>
      </x:c>
      <x:c r="K1894" t="n">
        <x:v>67.7</x:v>
      </x:c>
      <x:c r="L1894" t="n">
        <x:v>74.6</x:v>
      </x:c>
      <x:c r="M1894" t="n">
        <x:v>71</x:v>
      </x:c>
      <x:c r="N1894" t="str">
        <x:v>Pessimistic</x:v>
      </x:c>
      <x:c r="O1894" t="str">
        <x:v>Pessimistic</x:v>
      </x:c>
    </x:row>
    <x:row r="1895">
      <x:c r="A1895" t="str">
        <x:v>PJT_1894</x:v>
      </x:c>
      <x:c r="B1895" t="n">
        <x:v>52006500</x:v>
      </x:c>
      <x:c r="C1895" t="n">
        <x:v>55857724</x:v>
      </x:c>
      <x:c r="D1895" t="n">
        <x:v>3851224</x:v>
      </x:c>
      <x:c r="E1895" t="n">
        <x:v>0.0741</x:v>
      </x:c>
      <x:c r="F1895" t="n">
        <x:v>991</x:v>
      </x:c>
      <x:c r="G1895" t="n">
        <x:v>1014</x:v>
      </x:c>
      <x:c r="H1895" t="n">
        <x:v>23</x:v>
      </x:c>
      <x:c r="I1895" t="n">
        <x:v>0.0232</x:v>
      </x:c>
      <x:c r="J1895" t="str">
        <x:v>Medium</x:v>
      </x:c>
      <x:c r="K1895" t="n">
        <x:v>51.7</x:v>
      </x:c>
      <x:c r="L1895" t="n">
        <x:v>54</x:v>
      </x:c>
      <x:c r="M1895" t="n">
        <x:v>48.4</x:v>
      </x:c>
      <x:c r="N1895" t="str">
        <x:v>Most Likely</x:v>
      </x:c>
      <x:c r="O1895" t="str">
        <x:v>Most Likely</x:v>
      </x:c>
    </x:row>
    <x:row r="1896">
      <x:c r="A1896" t="str">
        <x:v>PJT_1895</x:v>
      </x:c>
      <x:c r="B1896" t="n">
        <x:v>12115340</x:v>
      </x:c>
      <x:c r="C1896" t="n">
        <x:v>11435661</x:v>
      </x:c>
      <x:c r="D1896" t="n">
        <x:v>-679679</x:v>
      </x:c>
      <x:c r="E1896" t="n">
        <x:v>-0.0561</x:v>
      </x:c>
      <x:c r="F1896" t="n">
        <x:v>288</x:v>
      </x:c>
      <x:c r="G1896" t="n">
        <x:v>263</x:v>
      </x:c>
      <x:c r="H1896" t="n">
        <x:v>-25</x:v>
      </x:c>
      <x:c r="I1896" t="n">
        <x:v>-0.0868</x:v>
      </x:c>
      <x:c r="J1896" t="str">
        <x:v>Low</x:v>
      </x:c>
      <x:c r="K1896" t="n">
        <x:v>36.1</x:v>
      </x:c>
      <x:c r="L1896" t="n">
        <x:v>34</x:v>
      </x:c>
      <x:c r="M1896" t="n">
        <x:v>35.2</x:v>
      </x:c>
      <x:c r="N1896" t="str">
        <x:v>Optimistic</x:v>
      </x:c>
      <x:c r="O1896" t="str">
        <x:v>Optimistic</x:v>
      </x:c>
    </x:row>
    <x:row r="1897">
      <x:c r="A1897" t="str">
        <x:v>PJT_1896</x:v>
      </x:c>
      <x:c r="B1897" t="n">
        <x:v>38211210</x:v>
      </x:c>
      <x:c r="C1897" t="n">
        <x:v>38872529</x:v>
      </x:c>
      <x:c r="D1897" t="n">
        <x:v>661319</x:v>
      </x:c>
      <x:c r="E1897" t="n">
        <x:v>0.0173</x:v>
      </x:c>
      <x:c r="F1897" t="n">
        <x:v>738</x:v>
      </x:c>
      <x:c r="G1897" t="n">
        <x:v>813</x:v>
      </x:c>
      <x:c r="H1897" t="n">
        <x:v>75</x:v>
      </x:c>
      <x:c r="I1897" t="n">
        <x:v>0.1016</x:v>
      </x:c>
      <x:c r="J1897" t="str">
        <x:v>Medium</x:v>
      </x:c>
      <x:c r="K1897" t="n">
        <x:v>63.4</x:v>
      </x:c>
      <x:c r="L1897" t="n">
        <x:v>60.9</x:v>
      </x:c>
      <x:c r="M1897" t="n">
        <x:v>62.4</x:v>
      </x:c>
      <x:c r="N1897" t="str">
        <x:v>Most Likely</x:v>
      </x:c>
      <x:c r="O1897" t="str">
        <x:v>Pessimistic</x:v>
      </x:c>
    </x:row>
    <x:row r="1898">
      <x:c r="A1898" t="str">
        <x:v>PJT_1897</x:v>
      </x:c>
      <x:c r="B1898" t="n">
        <x:v>122394900</x:v>
      </x:c>
      <x:c r="C1898" t="n">
        <x:v>141419311</x:v>
      </x:c>
      <x:c r="D1898" t="n">
        <x:v>19024411</x:v>
      </x:c>
      <x:c r="E1898" t="n">
        <x:v>0.1554</x:v>
      </x:c>
      <x:c r="F1898" t="n">
        <x:v>1863</x:v>
      </x:c>
      <x:c r="G1898" t="n">
        <x:v>1989</x:v>
      </x:c>
      <x:c r="H1898" t="n">
        <x:v>126</x:v>
      </x:c>
      <x:c r="I1898" t="n">
        <x:v>0.0676</x:v>
      </x:c>
      <x:c r="J1898" t="str">
        <x:v>High</x:v>
      </x:c>
      <x:c r="K1898" t="n">
        <x:v>70.2</x:v>
      </x:c>
      <x:c r="L1898" t="n">
        <x:v>73.2</x:v>
      </x:c>
      <x:c r="M1898" t="n">
        <x:v>66</x:v>
      </x:c>
      <x:c r="N1898" t="str">
        <x:v>Pessimistic</x:v>
      </x:c>
      <x:c r="O1898" t="str">
        <x:v>Most Likely</x:v>
      </x:c>
    </x:row>
    <x:row r="1899">
      <x:c r="A1899" t="str">
        <x:v>PJT_1898</x:v>
      </x:c>
      <x:c r="B1899" t="n">
        <x:v>10729040</x:v>
      </x:c>
      <x:c r="C1899" t="n">
        <x:v>10161005</x:v>
      </x:c>
      <x:c r="D1899" t="n">
        <x:v>-568035</x:v>
      </x:c>
      <x:c r="E1899" t="n">
        <x:v>-0.0529</x:v>
      </x:c>
      <x:c r="F1899" t="n">
        <x:v>291</x:v>
      </x:c>
      <x:c r="G1899" t="n">
        <x:v>305</x:v>
      </x:c>
      <x:c r="H1899" t="n">
        <x:v>14</x:v>
      </x:c>
      <x:c r="I1899" t="n">
        <x:v>0.0481</x:v>
      </x:c>
      <x:c r="J1899" t="str">
        <x:v>Low</x:v>
      </x:c>
      <x:c r="K1899" t="n">
        <x:v>30.8</x:v>
      </x:c>
      <x:c r="L1899" t="n">
        <x:v>24.1</x:v>
      </x:c>
      <x:c r="M1899" t="n">
        <x:v>31.7</x:v>
      </x:c>
      <x:c r="N1899" t="str">
        <x:v>Optimistic</x:v>
      </x:c>
      <x:c r="O1899" t="str">
        <x:v>Most Likely</x:v>
      </x:c>
    </x:row>
    <x:row r="1900">
      <x:c r="A1900" t="str">
        <x:v>PJT_1899</x:v>
      </x:c>
      <x:c r="B1900" t="n">
        <x:v>4566600</x:v>
      </x:c>
      <x:c r="C1900" t="n">
        <x:v>4660095</x:v>
      </x:c>
      <x:c r="D1900" t="n">
        <x:v>93495</x:v>
      </x:c>
      <x:c r="E1900" t="n">
        <x:v>0.0205</x:v>
      </x:c>
      <x:c r="F1900" t="n">
        <x:v>180</x:v>
      </x:c>
      <x:c r="G1900" t="n">
        <x:v>161</x:v>
      </x:c>
      <x:c r="H1900" t="n">
        <x:v>-19</x:v>
      </x:c>
      <x:c r="I1900" t="n">
        <x:v>-0.1056</x:v>
      </x:c>
      <x:c r="J1900" t="str">
        <x:v>Low</x:v>
      </x:c>
      <x:c r="K1900" t="n">
        <x:v>25.3</x:v>
      </x:c>
      <x:c r="L1900" t="n">
        <x:v>26.7</x:v>
      </x:c>
      <x:c r="M1900" t="n">
        <x:v>22</x:v>
      </x:c>
      <x:c r="N1900" t="str">
        <x:v>Most Likely</x:v>
      </x:c>
      <x:c r="O1900" t="str">
        <x:v>Optimistic</x:v>
      </x:c>
    </x:row>
    <x:row r="1901">
      <x:c r="A1901" t="str">
        <x:v>PJT_1900</x:v>
      </x:c>
      <x:c r="B1901" t="n">
        <x:v>41593220</x:v>
      </x:c>
      <x:c r="C1901" t="n">
        <x:v>45493127</x:v>
      </x:c>
      <x:c r="D1901" t="n">
        <x:v>3899907</x:v>
      </x:c>
      <x:c r="E1901" t="n">
        <x:v>0.0938</x:v>
      </x:c>
      <x:c r="F1901" t="n">
        <x:v>820</x:v>
      </x:c>
      <x:c r="G1901" t="n">
        <x:v>885</x:v>
      </x:c>
      <x:c r="H1901" t="n">
        <x:v>65</x:v>
      </x:c>
      <x:c r="I1901" t="n">
        <x:v>0.0793</x:v>
      </x:c>
      <x:c r="J1901" t="str">
        <x:v>Medium</x:v>
      </x:c>
      <x:c r="K1901" t="n">
        <x:v>52.2</x:v>
      </x:c>
      <x:c r="L1901" t="n">
        <x:v>56.5</x:v>
      </x:c>
      <x:c r="M1901" t="n">
        <x:v>51.7</x:v>
      </x:c>
      <x:c r="N1901" t="str">
        <x:v>Most Likely</x:v>
      </x:c>
      <x:c r="O1901" t="str">
        <x:v>Most Likely</x:v>
      </x:c>
    </x:row>
    <x:row r="1902">
      <x:c r="A1902" t="str">
        <x:v>PJT_1901</x:v>
      </x:c>
      <x:c r="B1902" t="n">
        <x:v>66211840</x:v>
      </x:c>
      <x:c r="C1902" t="n">
        <x:v>71729621</x:v>
      </x:c>
      <x:c r="D1902" t="n">
        <x:v>5517781</x:v>
      </x:c>
      <x:c r="E1902" t="n">
        <x:v>0.0833</x:v>
      </x:c>
      <x:c r="F1902" t="n">
        <x:v>1083</x:v>
      </x:c>
      <x:c r="G1902" t="n">
        <x:v>1214</x:v>
      </x:c>
      <x:c r="H1902" t="n">
        <x:v>131</x:v>
      </x:c>
      <x:c r="I1902" t="n">
        <x:v>0.121</x:v>
      </x:c>
      <x:c r="J1902" t="str">
        <x:v>Medium</x:v>
      </x:c>
      <x:c r="K1902" t="n">
        <x:v>54.4</x:v>
      </x:c>
      <x:c r="L1902" t="n">
        <x:v>52.4</x:v>
      </x:c>
      <x:c r="M1902" t="n">
        <x:v>56.9</x:v>
      </x:c>
      <x:c r="N1902" t="str">
        <x:v>Most Likely</x:v>
      </x:c>
      <x:c r="O1902" t="str">
        <x:v>Pessimistic</x:v>
      </x:c>
    </x:row>
    <x:row r="1903">
      <x:c r="A1903" t="str">
        <x:v>PJT_1902</x:v>
      </x:c>
      <x:c r="B1903" t="n">
        <x:v>90507320</x:v>
      </x:c>
      <x:c r="C1903" t="n">
        <x:v>99222765</x:v>
      </x:c>
      <x:c r="D1903" t="n">
        <x:v>8715445</x:v>
      </x:c>
      <x:c r="E1903" t="n">
        <x:v>0.0963</x:v>
      </x:c>
      <x:c r="F1903" t="n">
        <x:v>1753</x:v>
      </x:c>
      <x:c r="G1903" t="n">
        <x:v>1809</x:v>
      </x:c>
      <x:c r="H1903" t="n">
        <x:v>56</x:v>
      </x:c>
      <x:c r="I1903" t="n">
        <x:v>0.0319</x:v>
      </x:c>
      <x:c r="J1903" t="str">
        <x:v>Medium</x:v>
      </x:c>
      <x:c r="K1903" t="n">
        <x:v>64.2</x:v>
      </x:c>
      <x:c r="L1903" t="n">
        <x:v>66.1</x:v>
      </x:c>
      <x:c r="M1903" t="n">
        <x:v>61</x:v>
      </x:c>
      <x:c r="N1903" t="str">
        <x:v>Most Likely</x:v>
      </x:c>
      <x:c r="O1903" t="str">
        <x:v>Most Likely</x:v>
      </x:c>
    </x:row>
    <x:row r="1904">
      <x:c r="A1904" t="str">
        <x:v>PJT_1903</x:v>
      </x:c>
      <x:c r="B1904" t="n">
        <x:v>69987440</x:v>
      </x:c>
      <x:c r="C1904" t="n">
        <x:v>73860135</x:v>
      </x:c>
      <x:c r="D1904" t="n">
        <x:v>3872695</x:v>
      </x:c>
      <x:c r="E1904" t="n">
        <x:v>0.0553</x:v>
      </x:c>
      <x:c r="F1904" t="n">
        <x:v>1271</x:v>
      </x:c>
      <x:c r="G1904" t="n">
        <x:v>1285</x:v>
      </x:c>
      <x:c r="H1904" t="n">
        <x:v>14</x:v>
      </x:c>
      <x:c r="I1904" t="n">
        <x:v>0.011</x:v>
      </x:c>
      <x:c r="J1904" t="str">
        <x:v>Medium</x:v>
      </x:c>
      <x:c r="K1904" t="n">
        <x:v>53.7</x:v>
      </x:c>
      <x:c r="L1904" t="n">
        <x:v>60.6</x:v>
      </x:c>
      <x:c r="M1904" t="n">
        <x:v>57.8</x:v>
      </x:c>
      <x:c r="N1904" t="str">
        <x:v>Most Likely</x:v>
      </x:c>
      <x:c r="O1904" t="str">
        <x:v>Most Likely</x:v>
      </x:c>
    </x:row>
    <x:row r="1905">
      <x:c r="A1905" t="str">
        <x:v>PJT_1904</x:v>
      </x:c>
      <x:c r="B1905" t="n">
        <x:v>23592360</x:v>
      </x:c>
      <x:c r="C1905" t="n">
        <x:v>23637560</x:v>
      </x:c>
      <x:c r="D1905" t="n">
        <x:v>45200</x:v>
      </x:c>
      <x:c r="E1905" t="n">
        <x:v>0.0019</x:v>
      </x:c>
      <x:c r="F1905" t="n">
        <x:v>530</x:v>
      </x:c>
      <x:c r="G1905" t="n">
        <x:v>545</x:v>
      </x:c>
      <x:c r="H1905" t="n">
        <x:v>15</x:v>
      </x:c>
      <x:c r="I1905" t="n">
        <x:v>0.0283</x:v>
      </x:c>
      <x:c r="J1905" t="str">
        <x:v>Low</x:v>
      </x:c>
      <x:c r="K1905" t="n">
        <x:v>44.6</x:v>
      </x:c>
      <x:c r="L1905" t="n">
        <x:v>49.7</x:v>
      </x:c>
      <x:c r="M1905" t="n">
        <x:v>45.1</x:v>
      </x:c>
      <x:c r="N1905" t="str">
        <x:v>Most Likely</x:v>
      </x:c>
      <x:c r="O1905" t="str">
        <x:v>Most Likely</x:v>
      </x:c>
    </x:row>
    <x:row r="1906">
      <x:c r="A1906" t="str">
        <x:v>PJT_1905</x:v>
      </x:c>
      <x:c r="B1906" t="n">
        <x:v>30184200</x:v>
      </x:c>
      <x:c r="C1906" t="n">
        <x:v>31235607</x:v>
      </x:c>
      <x:c r="D1906" t="n">
        <x:v>1051407</x:v>
      </x:c>
      <x:c r="E1906" t="n">
        <x:v>0.0348</x:v>
      </x:c>
      <x:c r="F1906" t="n">
        <x:v>531</x:v>
      </x:c>
      <x:c r="G1906" t="n">
        <x:v>586</x:v>
      </x:c>
      <x:c r="H1906" t="n">
        <x:v>55</x:v>
      </x:c>
      <x:c r="I1906" t="n">
        <x:v>0.1036</x:v>
      </x:c>
      <x:c r="J1906" t="str">
        <x:v>Medium</x:v>
      </x:c>
      <x:c r="K1906" t="n">
        <x:v>52.7</x:v>
      </x:c>
      <x:c r="L1906" t="n">
        <x:v>56.8</x:v>
      </x:c>
      <x:c r="M1906" t="n">
        <x:v>51.4</x:v>
      </x:c>
      <x:c r="N1906" t="str">
        <x:v>Most Likely</x:v>
      </x:c>
      <x:c r="O1906" t="str">
        <x:v>Pessimistic</x:v>
      </x:c>
    </x:row>
    <x:row r="1907">
      <x:c r="A1907" t="str">
        <x:v>PJT_1906</x:v>
      </x:c>
      <x:c r="B1907" t="n">
        <x:v>9960000</x:v>
      </x:c>
      <x:c r="C1907" t="n">
        <x:v>9524174</x:v>
      </x:c>
      <x:c r="D1907" t="n">
        <x:v>-435826</x:v>
      </x:c>
      <x:c r="E1907" t="n">
        <x:v>-0.0438</x:v>
      </x:c>
      <x:c r="F1907" t="n">
        <x:v>258</x:v>
      </x:c>
      <x:c r="G1907" t="n">
        <x:v>247</x:v>
      </x:c>
      <x:c r="H1907" t="n">
        <x:v>-11</x:v>
      </x:c>
      <x:c r="I1907" t="n">
        <x:v>-0.0426</x:v>
      </x:c>
      <x:c r="J1907" t="str">
        <x:v>Low</x:v>
      </x:c>
      <x:c r="K1907" t="n">
        <x:v>32.6</x:v>
      </x:c>
      <x:c r="L1907" t="n">
        <x:v>26.5</x:v>
      </x:c>
      <x:c r="M1907" t="n">
        <x:v>28.5</x:v>
      </x:c>
      <x:c r="N1907" t="str">
        <x:v>Optimistic</x:v>
      </x:c>
      <x:c r="O1907" t="str">
        <x:v>Optimistic</x:v>
      </x:c>
    </x:row>
    <x:row r="1908">
      <x:c r="A1908" t="str">
        <x:v>PJT_1907</x:v>
      </x:c>
      <x:c r="B1908" t="n">
        <x:v>46987500</x:v>
      </x:c>
      <x:c r="C1908" t="n">
        <x:v>47369177</x:v>
      </x:c>
      <x:c r="D1908" t="n">
        <x:v>381677</x:v>
      </x:c>
      <x:c r="E1908" t="n">
        <x:v>0.0081</x:v>
      </x:c>
      <x:c r="F1908" t="n">
        <x:v>831</x:v>
      </x:c>
      <x:c r="G1908" t="n">
        <x:v>901</x:v>
      </x:c>
      <x:c r="H1908" t="n">
        <x:v>70</x:v>
      </x:c>
      <x:c r="I1908" t="n">
        <x:v>0.0842</x:v>
      </x:c>
      <x:c r="J1908" t="str">
        <x:v>Medium</x:v>
      </x:c>
      <x:c r="K1908" t="n">
        <x:v>45.6</x:v>
      </x:c>
      <x:c r="L1908" t="n">
        <x:v>52.2</x:v>
      </x:c>
      <x:c r="M1908" t="n">
        <x:v>47.1</x:v>
      </x:c>
      <x:c r="N1908" t="str">
        <x:v>Most Likely</x:v>
      </x:c>
      <x:c r="O1908" t="str">
        <x:v>Most Likely</x:v>
      </x:c>
    </x:row>
    <x:row r="1909">
      <x:c r="A1909" t="str">
        <x:v>PJT_1908</x:v>
      </x:c>
      <x:c r="B1909" t="n">
        <x:v>20124260</x:v>
      </x:c>
      <x:c r="C1909" t="n">
        <x:v>19296537</x:v>
      </x:c>
      <x:c r="D1909" t="n">
        <x:v>-827723</x:v>
      </x:c>
      <x:c r="E1909" t="n">
        <x:v>-0.0411</x:v>
      </x:c>
      <x:c r="F1909" t="n">
        <x:v>339</x:v>
      </x:c>
      <x:c r="G1909" t="n">
        <x:v>347</x:v>
      </x:c>
      <x:c r="H1909" t="n">
        <x:v>8</x:v>
      </x:c>
      <x:c r="I1909" t="n">
        <x:v>0.0236</x:v>
      </x:c>
      <x:c r="J1909" t="str">
        <x:v>Low</x:v>
      </x:c>
      <x:c r="K1909" t="n">
        <x:v>30.5</x:v>
      </x:c>
      <x:c r="L1909" t="n">
        <x:v>34.3</x:v>
      </x:c>
      <x:c r="M1909" t="n">
        <x:v>30</x:v>
      </x:c>
      <x:c r="N1909" t="str">
        <x:v>Optimistic</x:v>
      </x:c>
      <x:c r="O1909" t="str">
        <x:v>Most Likely</x:v>
      </x:c>
    </x:row>
    <x:row r="1910">
      <x:c r="A1910" t="str">
        <x:v>PJT_1909</x:v>
      </x:c>
      <x:c r="B1910" t="n">
        <x:v>23176240</x:v>
      </x:c>
      <x:c r="C1910" t="n">
        <x:v>23912276</x:v>
      </x:c>
      <x:c r="D1910" t="n">
        <x:v>736036</x:v>
      </x:c>
      <x:c r="E1910" t="n">
        <x:v>0.0318</x:v>
      </x:c>
      <x:c r="F1910" t="n">
        <x:v>511</x:v>
      </x:c>
      <x:c r="G1910" t="n">
        <x:v>529</x:v>
      </x:c>
      <x:c r="H1910" t="n">
        <x:v>18</x:v>
      </x:c>
      <x:c r="I1910" t="n">
        <x:v>0.0352</x:v>
      </x:c>
      <x:c r="J1910" t="str">
        <x:v>Medium</x:v>
      </x:c>
      <x:c r="K1910" t="n">
        <x:v>47.7</x:v>
      </x:c>
      <x:c r="L1910" t="n">
        <x:v>50</x:v>
      </x:c>
      <x:c r="M1910" t="n">
        <x:v>44.8</x:v>
      </x:c>
      <x:c r="N1910" t="str">
        <x:v>Most Likely</x:v>
      </x:c>
      <x:c r="O1910" t="str">
        <x:v>Most Likely</x:v>
      </x:c>
    </x:row>
    <x:row r="1911">
      <x:c r="A1911" t="str">
        <x:v>PJT_1910</x:v>
      </x:c>
      <x:c r="B1911" t="n">
        <x:v>58465990</x:v>
      </x:c>
      <x:c r="C1911" t="n">
        <x:v>62514530</x:v>
      </x:c>
      <x:c r="D1911" t="n">
        <x:v>4048540</x:v>
      </x:c>
      <x:c r="E1911" t="n">
        <x:v>0.0692</x:v>
      </x:c>
      <x:c r="F1911" t="n">
        <x:v>1200</x:v>
      </x:c>
      <x:c r="G1911" t="n">
        <x:v>1350</x:v>
      </x:c>
      <x:c r="H1911" t="n">
        <x:v>150</x:v>
      </x:c>
      <x:c r="I1911" t="n">
        <x:v>0.125</x:v>
      </x:c>
      <x:c r="J1911" t="str">
        <x:v>Medium</x:v>
      </x:c>
      <x:c r="K1911" t="n">
        <x:v>59.2</x:v>
      </x:c>
      <x:c r="L1911" t="n">
        <x:v>59.1</x:v>
      </x:c>
      <x:c r="M1911" t="n">
        <x:v>57.6</x:v>
      </x:c>
      <x:c r="N1911" t="str">
        <x:v>Most Likely</x:v>
      </x:c>
      <x:c r="O1911" t="str">
        <x:v>Pessimistic</x:v>
      </x:c>
    </x:row>
    <x:row r="1912">
      <x:c r="A1912" t="str">
        <x:v>PJT_1911</x:v>
      </x:c>
      <x:c r="B1912" t="n">
        <x:v>52258480</x:v>
      </x:c>
      <x:c r="C1912" t="n">
        <x:v>54914682</x:v>
      </x:c>
      <x:c r="D1912" t="n">
        <x:v>2656202</x:v>
      </x:c>
      <x:c r="E1912" t="n">
        <x:v>0.0508</x:v>
      </x:c>
      <x:c r="F1912" t="n">
        <x:v>1021</x:v>
      </x:c>
      <x:c r="G1912" t="n">
        <x:v>1176</x:v>
      </x:c>
      <x:c r="H1912" t="n">
        <x:v>155</x:v>
      </x:c>
      <x:c r="I1912" t="n">
        <x:v>0.1518</x:v>
      </x:c>
      <x:c r="J1912" t="str">
        <x:v>Medium</x:v>
      </x:c>
      <x:c r="K1912" t="n">
        <x:v>60.5</x:v>
      </x:c>
      <x:c r="L1912" t="n">
        <x:v>57.6</x:v>
      </x:c>
      <x:c r="M1912" t="n">
        <x:v>66.5</x:v>
      </x:c>
      <x:c r="N1912" t="str">
        <x:v>Most Likely</x:v>
      </x:c>
      <x:c r="O1912" t="str">
        <x:v>Pessimistic</x:v>
      </x:c>
    </x:row>
    <x:row r="1913">
      <x:c r="A1913" t="str">
        <x:v>PJT_1912</x:v>
      </x:c>
      <x:c r="B1913" t="n">
        <x:v>88043520</x:v>
      </x:c>
      <x:c r="C1913" t="n">
        <x:v>98431029</x:v>
      </x:c>
      <x:c r="D1913" t="n">
        <x:v>10387509</x:v>
      </x:c>
      <x:c r="E1913" t="n">
        <x:v>0.118</x:v>
      </x:c>
      <x:c r="F1913" t="n">
        <x:v>1782</x:v>
      </x:c>
      <x:c r="G1913" t="n">
        <x:v>2103</x:v>
      </x:c>
      <x:c r="H1913" t="n">
        <x:v>321</x:v>
      </x:c>
      <x:c r="I1913" t="n">
        <x:v>0.1801</x:v>
      </x:c>
      <x:c r="J1913" t="str">
        <x:v>Medium</x:v>
      </x:c>
      <x:c r="K1913" t="n">
        <x:v>65.8</x:v>
      </x:c>
      <x:c r="L1913" t="n">
        <x:v>71.5</x:v>
      </x:c>
      <x:c r="M1913" t="n">
        <x:v>74.5</x:v>
      </x:c>
      <x:c r="N1913" t="str">
        <x:v>Pessimistic</x:v>
      </x:c>
      <x:c r="O1913" t="str">
        <x:v>Pessimistic</x:v>
      </x:c>
    </x:row>
    <x:row r="1914">
      <x:c r="A1914" t="str">
        <x:v>PJT_1913</x:v>
      </x:c>
      <x:c r="B1914" t="n">
        <x:v>10877520</x:v>
      </x:c>
      <x:c r="C1914" t="n">
        <x:v>11424415</x:v>
      </x:c>
      <x:c r="D1914" t="n">
        <x:v>546895</x:v>
      </x:c>
      <x:c r="E1914" t="n">
        <x:v>0.0503</x:v>
      </x:c>
      <x:c r="F1914" t="n">
        <x:v>237</x:v>
      </x:c>
      <x:c r="G1914" t="n">
        <x:v>245</x:v>
      </x:c>
      <x:c r="H1914" t="n">
        <x:v>8</x:v>
      </x:c>
      <x:c r="I1914" t="n">
        <x:v>0.0338</x:v>
      </x:c>
      <x:c r="J1914" t="str">
        <x:v>Low</x:v>
      </x:c>
      <x:c r="K1914" t="n">
        <x:v>37.4</x:v>
      </x:c>
      <x:c r="L1914" t="n">
        <x:v>39.6</x:v>
      </x:c>
      <x:c r="M1914" t="n">
        <x:v>30.7</x:v>
      </x:c>
      <x:c r="N1914" t="str">
        <x:v>Most Likely</x:v>
      </x:c>
      <x:c r="O1914" t="str">
        <x:v>Most Likely</x:v>
      </x:c>
    </x:row>
    <x:row r="1915">
      <x:c r="A1915" t="str">
        <x:v>PJT_1914</x:v>
      </x:c>
      <x:c r="B1915" t="n">
        <x:v>13546400</x:v>
      </x:c>
      <x:c r="C1915" t="n">
        <x:v>13414807</x:v>
      </x:c>
      <x:c r="D1915" t="n">
        <x:v>-131593</x:v>
      </x:c>
      <x:c r="E1915" t="n">
        <x:v>-0.0097</x:v>
      </x:c>
      <x:c r="F1915" t="n">
        <x:v>236</x:v>
      </x:c>
      <x:c r="G1915" t="n">
        <x:v>232</x:v>
      </x:c>
      <x:c r="H1915" t="n">
        <x:v>-4</x:v>
      </x:c>
      <x:c r="I1915" t="n">
        <x:v>-0.0169</x:v>
      </x:c>
      <x:c r="J1915" t="str">
        <x:v>Low</x:v>
      </x:c>
      <x:c r="K1915" t="n">
        <x:v>36.3</x:v>
      </x:c>
      <x:c r="L1915" t="n">
        <x:v>36.3</x:v>
      </x:c>
      <x:c r="M1915" t="n">
        <x:v>31.8</x:v>
      </x:c>
      <x:c r="N1915" t="str">
        <x:v>Optimistic</x:v>
      </x:c>
      <x:c r="O1915" t="str">
        <x:v>Optimistic</x:v>
      </x:c>
    </x:row>
    <x:row r="1916">
      <x:c r="A1916" t="str">
        <x:v>PJT_1915</x:v>
      </x:c>
      <x:c r="B1916" t="n">
        <x:v>16944480</x:v>
      </x:c>
      <x:c r="C1916" t="n">
        <x:v>15249964</x:v>
      </x:c>
      <x:c r="D1916" t="n">
        <x:v>-1694516</x:v>
      </x:c>
      <x:c r="E1916" t="n">
        <x:v>-0.1</x:v>
      </x:c>
      <x:c r="F1916" t="n">
        <x:v>401</x:v>
      </x:c>
      <x:c r="G1916" t="n">
        <x:v>385</x:v>
      </x:c>
      <x:c r="H1916" t="n">
        <x:v>-16</x:v>
      </x:c>
      <x:c r="I1916" t="n">
        <x:v>-0.0399</x:v>
      </x:c>
      <x:c r="J1916" t="str">
        <x:v>Low</x:v>
      </x:c>
      <x:c r="K1916" t="n">
        <x:v>41.6</x:v>
      </x:c>
      <x:c r="L1916" t="n">
        <x:v>37.3</x:v>
      </x:c>
      <x:c r="M1916" t="n">
        <x:v>38.2</x:v>
      </x:c>
      <x:c r="N1916" t="str">
        <x:v>Optimistic</x:v>
      </x:c>
      <x:c r="O1916" t="str">
        <x:v>Optimistic</x:v>
      </x:c>
    </x:row>
    <x:row r="1917">
      <x:c r="A1917" t="str">
        <x:v>PJT_1916</x:v>
      </x:c>
      <x:c r="B1917" t="n">
        <x:v>60392420</x:v>
      </x:c>
      <x:c r="C1917" t="n">
        <x:v>62254374</x:v>
      </x:c>
      <x:c r="D1917" t="n">
        <x:v>1861954</x:v>
      </x:c>
      <x:c r="E1917" t="n">
        <x:v>0.0308</x:v>
      </x:c>
      <x:c r="F1917" t="n">
        <x:v>1202</x:v>
      </x:c>
      <x:c r="G1917" t="n">
        <x:v>1315</x:v>
      </x:c>
      <x:c r="H1917" t="n">
        <x:v>113</x:v>
      </x:c>
      <x:c r="I1917" t="n">
        <x:v>0.094</x:v>
      </x:c>
      <x:c r="J1917" t="str">
        <x:v>Low</x:v>
      </x:c>
      <x:c r="K1917" t="n">
        <x:v>44.7</x:v>
      </x:c>
      <x:c r="L1917" t="n">
        <x:v>48.1</x:v>
      </x:c>
      <x:c r="M1917" t="n">
        <x:v>43.4</x:v>
      </x:c>
      <x:c r="N1917" t="str">
        <x:v>Most Likely</x:v>
      </x:c>
      <x:c r="O1917" t="str">
        <x:v>Most Likely</x:v>
      </x:c>
    </x:row>
    <x:row r="1918">
      <x:c r="A1918" t="str">
        <x:v>PJT_1917</x:v>
      </x:c>
      <x:c r="B1918" t="n">
        <x:v>66624810</x:v>
      </x:c>
      <x:c r="C1918" t="n">
        <x:v>67217345</x:v>
      </x:c>
      <x:c r="D1918" t="n">
        <x:v>592535</x:v>
      </x:c>
      <x:c r="E1918" t="n">
        <x:v>0.0089</x:v>
      </x:c>
      <x:c r="F1918" t="n">
        <x:v>1217</x:v>
      </x:c>
      <x:c r="G1918" t="n">
        <x:v>1324</x:v>
      </x:c>
      <x:c r="H1918" t="n">
        <x:v>107</x:v>
      </x:c>
      <x:c r="I1918" t="n">
        <x:v>0.0879</x:v>
      </x:c>
      <x:c r="J1918" t="str">
        <x:v>Medium</x:v>
      </x:c>
      <x:c r="K1918" t="n">
        <x:v>56.8</x:v>
      </x:c>
      <x:c r="L1918" t="n">
        <x:v>59.7</x:v>
      </x:c>
      <x:c r="M1918" t="n">
        <x:v>61.8</x:v>
      </x:c>
      <x:c r="N1918" t="str">
        <x:v>Most Likely</x:v>
      </x:c>
      <x:c r="O1918" t="str">
        <x:v>Most Likely</x:v>
      </x:c>
    </x:row>
    <x:row r="1919">
      <x:c r="A1919" t="str">
        <x:v>PJT_1918</x:v>
      </x:c>
      <x:c r="B1919" t="n">
        <x:v>13712940</x:v>
      </x:c>
      <x:c r="C1919" t="n">
        <x:v>12322346</x:v>
      </x:c>
      <x:c r="D1919" t="n">
        <x:v>-1390594</x:v>
      </x:c>
      <x:c r="E1919" t="n">
        <x:v>-0.1014</x:v>
      </x:c>
      <x:c r="F1919" t="n">
        <x:v>252</x:v>
      </x:c>
      <x:c r="G1919" t="n">
        <x:v>257</x:v>
      </x:c>
      <x:c r="H1919" t="n">
        <x:v>5</x:v>
      </x:c>
      <x:c r="I1919" t="n">
        <x:v>0.0198</x:v>
      </x:c>
      <x:c r="J1919" t="str">
        <x:v>Low</x:v>
      </x:c>
      <x:c r="K1919" t="n">
        <x:v>38.1</x:v>
      </x:c>
      <x:c r="L1919" t="n">
        <x:v>35</x:v>
      </x:c>
      <x:c r="M1919" t="n">
        <x:v>32.1</x:v>
      </x:c>
      <x:c r="N1919" t="str">
        <x:v>Optimistic</x:v>
      </x:c>
      <x:c r="O1919" t="str">
        <x:v>Most Likely</x:v>
      </x:c>
    </x:row>
    <x:row r="1920">
      <x:c r="A1920" t="str">
        <x:v>PJT_1919</x:v>
      </x:c>
      <x:c r="B1920" t="n">
        <x:v>18614700</x:v>
      </x:c>
      <x:c r="C1920" t="n">
        <x:v>19550708</x:v>
      </x:c>
      <x:c r="D1920" t="n">
        <x:v>936008</x:v>
      </x:c>
      <x:c r="E1920" t="n">
        <x:v>0.0503</x:v>
      </x:c>
      <x:c r="F1920" t="n">
        <x:v>432</x:v>
      </x:c>
      <x:c r="G1920" t="n">
        <x:v>423</x:v>
      </x:c>
      <x:c r="H1920" t="n">
        <x:v>-9</x:v>
      </x:c>
      <x:c r="I1920" t="n">
        <x:v>-0.0208</x:v>
      </x:c>
      <x:c r="J1920" t="str">
        <x:v>Low</x:v>
      </x:c>
      <x:c r="K1920" t="n">
        <x:v>34.9</x:v>
      </x:c>
      <x:c r="L1920" t="n">
        <x:v>34.2</x:v>
      </x:c>
      <x:c r="M1920" t="n">
        <x:v>37.9</x:v>
      </x:c>
      <x:c r="N1920" t="str">
        <x:v>Most Likely</x:v>
      </x:c>
      <x:c r="O1920" t="str">
        <x:v>Optimistic</x:v>
      </x:c>
    </x:row>
    <x:row r="1921">
      <x:c r="A1921" t="str">
        <x:v>PJT_1920</x:v>
      </x:c>
      <x:c r="B1921" t="n">
        <x:v>37975500</x:v>
      </x:c>
      <x:c r="C1921" t="n">
        <x:v>38448243</x:v>
      </x:c>
      <x:c r="D1921" t="n">
        <x:v>472743</x:v>
      </x:c>
      <x:c r="E1921" t="n">
        <x:v>0.0124</x:v>
      </x:c>
      <x:c r="F1921" t="n">
        <x:v>665</x:v>
      </x:c>
      <x:c r="G1921" t="n">
        <x:v>704</x:v>
      </x:c>
      <x:c r="H1921" t="n">
        <x:v>39</x:v>
      </x:c>
      <x:c r="I1921" t="n">
        <x:v>0.0586</x:v>
      </x:c>
      <x:c r="J1921" t="str">
        <x:v>Medium</x:v>
      </x:c>
      <x:c r="K1921" t="n">
        <x:v>57.8</x:v>
      </x:c>
      <x:c r="L1921" t="n">
        <x:v>54.2</x:v>
      </x:c>
      <x:c r="M1921" t="n">
        <x:v>54.3</x:v>
      </x:c>
      <x:c r="N1921" t="str">
        <x:v>Most Likely</x:v>
      </x:c>
      <x:c r="O1921" t="str">
        <x:v>Most Likely</x:v>
      </x:c>
    </x:row>
    <x:row r="1922">
      <x:c r="A1922" t="str">
        <x:v>PJT_1921</x:v>
      </x:c>
      <x:c r="B1922" t="n">
        <x:v>33517000</x:v>
      </x:c>
      <x:c r="C1922" t="n">
        <x:v>35204152</x:v>
      </x:c>
      <x:c r="D1922" t="n">
        <x:v>1687152</x:v>
      </x:c>
      <x:c r="E1922" t="n">
        <x:v>0.0503</x:v>
      </x:c>
      <x:c r="F1922" t="n">
        <x:v>579</x:v>
      </x:c>
      <x:c r="G1922" t="n">
        <x:v>570</x:v>
      </x:c>
      <x:c r="H1922" t="n">
        <x:v>-9</x:v>
      </x:c>
      <x:c r="I1922" t="n">
        <x:v>-0.0155</x:v>
      </x:c>
      <x:c r="J1922" t="str">
        <x:v>Low</x:v>
      </x:c>
      <x:c r="K1922" t="n">
        <x:v>43.9</x:v>
      </x:c>
      <x:c r="L1922" t="n">
        <x:v>50.7</x:v>
      </x:c>
      <x:c r="M1922" t="n">
        <x:v>47.7</x:v>
      </x:c>
      <x:c r="N1922" t="str">
        <x:v>Most Likely</x:v>
      </x:c>
      <x:c r="O1922" t="str">
        <x:v>Optimistic</x:v>
      </x:c>
    </x:row>
    <x:row r="1923">
      <x:c r="A1923" t="str">
        <x:v>PJT_1922</x:v>
      </x:c>
      <x:c r="B1923" t="n">
        <x:v>22355900</x:v>
      </x:c>
      <x:c r="C1923" t="n">
        <x:v>22462593</x:v>
      </x:c>
      <x:c r="D1923" t="n">
        <x:v>106693</x:v>
      </x:c>
      <x:c r="E1923" t="n">
        <x:v>0.0048</x:v>
      </x:c>
      <x:c r="F1923" t="n">
        <x:v>555</x:v>
      </x:c>
      <x:c r="G1923" t="n">
        <x:v>555</x:v>
      </x:c>
      <x:c r="H1923" t="n">
        <x:v>0</x:v>
      </x:c>
      <x:c r="I1923" t="n">
        <x:v>0</x:v>
      </x:c>
      <x:c r="J1923" t="str">
        <x:v>Low</x:v>
      </x:c>
      <x:c r="K1923" t="n">
        <x:v>42.3</x:v>
      </x:c>
      <x:c r="L1923" t="n">
        <x:v>36.1</x:v>
      </x:c>
      <x:c r="M1923" t="n">
        <x:v>37.7</x:v>
      </x:c>
      <x:c r="N1923" t="str">
        <x:v>Most Likely</x:v>
      </x:c>
      <x:c r="O1923" t="str">
        <x:v>Optimistic</x:v>
      </x:c>
    </x:row>
    <x:row r="1924">
      <x:c r="A1924" t="str">
        <x:v>PJT_1923</x:v>
      </x:c>
      <x:c r="B1924" t="n">
        <x:v>80315100</x:v>
      </x:c>
      <x:c r="C1924" t="n">
        <x:v>89230512</x:v>
      </x:c>
      <x:c r="D1924" t="n">
        <x:v>8915412</x:v>
      </x:c>
      <x:c r="E1924" t="n">
        <x:v>0.111</x:v>
      </x:c>
      <x:c r="F1924" t="n">
        <x:v>1351</x:v>
      </x:c>
      <x:c r="G1924" t="n">
        <x:v>1554</x:v>
      </x:c>
      <x:c r="H1924" t="n">
        <x:v>203</x:v>
      </x:c>
      <x:c r="I1924" t="n">
        <x:v>0.1503</x:v>
      </x:c>
      <x:c r="J1924" t="str">
        <x:v>Medium</x:v>
      </x:c>
      <x:c r="K1924" t="n">
        <x:v>66.1</x:v>
      </x:c>
      <x:c r="L1924" t="n">
        <x:v>71.3</x:v>
      </x:c>
      <x:c r="M1924" t="n">
        <x:v>70.3</x:v>
      </x:c>
      <x:c r="N1924" t="str">
        <x:v>Pessimistic</x:v>
      </x:c>
      <x:c r="O1924" t="str">
        <x:v>Pessimistic</x:v>
      </x:c>
    </x:row>
    <x:row r="1925">
      <x:c r="A1925" t="str">
        <x:v>PJT_1924</x:v>
      </x:c>
      <x:c r="B1925" t="n">
        <x:v>26487840</x:v>
      </x:c>
      <x:c r="C1925" t="n">
        <x:v>25581298</x:v>
      </x:c>
      <x:c r="D1925" t="n">
        <x:v>-906542</x:v>
      </x:c>
      <x:c r="E1925" t="n">
        <x:v>-0.0342</x:v>
      </x:c>
      <x:c r="F1925" t="n">
        <x:v>467</x:v>
      </x:c>
      <x:c r="G1925" t="n">
        <x:v>459</x:v>
      </x:c>
      <x:c r="H1925" t="n">
        <x:v>-8</x:v>
      </x:c>
      <x:c r="I1925" t="n">
        <x:v>-0.0171</x:v>
      </x:c>
      <x:c r="J1925" t="str">
        <x:v>Low</x:v>
      </x:c>
      <x:c r="K1925" t="n">
        <x:v>29.7</x:v>
      </x:c>
      <x:c r="L1925" t="n">
        <x:v>32.6</x:v>
      </x:c>
      <x:c r="M1925" t="n">
        <x:v>32.2</x:v>
      </x:c>
      <x:c r="N1925" t="str">
        <x:v>Optimistic</x:v>
      </x:c>
      <x:c r="O1925" t="str">
        <x:v>Optimistic</x:v>
      </x:c>
    </x:row>
    <x:row r="1926">
      <x:c r="A1926" t="str">
        <x:v>PJT_1925</x:v>
      </x:c>
      <x:c r="B1926" t="n">
        <x:v>31519200</x:v>
      </x:c>
      <x:c r="C1926" t="n">
        <x:v>31570752</x:v>
      </x:c>
      <x:c r="D1926" t="n">
        <x:v>51552</x:v>
      </x:c>
      <x:c r="E1926" t="n">
        <x:v>0.0016</x:v>
      </x:c>
      <x:c r="F1926" t="n">
        <x:v>804</x:v>
      </x:c>
      <x:c r="G1926" t="n">
        <x:v>818</x:v>
      </x:c>
      <x:c r="H1926" t="n">
        <x:v>14</x:v>
      </x:c>
      <x:c r="I1926" t="n">
        <x:v>0.0174</x:v>
      </x:c>
      <x:c r="J1926" t="str">
        <x:v>Medium</x:v>
      </x:c>
      <x:c r="K1926" t="n">
        <x:v>48.8</x:v>
      </x:c>
      <x:c r="L1926" t="n">
        <x:v>44.8</x:v>
      </x:c>
      <x:c r="M1926" t="n">
        <x:v>44.4</x:v>
      </x:c>
      <x:c r="N1926" t="str">
        <x:v>Most Likely</x:v>
      </x:c>
      <x:c r="O1926" t="str">
        <x:v>Most Likely</x:v>
      </x:c>
    </x:row>
    <x:row r="1927">
      <x:c r="A1927" t="str">
        <x:v>PJT_1926</x:v>
      </x:c>
      <x:c r="B1927" t="n">
        <x:v>27892380</x:v>
      </x:c>
      <x:c r="C1927" t="n">
        <x:v>28490201</x:v>
      </x:c>
      <x:c r="D1927" t="n">
        <x:v>597821</x:v>
      </x:c>
      <x:c r="E1927" t="n">
        <x:v>0.0214</x:v>
      </x:c>
      <x:c r="F1927" t="n">
        <x:v>601</x:v>
      </x:c>
      <x:c r="G1927" t="n">
        <x:v>593</x:v>
      </x:c>
      <x:c r="H1927" t="n">
        <x:v>-8</x:v>
      </x:c>
      <x:c r="I1927" t="n">
        <x:v>-0.0133</x:v>
      </x:c>
      <x:c r="J1927" t="str">
        <x:v>Low</x:v>
      </x:c>
      <x:c r="K1927" t="n">
        <x:v>40.3</x:v>
      </x:c>
      <x:c r="L1927" t="n">
        <x:v>39.7</x:v>
      </x:c>
      <x:c r="M1927" t="n">
        <x:v>34.4</x:v>
      </x:c>
      <x:c r="N1927" t="str">
        <x:v>Most Likely</x:v>
      </x:c>
      <x:c r="O1927" t="str">
        <x:v>Optimistic</x:v>
      </x:c>
    </x:row>
    <x:row r="1928">
      <x:c r="A1928" t="str">
        <x:v>PJT_1927</x:v>
      </x:c>
      <x:c r="B1928" t="n">
        <x:v>35165820</x:v>
      </x:c>
      <x:c r="C1928" t="n">
        <x:v>34983603</x:v>
      </x:c>
      <x:c r="D1928" t="n">
        <x:v>-182217</x:v>
      </x:c>
      <x:c r="E1928" t="n">
        <x:v>-0.0052</x:v>
      </x:c>
      <x:c r="F1928" t="n">
        <x:v>628</x:v>
      </x:c>
      <x:c r="G1928" t="n">
        <x:v>688</x:v>
      </x:c>
      <x:c r="H1928" t="n">
        <x:v>60</x:v>
      </x:c>
      <x:c r="I1928" t="n">
        <x:v>0.0955</x:v>
      </x:c>
      <x:c r="J1928" t="str">
        <x:v>Medium</x:v>
      </x:c>
      <x:c r="K1928" t="n">
        <x:v>57.5</x:v>
      </x:c>
      <x:c r="L1928" t="n">
        <x:v>56.4</x:v>
      </x:c>
      <x:c r="M1928" t="n">
        <x:v>49.6</x:v>
      </x:c>
      <x:c r="N1928" t="str">
        <x:v>Optimistic</x:v>
      </x:c>
      <x:c r="O1928" t="str">
        <x:v>Most Likely</x:v>
      </x:c>
    </x:row>
    <x:row r="1929">
      <x:c r="A1929" t="str">
        <x:v>PJT_1928</x:v>
      </x:c>
      <x:c r="B1929" t="n">
        <x:v>19970960</x:v>
      </x:c>
      <x:c r="C1929" t="n">
        <x:v>19632187</x:v>
      </x:c>
      <x:c r="D1929" t="n">
        <x:v>-338773</x:v>
      </x:c>
      <x:c r="E1929" t="n">
        <x:v>-0.017</x:v>
      </x:c>
      <x:c r="F1929" t="n">
        <x:v>529</x:v>
      </x:c>
      <x:c r="G1929" t="n">
        <x:v>563</x:v>
      </x:c>
      <x:c r="H1929" t="n">
        <x:v>34</x:v>
      </x:c>
      <x:c r="I1929" t="n">
        <x:v>0.0643</x:v>
      </x:c>
      <x:c r="J1929" t="str">
        <x:v>Medium</x:v>
      </x:c>
      <x:c r="K1929" t="n">
        <x:v>52.7</x:v>
      </x:c>
      <x:c r="L1929" t="n">
        <x:v>48.6</x:v>
      </x:c>
      <x:c r="M1929" t="n">
        <x:v>48</x:v>
      </x:c>
      <x:c r="N1929" t="str">
        <x:v>Optimistic</x:v>
      </x:c>
      <x:c r="O1929" t="str">
        <x:v>Most Likely</x:v>
      </x:c>
    </x:row>
    <x:row r="1930">
      <x:c r="A1930" t="str">
        <x:v>PJT_1929</x:v>
      </x:c>
      <x:c r="B1930" t="n">
        <x:v>12879120</x:v>
      </x:c>
      <x:c r="C1930" t="n">
        <x:v>13041596</x:v>
      </x:c>
      <x:c r="D1930" t="n">
        <x:v>162476</x:v>
      </x:c>
      <x:c r="E1930" t="n">
        <x:v>0.0126</x:v>
      </x:c>
      <x:c r="F1930" t="n">
        <x:v>260</x:v>
      </x:c>
      <x:c r="G1930" t="n">
        <x:v>267</x:v>
      </x:c>
      <x:c r="H1930" t="n">
        <x:v>7</x:v>
      </x:c>
      <x:c r="I1930" t="n">
        <x:v>0.0269</x:v>
      </x:c>
      <x:c r="J1930" t="str">
        <x:v>Low</x:v>
      </x:c>
      <x:c r="K1930" t="n">
        <x:v>34.4</x:v>
      </x:c>
      <x:c r="L1930" t="n">
        <x:v>38.9</x:v>
      </x:c>
      <x:c r="M1930" t="n">
        <x:v>30.8</x:v>
      </x:c>
      <x:c r="N1930" t="str">
        <x:v>Most Likely</x:v>
      </x:c>
      <x:c r="O1930" t="str">
        <x:v>Most Likely</x:v>
      </x:c>
    </x:row>
    <x:row r="1931">
      <x:c r="A1931" t="str">
        <x:v>PJT_1930</x:v>
      </x:c>
      <x:c r="B1931" t="n">
        <x:v>76289450</x:v>
      </x:c>
      <x:c r="C1931" t="n">
        <x:v>79060975</x:v>
      </x:c>
      <x:c r="D1931" t="n">
        <x:v>2771525</x:v>
      </x:c>
      <x:c r="E1931" t="n">
        <x:v>0.0363</x:v>
      </x:c>
      <x:c r="F1931" t="n">
        <x:v>1334</x:v>
      </x:c>
      <x:c r="G1931" t="n">
        <x:v>1381</x:v>
      </x:c>
      <x:c r="H1931" t="n">
        <x:v>47</x:v>
      </x:c>
      <x:c r="I1931" t="n">
        <x:v>0.0352</x:v>
      </x:c>
      <x:c r="J1931" t="str">
        <x:v>Low</x:v>
      </x:c>
      <x:c r="K1931" t="n">
        <x:v>44.4</x:v>
      </x:c>
      <x:c r="L1931" t="n">
        <x:v>46.9</x:v>
      </x:c>
      <x:c r="M1931" t="n">
        <x:v>41.6</x:v>
      </x:c>
      <x:c r="N1931" t="str">
        <x:v>Most Likely</x:v>
      </x:c>
      <x:c r="O1931" t="str">
        <x:v>Most Likely</x:v>
      </x:c>
    </x:row>
    <x:row r="1932">
      <x:c r="A1932" t="str">
        <x:v>PJT_1931</x:v>
      </x:c>
      <x:c r="B1932" t="n">
        <x:v>79390200</x:v>
      </x:c>
      <x:c r="C1932" t="n">
        <x:v>83296245</x:v>
      </x:c>
      <x:c r="D1932" t="n">
        <x:v>3906045</x:v>
      </x:c>
      <x:c r="E1932" t="n">
        <x:v>0.0492</x:v>
      </x:c>
      <x:c r="F1932" t="n">
        <x:v>1231</x:v>
      </x:c>
      <x:c r="G1932" t="n">
        <x:v>1308</x:v>
      </x:c>
      <x:c r="H1932" t="n">
        <x:v>77</x:v>
      </x:c>
      <x:c r="I1932" t="n">
        <x:v>0.0626</x:v>
      </x:c>
      <x:c r="J1932" t="str">
        <x:v>Medium</x:v>
      </x:c>
      <x:c r="K1932" t="n">
        <x:v>50.2</x:v>
      </x:c>
      <x:c r="L1932" t="n">
        <x:v>51.3</x:v>
      </x:c>
      <x:c r="M1932" t="n">
        <x:v>50.9</x:v>
      </x:c>
      <x:c r="N1932" t="str">
        <x:v>Most Likely</x:v>
      </x:c>
      <x:c r="O1932" t="str">
        <x:v>Most Likely</x:v>
      </x:c>
    </x:row>
    <x:row r="1933">
      <x:c r="A1933" t="str">
        <x:v>PJT_1932</x:v>
      </x:c>
      <x:c r="B1933" t="n">
        <x:v>31152320</x:v>
      </x:c>
      <x:c r="C1933" t="n">
        <x:v>31671070</x:v>
      </x:c>
      <x:c r="D1933" t="n">
        <x:v>518750</x:v>
      </x:c>
      <x:c r="E1933" t="n">
        <x:v>0.0167</x:v>
      </x:c>
      <x:c r="F1933" t="n">
        <x:v>795</x:v>
      </x:c>
      <x:c r="G1933" t="n">
        <x:v>800</x:v>
      </x:c>
      <x:c r="H1933" t="n">
        <x:v>5</x:v>
      </x:c>
      <x:c r="I1933" t="n">
        <x:v>0.0063</x:v>
      </x:c>
      <x:c r="J1933" t="str">
        <x:v>Low</x:v>
      </x:c>
      <x:c r="K1933" t="n">
        <x:v>43.8</x:v>
      </x:c>
      <x:c r="L1933" t="n">
        <x:v>41.7</x:v>
      </x:c>
      <x:c r="M1933" t="n">
        <x:v>42.2</x:v>
      </x:c>
      <x:c r="N1933" t="str">
        <x:v>Most Likely</x:v>
      </x:c>
      <x:c r="O1933" t="str">
        <x:v>Most Likely</x:v>
      </x:c>
    </x:row>
    <x:row r="1934">
      <x:c r="A1934" t="str">
        <x:v>PJT_1933</x:v>
      </x:c>
      <x:c r="B1934" t="n">
        <x:v>4652760</x:v>
      </x:c>
      <x:c r="C1934" t="n">
        <x:v>4432958</x:v>
      </x:c>
      <x:c r="D1934" t="n">
        <x:v>-219802</x:v>
      </x:c>
      <x:c r="E1934" t="n">
        <x:v>-0.0472</x:v>
      </x:c>
      <x:c r="F1934" t="n">
        <x:v>180</x:v>
      </x:c>
      <x:c r="G1934" t="n">
        <x:v>175</x:v>
      </x:c>
      <x:c r="H1934" t="n">
        <x:v>-5</x:v>
      </x:c>
      <x:c r="I1934" t="n">
        <x:v>-0.0278</x:v>
      </x:c>
      <x:c r="J1934" t="str">
        <x:v>Low</x:v>
      </x:c>
      <x:c r="K1934" t="n">
        <x:v>24</x:v>
      </x:c>
      <x:c r="L1934" t="n">
        <x:v>22</x:v>
      </x:c>
      <x:c r="M1934" t="n">
        <x:v>27.7</x:v>
      </x:c>
      <x:c r="N1934" t="str">
        <x:v>Optimistic</x:v>
      </x:c>
      <x:c r="O1934" t="str">
        <x:v>Optimistic</x:v>
      </x:c>
    </x:row>
    <x:row r="1935">
      <x:c r="A1935" t="str">
        <x:v>PJT_1934</x:v>
      </x:c>
      <x:c r="B1935" t="n">
        <x:v>16548620</x:v>
      </x:c>
      <x:c r="C1935" t="n">
        <x:v>15674969</x:v>
      </x:c>
      <x:c r="D1935" t="n">
        <x:v>-873651</x:v>
      </x:c>
      <x:c r="E1935" t="n">
        <x:v>-0.0528</x:v>
      </x:c>
      <x:c r="F1935" t="n">
        <x:v>370</x:v>
      </x:c>
      <x:c r="G1935" t="n">
        <x:v>365</x:v>
      </x:c>
      <x:c r="H1935" t="n">
        <x:v>-5</x:v>
      </x:c>
      <x:c r="I1935" t="n">
        <x:v>-0.0135</x:v>
      </x:c>
      <x:c r="J1935" t="str">
        <x:v>Low</x:v>
      </x:c>
      <x:c r="K1935" t="n">
        <x:v>31</x:v>
      </x:c>
      <x:c r="L1935" t="n">
        <x:v>30.1</x:v>
      </x:c>
      <x:c r="M1935" t="n">
        <x:v>34.5</x:v>
      </x:c>
      <x:c r="N1935" t="str">
        <x:v>Optimistic</x:v>
      </x:c>
      <x:c r="O1935" t="str">
        <x:v>Optimistic</x:v>
      </x:c>
    </x:row>
    <x:row r="1936">
      <x:c r="A1936" t="str">
        <x:v>PJT_1935</x:v>
      </x:c>
      <x:c r="B1936" t="n">
        <x:v>53242560</x:v>
      </x:c>
      <x:c r="C1936" t="n">
        <x:v>55388696</x:v>
      </x:c>
      <x:c r="D1936" t="n">
        <x:v>2146136</x:v>
      </x:c>
      <x:c r="E1936" t="n">
        <x:v>0.0403</x:v>
      </x:c>
      <x:c r="F1936" t="n">
        <x:v>1039</x:v>
      </x:c>
      <x:c r="G1936" t="n">
        <x:v>1094</x:v>
      </x:c>
      <x:c r="H1936" t="n">
        <x:v>55</x:v>
      </x:c>
      <x:c r="I1936" t="n">
        <x:v>0.0529</x:v>
      </x:c>
      <x:c r="J1936" t="str">
        <x:v>Medium</x:v>
      </x:c>
      <x:c r="K1936" t="n">
        <x:v>57.4</x:v>
      </x:c>
      <x:c r="L1936" t="n">
        <x:v>52.6</x:v>
      </x:c>
      <x:c r="M1936" t="n">
        <x:v>50.9</x:v>
      </x:c>
      <x:c r="N1936" t="str">
        <x:v>Most Likely</x:v>
      </x:c>
      <x:c r="O1936" t="str">
        <x:v>Most Likely</x:v>
      </x:c>
    </x:row>
    <x:row r="1937">
      <x:c r="A1937" t="str">
        <x:v>PJT_1936</x:v>
      </x:c>
      <x:c r="B1937" t="n">
        <x:v>66319200</x:v>
      </x:c>
      <x:c r="C1937" t="n">
        <x:v>67662781</x:v>
      </x:c>
      <x:c r="D1937" t="n">
        <x:v>1343581</x:v>
      </x:c>
      <x:c r="E1937" t="n">
        <x:v>0.0203</x:v>
      </x:c>
      <x:c r="F1937" t="n">
        <x:v>1146</x:v>
      </x:c>
      <x:c r="G1937" t="n">
        <x:v>1234</x:v>
      </x:c>
      <x:c r="H1937" t="n">
        <x:v>88</x:v>
      </x:c>
      <x:c r="I1937" t="n">
        <x:v>0.0768</x:v>
      </x:c>
      <x:c r="J1937" t="str">
        <x:v>Medium</x:v>
      </x:c>
      <x:c r="K1937" t="n">
        <x:v>58.8</x:v>
      </x:c>
      <x:c r="L1937" t="n">
        <x:v>63.6</x:v>
      </x:c>
      <x:c r="M1937" t="n">
        <x:v>51.4</x:v>
      </x:c>
      <x:c r="N1937" t="str">
        <x:v>Most Likely</x:v>
      </x:c>
      <x:c r="O1937" t="str">
        <x:v>Most Likely</x:v>
      </x:c>
    </x:row>
    <x:row r="1938">
      <x:c r="A1938" t="str">
        <x:v>PJT_1937</x:v>
      </x:c>
      <x:c r="B1938" t="n">
        <x:v>66653200</x:v>
      </x:c>
      <x:c r="C1938" t="n">
        <x:v>73806053</x:v>
      </x:c>
      <x:c r="D1938" t="n">
        <x:v>7152853</x:v>
      </x:c>
      <x:c r="E1938" t="n">
        <x:v>0.1073</x:v>
      </x:c>
      <x:c r="F1938" t="n">
        <x:v>1250</x:v>
      </x:c>
      <x:c r="G1938" t="n">
        <x:v>1385</x:v>
      </x:c>
      <x:c r="H1938" t="n">
        <x:v>135</x:v>
      </x:c>
      <x:c r="I1938" t="n">
        <x:v>0.108</x:v>
      </x:c>
      <x:c r="J1938" t="str">
        <x:v>Medium</x:v>
      </x:c>
      <x:c r="K1938" t="n">
        <x:v>59</x:v>
      </x:c>
      <x:c r="L1938" t="n">
        <x:v>56.4</x:v>
      </x:c>
      <x:c r="M1938" t="n">
        <x:v>59.7</x:v>
      </x:c>
      <x:c r="N1938" t="str">
        <x:v>Pessimistic</x:v>
      </x:c>
      <x:c r="O1938" t="str">
        <x:v>Pessimistic</x:v>
      </x:c>
    </x:row>
    <x:row r="1939">
      <x:c r="A1939" t="str">
        <x:v>PJT_1938</x:v>
      </x:c>
      <x:c r="B1939" t="n">
        <x:v>15009710</x:v>
      </x:c>
      <x:c r="C1939" t="n">
        <x:v>15622593</x:v>
      </x:c>
      <x:c r="D1939" t="n">
        <x:v>612883</x:v>
      </x:c>
      <x:c r="E1939" t="n">
        <x:v>0.0408</x:v>
      </x:c>
      <x:c r="F1939" t="n">
        <x:v>316</x:v>
      </x:c>
      <x:c r="G1939" t="n">
        <x:v>318</x:v>
      </x:c>
      <x:c r="H1939" t="n">
        <x:v>2</x:v>
      </x:c>
      <x:c r="I1939" t="n">
        <x:v>0.0063</x:v>
      </x:c>
      <x:c r="J1939" t="str">
        <x:v>Low</x:v>
      </x:c>
      <x:c r="K1939" t="n">
        <x:v>44.3</x:v>
      </x:c>
      <x:c r="L1939" t="n">
        <x:v>41.2</x:v>
      </x:c>
      <x:c r="M1939" t="n">
        <x:v>38.7</x:v>
      </x:c>
      <x:c r="N1939" t="str">
        <x:v>Most Likely</x:v>
      </x:c>
      <x:c r="O1939" t="str">
        <x:v>Most Likely</x:v>
      </x:c>
    </x:row>
    <x:row r="1940">
      <x:c r="A1940" t="str">
        <x:v>PJT_1939</x:v>
      </x:c>
      <x:c r="B1940" t="n">
        <x:v>10864260</x:v>
      </x:c>
      <x:c r="C1940" t="n">
        <x:v>10864921</x:v>
      </x:c>
      <x:c r="D1940" t="n">
        <x:v>661</x:v>
      </x:c>
      <x:c r="E1940" t="n">
        <x:v>0.0001</x:v>
      </x:c>
      <x:c r="F1940" t="n">
        <x:v>180</x:v>
      </x:c>
      <x:c r="G1940" t="n">
        <x:v>164</x:v>
      </x:c>
      <x:c r="H1940" t="n">
        <x:v>-16</x:v>
      </x:c>
      <x:c r="I1940" t="n">
        <x:v>-0.0889</x:v>
      </x:c>
      <x:c r="J1940" t="str">
        <x:v>Low</x:v>
      </x:c>
      <x:c r="K1940" t="n">
        <x:v>30.4</x:v>
      </x:c>
      <x:c r="L1940" t="n">
        <x:v>30.2</x:v>
      </x:c>
      <x:c r="M1940" t="n">
        <x:v>27</x:v>
      </x:c>
      <x:c r="N1940" t="str">
        <x:v>Most Likely</x:v>
      </x:c>
      <x:c r="O1940" t="str">
        <x:v>Optimistic</x:v>
      </x:c>
    </x:row>
    <x:row r="1941">
      <x:c r="A1941" t="str">
        <x:v>PJT_1940</x:v>
      </x:c>
      <x:c r="B1941" t="n">
        <x:v>17483310</x:v>
      </x:c>
      <x:c r="C1941" t="n">
        <x:v>18577917</x:v>
      </x:c>
      <x:c r="D1941" t="n">
        <x:v>1094607</x:v>
      </x:c>
      <x:c r="E1941" t="n">
        <x:v>0.0626</x:v>
      </x:c>
      <x:c r="F1941" t="n">
        <x:v>265</x:v>
      </x:c>
      <x:c r="G1941" t="n">
        <x:v>248</x:v>
      </x:c>
      <x:c r="H1941" t="n">
        <x:v>-17</x:v>
      </x:c>
      <x:c r="I1941" t="n">
        <x:v>-0.0642</x:v>
      </x:c>
      <x:c r="J1941" t="str">
        <x:v>Low</x:v>
      </x:c>
      <x:c r="K1941" t="n">
        <x:v>40.4</x:v>
      </x:c>
      <x:c r="L1941" t="n">
        <x:v>39.7</x:v>
      </x:c>
      <x:c r="M1941" t="n">
        <x:v>37.7</x:v>
      </x:c>
      <x:c r="N1941" t="str">
        <x:v>Most Likely</x:v>
      </x:c>
      <x:c r="O1941" t="str">
        <x:v>Optimistic</x:v>
      </x:c>
    </x:row>
    <x:row r="1942">
      <x:c r="A1942" t="str">
        <x:v>PJT_1941</x:v>
      </x:c>
      <x:c r="B1942" t="n">
        <x:v>39086480</x:v>
      </x:c>
      <x:c r="C1942" t="n">
        <x:v>41124910</x:v>
      </x:c>
      <x:c r="D1942" t="n">
        <x:v>2038430</x:v>
      </x:c>
      <x:c r="E1942" t="n">
        <x:v>0.0522</x:v>
      </x:c>
      <x:c r="F1942" t="n">
        <x:v>740</x:v>
      </x:c>
      <x:c r="G1942" t="n">
        <x:v>760</x:v>
      </x:c>
      <x:c r="H1942" t="n">
        <x:v>20</x:v>
      </x:c>
      <x:c r="I1942" t="n">
        <x:v>0.027</x:v>
      </x:c>
      <x:c r="J1942" t="str">
        <x:v>Medium</x:v>
      </x:c>
      <x:c r="K1942" t="n">
        <x:v>52.4</x:v>
      </x:c>
      <x:c r="L1942" t="n">
        <x:v>52.5</x:v>
      </x:c>
      <x:c r="M1942" t="n">
        <x:v>49.2</x:v>
      </x:c>
      <x:c r="N1942" t="str">
        <x:v>Most Likely</x:v>
      </x:c>
      <x:c r="O1942" t="str">
        <x:v>Most Likely</x:v>
      </x:c>
    </x:row>
    <x:row r="1943">
      <x:c r="A1943" t="str">
        <x:v>PJT_1942</x:v>
      </x:c>
      <x:c r="B1943" t="n">
        <x:v>69950680</x:v>
      </x:c>
      <x:c r="C1943" t="n">
        <x:v>71535988</x:v>
      </x:c>
      <x:c r="D1943" t="n">
        <x:v>1585308</x:v>
      </x:c>
      <x:c r="E1943" t="n">
        <x:v>0.0227</x:v>
      </x:c>
      <x:c r="F1943" t="n">
        <x:v>1386</x:v>
      </x:c>
      <x:c r="G1943" t="n">
        <x:v>1454</x:v>
      </x:c>
      <x:c r="H1943" t="n">
        <x:v>68</x:v>
      </x:c>
      <x:c r="I1943" t="n">
        <x:v>0.0491</x:v>
      </x:c>
      <x:c r="J1943" t="str">
        <x:v>Low</x:v>
      </x:c>
      <x:c r="K1943" t="n">
        <x:v>44.3</x:v>
      </x:c>
      <x:c r="L1943" t="n">
        <x:v>49.6</x:v>
      </x:c>
      <x:c r="M1943" t="n">
        <x:v>50.9</x:v>
      </x:c>
      <x:c r="N1943" t="str">
        <x:v>Most Likely</x:v>
      </x:c>
      <x:c r="O1943" t="str">
        <x:v>Most Likely</x:v>
      </x:c>
    </x:row>
    <x:row r="1944">
      <x:c r="A1944" t="str">
        <x:v>PJT_1943</x:v>
      </x:c>
      <x:c r="B1944" t="n">
        <x:v>70992000</x:v>
      </x:c>
      <x:c r="C1944" t="n">
        <x:v>73453803</x:v>
      </x:c>
      <x:c r="D1944" t="n">
        <x:v>2461803</x:v>
      </x:c>
      <x:c r="E1944" t="n">
        <x:v>0.0347</x:v>
      </x:c>
      <x:c r="F1944" t="n">
        <x:v>1117</x:v>
      </x:c>
      <x:c r="G1944" t="n">
        <x:v>1203</x:v>
      </x:c>
      <x:c r="H1944" t="n">
        <x:v>86</x:v>
      </x:c>
      <x:c r="I1944" t="n">
        <x:v>0.077</x:v>
      </x:c>
      <x:c r="J1944" t="str">
        <x:v>Medium</x:v>
      </x:c>
      <x:c r="K1944" t="n">
        <x:v>63.7</x:v>
      </x:c>
      <x:c r="L1944" t="n">
        <x:v>72.7</x:v>
      </x:c>
      <x:c r="M1944" t="n">
        <x:v>62.3</x:v>
      </x:c>
      <x:c r="N1944" t="str">
        <x:v>Most Likely</x:v>
      </x:c>
      <x:c r="O1944" t="str">
        <x:v>Most Likely</x:v>
      </x:c>
    </x:row>
    <x:row r="1945">
      <x:c r="A1945" t="str">
        <x:v>PJT_1944</x:v>
      </x:c>
      <x:c r="B1945" t="n">
        <x:v>18691350</x:v>
      </x:c>
      <x:c r="C1945" t="n">
        <x:v>19055138</x:v>
      </x:c>
      <x:c r="D1945" t="n">
        <x:v>363788</x:v>
      </x:c>
      <x:c r="E1945" t="n">
        <x:v>0.0195</x:v>
      </x:c>
      <x:c r="F1945" t="n">
        <x:v>345</x:v>
      </x:c>
      <x:c r="G1945" t="n">
        <x:v>329</x:v>
      </x:c>
      <x:c r="H1945" t="n">
        <x:v>-16</x:v>
      </x:c>
      <x:c r="I1945" t="n">
        <x:v>-0.0464</x:v>
      </x:c>
      <x:c r="J1945" t="str">
        <x:v>Low</x:v>
      </x:c>
      <x:c r="K1945" t="n">
        <x:v>37.1</x:v>
      </x:c>
      <x:c r="L1945" t="n">
        <x:v>38.1</x:v>
      </x:c>
      <x:c r="M1945" t="n">
        <x:v>32.2</x:v>
      </x:c>
      <x:c r="N1945" t="str">
        <x:v>Most Likely</x:v>
      </x:c>
      <x:c r="O1945" t="str">
        <x:v>Optimistic</x:v>
      </x:c>
    </x:row>
    <x:row r="1946">
      <x:c r="A1946" t="str">
        <x:v>PJT_1945</x:v>
      </x:c>
      <x:c r="B1946" t="n">
        <x:v>90600510</x:v>
      </x:c>
      <x:c r="C1946" t="n">
        <x:v>100247109</x:v>
      </x:c>
      <x:c r="D1946" t="n">
        <x:v>9646599</x:v>
      </x:c>
      <x:c r="E1946" t="n">
        <x:v>0.1065</x:v>
      </x:c>
      <x:c r="F1946" t="n">
        <x:v>1617</x:v>
      </x:c>
      <x:c r="G1946" t="n">
        <x:v>1828</x:v>
      </x:c>
      <x:c r="H1946" t="n">
        <x:v>211</x:v>
      </x:c>
      <x:c r="I1946" t="n">
        <x:v>0.1305</x:v>
      </x:c>
      <x:c r="J1946" t="str">
        <x:v>Medium</x:v>
      </x:c>
      <x:c r="K1946" t="n">
        <x:v>63.4</x:v>
      </x:c>
      <x:c r="L1946" t="n">
        <x:v>66.6</x:v>
      </x:c>
      <x:c r="M1946" t="n">
        <x:v>61.8</x:v>
      </x:c>
      <x:c r="N1946" t="str">
        <x:v>Pessimistic</x:v>
      </x:c>
      <x:c r="O1946" t="str">
        <x:v>Pessimistic</x:v>
      </x:c>
    </x:row>
    <x:row r="1947">
      <x:c r="A1947" t="str">
        <x:v>PJT_1946</x:v>
      </x:c>
      <x:c r="B1947" t="n">
        <x:v>20161960</x:v>
      </x:c>
      <x:c r="C1947" t="n">
        <x:v>20083593</x:v>
      </x:c>
      <x:c r="D1947" t="n">
        <x:v>-78367</x:v>
      </x:c>
      <x:c r="E1947" t="n">
        <x:v>-0.0039</x:v>
      </x:c>
      <x:c r="F1947" t="n">
        <x:v>479</x:v>
      </x:c>
      <x:c r="G1947" t="n">
        <x:v>472</x:v>
      </x:c>
      <x:c r="H1947" t="n">
        <x:v>-7</x:v>
      </x:c>
      <x:c r="I1947" t="n">
        <x:v>-0.0146</x:v>
      </x:c>
      <x:c r="J1947" t="str">
        <x:v>Low</x:v>
      </x:c>
      <x:c r="K1947" t="n">
        <x:v>41.8</x:v>
      </x:c>
      <x:c r="L1947" t="n">
        <x:v>40.2</x:v>
      </x:c>
      <x:c r="M1947" t="n">
        <x:v>43.8</x:v>
      </x:c>
      <x:c r="N1947" t="str">
        <x:v>Optimistic</x:v>
      </x:c>
      <x:c r="O1947" t="str">
        <x:v>Optimistic</x:v>
      </x:c>
    </x:row>
    <x:row r="1948">
      <x:c r="A1948" t="str">
        <x:v>PJT_1947</x:v>
      </x:c>
      <x:c r="B1948" t="n">
        <x:v>71902680</x:v>
      </x:c>
      <x:c r="C1948" t="n">
        <x:v>75512926</x:v>
      </x:c>
      <x:c r="D1948" t="n">
        <x:v>3610246</x:v>
      </x:c>
      <x:c r="E1948" t="n">
        <x:v>0.0502</x:v>
      </x:c>
      <x:c r="F1948" t="n">
        <x:v>1141</x:v>
      </x:c>
      <x:c r="G1948" t="n">
        <x:v>1148</x:v>
      </x:c>
      <x:c r="H1948" t="n">
        <x:v>7</x:v>
      </x:c>
      <x:c r="I1948" t="n">
        <x:v>0.0061</x:v>
      </x:c>
      <x:c r="J1948" t="str">
        <x:v>Medium</x:v>
      </x:c>
      <x:c r="K1948" t="n">
        <x:v>48.5</x:v>
      </x:c>
      <x:c r="L1948" t="n">
        <x:v>46.7</x:v>
      </x:c>
      <x:c r="M1948" t="n">
        <x:v>42.2</x:v>
      </x:c>
      <x:c r="N1948" t="str">
        <x:v>Most Likely</x:v>
      </x:c>
      <x:c r="O1948" t="str">
        <x:v>Most Likely</x:v>
      </x:c>
    </x:row>
    <x:row r="1949">
      <x:c r="A1949" t="str">
        <x:v>PJT_1948</x:v>
      </x:c>
      <x:c r="B1949" t="n">
        <x:v>19502990</x:v>
      </x:c>
      <x:c r="C1949" t="n">
        <x:v>18911583</x:v>
      </x:c>
      <x:c r="D1949" t="n">
        <x:v>-591407</x:v>
      </x:c>
      <x:c r="E1949" t="n">
        <x:v>-0.0303</x:v>
      </x:c>
      <x:c r="F1949" t="n">
        <x:v>354</x:v>
      </x:c>
      <x:c r="G1949" t="n">
        <x:v>377</x:v>
      </x:c>
      <x:c r="H1949" t="n">
        <x:v>23</x:v>
      </x:c>
      <x:c r="I1949" t="n">
        <x:v>0.065</x:v>
      </x:c>
      <x:c r="J1949" t="str">
        <x:v>Low</x:v>
      </x:c>
      <x:c r="K1949" t="n">
        <x:v>44.2</x:v>
      </x:c>
      <x:c r="L1949" t="n">
        <x:v>46.8</x:v>
      </x:c>
      <x:c r="M1949" t="n">
        <x:v>43.8</x:v>
      </x:c>
      <x:c r="N1949" t="str">
        <x:v>Optimistic</x:v>
      </x:c>
      <x:c r="O1949" t="str">
        <x:v>Most Likely</x:v>
      </x:c>
    </x:row>
    <x:row r="1950">
      <x:c r="A1950" t="str">
        <x:v>PJT_1949</x:v>
      </x:c>
      <x:c r="B1950" t="n">
        <x:v>21421740</x:v>
      </x:c>
      <x:c r="C1950" t="n">
        <x:v>20507452</x:v>
      </x:c>
      <x:c r="D1950" t="n">
        <x:v>-914288</x:v>
      </x:c>
      <x:c r="E1950" t="n">
        <x:v>-0.0427</x:v>
      </x:c>
      <x:c r="F1950" t="n">
        <x:v>433</x:v>
      </x:c>
      <x:c r="G1950" t="n">
        <x:v>412</x:v>
      </x:c>
      <x:c r="H1950" t="n">
        <x:v>-21</x:v>
      </x:c>
      <x:c r="I1950" t="n">
        <x:v>-0.0485</x:v>
      </x:c>
      <x:c r="J1950" t="str">
        <x:v>Low</x:v>
      </x:c>
      <x:c r="K1950" t="n">
        <x:v>40.7</x:v>
      </x:c>
      <x:c r="L1950" t="n">
        <x:v>33.6</x:v>
      </x:c>
      <x:c r="M1950" t="n">
        <x:v>35.5</x:v>
      </x:c>
      <x:c r="N1950" t="str">
        <x:v>Optimistic</x:v>
      </x:c>
      <x:c r="O1950" t="str">
        <x:v>Optimistic</x:v>
      </x:c>
    </x:row>
    <x:row r="1951">
      <x:c r="A1951" t="str">
        <x:v>PJT_1950</x:v>
      </x:c>
      <x:c r="B1951" t="n">
        <x:v>10547660</x:v>
      </x:c>
      <x:c r="C1951" t="n">
        <x:v>9858781</x:v>
      </x:c>
      <x:c r="D1951" t="n">
        <x:v>-688879</x:v>
      </x:c>
      <x:c r="E1951" t="n">
        <x:v>-0.0653</x:v>
      </x:c>
      <x:c r="F1951" t="n">
        <x:v>180</x:v>
      </x:c>
      <x:c r="G1951" t="n">
        <x:v>186</x:v>
      </x:c>
      <x:c r="H1951" t="n">
        <x:v>6</x:v>
      </x:c>
      <x:c r="I1951" t="n">
        <x:v>0.0333</x:v>
      </x:c>
      <x:c r="J1951" t="str">
        <x:v>Low</x:v>
      </x:c>
      <x:c r="K1951" t="n">
        <x:v>24</x:v>
      </x:c>
      <x:c r="L1951" t="n">
        <x:v>22</x:v>
      </x:c>
      <x:c r="M1951" t="n">
        <x:v>23.4</x:v>
      </x:c>
      <x:c r="N1951" t="str">
        <x:v>Optimistic</x:v>
      </x:c>
      <x:c r="O1951" t="str">
        <x:v>Most Likely</x:v>
      </x:c>
    </x:row>
    <x:row r="1952">
      <x:c r="A1952" t="str">
        <x:v>PJT_1951</x:v>
      </x:c>
      <x:c r="B1952" t="n">
        <x:v>17121350</x:v>
      </x:c>
      <x:c r="C1952" t="n">
        <x:v>15769041</x:v>
      </x:c>
      <x:c r="D1952" t="n">
        <x:v>-1352309</x:v>
      </x:c>
      <x:c r="E1952" t="n">
        <x:v>-0.079</x:v>
      </x:c>
      <x:c r="F1952" t="n">
        <x:v>275</x:v>
      </x:c>
      <x:c r="G1952" t="n">
        <x:v>287</x:v>
      </x:c>
      <x:c r="H1952" t="n">
        <x:v>12</x:v>
      </x:c>
      <x:c r="I1952" t="n">
        <x:v>0.0436</x:v>
      </x:c>
      <x:c r="J1952" t="str">
        <x:v>Low</x:v>
      </x:c>
      <x:c r="K1952" t="n">
        <x:v>38.4</x:v>
      </x:c>
      <x:c r="L1952" t="n">
        <x:v>37.5</x:v>
      </x:c>
      <x:c r="M1952" t="n">
        <x:v>40.6</x:v>
      </x:c>
      <x:c r="N1952" t="str">
        <x:v>Optimistic</x:v>
      </x:c>
      <x:c r="O1952" t="str">
        <x:v>Most Likely</x:v>
      </x:c>
    </x:row>
    <x:row r="1953">
      <x:c r="A1953" t="str">
        <x:v>PJT_1952</x:v>
      </x:c>
      <x:c r="B1953" t="n">
        <x:v>58925160</x:v>
      </x:c>
      <x:c r="C1953" t="n">
        <x:v>64709908</x:v>
      </x:c>
      <x:c r="D1953" t="n">
        <x:v>5784748</x:v>
      </x:c>
      <x:c r="E1953" t="n">
        <x:v>0.0982</x:v>
      </x:c>
      <x:c r="F1953" t="n">
        <x:v>942</x:v>
      </x:c>
      <x:c r="G1953" t="n">
        <x:v>970</x:v>
      </x:c>
      <x:c r="H1953" t="n">
        <x:v>28</x:v>
      </x:c>
      <x:c r="I1953" t="n">
        <x:v>0.0297</x:v>
      </x:c>
      <x:c r="J1953" t="str">
        <x:v>Medium</x:v>
      </x:c>
      <x:c r="K1953" t="n">
        <x:v>49.5</x:v>
      </x:c>
      <x:c r="L1953" t="n">
        <x:v>56.9</x:v>
      </x:c>
      <x:c r="M1953" t="n">
        <x:v>48.1</x:v>
      </x:c>
      <x:c r="N1953" t="str">
        <x:v>Most Likely</x:v>
      </x:c>
      <x:c r="O1953" t="str">
        <x:v>Most Likely</x:v>
      </x:c>
    </x:row>
    <x:row r="1954">
      <x:c r="A1954" t="str">
        <x:v>PJT_1953</x:v>
      </x:c>
      <x:c r="B1954" t="n">
        <x:v>38042700</x:v>
      </x:c>
      <x:c r="C1954" t="n">
        <x:v>41635370</x:v>
      </x:c>
      <x:c r="D1954" t="n">
        <x:v>3592670</x:v>
      </x:c>
      <x:c r="E1954" t="n">
        <x:v>0.0944</x:v>
      </x:c>
      <x:c r="F1954" t="n">
        <x:v>825</x:v>
      </x:c>
      <x:c r="G1954" t="n">
        <x:v>893</x:v>
      </x:c>
      <x:c r="H1954" t="n">
        <x:v>68</x:v>
      </x:c>
      <x:c r="I1954" t="n">
        <x:v>0.0824</x:v>
      </x:c>
      <x:c r="J1954" t="str">
        <x:v>Medium</x:v>
      </x:c>
      <x:c r="K1954" t="n">
        <x:v>57.7</x:v>
      </x:c>
      <x:c r="L1954" t="n">
        <x:v>55</x:v>
      </x:c>
      <x:c r="M1954" t="n">
        <x:v>52</x:v>
      </x:c>
      <x:c r="N1954" t="str">
        <x:v>Most Likely</x:v>
      </x:c>
      <x:c r="O1954" t="str">
        <x:v>Most Likely</x:v>
      </x:c>
    </x:row>
    <x:row r="1955">
      <x:c r="A1955" t="str">
        <x:v>PJT_1954</x:v>
      </x:c>
      <x:c r="B1955" t="n">
        <x:v>53034120</x:v>
      </x:c>
      <x:c r="C1955" t="n">
        <x:v>56860826</x:v>
      </x:c>
      <x:c r="D1955" t="n">
        <x:v>3826706</x:v>
      </x:c>
      <x:c r="E1955" t="n">
        <x:v>0.0722</x:v>
      </x:c>
      <x:c r="F1955" t="n">
        <x:v>1029</x:v>
      </x:c>
      <x:c r="G1955" t="n">
        <x:v>1057</x:v>
      </x:c>
      <x:c r="H1955" t="n">
        <x:v>28</x:v>
      </x:c>
      <x:c r="I1955" t="n">
        <x:v>0.0272</x:v>
      </x:c>
      <x:c r="J1955" t="str">
        <x:v>Medium</x:v>
      </x:c>
      <x:c r="K1955" t="n">
        <x:v>60.4</x:v>
      </x:c>
      <x:c r="L1955" t="n">
        <x:v>62.5</x:v>
      </x:c>
      <x:c r="M1955" t="n">
        <x:v>57.2</x:v>
      </x:c>
      <x:c r="N1955" t="str">
        <x:v>Most Likely</x:v>
      </x:c>
      <x:c r="O1955" t="str">
        <x:v>Most Likely</x:v>
      </x:c>
    </x:row>
    <x:row r="1956">
      <x:c r="A1956" t="str">
        <x:v>PJT_1955</x:v>
      </x:c>
      <x:c r="B1956" t="n">
        <x:v>10272320</x:v>
      </x:c>
      <x:c r="C1956" t="n">
        <x:v>10294967</x:v>
      </x:c>
      <x:c r="D1956" t="n">
        <x:v>22647</x:v>
      </x:c>
      <x:c r="E1956" t="n">
        <x:v>0.0022</x:v>
      </x:c>
      <x:c r="F1956" t="n">
        <x:v>264</x:v>
      </x:c>
      <x:c r="G1956" t="n">
        <x:v>274</x:v>
      </x:c>
      <x:c r="H1956" t="n">
        <x:v>10</x:v>
      </x:c>
      <x:c r="I1956" t="n">
        <x:v>0.0379</x:v>
      </x:c>
      <x:c r="J1956" t="str">
        <x:v>Low</x:v>
      </x:c>
      <x:c r="K1956" t="n">
        <x:v>32.5</x:v>
      </x:c>
      <x:c r="L1956" t="n">
        <x:v>32.9</x:v>
      </x:c>
      <x:c r="M1956" t="n">
        <x:v>37.1</x:v>
      </x:c>
      <x:c r="N1956" t="str">
        <x:v>Most Likely</x:v>
      </x:c>
      <x:c r="O1956" t="str">
        <x:v>Most Likely</x:v>
      </x:c>
    </x:row>
    <x:row r="1957">
      <x:c r="A1957" t="str">
        <x:v>PJT_1956</x:v>
      </x:c>
      <x:c r="B1957" t="n">
        <x:v>44874180</x:v>
      </x:c>
      <x:c r="C1957" t="n">
        <x:v>47356229</x:v>
      </x:c>
      <x:c r="D1957" t="n">
        <x:v>2482049</x:v>
      </x:c>
      <x:c r="E1957" t="n">
        <x:v>0.0553</x:v>
      </x:c>
      <x:c r="F1957" t="n">
        <x:v>812</x:v>
      </x:c>
      <x:c r="G1957" t="n">
        <x:v>811</x:v>
      </x:c>
      <x:c r="H1957" t="n">
        <x:v>-1</x:v>
      </x:c>
      <x:c r="I1957" t="n">
        <x:v>-0.0012</x:v>
      </x:c>
      <x:c r="J1957" t="str">
        <x:v>Medium</x:v>
      </x:c>
      <x:c r="K1957" t="n">
        <x:v>48.6</x:v>
      </x:c>
      <x:c r="L1957" t="n">
        <x:v>53.3</x:v>
      </x:c>
      <x:c r="M1957" t="n">
        <x:v>49.5</x:v>
      </x:c>
      <x:c r="N1957" t="str">
        <x:v>Most Likely</x:v>
      </x:c>
      <x:c r="O1957" t="str">
        <x:v>Optimistic</x:v>
      </x:c>
    </x:row>
    <x:row r="1958">
      <x:c r="A1958" t="str">
        <x:v>PJT_1957</x:v>
      </x:c>
      <x:c r="B1958" t="n">
        <x:v>57614130</x:v>
      </x:c>
      <x:c r="C1958" t="n">
        <x:v>62691225</x:v>
      </x:c>
      <x:c r="D1958" t="n">
        <x:v>5077095</x:v>
      </x:c>
      <x:c r="E1958" t="n">
        <x:v>0.0881</x:v>
      </x:c>
      <x:c r="F1958" t="n">
        <x:v>1158</x:v>
      </x:c>
      <x:c r="G1958" t="n">
        <x:v>1226</x:v>
      </x:c>
      <x:c r="H1958" t="n">
        <x:v>68</x:v>
      </x:c>
      <x:c r="I1958" t="n">
        <x:v>0.0587</x:v>
      </x:c>
      <x:c r="J1958" t="str">
        <x:v>Medium</x:v>
      </x:c>
      <x:c r="K1958" t="n">
        <x:v>48.5</x:v>
      </x:c>
      <x:c r="L1958" t="n">
        <x:v>56.4</x:v>
      </x:c>
      <x:c r="M1958" t="n">
        <x:v>45</x:v>
      </x:c>
      <x:c r="N1958" t="str">
        <x:v>Most Likely</x:v>
      </x:c>
      <x:c r="O1958" t="str">
        <x:v>Most Likely</x:v>
      </x:c>
    </x:row>
    <x:row r="1959">
      <x:c r="A1959" t="str">
        <x:v>PJT_1958</x:v>
      </x:c>
      <x:c r="B1959" t="n">
        <x:v>35355600</x:v>
      </x:c>
      <x:c r="C1959" t="n">
        <x:v>36386312</x:v>
      </x:c>
      <x:c r="D1959" t="n">
        <x:v>1030712</x:v>
      </x:c>
      <x:c r="E1959" t="n">
        <x:v>0.0292</x:v>
      </x:c>
      <x:c r="F1959" t="n">
        <x:v>619</x:v>
      </x:c>
      <x:c r="G1959" t="n">
        <x:v>609</x:v>
      </x:c>
      <x:c r="H1959" t="n">
        <x:v>-10</x:v>
      </x:c>
      <x:c r="I1959" t="n">
        <x:v>-0.0162</x:v>
      </x:c>
      <x:c r="J1959" t="str">
        <x:v>Medium</x:v>
      </x:c>
      <x:c r="K1959" t="n">
        <x:v>49.4</x:v>
      </x:c>
      <x:c r="L1959" t="n">
        <x:v>45.9</x:v>
      </x:c>
      <x:c r="M1959" t="n">
        <x:v>43.2</x:v>
      </x:c>
      <x:c r="N1959" t="str">
        <x:v>Most Likely</x:v>
      </x:c>
      <x:c r="O1959" t="str">
        <x:v>Optimistic</x:v>
      </x:c>
    </x:row>
    <x:row r="1960">
      <x:c r="A1960" t="str">
        <x:v>PJT_1959</x:v>
      </x:c>
      <x:c r="B1960" t="n">
        <x:v>55689740</x:v>
      </x:c>
      <x:c r="C1960" t="n">
        <x:v>59239156</x:v>
      </x:c>
      <x:c r="D1960" t="n">
        <x:v>3549416</x:v>
      </x:c>
      <x:c r="E1960" t="n">
        <x:v>0.0637</x:v>
      </x:c>
      <x:c r="F1960" t="n">
        <x:v>1153</x:v>
      </x:c>
      <x:c r="G1960" t="n">
        <x:v>1171</x:v>
      </x:c>
      <x:c r="H1960" t="n">
        <x:v>18</x:v>
      </x:c>
      <x:c r="I1960" t="n">
        <x:v>0.0156</x:v>
      </x:c>
      <x:c r="J1960" t="str">
        <x:v>Medium</x:v>
      </x:c>
      <x:c r="K1960" t="n">
        <x:v>47.1</x:v>
      </x:c>
      <x:c r="L1960" t="n">
        <x:v>52</x:v>
      </x:c>
      <x:c r="M1960" t="n">
        <x:v>49.8</x:v>
      </x:c>
      <x:c r="N1960" t="str">
        <x:v>Most Likely</x:v>
      </x:c>
      <x:c r="O1960" t="str">
        <x:v>Most Likely</x:v>
      </x:c>
    </x:row>
    <x:row r="1961">
      <x:c r="A1961" t="str">
        <x:v>PJT_1960</x:v>
      </x:c>
      <x:c r="B1961" t="n">
        <x:v>67283160</x:v>
      </x:c>
      <x:c r="C1961" t="n">
        <x:v>70641192</x:v>
      </x:c>
      <x:c r="D1961" t="n">
        <x:v>3358032</x:v>
      </x:c>
      <x:c r="E1961" t="n">
        <x:v>0.0499</x:v>
      </x:c>
      <x:c r="F1961" t="n">
        <x:v>1373</x:v>
      </x:c>
      <x:c r="G1961" t="n">
        <x:v>1580</x:v>
      </x:c>
      <x:c r="H1961" t="n">
        <x:v>207</x:v>
      </x:c>
      <x:c r="I1961" t="n">
        <x:v>0.1508</x:v>
      </x:c>
      <x:c r="J1961" t="str">
        <x:v>High</x:v>
      </x:c>
      <x:c r="K1961" t="n">
        <x:v>67.3</x:v>
      </x:c>
      <x:c r="L1961" t="n">
        <x:v>65.7</x:v>
      </x:c>
      <x:c r="M1961" t="n">
        <x:v>67</x:v>
      </x:c>
      <x:c r="N1961" t="str">
        <x:v>Most Likely</x:v>
      </x:c>
      <x:c r="O1961" t="str">
        <x:v>Pessimistic</x:v>
      </x:c>
    </x:row>
    <x:row r="1962">
      <x:c r="A1962" t="str">
        <x:v>PJT_1961</x:v>
      </x:c>
      <x:c r="B1962" t="n">
        <x:v>12322350</x:v>
      </x:c>
      <x:c r="C1962" t="n">
        <x:v>11457013</x:v>
      </x:c>
      <x:c r="D1962" t="n">
        <x:v>-865337</x:v>
      </x:c>
      <x:c r="E1962" t="n">
        <x:v>-0.0702</x:v>
      </x:c>
      <x:c r="F1962" t="n">
        <x:v>201</x:v>
      </x:c>
      <x:c r="G1962" t="n">
        <x:v>211</x:v>
      </x:c>
      <x:c r="H1962" t="n">
        <x:v>10</x:v>
      </x:c>
      <x:c r="I1962" t="n">
        <x:v>0.0498</x:v>
      </x:c>
      <x:c r="J1962" t="str">
        <x:v>Low</x:v>
      </x:c>
      <x:c r="K1962" t="n">
        <x:v>27.1</x:v>
      </x:c>
      <x:c r="L1962" t="n">
        <x:v>33.1</x:v>
      </x:c>
      <x:c r="M1962" t="n">
        <x:v>30.3</x:v>
      </x:c>
      <x:c r="N1962" t="str">
        <x:v>Optimistic</x:v>
      </x:c>
      <x:c r="O1962" t="str">
        <x:v>Most Likely</x:v>
      </x:c>
    </x:row>
    <x:row r="1963">
      <x:c r="A1963" t="str">
        <x:v>PJT_1962</x:v>
      </x:c>
      <x:c r="B1963" t="n">
        <x:v>67899400</x:v>
      </x:c>
      <x:c r="C1963" t="n">
        <x:v>70385367</x:v>
      </x:c>
      <x:c r="D1963" t="n">
        <x:v>2485967</x:v>
      </x:c>
      <x:c r="E1963" t="n">
        <x:v>0.0366</x:v>
      </x:c>
      <x:c r="F1963" t="n">
        <x:v>1205</x:v>
      </x:c>
      <x:c r="G1963" t="n">
        <x:v>1359</x:v>
      </x:c>
      <x:c r="H1963" t="n">
        <x:v>154</x:v>
      </x:c>
      <x:c r="I1963" t="n">
        <x:v>0.1278</x:v>
      </x:c>
      <x:c r="J1963" t="str">
        <x:v>Medium</x:v>
      </x:c>
      <x:c r="K1963" t="n">
        <x:v>53.5</x:v>
      </x:c>
      <x:c r="L1963" t="n">
        <x:v>61</x:v>
      </x:c>
      <x:c r="M1963" t="n">
        <x:v>55.1</x:v>
      </x:c>
      <x:c r="N1963" t="str">
        <x:v>Most Likely</x:v>
      </x:c>
      <x:c r="O1963" t="str">
        <x:v>Pessimistic</x:v>
      </x:c>
    </x:row>
    <x:row r="1964">
      <x:c r="A1964" t="str">
        <x:v>PJT_1963</x:v>
      </x:c>
      <x:c r="B1964" t="n">
        <x:v>19465680</x:v>
      </x:c>
      <x:c r="C1964" t="n">
        <x:v>19773060</x:v>
      </x:c>
      <x:c r="D1964" t="n">
        <x:v>307380</x:v>
      </x:c>
      <x:c r="E1964" t="n">
        <x:v>0.0158</x:v>
      </x:c>
      <x:c r="F1964" t="n">
        <x:v>335</x:v>
      </x:c>
      <x:c r="G1964" t="n">
        <x:v>351</x:v>
      </x:c>
      <x:c r="H1964" t="n">
        <x:v>16</x:v>
      </x:c>
      <x:c r="I1964" t="n">
        <x:v>0.0478</x:v>
      </x:c>
      <x:c r="J1964" t="str">
        <x:v>Low</x:v>
      </x:c>
      <x:c r="K1964" t="n">
        <x:v>42.6</x:v>
      </x:c>
      <x:c r="L1964" t="n">
        <x:v>48.4</x:v>
      </x:c>
      <x:c r="M1964" t="n">
        <x:v>40.8</x:v>
      </x:c>
      <x:c r="N1964" t="str">
        <x:v>Most Likely</x:v>
      </x:c>
      <x:c r="O1964" t="str">
        <x:v>Most Likely</x:v>
      </x:c>
    </x:row>
    <x:row r="1965">
      <x:c r="A1965" t="str">
        <x:v>PJT_1964</x:v>
      </x:c>
      <x:c r="B1965" t="n">
        <x:v>94789840</x:v>
      </x:c>
      <x:c r="C1965" t="n">
        <x:v>107860961</x:v>
      </x:c>
      <x:c r="D1965" t="n">
        <x:v>13071121</x:v>
      </x:c>
      <x:c r="E1965" t="n">
        <x:v>0.1379</x:v>
      </x:c>
      <x:c r="F1965" t="n">
        <x:v>1819</x:v>
      </x:c>
      <x:c r="G1965" t="n">
        <x:v>1892</x:v>
      </x:c>
      <x:c r="H1965" t="n">
        <x:v>73</x:v>
      </x:c>
      <x:c r="I1965" t="n">
        <x:v>0.0401</x:v>
      </x:c>
      <x:c r="J1965" t="str">
        <x:v>Medium</x:v>
      </x:c>
      <x:c r="K1965" t="n">
        <x:v>64.1</x:v>
      </x:c>
      <x:c r="L1965" t="n">
        <x:v>66.1</x:v>
      </x:c>
      <x:c r="M1965" t="n">
        <x:v>63.5</x:v>
      </x:c>
      <x:c r="N1965" t="str">
        <x:v>Pessimistic</x:v>
      </x:c>
      <x:c r="O1965" t="str">
        <x:v>Most Likely</x:v>
      </x:c>
    </x:row>
    <x:row r="1966">
      <x:c r="A1966" t="str">
        <x:v>PJT_1965</x:v>
      </x:c>
      <x:c r="B1966" t="n">
        <x:v>40565160</x:v>
      </x:c>
      <x:c r="C1966" t="n">
        <x:v>42310724</x:v>
      </x:c>
      <x:c r="D1966" t="n">
        <x:v>1745564</x:v>
      </x:c>
      <x:c r="E1966" t="n">
        <x:v>0.043</x:v>
      </x:c>
      <x:c r="F1966" t="n">
        <x:v>814</x:v>
      </x:c>
      <x:c r="G1966" t="n">
        <x:v>870</x:v>
      </x:c>
      <x:c r="H1966" t="n">
        <x:v>56</x:v>
      </x:c>
      <x:c r="I1966" t="n">
        <x:v>0.0688</x:v>
      </x:c>
      <x:c r="J1966" t="str">
        <x:v>Medium</x:v>
      </x:c>
      <x:c r="K1966" t="n">
        <x:v>53.8</x:v>
      </x:c>
      <x:c r="L1966" t="n">
        <x:v>55.6</x:v>
      </x:c>
      <x:c r="M1966" t="n">
        <x:v>53.8</x:v>
      </x:c>
      <x:c r="N1966" t="str">
        <x:v>Most Likely</x:v>
      </x:c>
      <x:c r="O1966" t="str">
        <x:v>Most Likely</x:v>
      </x:c>
    </x:row>
    <x:row r="1967">
      <x:c r="A1967" t="str">
        <x:v>PJT_1966</x:v>
      </x:c>
      <x:c r="B1967" t="n">
        <x:v>34441600</x:v>
      </x:c>
      <x:c r="C1967" t="n">
        <x:v>36067728</x:v>
      </x:c>
      <x:c r="D1967" t="n">
        <x:v>1626128</x:v>
      </x:c>
      <x:c r="E1967" t="n">
        <x:v>0.0472</x:v>
      </x:c>
      <x:c r="F1967" t="n">
        <x:v>681</x:v>
      </x:c>
      <x:c r="G1967" t="n">
        <x:v>752</x:v>
      </x:c>
      <x:c r="H1967" t="n">
        <x:v>71</x:v>
      </x:c>
      <x:c r="I1967" t="n">
        <x:v>0.1043</x:v>
      </x:c>
      <x:c r="J1967" t="str">
        <x:v>Medium</x:v>
      </x:c>
      <x:c r="K1967" t="n">
        <x:v>55.2</x:v>
      </x:c>
      <x:c r="L1967" t="n">
        <x:v>59.4</x:v>
      </x:c>
      <x:c r="M1967" t="n">
        <x:v>59.5</x:v>
      </x:c>
      <x:c r="N1967" t="str">
        <x:v>Most Likely</x:v>
      </x:c>
      <x:c r="O1967" t="str">
        <x:v>Pessimistic</x:v>
      </x:c>
    </x:row>
    <x:row r="1968">
      <x:c r="A1968" t="str">
        <x:v>PJT_1967</x:v>
      </x:c>
      <x:c r="B1968" t="n">
        <x:v>98519400</x:v>
      </x:c>
      <x:c r="C1968" t="n">
        <x:v>103114312</x:v>
      </x:c>
      <x:c r="D1968" t="n">
        <x:v>4594912</x:v>
      </x:c>
      <x:c r="E1968" t="n">
        <x:v>0.0466</x:v>
      </x:c>
      <x:c r="F1968" t="n">
        <x:v>1944</x:v>
      </x:c>
      <x:c r="G1968" t="n">
        <x:v>2063</x:v>
      </x:c>
      <x:c r="H1968" t="n">
        <x:v>119</x:v>
      </x:c>
      <x:c r="I1968" t="n">
        <x:v>0.0612</x:v>
      </x:c>
      <x:c r="J1968" t="str">
        <x:v>Medium</x:v>
      </x:c>
      <x:c r="K1968" t="n">
        <x:v>60</x:v>
      </x:c>
      <x:c r="L1968" t="n">
        <x:v>64.3</x:v>
      </x:c>
      <x:c r="M1968" t="n">
        <x:v>61.6</x:v>
      </x:c>
      <x:c r="N1968" t="str">
        <x:v>Most Likely</x:v>
      </x:c>
      <x:c r="O1968" t="str">
        <x:v>Most Likely</x:v>
      </x:c>
    </x:row>
    <x:row r="1969">
      <x:c r="A1969" t="str">
        <x:v>PJT_1968</x:v>
      </x:c>
      <x:c r="B1969" t="n">
        <x:v>16012440</x:v>
      </x:c>
      <x:c r="C1969" t="n">
        <x:v>16912899</x:v>
      </x:c>
      <x:c r="D1969" t="n">
        <x:v>900459</x:v>
      </x:c>
      <x:c r="E1969" t="n">
        <x:v>0.0562</x:v>
      </x:c>
      <x:c r="F1969" t="n">
        <x:v>302</x:v>
      </x:c>
      <x:c r="G1969" t="n">
        <x:v>315</x:v>
      </x:c>
      <x:c r="H1969" t="n">
        <x:v>13</x:v>
      </x:c>
      <x:c r="I1969" t="n">
        <x:v>0.043</x:v>
      </x:c>
      <x:c r="J1969" t="str">
        <x:v>Medium</x:v>
      </x:c>
      <x:c r="K1969" t="n">
        <x:v>55.4</x:v>
      </x:c>
      <x:c r="L1969" t="n">
        <x:v>54.1</x:v>
      </x:c>
      <x:c r="M1969" t="n">
        <x:v>55.8</x:v>
      </x:c>
      <x:c r="N1969" t="str">
        <x:v>Most Likely</x:v>
      </x:c>
      <x:c r="O1969" t="str">
        <x:v>Most Likely</x:v>
      </x:c>
    </x:row>
    <x:row r="1970">
      <x:c r="A1970" t="str">
        <x:v>PJT_1969</x:v>
      </x:c>
      <x:c r="B1970" t="n">
        <x:v>20168400</x:v>
      </x:c>
      <x:c r="C1970" t="n">
        <x:v>20118033</x:v>
      </x:c>
      <x:c r="D1970" t="n">
        <x:v>-50367</x:v>
      </x:c>
      <x:c r="E1970" t="n">
        <x:v>-0.0025</x:v>
      </x:c>
      <x:c r="F1970" t="n">
        <x:v>369</x:v>
      </x:c>
      <x:c r="G1970" t="n">
        <x:v>383</x:v>
      </x:c>
      <x:c r="H1970" t="n">
        <x:v>14</x:v>
      </x:c>
      <x:c r="I1970" t="n">
        <x:v>0.0379</x:v>
      </x:c>
      <x:c r="J1970" t="str">
        <x:v>Low</x:v>
      </x:c>
      <x:c r="K1970" t="n">
        <x:v>39.8</x:v>
      </x:c>
      <x:c r="L1970" t="n">
        <x:v>32.5</x:v>
      </x:c>
      <x:c r="M1970" t="n">
        <x:v>36.2</x:v>
      </x:c>
      <x:c r="N1970" t="str">
        <x:v>Optimistic</x:v>
      </x:c>
      <x:c r="O1970" t="str">
        <x:v>Most Likely</x:v>
      </x:c>
    </x:row>
    <x:row r="1971">
      <x:c r="A1971" t="str">
        <x:v>PJT_1970</x:v>
      </x:c>
      <x:c r="B1971" t="n">
        <x:v>42794440</x:v>
      </x:c>
      <x:c r="C1971" t="n">
        <x:v>47134114</x:v>
      </x:c>
      <x:c r="D1971" t="n">
        <x:v>4339674</x:v>
      </x:c>
      <x:c r="E1971" t="n">
        <x:v>0.1014</x:v>
      </x:c>
      <x:c r="F1971" t="n">
        <x:v>876</x:v>
      </x:c>
      <x:c r="G1971" t="n">
        <x:v>949</x:v>
      </x:c>
      <x:c r="H1971" t="n">
        <x:v>73</x:v>
      </x:c>
      <x:c r="I1971" t="n">
        <x:v>0.0833</x:v>
      </x:c>
      <x:c r="J1971" t="str">
        <x:v>Medium</x:v>
      </x:c>
      <x:c r="K1971" t="n">
        <x:v>60.2</x:v>
      </x:c>
      <x:c r="L1971" t="n">
        <x:v>58.6</x:v>
      </x:c>
      <x:c r="M1971" t="n">
        <x:v>61</x:v>
      </x:c>
      <x:c r="N1971" t="str">
        <x:v>Pessimistic</x:v>
      </x:c>
      <x:c r="O1971" t="str">
        <x:v>Most Likely</x:v>
      </x:c>
    </x:row>
    <x:row r="1972">
      <x:c r="A1972" t="str">
        <x:v>PJT_1971</x:v>
      </x:c>
      <x:c r="B1972" t="n">
        <x:v>73936380</x:v>
      </x:c>
      <x:c r="C1972" t="n">
        <x:v>76167474</x:v>
      </x:c>
      <x:c r="D1972" t="n">
        <x:v>2231094</x:v>
      </x:c>
      <x:c r="E1972" t="n">
        <x:v>0.0302</x:v>
      </x:c>
      <x:c r="F1972" t="n">
        <x:v>1264</x:v>
      </x:c>
      <x:c r="G1972" t="n">
        <x:v>1383</x:v>
      </x:c>
      <x:c r="H1972" t="n">
        <x:v>119</x:v>
      </x:c>
      <x:c r="I1972" t="n">
        <x:v>0.0941</x:v>
      </x:c>
      <x:c r="J1972" t="str">
        <x:v>Medium</x:v>
      </x:c>
      <x:c r="K1972" t="n">
        <x:v>46.9</x:v>
      </x:c>
      <x:c r="L1972" t="n">
        <x:v>52.5</x:v>
      </x:c>
      <x:c r="M1972" t="n">
        <x:v>52.2</x:v>
      </x:c>
      <x:c r="N1972" t="str">
        <x:v>Most Likely</x:v>
      </x:c>
      <x:c r="O1972" t="str">
        <x:v>Most Likely</x:v>
      </x:c>
    </x:row>
    <x:row r="1973">
      <x:c r="A1973" t="str">
        <x:v>PJT_1972</x:v>
      </x:c>
      <x:c r="B1973" t="n">
        <x:v>53989620</x:v>
      </x:c>
      <x:c r="C1973" t="n">
        <x:v>57746737</x:v>
      </x:c>
      <x:c r="D1973" t="n">
        <x:v>3757117</x:v>
      </x:c>
      <x:c r="E1973" t="n">
        <x:v>0.0696</x:v>
      </x:c>
      <x:c r="F1973" t="n">
        <x:v>981</x:v>
      </x:c>
      <x:c r="G1973" t="n">
        <x:v>1065</x:v>
      </x:c>
      <x:c r="H1973" t="n">
        <x:v>84</x:v>
      </x:c>
      <x:c r="I1973" t="n">
        <x:v>0.0856</x:v>
      </x:c>
      <x:c r="J1973" t="str">
        <x:v>Medium</x:v>
      </x:c>
      <x:c r="K1973" t="n">
        <x:v>50.6</x:v>
      </x:c>
      <x:c r="L1973" t="n">
        <x:v>54.6</x:v>
      </x:c>
      <x:c r="M1973" t="n">
        <x:v>49.3</x:v>
      </x:c>
      <x:c r="N1973" t="str">
        <x:v>Most Likely</x:v>
      </x:c>
      <x:c r="O1973" t="str">
        <x:v>Most Likely</x:v>
      </x:c>
    </x:row>
    <x:row r="1974">
      <x:c r="A1974" t="str">
        <x:v>PJT_1973</x:v>
      </x:c>
      <x:c r="B1974" t="n">
        <x:v>15006400</x:v>
      </x:c>
      <x:c r="C1974" t="n">
        <x:v>13810565</x:v>
      </x:c>
      <x:c r="D1974" t="n">
        <x:v>-1195835</x:v>
      </x:c>
      <x:c r="E1974" t="n">
        <x:v>-0.0797</x:v>
      </x:c>
      <x:c r="F1974" t="n">
        <x:v>363</x:v>
      </x:c>
      <x:c r="G1974" t="n">
        <x:v>349</x:v>
      </x:c>
      <x:c r="H1974" t="n">
        <x:v>-14</x:v>
      </x:c>
      <x:c r="I1974" t="n">
        <x:v>-0.0386</x:v>
      </x:c>
      <x:c r="J1974" t="str">
        <x:v>Low</x:v>
      </x:c>
      <x:c r="K1974" t="n">
        <x:v>30</x:v>
      </x:c>
      <x:c r="L1974" t="n">
        <x:v>29</x:v>
      </x:c>
      <x:c r="M1974" t="n">
        <x:v>34.2</x:v>
      </x:c>
      <x:c r="N1974" t="str">
        <x:v>Optimistic</x:v>
      </x:c>
      <x:c r="O1974" t="str">
        <x:v>Optimistic</x:v>
      </x:c>
    </x:row>
    <x:row r="1975">
      <x:c r="A1975" t="str">
        <x:v>PJT_1974</x:v>
      </x:c>
      <x:c r="B1975" t="n">
        <x:v>47916700</x:v>
      </x:c>
      <x:c r="C1975" t="n">
        <x:v>50442892</x:v>
      </x:c>
      <x:c r="D1975" t="n">
        <x:v>2526192</x:v>
      </x:c>
      <x:c r="E1975" t="n">
        <x:v>0.0527</x:v>
      </x:c>
      <x:c r="F1975" t="n">
        <x:v>975</x:v>
      </x:c>
      <x:c r="G1975" t="n">
        <x:v>1029</x:v>
      </x:c>
      <x:c r="H1975" t="n">
        <x:v>54</x:v>
      </x:c>
      <x:c r="I1975" t="n">
        <x:v>0.0554</x:v>
      </x:c>
      <x:c r="J1975" t="str">
        <x:v>Medium</x:v>
      </x:c>
      <x:c r="K1975" t="n">
        <x:v>56.8</x:v>
      </x:c>
      <x:c r="L1975" t="n">
        <x:v>58.5</x:v>
      </x:c>
      <x:c r="M1975" t="n">
        <x:v>57.7</x:v>
      </x:c>
      <x:c r="N1975" t="str">
        <x:v>Most Likely</x:v>
      </x:c>
      <x:c r="O1975" t="str">
        <x:v>Most Likely</x:v>
      </x:c>
    </x:row>
    <x:row r="1976">
      <x:c r="A1976" t="str">
        <x:v>PJT_1975</x:v>
      </x:c>
      <x:c r="B1976" t="n">
        <x:v>18197600</x:v>
      </x:c>
      <x:c r="C1976" t="n">
        <x:v>18525730</x:v>
      </x:c>
      <x:c r="D1976" t="n">
        <x:v>328130</x:v>
      </x:c>
      <x:c r="E1976" t="n">
        <x:v>0.018</x:v>
      </x:c>
      <x:c r="F1976" t="n">
        <x:v>370</x:v>
      </x:c>
      <x:c r="G1976" t="n">
        <x:v>341</x:v>
      </x:c>
      <x:c r="H1976" t="n">
        <x:v>-29</x:v>
      </x:c>
      <x:c r="I1976" t="n">
        <x:v>-0.0784</x:v>
      </x:c>
      <x:c r="J1976" t="str">
        <x:v>Low</x:v>
      </x:c>
      <x:c r="K1976" t="n">
        <x:v>39.4</x:v>
      </x:c>
      <x:c r="L1976" t="n">
        <x:v>41.2</x:v>
      </x:c>
      <x:c r="M1976" t="n">
        <x:v>34.6</x:v>
      </x:c>
      <x:c r="N1976" t="str">
        <x:v>Most Likely</x:v>
      </x:c>
      <x:c r="O1976" t="str">
        <x:v>Optimistic</x:v>
      </x:c>
    </x:row>
    <x:row r="1977">
      <x:c r="A1977" t="str">
        <x:v>PJT_1976</x:v>
      </x:c>
      <x:c r="B1977" t="n">
        <x:v>94986400</x:v>
      </x:c>
      <x:c r="C1977" t="n">
        <x:v>96436985</x:v>
      </x:c>
      <x:c r="D1977" t="n">
        <x:v>1450585</x:v>
      </x:c>
      <x:c r="E1977" t="n">
        <x:v>0.0153</x:v>
      </x:c>
      <x:c r="F1977" t="n">
        <x:v>1791</x:v>
      </x:c>
      <x:c r="G1977" t="n">
        <x:v>1890</x:v>
      </x:c>
      <x:c r="H1977" t="n">
        <x:v>99</x:v>
      </x:c>
      <x:c r="I1977" t="n">
        <x:v>0.0553</x:v>
      </x:c>
      <x:c r="J1977" t="str">
        <x:v>Medium</x:v>
      </x:c>
      <x:c r="K1977" t="n">
        <x:v>59.3</x:v>
      </x:c>
      <x:c r="L1977" t="n">
        <x:v>61.8</x:v>
      </x:c>
      <x:c r="M1977" t="n">
        <x:v>57</x:v>
      </x:c>
      <x:c r="N1977" t="str">
        <x:v>Most Likely</x:v>
      </x:c>
      <x:c r="O1977" t="str">
        <x:v>Most Likely</x:v>
      </x:c>
    </x:row>
    <x:row r="1978">
      <x:c r="A1978" t="str">
        <x:v>PJT_1977</x:v>
      </x:c>
      <x:c r="B1978" t="n">
        <x:v>65807280</x:v>
      </x:c>
      <x:c r="C1978" t="n">
        <x:v>70925830</x:v>
      </x:c>
      <x:c r="D1978" t="n">
        <x:v>5118550</x:v>
      </x:c>
      <x:c r="E1978" t="n">
        <x:v>0.0778</x:v>
      </x:c>
      <x:c r="F1978" t="n">
        <x:v>1372</x:v>
      </x:c>
      <x:c r="G1978" t="n">
        <x:v>1483</x:v>
      </x:c>
      <x:c r="H1978" t="n">
        <x:v>111</x:v>
      </x:c>
      <x:c r="I1978" t="n">
        <x:v>0.0809</x:v>
      </x:c>
      <x:c r="J1978" t="str">
        <x:v>Medium</x:v>
      </x:c>
      <x:c r="K1978" t="n">
        <x:v>51.8</x:v>
      </x:c>
      <x:c r="L1978" t="n">
        <x:v>54</x:v>
      </x:c>
      <x:c r="M1978" t="n">
        <x:v>55.8</x:v>
      </x:c>
      <x:c r="N1978" t="str">
        <x:v>Most Likely</x:v>
      </x:c>
      <x:c r="O1978" t="str">
        <x:v>Most Likely</x:v>
      </x:c>
    </x:row>
    <x:row r="1979">
      <x:c r="A1979" t="str">
        <x:v>PJT_1978</x:v>
      </x:c>
      <x:c r="B1979" t="n">
        <x:v>17204880</x:v>
      </x:c>
      <x:c r="C1979" t="n">
        <x:v>16149778</x:v>
      </x:c>
      <x:c r="D1979" t="n">
        <x:v>-1055102</x:v>
      </x:c>
      <x:c r="E1979" t="n">
        <x:v>-0.0613</x:v>
      </x:c>
      <x:c r="F1979" t="n">
        <x:v>321</x:v>
      </x:c>
      <x:c r="G1979" t="n">
        <x:v>345</x:v>
      </x:c>
      <x:c r="H1979" t="n">
        <x:v>24</x:v>
      </x:c>
      <x:c r="I1979" t="n">
        <x:v>0.0748</x:v>
      </x:c>
      <x:c r="J1979" t="str">
        <x:v>Low</x:v>
      </x:c>
      <x:c r="K1979" t="n">
        <x:v>41.8</x:v>
      </x:c>
      <x:c r="L1979" t="n">
        <x:v>34.4</x:v>
      </x:c>
      <x:c r="M1979" t="n">
        <x:v>42.2</x:v>
      </x:c>
      <x:c r="N1979" t="str">
        <x:v>Optimistic</x:v>
      </x:c>
      <x:c r="O1979" t="str">
        <x:v>Most Likely</x:v>
      </x:c>
    </x:row>
    <x:row r="1980">
      <x:c r="A1980" t="str">
        <x:v>PJT_1979</x:v>
      </x:c>
      <x:c r="B1980" t="n">
        <x:v>32906190</x:v>
      </x:c>
      <x:c r="C1980" t="n">
        <x:v>33957107</x:v>
      </x:c>
      <x:c r="D1980" t="n">
        <x:v>1050917</x:v>
      </x:c>
      <x:c r="E1980" t="n">
        <x:v>0.0319</x:v>
      </x:c>
      <x:c r="F1980" t="n">
        <x:v>526</x:v>
      </x:c>
      <x:c r="G1980" t="n">
        <x:v>546</x:v>
      </x:c>
      <x:c r="H1980" t="n">
        <x:v>20</x:v>
      </x:c>
      <x:c r="I1980" t="n">
        <x:v>0.038</x:v>
      </x:c>
      <x:c r="J1980" t="str">
        <x:v>Low</x:v>
      </x:c>
      <x:c r="K1980" t="n">
        <x:v>40.3</x:v>
      </x:c>
      <x:c r="L1980" t="n">
        <x:v>47</x:v>
      </x:c>
      <x:c r="M1980" t="n">
        <x:v>42.1</x:v>
      </x:c>
      <x:c r="N1980" t="str">
        <x:v>Most Likely</x:v>
      </x:c>
      <x:c r="O1980" t="str">
        <x:v>Most Likely</x:v>
      </x:c>
    </x:row>
    <x:row r="1981">
      <x:c r="A1981" t="str">
        <x:v>PJT_1980</x:v>
      </x:c>
      <x:c r="B1981" t="n">
        <x:v>72283200</x:v>
      </x:c>
      <x:c r="C1981" t="n">
        <x:v>78930773</x:v>
      </x:c>
      <x:c r="D1981" t="n">
        <x:v>6647573</x:v>
      </x:c>
      <x:c r="E1981" t="n">
        <x:v>0.092</x:v>
      </x:c>
      <x:c r="F1981" t="n">
        <x:v>1446</x:v>
      </x:c>
      <x:c r="G1981" t="n">
        <x:v>1488</x:v>
      </x:c>
      <x:c r="H1981" t="n">
        <x:v>42</x:v>
      </x:c>
      <x:c r="I1981" t="n">
        <x:v>0.029</x:v>
      </x:c>
      <x:c r="J1981" t="str">
        <x:v>Medium</x:v>
      </x:c>
      <x:c r="K1981" t="n">
        <x:v>57.8</x:v>
      </x:c>
      <x:c r="L1981" t="n">
        <x:v>56.4</x:v>
      </x:c>
      <x:c r="M1981" t="n">
        <x:v>54.8</x:v>
      </x:c>
      <x:c r="N1981" t="str">
        <x:v>Most Likely</x:v>
      </x:c>
      <x:c r="O1981" t="str">
        <x:v>Most Likely</x:v>
      </x:c>
    </x:row>
    <x:row r="1982">
      <x:c r="A1982" t="str">
        <x:v>PJT_1981</x:v>
      </x:c>
      <x:c r="B1982" t="n">
        <x:v>39501000</x:v>
      </x:c>
      <x:c r="C1982" t="n">
        <x:v>40684322</x:v>
      </x:c>
      <x:c r="D1982" t="n">
        <x:v>1183322</x:v>
      </x:c>
      <x:c r="E1982" t="n">
        <x:v>0.03</x:v>
      </x:c>
      <x:c r="F1982" t="n">
        <x:v>733</x:v>
      </x:c>
      <x:c r="G1982" t="n">
        <x:v>795</x:v>
      </x:c>
      <x:c r="H1982" t="n">
        <x:v>62</x:v>
      </x:c>
      <x:c r="I1982" t="n">
        <x:v>0.0846</x:v>
      </x:c>
      <x:c r="J1982" t="str">
        <x:v>Medium</x:v>
      </x:c>
      <x:c r="K1982" t="n">
        <x:v>48.4</x:v>
      </x:c>
      <x:c r="L1982" t="n">
        <x:v>58.7</x:v>
      </x:c>
      <x:c r="M1982" t="n">
        <x:v>46.2</x:v>
      </x:c>
      <x:c r="N1982" t="str">
        <x:v>Most Likely</x:v>
      </x:c>
      <x:c r="O1982" t="str">
        <x:v>Most Likely</x:v>
      </x:c>
    </x:row>
    <x:row r="1983">
      <x:c r="A1983" t="str">
        <x:v>PJT_1982</x:v>
      </x:c>
      <x:c r="B1983" t="n">
        <x:v>41507970</x:v>
      </x:c>
      <x:c r="C1983" t="n">
        <x:v>40424287</x:v>
      </x:c>
      <x:c r="D1983" t="n">
        <x:v>-1083683</x:v>
      </x:c>
      <x:c r="E1983" t="n">
        <x:v>-0.0261</x:v>
      </x:c>
      <x:c r="F1983" t="n">
        <x:v>766</x:v>
      </x:c>
      <x:c r="G1983" t="n">
        <x:v>763</x:v>
      </x:c>
      <x:c r="H1983" t="n">
        <x:v>-3</x:v>
      </x:c>
      <x:c r="I1983" t="n">
        <x:v>-0.0039</x:v>
      </x:c>
      <x:c r="J1983" t="str">
        <x:v>Low</x:v>
      </x:c>
      <x:c r="K1983" t="n">
        <x:v>37.9</x:v>
      </x:c>
      <x:c r="L1983" t="n">
        <x:v>34.7</x:v>
      </x:c>
      <x:c r="M1983" t="n">
        <x:v>32</x:v>
      </x:c>
      <x:c r="N1983" t="str">
        <x:v>Optimistic</x:v>
      </x:c>
      <x:c r="O1983" t="str">
        <x:v>Optimistic</x:v>
      </x:c>
    </x:row>
    <x:row r="1984">
      <x:c r="A1984" t="str">
        <x:v>PJT_1983</x:v>
      </x:c>
      <x:c r="B1984" t="n">
        <x:v>56034160</x:v>
      </x:c>
      <x:c r="C1984" t="n">
        <x:v>57856121</x:v>
      </x:c>
      <x:c r="D1984" t="n">
        <x:v>1821961</x:v>
      </x:c>
      <x:c r="E1984" t="n">
        <x:v>0.0325</x:v>
      </x:c>
      <x:c r="F1984" t="n">
        <x:v>1055</x:v>
      </x:c>
      <x:c r="G1984" t="n">
        <x:v>1071</x:v>
      </x:c>
      <x:c r="H1984" t="n">
        <x:v>16</x:v>
      </x:c>
      <x:c r="I1984" t="n">
        <x:v>0.0152</x:v>
      </x:c>
      <x:c r="J1984" t="str">
        <x:v>Medium</x:v>
      </x:c>
      <x:c r="K1984" t="n">
        <x:v>46</x:v>
      </x:c>
      <x:c r="L1984" t="n">
        <x:v>55.8</x:v>
      </x:c>
      <x:c r="M1984" t="n">
        <x:v>49.2</x:v>
      </x:c>
      <x:c r="N1984" t="str">
        <x:v>Most Likely</x:v>
      </x:c>
      <x:c r="O1984" t="str">
        <x:v>Most Likely</x:v>
      </x:c>
    </x:row>
    <x:row r="1985">
      <x:c r="A1985" t="str">
        <x:v>PJT_1984</x:v>
      </x:c>
      <x:c r="B1985" t="n">
        <x:v>42486960</x:v>
      </x:c>
      <x:c r="C1985" t="n">
        <x:v>47168836</x:v>
      </x:c>
      <x:c r="D1985" t="n">
        <x:v>4681876</x:v>
      </x:c>
      <x:c r="E1985" t="n">
        <x:v>0.1102</x:v>
      </x:c>
      <x:c r="F1985" t="n">
        <x:v>805</x:v>
      </x:c>
      <x:c r="G1985" t="n">
        <x:v>845</x:v>
      </x:c>
      <x:c r="H1985" t="n">
        <x:v>40</x:v>
      </x:c>
      <x:c r="I1985" t="n">
        <x:v>0.0497</x:v>
      </x:c>
      <x:c r="J1985" t="str">
        <x:v>Medium</x:v>
      </x:c>
      <x:c r="K1985" t="n">
        <x:v>50.4</x:v>
      </x:c>
      <x:c r="L1985" t="n">
        <x:v>51.6</x:v>
      </x:c>
      <x:c r="M1985" t="n">
        <x:v>47.7</x:v>
      </x:c>
      <x:c r="N1985" t="str">
        <x:v>Pessimistic</x:v>
      </x:c>
      <x:c r="O1985" t="str">
        <x:v>Most Likely</x:v>
      </x:c>
    </x:row>
    <x:row r="1986">
      <x:c r="A1986" t="str">
        <x:v>PJT_1985</x:v>
      </x:c>
      <x:c r="B1986" t="n">
        <x:v>51122270</x:v>
      </x:c>
      <x:c r="C1986" t="n">
        <x:v>54820958</x:v>
      </x:c>
      <x:c r="D1986" t="n">
        <x:v>3698688</x:v>
      </x:c>
      <x:c r="E1986" t="n">
        <x:v>0.0723</x:v>
      </x:c>
      <x:c r="F1986" t="n">
        <x:v>902</x:v>
      </x:c>
      <x:c r="G1986" t="n">
        <x:v>906</x:v>
      </x:c>
      <x:c r="H1986" t="n">
        <x:v>4</x:v>
      </x:c>
      <x:c r="I1986" t="n">
        <x:v>0.0044</x:v>
      </x:c>
      <x:c r="J1986" t="str">
        <x:v>Low</x:v>
      </x:c>
      <x:c r="K1986" t="n">
        <x:v>41.2</x:v>
      </x:c>
      <x:c r="L1986" t="n">
        <x:v>50.5</x:v>
      </x:c>
      <x:c r="M1986" t="n">
        <x:v>48.3</x:v>
      </x:c>
      <x:c r="N1986" t="str">
        <x:v>Most Likely</x:v>
      </x:c>
      <x:c r="O1986" t="str">
        <x:v>Most Likely</x:v>
      </x:c>
    </x:row>
    <x:row r="1987">
      <x:c r="A1987" t="str">
        <x:v>PJT_1986</x:v>
      </x:c>
      <x:c r="B1987" t="n">
        <x:v>22476960</x:v>
      </x:c>
      <x:c r="C1987" t="n">
        <x:v>22001161</x:v>
      </x:c>
      <x:c r="D1987" t="n">
        <x:v>-475799</x:v>
      </x:c>
      <x:c r="E1987" t="n">
        <x:v>-0.0212</x:v>
      </x:c>
      <x:c r="F1987" t="n">
        <x:v>565</x:v>
      </x:c>
      <x:c r="G1987" t="n">
        <x:v>535</x:v>
      </x:c>
      <x:c r="H1987" t="n">
        <x:v>-30</x:v>
      </x:c>
      <x:c r="I1987" t="n">
        <x:v>-0.0531</x:v>
      </x:c>
      <x:c r="J1987" t="str">
        <x:v>Low</x:v>
      </x:c>
      <x:c r="K1987" t="n">
        <x:v>37.8</x:v>
      </x:c>
      <x:c r="L1987" t="n">
        <x:v>36.6</x:v>
      </x:c>
      <x:c r="M1987" t="n">
        <x:v>41</x:v>
      </x:c>
      <x:c r="N1987" t="str">
        <x:v>Optimistic</x:v>
      </x:c>
      <x:c r="O1987" t="str">
        <x:v>Optimistic</x:v>
      </x:c>
    </x:row>
    <x:row r="1988">
      <x:c r="A1988" t="str">
        <x:v>PJT_1987</x:v>
      </x:c>
      <x:c r="B1988" t="n">
        <x:v>23793220</x:v>
      </x:c>
      <x:c r="C1988" t="n">
        <x:v>23944477</x:v>
      </x:c>
      <x:c r="D1988" t="n">
        <x:v>151257</x:v>
      </x:c>
      <x:c r="E1988" t="n">
        <x:v>0.0064</x:v>
      </x:c>
      <x:c r="F1988" t="n">
        <x:v>490</x:v>
      </x:c>
      <x:c r="G1988" t="n">
        <x:v>458</x:v>
      </x:c>
      <x:c r="H1988" t="n">
        <x:v>-32</x:v>
      </x:c>
      <x:c r="I1988" t="n">
        <x:v>-0.0653</x:v>
      </x:c>
      <x:c r="J1988" t="str">
        <x:v>Low</x:v>
      </x:c>
      <x:c r="K1988" t="n">
        <x:v>38.4</x:v>
      </x:c>
      <x:c r="L1988" t="n">
        <x:v>43.1</x:v>
      </x:c>
      <x:c r="M1988" t="n">
        <x:v>36.9</x:v>
      </x:c>
      <x:c r="N1988" t="str">
        <x:v>Most Likely</x:v>
      </x:c>
      <x:c r="O1988" t="str">
        <x:v>Optimistic</x:v>
      </x:c>
    </x:row>
    <x:row r="1989">
      <x:c r="A1989" t="str">
        <x:v>PJT_1988</x:v>
      </x:c>
      <x:c r="B1989" t="n">
        <x:v>105382590</x:v>
      </x:c>
      <x:c r="C1989" t="n">
        <x:v>107530753</x:v>
      </x:c>
      <x:c r="D1989" t="n">
        <x:v>2148163</x:v>
      </x:c>
      <x:c r="E1989" t="n">
        <x:v>0.0204</x:v>
      </x:c>
      <x:c r="F1989" t="n">
        <x:v>2038</x:v>
      </x:c>
      <x:c r="G1989" t="n">
        <x:v>2337</x:v>
      </x:c>
      <x:c r="H1989" t="n">
        <x:v>299</x:v>
      </x:c>
      <x:c r="I1989" t="n">
        <x:v>0.1467</x:v>
      </x:c>
      <x:c r="J1989" t="str">
        <x:v>Medium</x:v>
      </x:c>
      <x:c r="K1989" t="n">
        <x:v>66.2</x:v>
      </x:c>
      <x:c r="L1989" t="n">
        <x:v>66.2</x:v>
      </x:c>
      <x:c r="M1989" t="n">
        <x:v>64</x:v>
      </x:c>
      <x:c r="N1989" t="str">
        <x:v>Most Likely</x:v>
      </x:c>
      <x:c r="O1989" t="str">
        <x:v>Pessimistic</x:v>
      </x:c>
    </x:row>
    <x:row r="1990">
      <x:c r="A1990" t="str">
        <x:v>PJT_1989</x:v>
      </x:c>
      <x:c r="B1990" t="n">
        <x:v>83111040</x:v>
      </x:c>
      <x:c r="C1990" t="n">
        <x:v>95731335</x:v>
      </x:c>
      <x:c r="D1990" t="n">
        <x:v>12620295</x:v>
      </x:c>
      <x:c r="E1990" t="n">
        <x:v>0.1518</x:v>
      </x:c>
      <x:c r="F1990" t="n">
        <x:v>1603</x:v>
      </x:c>
      <x:c r="G1990" t="n">
        <x:v>1970</x:v>
      </x:c>
      <x:c r="H1990" t="n">
        <x:v>367</x:v>
      </x:c>
      <x:c r="I1990" t="n">
        <x:v>0.2289</x:v>
      </x:c>
      <x:c r="J1990" t="str">
        <x:v>High</x:v>
      </x:c>
      <x:c r="K1990" t="n">
        <x:v>74.6</x:v>
      </x:c>
      <x:c r="L1990" t="n">
        <x:v>67.6</x:v>
      </x:c>
      <x:c r="M1990" t="n">
        <x:v>72.2</x:v>
      </x:c>
      <x:c r="N1990" t="str">
        <x:v>Pessimistic</x:v>
      </x:c>
      <x:c r="O1990" t="str">
        <x:v>Pessimistic</x:v>
      </x:c>
    </x:row>
    <x:row r="1991">
      <x:c r="A1991" t="str">
        <x:v>PJT_1990</x:v>
      </x:c>
      <x:c r="B1991" t="n">
        <x:v>8685180</x:v>
      </x:c>
      <x:c r="C1991" t="n">
        <x:v>8589874</x:v>
      </x:c>
      <x:c r="D1991" t="n">
        <x:v>-95306</x:v>
      </x:c>
      <x:c r="E1991" t="n">
        <x:v>-0.011</x:v>
      </x:c>
      <x:c r="F1991" t="n">
        <x:v>196</x:v>
      </x:c>
      <x:c r="G1991" t="n">
        <x:v>198</x:v>
      </x:c>
      <x:c r="H1991" t="n">
        <x:v>2</x:v>
      </x:c>
      <x:c r="I1991" t="n">
        <x:v>0.0102</x:v>
      </x:c>
      <x:c r="J1991" t="str">
        <x:v>Low</x:v>
      </x:c>
      <x:c r="K1991" t="n">
        <x:v>26.9</x:v>
      </x:c>
      <x:c r="L1991" t="n">
        <x:v>24.1</x:v>
      </x:c>
      <x:c r="M1991" t="n">
        <x:v>22</x:v>
      </x:c>
      <x:c r="N1991" t="str">
        <x:v>Optimistic</x:v>
      </x:c>
      <x:c r="O1991" t="str">
        <x:v>Most Likely</x:v>
      </x:c>
    </x:row>
    <x:row r="1992">
      <x:c r="A1992" t="str">
        <x:v>PJT_1991</x:v>
      </x:c>
      <x:c r="B1992" t="n">
        <x:v>30739500</x:v>
      </x:c>
      <x:c r="C1992" t="n">
        <x:v>32804906</x:v>
      </x:c>
      <x:c r="D1992" t="n">
        <x:v>2065406</x:v>
      </x:c>
      <x:c r="E1992" t="n">
        <x:v>0.0672</x:v>
      </x:c>
      <x:c r="F1992" t="n">
        <x:v>597</x:v>
      </x:c>
      <x:c r="G1992" t="n">
        <x:v>638</x:v>
      </x:c>
      <x:c r="H1992" t="n">
        <x:v>41</x:v>
      </x:c>
      <x:c r="I1992" t="n">
        <x:v>0.0687</x:v>
      </x:c>
      <x:c r="J1992" t="str">
        <x:v>Medium</x:v>
      </x:c>
      <x:c r="K1992" t="n">
        <x:v>54.3</x:v>
      </x:c>
      <x:c r="L1992" t="n">
        <x:v>52.2</x:v>
      </x:c>
      <x:c r="M1992" t="n">
        <x:v>57.1</x:v>
      </x:c>
      <x:c r="N1992" t="str">
        <x:v>Most Likely</x:v>
      </x:c>
      <x:c r="O1992" t="str">
        <x:v>Most Likely</x:v>
      </x:c>
    </x:row>
    <x:row r="1993">
      <x:c r="A1993" t="str">
        <x:v>PJT_1992</x:v>
      </x:c>
      <x:c r="B1993" t="n">
        <x:v>17263000</x:v>
      </x:c>
      <x:c r="C1993" t="n">
        <x:v>17891500</x:v>
      </x:c>
      <x:c r="D1993" t="n">
        <x:v>628500</x:v>
      </x:c>
      <x:c r="E1993" t="n">
        <x:v>0.0364</x:v>
      </x:c>
      <x:c r="F1993" t="n">
        <x:v>424</x:v>
      </x:c>
      <x:c r="G1993" t="n">
        <x:v>427</x:v>
      </x:c>
      <x:c r="H1993" t="n">
        <x:v>3</x:v>
      </x:c>
      <x:c r="I1993" t="n">
        <x:v>0.0071</x:v>
      </x:c>
      <x:c r="J1993" t="str">
        <x:v>Low</x:v>
      </x:c>
      <x:c r="K1993" t="n">
        <x:v>41.3</x:v>
      </x:c>
      <x:c r="L1993" t="n">
        <x:v>45</x:v>
      </x:c>
      <x:c r="M1993" t="n">
        <x:v>44.2</x:v>
      </x:c>
      <x:c r="N1993" t="str">
        <x:v>Most Likely</x:v>
      </x:c>
      <x:c r="O1993" t="str">
        <x:v>Most Likely</x:v>
      </x:c>
    </x:row>
    <x:row r="1994">
      <x:c r="A1994" t="str">
        <x:v>PJT_1993</x:v>
      </x:c>
      <x:c r="B1994" t="n">
        <x:v>8241450</x:v>
      </x:c>
      <x:c r="C1994" t="n">
        <x:v>8506126</x:v>
      </x:c>
      <x:c r="D1994" t="n">
        <x:v>264676</x:v>
      </x:c>
      <x:c r="E1994" t="n">
        <x:v>0.0321</x:v>
      </x:c>
      <x:c r="F1994" t="n">
        <x:v>180</x:v>
      </x:c>
      <x:c r="G1994" t="n">
        <x:v>182</x:v>
      </x:c>
      <x:c r="H1994" t="n">
        <x:v>2</x:v>
      </x:c>
      <x:c r="I1994" t="n">
        <x:v>0.0111</x:v>
      </x:c>
      <x:c r="J1994" t="str">
        <x:v>Low</x:v>
      </x:c>
      <x:c r="K1994" t="n">
        <x:v>37.7</x:v>
      </x:c>
      <x:c r="L1994" t="n">
        <x:v>35.6</x:v>
      </x:c>
      <x:c r="M1994" t="n">
        <x:v>37.8</x:v>
      </x:c>
      <x:c r="N1994" t="str">
        <x:v>Most Likely</x:v>
      </x:c>
      <x:c r="O1994" t="str">
        <x:v>Most Likely</x:v>
      </x:c>
    </x:row>
    <x:row r="1995">
      <x:c r="A1995" t="str">
        <x:v>PJT_1994</x:v>
      </x:c>
      <x:c r="B1995" t="n">
        <x:v>79298000</x:v>
      </x:c>
      <x:c r="C1995" t="n">
        <x:v>77512480</x:v>
      </x:c>
      <x:c r="D1995" t="n">
        <x:v>-1785520</x:v>
      </x:c>
      <x:c r="E1995" t="n">
        <x:v>-0.0225</x:v>
      </x:c>
      <x:c r="F1995" t="n">
        <x:v>1225</x:v>
      </x:c>
      <x:c r="G1995" t="n">
        <x:v>1326</x:v>
      </x:c>
      <x:c r="H1995" t="n">
        <x:v>101</x:v>
      </x:c>
      <x:c r="I1995" t="n">
        <x:v>0.0824</x:v>
      </x:c>
      <x:c r="J1995" t="str">
        <x:v>Medium</x:v>
      </x:c>
      <x:c r="K1995" t="n">
        <x:v>50.6</x:v>
      </x:c>
      <x:c r="L1995" t="n">
        <x:v>49.6</x:v>
      </x:c>
      <x:c r="M1995" t="n">
        <x:v>54.6</x:v>
      </x:c>
      <x:c r="N1995" t="str">
        <x:v>Optimistic</x:v>
      </x:c>
      <x:c r="O1995" t="str">
        <x:v>Most Likely</x:v>
      </x:c>
    </x:row>
    <x:row r="1996">
      <x:c r="A1996" t="str">
        <x:v>PJT_1995</x:v>
      </x:c>
      <x:c r="B1996" t="n">
        <x:v>88738160</x:v>
      </x:c>
      <x:c r="C1996" t="n">
        <x:v>111810082</x:v>
      </x:c>
      <x:c r="D1996" t="n">
        <x:v>23071922</x:v>
      </x:c>
      <x:c r="E1996" t="n">
        <x:v>0.26</x:v>
      </x:c>
      <x:c r="F1996" t="n">
        <x:v>1739</x:v>
      </x:c>
      <x:c r="G1996" t="n">
        <x:v>2029</x:v>
      </x:c>
      <x:c r="H1996" t="n">
        <x:v>290</x:v>
      </x:c>
      <x:c r="I1996" t="n">
        <x:v>0.1668</x:v>
      </x:c>
      <x:c r="J1996" t="str">
        <x:v>High</x:v>
      </x:c>
      <x:c r="K1996" t="n">
        <x:v>72.6</x:v>
      </x:c>
      <x:c r="L1996" t="n">
        <x:v>72.5</x:v>
      </x:c>
      <x:c r="M1996" t="n">
        <x:v>71.6</x:v>
      </x:c>
      <x:c r="N1996" t="str">
        <x:v>Pessimistic</x:v>
      </x:c>
      <x:c r="O1996" t="str">
        <x:v>Pessimistic</x:v>
      </x:c>
    </x:row>
    <x:row r="1997">
      <x:c r="A1997" t="str">
        <x:v>PJT_1996</x:v>
      </x:c>
      <x:c r="B1997" t="n">
        <x:v>39500430</x:v>
      </x:c>
      <x:c r="C1997" t="n">
        <x:v>39760256</x:v>
      </x:c>
      <x:c r="D1997" t="n">
        <x:v>259826</x:v>
      </x:c>
      <x:c r="E1997" t="n">
        <x:v>0.0066</x:v>
      </x:c>
      <x:c r="F1997" t="n">
        <x:v>694</x:v>
      </x:c>
      <x:c r="G1997" t="n">
        <x:v>713</x:v>
      </x:c>
      <x:c r="H1997" t="n">
        <x:v>19</x:v>
      </x:c>
      <x:c r="I1997" t="n">
        <x:v>0.0274</x:v>
      </x:c>
      <x:c r="J1997" t="str">
        <x:v>Medium</x:v>
      </x:c>
      <x:c r="K1997" t="n">
        <x:v>48</x:v>
      </x:c>
      <x:c r="L1997" t="n">
        <x:v>45.3</x:v>
      </x:c>
      <x:c r="M1997" t="n">
        <x:v>47</x:v>
      </x:c>
      <x:c r="N1997" t="str">
        <x:v>Most Likely</x:v>
      </x:c>
      <x:c r="O1997" t="str">
        <x:v>Most Likely</x:v>
      </x:c>
    </x:row>
    <x:row r="1998">
      <x:c r="A1998" t="str">
        <x:v>PJT_1997</x:v>
      </x:c>
      <x:c r="B1998" t="n">
        <x:v>12403300</x:v>
      </x:c>
      <x:c r="C1998" t="n">
        <x:v>11989609</x:v>
      </x:c>
      <x:c r="D1998" t="n">
        <x:v>-413691</x:v>
      </x:c>
      <x:c r="E1998" t="n">
        <x:v>-0.0334</x:v>
      </x:c>
      <x:c r="F1998" t="n">
        <x:v>340</x:v>
      </x:c>
      <x:c r="G1998" t="n">
        <x:v>352</x:v>
      </x:c>
      <x:c r="H1998" t="n">
        <x:v>12</x:v>
      </x:c>
      <x:c r="I1998" t="n">
        <x:v>0.0353</x:v>
      </x:c>
      <x:c r="J1998" t="str">
        <x:v>Low</x:v>
      </x:c>
      <x:c r="K1998" t="n">
        <x:v>24</x:v>
      </x:c>
      <x:c r="L1998" t="n">
        <x:v>26.7</x:v>
      </x:c>
      <x:c r="M1998" t="n">
        <x:v>22.1</x:v>
      </x:c>
      <x:c r="N1998" t="str">
        <x:v>Optimistic</x:v>
      </x:c>
      <x:c r="O1998" t="str">
        <x:v>Most Likely</x:v>
      </x:c>
    </x:row>
    <x:row r="1999">
      <x:c r="A1999" t="str">
        <x:v>PJT_1998</x:v>
      </x:c>
      <x:c r="B1999" t="n">
        <x:v>13094970</x:v>
      </x:c>
      <x:c r="C1999" t="n">
        <x:v>12375705</x:v>
      </x:c>
      <x:c r="D1999" t="n">
        <x:v>-719265</x:v>
      </x:c>
      <x:c r="E1999" t="n">
        <x:v>-0.0549</x:v>
      </x:c>
      <x:c r="F1999" t="n">
        <x:v>323</x:v>
      </x:c>
      <x:c r="G1999" t="n">
        <x:v>309</x:v>
      </x:c>
      <x:c r="H1999" t="n">
        <x:v>-14</x:v>
      </x:c>
      <x:c r="I1999" t="n">
        <x:v>-0.0433</x:v>
      </x:c>
      <x:c r="J1999" t="str">
        <x:v>Low</x:v>
      </x:c>
      <x:c r="K1999" t="n">
        <x:v>44.4</x:v>
      </x:c>
      <x:c r="L1999" t="n">
        <x:v>35.9</x:v>
      </x:c>
      <x:c r="M1999" t="n">
        <x:v>43.3</x:v>
      </x:c>
      <x:c r="N1999" t="str">
        <x:v>Optimistic</x:v>
      </x:c>
      <x:c r="O1999" t="str">
        <x:v>Optimistic</x:v>
      </x:c>
    </x:row>
    <x:row r="2000">
      <x:c r="A2000" t="str">
        <x:v>PJT_1999</x:v>
      </x:c>
      <x:c r="B2000" t="n">
        <x:v>23474880</x:v>
      </x:c>
      <x:c r="C2000" t="n">
        <x:v>22891803</x:v>
      </x:c>
      <x:c r="D2000" t="n">
        <x:v>-583077</x:v>
      </x:c>
      <x:c r="E2000" t="n">
        <x:v>-0.0248</x:v>
      </x:c>
      <x:c r="F2000" t="n">
        <x:v>394</x:v>
      </x:c>
      <x:c r="G2000" t="n">
        <x:v>400</x:v>
      </x:c>
      <x:c r="H2000" t="n">
        <x:v>6</x:v>
      </x:c>
      <x:c r="I2000" t="n">
        <x:v>0.0152</x:v>
      </x:c>
      <x:c r="J2000" t="str">
        <x:v>Low</x:v>
      </x:c>
      <x:c r="K2000" t="n">
        <x:v>34.6</x:v>
      </x:c>
      <x:c r="L2000" t="n">
        <x:v>30.7</x:v>
      </x:c>
      <x:c r="M2000" t="n">
        <x:v>30.4</x:v>
      </x:c>
      <x:c r="N2000" t="str">
        <x:v>Optimistic</x:v>
      </x:c>
      <x:c r="O2000" t="str">
        <x:v>Most Likely</x:v>
      </x:c>
    </x:row>
    <x:row r="2001">
      <x:c r="A2001" t="str">
        <x:v>PJT_2000</x:v>
      </x:c>
      <x:c r="B2001" t="n">
        <x:v>80687250</x:v>
      </x:c>
      <x:c r="C2001" t="n">
        <x:v>87065743</x:v>
      </x:c>
      <x:c r="D2001" t="n">
        <x:v>6378493</x:v>
      </x:c>
      <x:c r="E2001" t="n">
        <x:v>0.0791</x:v>
      </x:c>
      <x:c r="F2001" t="n">
        <x:v>1457</x:v>
      </x:c>
      <x:c r="G2001" t="n">
        <x:v>1514</x:v>
      </x:c>
      <x:c r="H2001" t="n">
        <x:v>57</x:v>
      </x:c>
      <x:c r="I2001" t="n">
        <x:v>0.0391</x:v>
      </x:c>
      <x:c r="J2001" t="str">
        <x:v>Medium</x:v>
      </x:c>
      <x:c r="K2001" t="n">
        <x:v>50.1</x:v>
      </x:c>
      <x:c r="L2001" t="n">
        <x:v>51.7</x:v>
      </x:c>
      <x:c r="M2001" t="n">
        <x:v>48.6</x:v>
      </x:c>
      <x:c r="N2001" t="str">
        <x:v>Most Likely</x:v>
      </x:c>
      <x:c r="O2001" t="str">
        <x:v>Most Likely</x:v>
      </x:c>
    </x:row>
  </x:sheetData>
  <x:conditionalFormatting sqref="J2:J191">
    <x:cfRule type="expression" dxfId="2" priority="1">
      <x:formula>J2="High"</x:formula>
    </x:cfRule>
    <x:cfRule type="expression" dxfId="1" priority="2">
      <x:formula>J2="Medium"</x:formula>
    </x:cfRule>
    <x:cfRule type="expression" dxfId="0" priority="3">
      <x:formula>J2="Low"</x:formula>
    </x:cfRule>
  </x:conditionalFormatting>
  <x:conditionalFormatting sqref="K2:M191">
    <x:cfRule type="colorScale" priority="4">
      <x:colorScale>
        <x:cfvo type="min"/>
        <x:cfvo type="percentile" val="50"/>
        <x:cfvo type="max"/>
        <x:color rgb="FFE2F0D9"/>
        <x:color rgb="FFFFF2CC"/>
        <x:color rgb="FFFDE9E7"/>
      </x:colorScale>
    </x:cfRule>
  </x:conditionalFormatting>
  <x:conditionalFormatting sqref="N2:O191">
    <x:cfRule type="expression" dxfId="3" priority="5">
      <x:formula>N2="Optimistic"</x:formula>
    </x:cfRule>
    <x:cfRule type="expression" dxfId="4" priority="6">
      <x:formula>N2="Most Likely"</x:formula>
    </x:cfRule>
    <x:cfRule type="expression" dxfId="5" priority="7">
      <x:formula>N2="Pessimistic"</x:formula>
    </x:cfRule>
    <x:cfRule type="expression" dxfId="6" priority="8">
      <x:formula>O2="Optimistic"</x:formula>
    </x:cfRule>
    <x:cfRule type="expression" dxfId="7" priority="9">
      <x:formula>O2="Most Likely"</x:formula>
    </x:cfRule>
    <x:cfRule type="expression" dxfId="8" priority="10">
      <x:formula>O2="Pessimistic"</x:formula>
    </x:cfRule>
  </x:conditionalFormatting>
  <x:pageMargins left="0.7" right="0.7" top="0.75" bottom="0.75" header="0.3" footer="0.3"/>
  <x:tableParts count="1">
    <x:tablePart xmlns:r="http://schemas.openxmlformats.org/officeDocument/2006/relationships" r:id="R6a569952299a4d71"/>
  </x:tableParts>
</x:worksheet>
</file>

<file path=xl/worksheets/sheet4.xml><?xml version="1.0" encoding="utf-8"?>
<x:worksheet xmlns:x="http://schemas.openxmlformats.org/spreadsheetml/2006/main">
  <x:sheetFormatPr defaultRowHeight="13.800000190734863"/>
  <x:cols>
    <x:col min="1" max="1" width="14" customWidth="1"/>
    <x:col min="2" max="7" width="28" customWidth="1"/>
    <x:col min="8" max="8" width="50" customWidth="1"/>
  </x:cols>
  <x:sheetData>
    <x:row r="1" ht="27.299999237060547" customHeight="1">
      <x:c r="A1" s="4" t="str">
        <x:v>Project_ID</x:v>
      </x:c>
      <x:c r="B1" s="4" t="str">
        <x:v>Cost_Overrun_Primary_Cause</x:v>
      </x:c>
      <x:c r="C1" s="4" t="str">
        <x:v>Cost_Overrun_Secondary_Cause</x:v>
      </x:c>
      <x:c r="D1" s="4" t="str">
        <x:v>Cost_Overrun_Top_Drivers</x:v>
      </x:c>
      <x:c r="E1" s="4" t="str">
        <x:v>Schedule_Delay_Primary_Cause</x:v>
      </x:c>
      <x:c r="F1" s="4" t="str">
        <x:v>Schedule_Delay_Secondary_Cause</x:v>
      </x:c>
      <x:c r="G1" s="4" t="str">
        <x:v>Schedule_Delay_Top_Drivers</x:v>
      </x:c>
      <x:c r="H1" s="4" t="str">
        <x:v>Result_Reason_Summary</x:v>
      </x:c>
    </x:row>
    <x:row r="2" ht="82.05000305175781" customHeight="1">
      <x:c r="A2" s="3" t="str">
        <x:v>PJT_1</x:v>
      </x:c>
      <x:c r="B2" s="3" t="str">
        <x:v>Resource inefficiency (materials/labor/energy)</x:v>
      </x:c>
      <x:c r="C2" s="3" t="str">
        <x:v>Planning &amp; estimation / coordination complexity</x:v>
      </x:c>
      <x:c r="D2" s="3" t="str">
        <x:v>Resource inefficiency (materials/labor/energy), Planning &amp; estimation / coordination complexity, Equipment constraints / low availability</x:v>
      </x:c>
      <x:c r="E2" s="3" t="str">
        <x:v>Resource inefficiency (materials/labor/energy)</x:v>
      </x:c>
      <x:c r="F2" s="3" t="str">
        <x:v>Equipment constraints / low availability</x:v>
      </x:c>
      <x:c r="G2" s="3" t="str">
        <x:v>Resource inefficiency (materials/labor/energy), Equipment constraints / low availability, Planning &amp; estimation / coordination complexity</x:v>
      </x:c>
      <x:c r="H2" s="3" t="str">
        <x:v>Cost overrun mainly linked to resource inefficiency (materials/labor/energy); schedule overrun mainly linked to resource inefficiency (materials/labor/energy).</x:v>
      </x:c>
    </x:row>
    <x:row r="3" ht="82.05000305175781" customHeight="1">
      <x:c r="A3" s="3" t="str">
        <x:v>PJT_2</x:v>
      </x:c>
      <x:c r="B3" s="3" t="str">
        <x:v>Planning &amp; estimation / coordination complexity</x:v>
      </x:c>
      <x:c r="C3" s="3" t="str">
        <x:v>Resource inefficiency (materials/labor/energy)</x:v>
      </x:c>
      <x:c r="D3" s="3" t="str">
        <x:v>Planning &amp; estimation / coordination complexity, Resource inefficiency (materials/labor/energy), Equipment constraints / low availability</x:v>
      </x:c>
      <x:c r="E3" s="3" t="str">
        <x:v>Resource inefficiency (materials/labor/energy)</x:v>
      </x:c>
      <x:c r="F3" s="3" t="str">
        <x:v>Equipment constraints / low availability</x:v>
      </x:c>
      <x:c r="G3" s="3" t="str">
        <x:v>Resource inefficiency (materials/labor/energy), Equipment constraints / low availability, Planning &amp; estimation / coordination complexity</x:v>
      </x:c>
      <x:c r="H3" s="3" t="str">
        <x:v>Cost overrun mainly linked to planning &amp; estimation / coordination complexity; schedule overrun mainly linked to resource inefficiency (materials/labor/energy).</x:v>
      </x:c>
    </x:row>
    <x:row r="4" ht="82.05000305175781" customHeight="1">
      <x:c r="A4" s="3" t="str">
        <x:v>PJT_3</x:v>
      </x:c>
      <x:c r="B4" s="3" t="str">
        <x:v>Resource inefficiency (materials/labor/energy)</x:v>
      </x:c>
      <x:c r="C4" s="3" t="str">
        <x:v>Planning &amp; estimation / coordination complexity</x:v>
      </x:c>
      <x:c r="D4" s="3" t="str">
        <x:v>Resource inefficiency (materials/labor/energy), Planning &amp; estimation / coordination complexity, Material supply / logistics &amp; market disruption</x:v>
      </x:c>
      <x:c r="E4" s="3" t="str">
        <x:v>Resource inefficiency (materials/labor/energy)</x:v>
      </x:c>
      <x:c r="F4" s="3" t="str">
        <x:v>Equipment constraints / low availability</x:v>
      </x:c>
      <x:c r="G4" s="3" t="str">
        <x:v>Resource inefficiency (materials/labor/energy), Equipment constraints / low availability, Planning &amp; estimation / coordination complexity</x:v>
      </x:c>
      <x:c r="H4" s="3" t="str">
        <x:v>Cost overrun mainly linked to resource inefficiency (materials/labor/energy); schedule overrun mainly linked to resource inefficiency (materials/labor/energy).</x:v>
      </x:c>
    </x:row>
    <x:row r="5" ht="82.05000305175781" customHeight="1">
      <x:c r="A5" s="3" t="str">
        <x:v>PJT_4</x:v>
      </x:c>
      <x:c r="B5" s="3" t="str">
        <x:v>Planning &amp; estimation / coordination complexity</x:v>
      </x:c>
      <x:c r="C5" s="3" t="str">
        <x:v>Equipment constraints / low availability</x:v>
      </x:c>
      <x:c r="D5" s="3" t="str">
        <x:v>Planning &amp; estimation / coordination complexity, Equipment constraints / low availability, Resource inefficiency (materials/labor/energy)</x:v>
      </x:c>
      <x:c r="E5" s="3" t="str">
        <x:v>Equipment constraints / low availability</x:v>
      </x:c>
      <x:c r="F5" s="3" t="str">
        <x:v>Resource inefficiency (materials/labor/energy)</x:v>
      </x:c>
      <x:c r="G5" s="3" t="str">
        <x:v>Equipment constraints / low availability, Resource inefficiency (materials/labor/energy), Planning &amp; estimation / coordination complexity</x:v>
      </x:c>
      <x:c r="H5" s="3" t="str">
        <x:v>Cost overrun mainly linked to planning &amp; estimation / coordination complexity; schedule overrun mainly linked to equipment constraints / low availability.</x:v>
      </x:c>
    </x:row>
    <x:row r="6" ht="95.69999694824219" customHeight="1">
      <x:c r="A6" s="3" t="str">
        <x:v>PJT_5</x:v>
      </x:c>
      <x:c r="B6" s="3" t="str">
        <x:v>Planning &amp; estimation / coordination complexity</x:v>
      </x:c>
      <x:c r="C6" s="3" t="str">
        <x:v>Unforeseen site/structural issues &amp; rework</x:v>
      </x:c>
      <x:c r="D6" s="3" t="str">
        <x:v>Planning &amp; estimation / coordination complexity, Unforeseen site/structural issues &amp; rework, Material supply / logistics &amp; market disruption</x:v>
      </x:c>
      <x:c r="E6" s="3" t="str">
        <x:v>Weather disruption / environmental constraints</x:v>
      </x:c>
      <x:c r="F6" s="3" t="str">
        <x:v>Planning &amp; estimation / coordination complexity</x:v>
      </x:c>
      <x:c r="G6" s="3" t="str">
        <x:v>Weather disruption / environmental constraints, Planning &amp; estimation / coordination complexity, Unforeseen site/structural issues &amp; rework</x:v>
      </x:c>
      <x:c r="H6" s="3" t="str">
        <x:v>Cost overrun mainly linked to planning &amp; estimation / coordination complexity; schedule overrun mainly linked to weather disruption / environmental constraints.</x:v>
      </x:c>
    </x:row>
    <x:row r="7" ht="95.69999694824219" customHeight="1">
      <x:c r="A7" s="3" t="str">
        <x:v>PJT_6</x:v>
      </x:c>
      <x:c r="B7" s="3" t="str">
        <x:v>Material supply / logistics &amp; market disruption</x:v>
      </x:c>
      <x:c r="C7" s="3" t="str">
        <x:v>Resource inefficiency (materials/labor/energy)</x:v>
      </x:c>
      <x:c r="D7" s="3" t="str">
        <x:v>Material supply / logistics &amp; market disruption, Resource inefficiency (materials/labor/energy), Unforeseen site/structural issues &amp; rework</x:v>
      </x:c>
      <x:c r="E7" s="3" t="str">
        <x:v>Resource inefficiency (materials/labor/energy)</x:v>
      </x:c>
      <x:c r="F7" s="3" t="str">
        <x:v>Equipment constraints / low availability</x:v>
      </x:c>
      <x:c r="G7" s="3" t="str">
        <x:v>Resource inefficiency (materials/labor/energy), Equipment constraints / low availability, Material supply / logistics &amp; market disruption</x:v>
      </x:c>
      <x:c r="H7" s="3" t="str">
        <x:v>Cost overrun mainly linked to material supply / logistics &amp; market disruption; schedule overrun mainly linked to resource inefficiency (materials/labor/energy).</x:v>
      </x:c>
    </x:row>
    <x:row r="8" ht="82.05000305175781" customHeight="1">
      <x:c r="A8" s="3" t="str">
        <x:v>PJT_7</x:v>
      </x:c>
      <x:c r="B8" s="3" t="str">
        <x:v>Resource inefficiency (materials/labor/energy)</x:v>
      </x:c>
      <x:c r="C8" s="3" t="str">
        <x:v>Equipment constraints / low availability</x:v>
      </x:c>
      <x:c r="D8" s="3" t="str">
        <x:v>Resource inefficiency (materials/labor/energy), Equipment constraints / low availability, Material supply / logistics &amp; market disruption</x:v>
      </x:c>
      <x:c r="E8" s="3" t="str">
        <x:v>Resource inefficiency (materials/labor/energy)</x:v>
      </x:c>
      <x:c r="F8" s="3" t="str">
        <x:v>Equipment constraints / low availability</x:v>
      </x:c>
      <x:c r="G8" s="3" t="str">
        <x:v>Resource inefficiency (materials/labor/energy), Equipment constraints / low availability, Planning &amp; estimation / coordination complexity</x:v>
      </x:c>
      <x:c r="H8" s="3" t="str">
        <x:v>Cost overrun mainly linked to resource inefficiency (materials/labor/energy); schedule overrun mainly linked to resource inefficiency (materials/labor/energy).</x:v>
      </x:c>
    </x:row>
    <x:row r="9" ht="82.05000305175781" customHeight="1">
      <x:c r="A9" s="3" t="str">
        <x:v>PJT_8</x:v>
      </x:c>
      <x:c r="B9" s="3" t="str">
        <x:v>Resource inefficiency (materials/labor/energy)</x:v>
      </x:c>
      <x:c r="C9" s="3" t="str">
        <x:v>Equipment constraints / low availability</x:v>
      </x:c>
      <x:c r="D9" s="3" t="str">
        <x:v>Resource inefficiency (materials/labor/energy), Equipment constraints / low availability, Material supply / logistics &amp; market disruption</x:v>
      </x:c>
      <x:c r="E9" s="3" t="str">
        <x:v>Resource inefficiency (materials/labor/energy)</x:v>
      </x:c>
      <x:c r="F9" s="3" t="str">
        <x:v>Equipment constraints / low availability</x:v>
      </x:c>
      <x:c r="G9" s="3" t="str">
        <x:v>Resource inefficiency (materials/labor/energy), Equipment constraints / low availability, Planning &amp; estimation / coordination complexity</x:v>
      </x:c>
      <x:c r="H9" s="3" t="str">
        <x:v>Cost overrun mainly linked to resource inefficiency (materials/labor/energy); schedule overrun mainly linked to resource inefficiency (materials/labor/energy).</x:v>
      </x:c>
    </x:row>
    <x:row r="10" ht="82.05000305175781" customHeight="1">
      <x:c r="A10" s="3" t="str">
        <x:v>PJT_9</x:v>
      </x:c>
      <x:c r="B10" s="3" t="str">
        <x:v>Planning &amp; estimation / coordination complexity</x:v>
      </x:c>
      <x:c r="C10" s="3" t="str">
        <x:v>Equipment constraints / low availability</x:v>
      </x:c>
      <x:c r="D10" s="3" t="str">
        <x:v>Planning &amp; estimation / coordination complexity, Equipment constraints / low availability, Resource inefficiency (materials/labor/energy)</x:v>
      </x:c>
      <x:c r="E10" s="3" t="str">
        <x:v>Equipment constraints / low availability</x:v>
      </x:c>
      <x:c r="F10" s="3" t="str">
        <x:v>Resource inefficiency (materials/labor/energy)</x:v>
      </x:c>
      <x:c r="G10" s="3" t="str">
        <x:v>Equipment constraints / low availability, Resource inefficiency (materials/labor/energy), Planning &amp; estimation / coordination complexity</x:v>
      </x:c>
      <x:c r="H10" s="3" t="str">
        <x:v>Cost overrun mainly linked to planning &amp; estimation / coordination complexity; schedule overrun mainly linked to equipment constraints / low availability.</x:v>
      </x:c>
    </x:row>
    <x:row r="11" ht="82.05000305175781" customHeight="1">
      <x:c r="A11" s="3" t="str">
        <x:v>PJT_10</x:v>
      </x:c>
      <x:c r="B11" s="3" t="str">
        <x:v>Planning &amp; estimation / coordination complexity</x:v>
      </x:c>
      <x:c r="C11" s="3" t="str">
        <x:v>Resource inefficiency (materials/labor/energy)</x:v>
      </x:c>
      <x:c r="D11" s="3" t="str">
        <x:v>Planning &amp; estimation / coordination complexity, Resource inefficiency (materials/labor/energy), Equipment constraints / low availability</x:v>
      </x:c>
      <x:c r="E11" s="3" t="str">
        <x:v>Resource inefficiency (materials/labor/energy)</x:v>
      </x:c>
      <x:c r="F11" s="3" t="str">
        <x:v>Equipment constraints / low availability</x:v>
      </x:c>
      <x:c r="G11" s="3" t="str">
        <x:v>Resource inefficiency (materials/labor/energy), Equipment constraints / low availability, Planning &amp; estimation / coordination complexity</x:v>
      </x:c>
      <x:c r="H11" s="3" t="str">
        <x:v>Cost overrun mainly linked to planning &amp; estimation / coordination complexity; schedule overrun mainly linked to resource inefficiency (materials/labor/energy).</x:v>
      </x:c>
    </x:row>
    <x:row r="12" ht="95.69999694824219" customHeight="1">
      <x:c r="A12" s="3" t="str">
        <x:v>PJT_11</x:v>
      </x:c>
      <x:c r="B12" s="3" t="str">
        <x:v>Material supply / logistics &amp; market disruption</x:v>
      </x:c>
      <x:c r="C12" s="3" t="str">
        <x:v>Resource inefficiency (materials/labor/energy)</x:v>
      </x:c>
      <x:c r="D12" s="3" t="str">
        <x:v>Material supply / logistics &amp; market disruption, Resource inefficiency (materials/labor/energy), Planning &amp; estimation / coordination complexity</x:v>
      </x:c>
      <x:c r="E12" s="3" t="str">
        <x:v>Resource inefficiency (materials/labor/energy)</x:v>
      </x:c>
      <x:c r="F12" s="3" t="str">
        <x:v>Material supply / logistics &amp; market disruption</x:v>
      </x:c>
      <x:c r="G12" s="3" t="str">
        <x:v>Resource inefficiency (materials/labor/energy), Material supply / logistics &amp; market disruption, Weather disruption / environmental constraints</x:v>
      </x:c>
      <x:c r="H12" s="3" t="str">
        <x:v>Cost overrun mainly linked to material supply / logistics &amp; market disruption; schedule overrun mainly linked to resource inefficiency (materials/labor/energy).</x:v>
      </x:c>
    </x:row>
    <x:row r="13" ht="109.3499984741211" customHeight="1">
      <x:c r="A13" s="3" t="str">
        <x:v>PJT_12</x:v>
      </x:c>
      <x:c r="B13" s="3" t="str">
        <x:v>Unforeseen site/structural issues &amp; rework</x:v>
      </x:c>
      <x:c r="C13" s="3" t="str">
        <x:v>Material supply / logistics &amp; market disruption</x:v>
      </x:c>
      <x:c r="D13" s="3" t="str">
        <x:v>Unforeseen site/structural issues &amp; rework, Material supply / logistics &amp; market disruption, Weather disruption / environmental constraints</x:v>
      </x:c>
      <x:c r="E13" s="3" t="str">
        <x:v>Weather disruption / environmental constraints</x:v>
      </x:c>
      <x:c r="F13" s="3" t="str">
        <x:v>Unforeseen site/structural issues &amp; rework</x:v>
      </x:c>
      <x:c r="G13" s="3" t="str">
        <x:v>Weather disruption / environmental constraints, Unforeseen site/structural issues &amp; rework, Material supply / logistics &amp; market disruption</x:v>
      </x:c>
      <x:c r="H13" s="3" t="str">
        <x:v>Cost overrun mainly linked to unforeseen site/structural issues &amp; rework; schedule overrun mainly linked to weather disruption / environmental constraints.</x:v>
      </x:c>
    </x:row>
    <x:row r="14" ht="82.05000305175781" customHeight="1">
      <x:c r="A14" s="3" t="str">
        <x:v>PJT_13</x:v>
      </x:c>
      <x:c r="B14" s="3" t="str">
        <x:v>Planning &amp; estimation / coordination complexity</x:v>
      </x:c>
      <x:c r="C14" s="3" t="str">
        <x:v>Material supply / logistics &amp; market disruption</x:v>
      </x:c>
      <x:c r="D14" s="3" t="str">
        <x:v>Planning &amp; estimation / coordination complexity, Material supply / logistics &amp; market disruption, Resource inefficiency (materials/labor/energy)</x:v>
      </x:c>
      <x:c r="E14" s="3" t="str">
        <x:v>Planning &amp; estimation / coordination complexity</x:v>
      </x:c>
      <x:c r="F14" s="3" t="str">
        <x:v>Resource inefficiency (materials/labor/energy)</x:v>
      </x:c>
      <x:c r="G14" s="3" t="str">
        <x:v>Planning &amp; estimation / coordination complexity, Resource inefficiency (materials/labor/energy), Safety incidents &amp; stop-work disruptions</x:v>
      </x:c>
      <x:c r="H14" s="3" t="str">
        <x:v>Cost overrun mainly linked to planning &amp; estimation / coordination complexity; schedule overrun mainly linked to planning &amp; estimation / coordination complexity.</x:v>
      </x:c>
    </x:row>
    <x:row r="15" ht="95.69999694824219" customHeight="1">
      <x:c r="A15" s="3" t="str">
        <x:v>PJT_14</x:v>
      </x:c>
      <x:c r="B15" s="3" t="str">
        <x:v>Unforeseen site/structural issues &amp; rework</x:v>
      </x:c>
      <x:c r="C15" s="3" t="str">
        <x:v>Planning &amp; estimation / coordination complexity</x:v>
      </x:c>
      <x:c r="D15" s="3" t="str">
        <x:v>Unforeseen site/structural issues &amp; rework, Planning &amp; estimation / coordination complexity, Safety incidents &amp; stop-work disruptions</x:v>
      </x:c>
      <x:c r="E15" s="3" t="str">
        <x:v>Unforeseen site/structural issues &amp; rework</x:v>
      </x:c>
      <x:c r="F15" s="3" t="str">
        <x:v>Safety incidents &amp; stop-work disruptions</x:v>
      </x:c>
      <x:c r="G15" s="3" t="str">
        <x:v>Unforeseen site/structural issues &amp; rework, Safety incidents &amp; stop-work disruptions, Planning &amp; estimation / coordination complexity</x:v>
      </x:c>
      <x:c r="H15" s="3" t="str">
        <x:v>Cost overrun mainly linked to unforeseen site/structural issues &amp; rework; schedule overrun mainly linked to unforeseen site/structural issues &amp; rework.</x:v>
      </x:c>
    </x:row>
    <x:row r="16" ht="95.69999694824219" customHeight="1">
      <x:c r="A16" s="3" t="str">
        <x:v>PJT_15</x:v>
      </x:c>
      <x:c r="B16" s="3" t="str">
        <x:v>Unforeseen site/structural issues &amp; rework</x:v>
      </x:c>
      <x:c r="C16" s="3" t="str">
        <x:v>Material supply / logistics &amp; market disruption</x:v>
      </x:c>
      <x:c r="D16" s="3" t="str">
        <x:v>Unforeseen site/structural issues &amp; rework, Material supply / logistics &amp; market disruption, Safety incidents &amp; stop-work disruptions</x:v>
      </x:c>
      <x:c r="E16" s="3" t="str">
        <x:v>Weather disruption / environmental constraints</x:v>
      </x:c>
      <x:c r="F16" s="3" t="str">
        <x:v>Unforeseen site/structural issues &amp; rework</x:v>
      </x:c>
      <x:c r="G16" s="3" t="str">
        <x:v>Weather disruption / environmental constraints, Unforeseen site/structural issues &amp; rework, Safety incidents &amp; stop-work disruptions</x:v>
      </x:c>
      <x:c r="H16" s="3" t="str">
        <x:v>Cost overrun mainly linked to unforeseen site/structural issues &amp; rework; schedule overrun mainly linked to weather disruption / environmental constraints.</x:v>
      </x:c>
    </x:row>
    <x:row r="17" ht="95.69999694824219" customHeight="1">
      <x:c r="A17" s="3" t="str">
        <x:v>PJT_16</x:v>
      </x:c>
      <x:c r="B17" s="3" t="str">
        <x:v>Unforeseen site/structural issues &amp; rework</x:v>
      </x:c>
      <x:c r="C17" s="3" t="str">
        <x:v>Material supply / logistics &amp; market disruption</x:v>
      </x:c>
      <x:c r="D17" s="3" t="str">
        <x:v>Unforeseen site/structural issues &amp; rework, Material supply / logistics &amp; market disruption, Equipment constraints / low availability</x:v>
      </x:c>
      <x:c r="E17" s="3" t="str">
        <x:v>Equipment constraints / low availability</x:v>
      </x:c>
      <x:c r="F17" s="3" t="str">
        <x:v>Resource inefficiency (materials/labor/energy)</x:v>
      </x:c>
      <x:c r="G17" s="3" t="str">
        <x:v>Equipment constraints / low availability, Resource inefficiency (materials/labor/energy), Unforeseen site/structural issues &amp; rework</x:v>
      </x:c>
      <x:c r="H17" s="3" t="str">
        <x:v>Cost overrun mainly linked to unforeseen site/structural issues &amp; rework; schedule overrun mainly linked to equipment constraints / low availability.</x:v>
      </x:c>
    </x:row>
    <x:row r="18" ht="95.69999694824219" customHeight="1">
      <x:c r="A18" s="3" t="str">
        <x:v>PJT_17</x:v>
      </x:c>
      <x:c r="B18" s="3" t="str">
        <x:v>Unforeseen site/structural issues &amp; rework</x:v>
      </x:c>
      <x:c r="C18" s="3" t="str">
        <x:v>Equipment constraints / low availability</x:v>
      </x:c>
      <x:c r="D18" s="3" t="str">
        <x:v>Unforeseen site/structural issues &amp; rework, Equipment constraints / low availability, Material supply / logistics &amp; market disruption</x:v>
      </x:c>
      <x:c r="E18" s="3" t="str">
        <x:v>Equipment constraints / low availability</x:v>
      </x:c>
      <x:c r="F18" s="3" t="str">
        <x:v>Resource inefficiency (materials/labor/energy)</x:v>
      </x:c>
      <x:c r="G18" s="3" t="str">
        <x:v>Equipment constraints / low availability, Resource inefficiency (materials/labor/energy), Planning &amp; estimation / coordination complexity</x:v>
      </x:c>
      <x:c r="H18" s="3" t="str">
        <x:v>Cost overrun mainly linked to unforeseen site/structural issues &amp; rework; schedule overrun mainly linked to equipment constraints / low availability.</x:v>
      </x:c>
    </x:row>
    <x:row r="19" ht="95.69999694824219" customHeight="1">
      <x:c r="A19" s="3" t="str">
        <x:v>PJT_18</x:v>
      </x:c>
      <x:c r="B19" s="3" t="str">
        <x:v>Planning &amp; estimation / coordination complexity</x:v>
      </x:c>
      <x:c r="C19" s="3" t="str">
        <x:v>Material supply / logistics &amp; market disruption</x:v>
      </x:c>
      <x:c r="D19" s="3" t="str">
        <x:v>Planning &amp; estimation / coordination complexity, Material supply / logistics &amp; market disruption, Resource inefficiency (materials/labor/energy)</x:v>
      </x:c>
      <x:c r="E19" s="3" t="str">
        <x:v>Resource inefficiency (materials/labor/energy)</x:v>
      </x:c>
      <x:c r="F19" s="3" t="str">
        <x:v>Equipment constraints / low availability</x:v>
      </x:c>
      <x:c r="G19" s="3" t="str">
        <x:v>Resource inefficiency (materials/labor/energy), Equipment constraints / low availability, Weather disruption / environmental constraints</x:v>
      </x:c>
      <x:c r="H19" s="3" t="str">
        <x:v>Cost overrun mainly linked to planning &amp; estimation / coordination complexity; schedule overrun mainly linked to resource inefficiency (materials/labor/energy).</x:v>
      </x:c>
    </x:row>
    <x:row r="20" ht="82.05000305175781" customHeight="1">
      <x:c r="A20" s="3" t="str">
        <x:v>PJT_19</x:v>
      </x:c>
      <x:c r="B20" s="3" t="str">
        <x:v>Resource inefficiency (materials/labor/energy)</x:v>
      </x:c>
      <x:c r="C20" s="3" t="str">
        <x:v>Planning &amp; estimation / coordination complexity</x:v>
      </x:c>
      <x:c r="D20" s="3" t="str">
        <x:v>Resource inefficiency (materials/labor/energy), Planning &amp; estimation / coordination complexity, Material supply / logistics &amp; market disruption</x:v>
      </x:c>
      <x:c r="E20" s="3" t="str">
        <x:v>Resource inefficiency (materials/labor/energy)</x:v>
      </x:c>
      <x:c r="F20" s="3" t="str">
        <x:v>Equipment constraints / low availability</x:v>
      </x:c>
      <x:c r="G20" s="3" t="str">
        <x:v>Resource inefficiency (materials/labor/energy), Equipment constraints / low availability, Planning &amp; estimation / coordination complexity</x:v>
      </x:c>
      <x:c r="H20" s="3" t="str">
        <x:v>Cost overrun mainly linked to resource inefficiency (materials/labor/energy); schedule overrun mainly linked to resource inefficiency (materials/labor/energy).</x:v>
      </x:c>
    </x:row>
    <x:row r="21" ht="95.69999694824219" customHeight="1">
      <x:c r="A21" s="3" t="str">
        <x:v>PJT_20</x:v>
      </x:c>
      <x:c r="B21" s="3" t="str">
        <x:v>Unforeseen site/structural issues &amp; rework</x:v>
      </x:c>
      <x:c r="C21" s="3" t="str">
        <x:v>Planning &amp; estimation / coordination complexity</x:v>
      </x:c>
      <x:c r="D21" s="3" t="str">
        <x:v>Unforeseen site/structural issues &amp; rework, Planning &amp; estimation / coordination complexity, Equipment constraints / low availability</x:v>
      </x:c>
      <x:c r="E21" s="3" t="str">
        <x:v>Unforeseen site/structural issues &amp; rework</x:v>
      </x:c>
      <x:c r="F21" s="3" t="str">
        <x:v>Equipment constraints / low availability</x:v>
      </x:c>
      <x:c r="G21" s="3" t="str">
        <x:v>Unforeseen site/structural issues &amp; rework, Equipment constraints / low availability, Planning &amp; estimation / coordination complexity</x:v>
      </x:c>
      <x:c r="H21" s="3" t="str">
        <x:v>Cost overrun mainly linked to unforeseen site/structural issues &amp; rework; schedule overrun mainly linked to unforeseen site/structural issues &amp; rework.</x:v>
      </x:c>
    </x:row>
    <x:row r="22" ht="82.05000305175781" customHeight="1">
      <x:c r="A22" s="3" t="str">
        <x:v>PJT_21</x:v>
      </x:c>
      <x:c r="B22" s="3" t="str">
        <x:v>Planning &amp; estimation / coordination complexity</x:v>
      </x:c>
      <x:c r="C22" s="3" t="str">
        <x:v>Material supply / logistics &amp; market disruption</x:v>
      </x:c>
      <x:c r="D22" s="3" t="str">
        <x:v>Planning &amp; estimation / coordination complexity, Material supply / logistics &amp; market disruption, Resource inefficiency (materials/labor/energy)</x:v>
      </x:c>
      <x:c r="E22" s="3" t="str">
        <x:v>Resource inefficiency (materials/labor/energy)</x:v>
      </x:c>
      <x:c r="F22" s="3" t="str">
        <x:v>Planning &amp; estimation / coordination complexity</x:v>
      </x:c>
      <x:c r="G22" s="3" t="str">
        <x:v>Resource inefficiency (materials/labor/energy), Planning &amp; estimation / coordination complexity, Equipment constraints / low availability</x:v>
      </x:c>
      <x:c r="H22" s="3" t="str">
        <x:v>Cost overrun mainly linked to planning &amp; estimation / coordination complexity; schedule overrun mainly linked to resource inefficiency (materials/labor/energy).</x:v>
      </x:c>
    </x:row>
    <x:row r="23" ht="95.69999694824219" customHeight="1">
      <x:c r="A23" s="3" t="str">
        <x:v>PJT_22</x:v>
      </x:c>
      <x:c r="B23" s="3" t="str">
        <x:v>Material supply / logistics &amp; market disruption</x:v>
      </x:c>
      <x:c r="C23" s="3" t="str">
        <x:v>Planning &amp; estimation / coordination complexity</x:v>
      </x:c>
      <x:c r="D23" s="3" t="str">
        <x:v>Material supply / logistics &amp; market disruption, Planning &amp; estimation / coordination complexity, Resource inefficiency (materials/labor/energy)</x:v>
      </x:c>
      <x:c r="E23" s="3" t="str">
        <x:v>Resource inefficiency (materials/labor/energy)</x:v>
      </x:c>
      <x:c r="F23" s="3" t="str">
        <x:v>Equipment constraints / low availability</x:v>
      </x:c>
      <x:c r="G23" s="3" t="str">
        <x:v>Resource inefficiency (materials/labor/energy), Equipment constraints / low availability, Weather disruption / environmental constraints</x:v>
      </x:c>
      <x:c r="H23" s="3" t="str">
        <x:v>Cost overrun mainly linked to material supply / logistics &amp; market disruption; schedule overrun mainly linked to resource inefficiency (materials/labor/energy).</x:v>
      </x:c>
    </x:row>
    <x:row r="24" ht="82.05000305175781" customHeight="1">
      <x:c r="A24" s="3" t="str">
        <x:v>PJT_23</x:v>
      </x:c>
      <x:c r="B24" s="3" t="str">
        <x:v>Equipment constraints / low availability</x:v>
      </x:c>
      <x:c r="C24" s="3" t="str">
        <x:v>Resource inefficiency (materials/labor/energy)</x:v>
      </x:c>
      <x:c r="D24" s="3" t="str">
        <x:v>Equipment constraints / low availability, Resource inefficiency (materials/labor/energy), Material supply / logistics &amp; market disruption</x:v>
      </x:c>
      <x:c r="E24" s="3" t="str">
        <x:v>Equipment constraints / low availability</x:v>
      </x:c>
      <x:c r="F24" s="3" t="str">
        <x:v>Resource inefficiency (materials/labor/energy)</x:v>
      </x:c>
      <x:c r="G24" s="3" t="str">
        <x:v>Equipment constraints / low availability, Resource inefficiency (materials/labor/energy), Planning &amp; estimation / coordination complexity</x:v>
      </x:c>
      <x:c r="H24" s="3" t="str">
        <x:v>Cost overrun mainly linked to equipment constraints / low availability; schedule overrun mainly linked to equipment constraints / low availability.</x:v>
      </x:c>
    </x:row>
    <x:row r="25" ht="82.05000305175781" customHeight="1">
      <x:c r="A25" s="3" t="str">
        <x:v>PJT_24</x:v>
      </x:c>
      <x:c r="B25" s="3" t="str">
        <x:v>Planning &amp; estimation / coordination complexity</x:v>
      </x:c>
      <x:c r="C25" s="3" t="str">
        <x:v>Resource inefficiency (materials/labor/energy)</x:v>
      </x:c>
      <x:c r="D25" s="3" t="str">
        <x:v>Planning &amp; estimation / coordination complexity, Resource inefficiency (materials/labor/energy), Equipment constraints / low availability</x:v>
      </x:c>
      <x:c r="E25" s="3" t="str">
        <x:v>Resource inefficiency (materials/labor/energy)</x:v>
      </x:c>
      <x:c r="F25" s="3" t="str">
        <x:v>Equipment constraints / low availability</x:v>
      </x:c>
      <x:c r="G25" s="3" t="str">
        <x:v>Resource inefficiency (materials/labor/energy), Equipment constraints / low availability, Planning &amp; estimation / coordination complexity</x:v>
      </x:c>
      <x:c r="H25" s="3" t="str">
        <x:v>Cost overrun mainly linked to planning &amp; estimation / coordination complexity; schedule overrun mainly linked to resource inefficiency (materials/labor/energy).</x:v>
      </x:c>
    </x:row>
    <x:row r="26" ht="95.69999694824219" customHeight="1">
      <x:c r="A26" s="3" t="str">
        <x:v>PJT_25</x:v>
      </x:c>
      <x:c r="B26" s="3" t="str">
        <x:v>Equipment constraints / low availability</x:v>
      </x:c>
      <x:c r="C26" s="3" t="str">
        <x:v>Unforeseen site/structural issues &amp; rework</x:v>
      </x:c>
      <x:c r="D26" s="3" t="str">
        <x:v>Equipment constraints / low availability, Unforeseen site/structural issues &amp; rework, Resource inefficiency (materials/labor/energy)</x:v>
      </x:c>
      <x:c r="E26" s="3" t="str">
        <x:v>Equipment constraints / low availability</x:v>
      </x:c>
      <x:c r="F26" s="3" t="str">
        <x:v>Resource inefficiency (materials/labor/energy)</x:v>
      </x:c>
      <x:c r="G26" s="3" t="str">
        <x:v>Equipment constraints / low availability, Resource inefficiency (materials/labor/energy), Planning &amp; estimation / coordination complexity</x:v>
      </x:c>
      <x:c r="H26" s="3" t="str">
        <x:v>Cost overrun mainly linked to equipment constraints / low availability; schedule overrun mainly linked to equipment constraints / low availability.</x:v>
      </x:c>
    </x:row>
    <x:row r="27" ht="95.69999694824219" customHeight="1">
      <x:c r="A27" s="3" t="str">
        <x:v>PJT_26</x:v>
      </x:c>
      <x:c r="B27" s="3" t="str">
        <x:v>Unforeseen site/structural issues &amp; rework</x:v>
      </x:c>
      <x:c r="C27" s="3" t="str">
        <x:v>Material supply / logistics &amp; market disruption</x:v>
      </x:c>
      <x:c r="D27" s="3" t="str">
        <x:v>Unforeseen site/structural issues &amp; rework, Material supply / logistics &amp; market disruption, Planning &amp; estimation / coordination complexity</x:v>
      </x:c>
      <x:c r="E27" s="3" t="str">
        <x:v>Unforeseen site/structural issues &amp; rework</x:v>
      </x:c>
      <x:c r="F27" s="3" t="str">
        <x:v>Planning &amp; estimation / coordination complexity</x:v>
      </x:c>
      <x:c r="G27" s="3" t="str">
        <x:v>Unforeseen site/structural issues &amp; rework, Planning &amp; estimation / coordination complexity, Safety incidents &amp; stop-work disruptions</x:v>
      </x:c>
      <x:c r="H27" s="3" t="str">
        <x:v>Cost overrun mainly linked to unforeseen site/structural issues &amp; rework; schedule overrun mainly linked to unforeseen site/structural issues &amp; rework.</x:v>
      </x:c>
    </x:row>
    <x:row r="28" ht="95.69999694824219" customHeight="1">
      <x:c r="A28" s="3" t="str">
        <x:v>PJT_27</x:v>
      </x:c>
      <x:c r="B28" s="3" t="str">
        <x:v>Unforeseen site/structural issues &amp; rework</x:v>
      </x:c>
      <x:c r="C28" s="3" t="str">
        <x:v>Planning &amp; estimation / coordination complexity</x:v>
      </x:c>
      <x:c r="D28" s="3" t="str">
        <x:v>Unforeseen site/structural issues &amp; rework, Planning &amp; estimation / coordination complexity, Material supply / logistics &amp; market disruption</x:v>
      </x:c>
      <x:c r="E28" s="3" t="str">
        <x:v>Unforeseen site/structural issues &amp; rework</x:v>
      </x:c>
      <x:c r="F28" s="3" t="str">
        <x:v>Equipment constraints / low availability</x:v>
      </x:c>
      <x:c r="G28" s="3" t="str">
        <x:v>Unforeseen site/structural issues &amp; rework, Equipment constraints / low availability, Planning &amp; estimation / coordination complexity</x:v>
      </x:c>
      <x:c r="H28" s="3" t="str">
        <x:v>Cost overrun mainly linked to unforeseen site/structural issues &amp; rework; schedule overrun mainly linked to unforeseen site/structural issues &amp; rework.</x:v>
      </x:c>
    </x:row>
    <x:row r="29" ht="82.05000305175781" customHeight="1">
      <x:c r="A29" s="3" t="str">
        <x:v>PJT_28</x:v>
      </x:c>
      <x:c r="B29" s="3" t="str">
        <x:v>Planning &amp; estimation / coordination complexity</x:v>
      </x:c>
      <x:c r="C29" s="3" t="str">
        <x:v>Material supply / logistics &amp; market disruption</x:v>
      </x:c>
      <x:c r="D29" s="3" t="str">
        <x:v>Planning &amp; estimation / coordination complexity, Material supply / logistics &amp; market disruption, Safety incidents &amp; stop-work disruptions</x:v>
      </x:c>
      <x:c r="E29" s="3" t="str">
        <x:v>Planning &amp; estimation / coordination complexity</x:v>
      </x:c>
      <x:c r="F29" s="3" t="str">
        <x:v>Resource inefficiency (materials/labor/energy)</x:v>
      </x:c>
      <x:c r="G29" s="3" t="str">
        <x:v>Planning &amp; estimation / coordination complexity, Resource inefficiency (materials/labor/energy), Safety incidents &amp; stop-work disruptions</x:v>
      </x:c>
      <x:c r="H29" s="3" t="str">
        <x:v>Cost overrun mainly linked to planning &amp; estimation / coordination complexity; schedule overrun mainly linked to planning &amp; estimation / coordination complexity.</x:v>
      </x:c>
    </x:row>
    <x:row r="30" ht="82.05000305175781" customHeight="1">
      <x:c r="A30" s="3" t="str">
        <x:v>PJT_29</x:v>
      </x:c>
      <x:c r="B30" s="3" t="str">
        <x:v>Material supply / logistics &amp; market disruption</x:v>
      </x:c>
      <x:c r="C30" s="3" t="str">
        <x:v>Resource inefficiency (materials/labor/energy)</x:v>
      </x:c>
      <x:c r="D30" s="3" t="str">
        <x:v>Material supply / logistics &amp; market disruption, Resource inefficiency (materials/labor/energy), Planning &amp; estimation / coordination complexity</x:v>
      </x:c>
      <x:c r="E30" s="3" t="str">
        <x:v>Resource inefficiency (materials/labor/energy)</x:v>
      </x:c>
      <x:c r="F30" s="3" t="str">
        <x:v>Equipment constraints / low availability</x:v>
      </x:c>
      <x:c r="G30" s="3" t="str">
        <x:v>Resource inefficiency (materials/labor/energy), Equipment constraints / low availability, Planning &amp; estimation / coordination complexity</x:v>
      </x:c>
      <x:c r="H30" s="3" t="str">
        <x:v>Cost overrun mainly linked to material supply / logistics &amp; market disruption; schedule overrun mainly linked to resource inefficiency (materials/labor/energy).</x:v>
      </x:c>
    </x:row>
    <x:row r="31" ht="82.05000305175781" customHeight="1">
      <x:c r="A31" s="3" t="str">
        <x:v>PJT_30</x:v>
      </x:c>
      <x:c r="B31" s="3" t="str">
        <x:v>Planning &amp; estimation / coordination complexity</x:v>
      </x:c>
      <x:c r="C31" s="3" t="str">
        <x:v>Material supply / logistics &amp; market disruption</x:v>
      </x:c>
      <x:c r="D31" s="3" t="str">
        <x:v>Planning &amp; estimation / coordination complexity, Material supply / logistics &amp; market disruption, Resource inefficiency (materials/labor/energy)</x:v>
      </x:c>
      <x:c r="E31" s="3" t="str">
        <x:v>Resource inefficiency (materials/labor/energy)</x:v>
      </x:c>
      <x:c r="F31" s="3" t="str">
        <x:v>Planning &amp; estimation / coordination complexity</x:v>
      </x:c>
      <x:c r="G31" s="3" t="str">
        <x:v>Resource inefficiency (materials/labor/energy), Planning &amp; estimation / coordination complexity, Equipment constraints / low availability</x:v>
      </x:c>
      <x:c r="H31" s="3" t="str">
        <x:v>Cost overrun mainly linked to planning &amp; estimation / coordination complexity; schedule overrun mainly linked to resource inefficiency (materials/labor/energy).</x:v>
      </x:c>
    </x:row>
    <x:row r="32" ht="95.69999694824219" customHeight="1">
      <x:c r="A32" s="3" t="str">
        <x:v>PJT_31</x:v>
      </x:c>
      <x:c r="B32" s="3" t="str">
        <x:v>Material supply / logistics &amp; market disruption</x:v>
      </x:c>
      <x:c r="C32" s="3" t="str">
        <x:v>Planning &amp; estimation / coordination complexity</x:v>
      </x:c>
      <x:c r="D32" s="3" t="str">
        <x:v>Material supply / logistics &amp; market disruption, Planning &amp; estimation / coordination complexity, Resource inefficiency (materials/labor/energy)</x:v>
      </x:c>
      <x:c r="E32" s="3" t="str">
        <x:v>Resource inefficiency (materials/labor/energy)</x:v>
      </x:c>
      <x:c r="F32" s="3" t="str">
        <x:v>Planning &amp; estimation / coordination complexity</x:v>
      </x:c>
      <x:c r="G32" s="3" t="str">
        <x:v>Resource inefficiency (materials/labor/energy), Planning &amp; estimation / coordination complexity, Weather disruption / environmental constraints</x:v>
      </x:c>
      <x:c r="H32" s="3" t="str">
        <x:v>Cost overrun mainly linked to material supply / logistics &amp; market disruption; schedule overrun mainly linked to resource inefficiency (materials/labor/energy).</x:v>
      </x:c>
    </x:row>
    <x:row r="33" ht="82.05000305175781" customHeight="1">
      <x:c r="A33" s="3" t="str">
        <x:v>PJT_32</x:v>
      </x:c>
      <x:c r="B33" s="3" t="str">
        <x:v>Material supply / logistics &amp; market disruption</x:v>
      </x:c>
      <x:c r="C33" s="3" t="str">
        <x:v>Planning &amp; estimation / coordination complexity</x:v>
      </x:c>
      <x:c r="D33" s="3" t="str">
        <x:v>Material supply / logistics &amp; market disruption, Planning &amp; estimation / coordination complexity, Resource inefficiency (materials/labor/energy)</x:v>
      </x:c>
      <x:c r="E33" s="3" t="str">
        <x:v>Resource inefficiency (materials/labor/energy)</x:v>
      </x:c>
      <x:c r="F33" s="3" t="str">
        <x:v>Material supply / logistics &amp; market disruption</x:v>
      </x:c>
      <x:c r="G33" s="3" t="str">
        <x:v>Resource inefficiency (materials/labor/energy), Material supply / logistics &amp; market disruption, Planning &amp; estimation / coordination complexity</x:v>
      </x:c>
      <x:c r="H33" s="3" t="str">
        <x:v>Cost overrun mainly linked to material supply / logistics &amp; market disruption; schedule overrun mainly linked to resource inefficiency (materials/labor/energy).</x:v>
      </x:c>
    </x:row>
    <x:row r="34" ht="82.05000305175781" customHeight="1">
      <x:c r="A34" s="3" t="str">
        <x:v>PJT_33</x:v>
      </x:c>
      <x:c r="B34" s="3" t="str">
        <x:v>Planning &amp; estimation / coordination complexity</x:v>
      </x:c>
      <x:c r="C34" s="3" t="str">
        <x:v>Resource inefficiency (materials/labor/energy)</x:v>
      </x:c>
      <x:c r="D34" s="3" t="str">
        <x:v>Planning &amp; estimation / coordination complexity, Resource inefficiency (materials/labor/energy), Material supply / logistics &amp; market disruption</x:v>
      </x:c>
      <x:c r="E34" s="3" t="str">
        <x:v>Resource inefficiency (materials/labor/energy)</x:v>
      </x:c>
      <x:c r="F34" s="3" t="str">
        <x:v>Planning &amp; estimation / coordination complexity</x:v>
      </x:c>
      <x:c r="G34" s="3" t="str">
        <x:v>Resource inefficiency (materials/labor/energy), Planning &amp; estimation / coordination complexity, Equipment constraints / low availability</x:v>
      </x:c>
      <x:c r="H34" s="3" t="str">
        <x:v>Cost overrun mainly linked to planning &amp; estimation / coordination complexity; schedule overrun mainly linked to resource inefficiency (materials/labor/energy).</x:v>
      </x:c>
    </x:row>
    <x:row r="35" ht="82.05000305175781" customHeight="1">
      <x:c r="A35" s="3" t="str">
        <x:v>PJT_34</x:v>
      </x:c>
      <x:c r="B35" s="3" t="str">
        <x:v>Resource inefficiency (materials/labor/energy)</x:v>
      </x:c>
      <x:c r="C35" s="3" t="str">
        <x:v>Equipment constraints / low availability</x:v>
      </x:c>
      <x:c r="D35" s="3" t="str">
        <x:v>Resource inefficiency (materials/labor/energy), Equipment constraints / low availability, Material supply / logistics &amp; market disruption</x:v>
      </x:c>
      <x:c r="E35" s="3" t="str">
        <x:v>Resource inefficiency (materials/labor/energy)</x:v>
      </x:c>
      <x:c r="F35" s="3" t="str">
        <x:v>Equipment constraints / low availability</x:v>
      </x:c>
      <x:c r="G35" s="3" t="str">
        <x:v>Resource inefficiency (materials/labor/energy), Equipment constraints / low availability, Planning &amp; estimation / coordination complexity</x:v>
      </x:c>
      <x:c r="H35" s="3" t="str">
        <x:v>Cost overrun mainly linked to resource inefficiency (materials/labor/energy); schedule overrun mainly linked to resource inefficiency (materials/labor/energy).</x:v>
      </x:c>
    </x:row>
    <x:row r="36" ht="82.05000305175781" customHeight="1">
      <x:c r="A36" s="3" t="str">
        <x:v>PJT_35</x:v>
      </x:c>
      <x:c r="B36" s="3" t="str">
        <x:v>Planning &amp; estimation / coordination complexity</x:v>
      </x:c>
      <x:c r="C36" s="3" t="str">
        <x:v>Material supply / logistics &amp; market disruption</x:v>
      </x:c>
      <x:c r="D36" s="3" t="str">
        <x:v>Planning &amp; estimation / coordination complexity, Material supply / logistics &amp; market disruption, Resource inefficiency (materials/labor/energy)</x:v>
      </x:c>
      <x:c r="E36" s="3" t="str">
        <x:v>Resource inefficiency (materials/labor/energy)</x:v>
      </x:c>
      <x:c r="F36" s="3" t="str">
        <x:v>Equipment constraints / low availability</x:v>
      </x:c>
      <x:c r="G36" s="3" t="str">
        <x:v>Resource inefficiency (materials/labor/energy), Equipment constraints / low availability, Planning &amp; estimation / coordination complexity</x:v>
      </x:c>
      <x:c r="H36" s="3" t="str">
        <x:v>Cost overrun mainly linked to planning &amp; estimation / coordination complexity; schedule overrun mainly linked to resource inefficiency (materials/labor/energy).</x:v>
      </x:c>
    </x:row>
    <x:row r="37" ht="82.05000305175781" customHeight="1">
      <x:c r="A37" s="3" t="str">
        <x:v>PJT_36</x:v>
      </x:c>
      <x:c r="B37" s="3" t="str">
        <x:v>Planning &amp; estimation / coordination complexity</x:v>
      </x:c>
      <x:c r="C37" s="3" t="str">
        <x:v>Resource inefficiency (materials/labor/energy)</x:v>
      </x:c>
      <x:c r="D37" s="3" t="str">
        <x:v>Planning &amp; estimation / coordination complexity, Resource inefficiency (materials/labor/energy), Equipment constraints / low availability</x:v>
      </x:c>
      <x:c r="E37" s="3" t="str">
        <x:v>Resource inefficiency (materials/labor/energy)</x:v>
      </x:c>
      <x:c r="F37" s="3" t="str">
        <x:v>Equipment constraints / low availability</x:v>
      </x:c>
      <x:c r="G37" s="3" t="str">
        <x:v>Resource inefficiency (materials/labor/energy), Equipment constraints / low availability, Planning &amp; estimation / coordination complexity</x:v>
      </x:c>
      <x:c r="H37" s="3" t="str">
        <x:v>Cost overrun mainly linked to planning &amp; estimation / coordination complexity; schedule overrun mainly linked to resource inefficiency (materials/labor/energy).</x:v>
      </x:c>
    </x:row>
    <x:row r="38" ht="95.69999694824219" customHeight="1">
      <x:c r="A38" s="3" t="str">
        <x:v>PJT_37</x:v>
      </x:c>
      <x:c r="B38" s="3" t="str">
        <x:v>Unforeseen site/structural issues &amp; rework</x:v>
      </x:c>
      <x:c r="C38" s="3" t="str">
        <x:v>Planning &amp; estimation / coordination complexity</x:v>
      </x:c>
      <x:c r="D38" s="3" t="str">
        <x:v>Unforeseen site/structural issues &amp; rework, Planning &amp; estimation / coordination complexity, Safety incidents &amp; stop-work disruptions</x:v>
      </x:c>
      <x:c r="E38" s="3" t="str">
        <x:v>Unforeseen site/structural issues &amp; rework</x:v>
      </x:c>
      <x:c r="F38" s="3" t="str">
        <x:v>Planning &amp; estimation / coordination complexity</x:v>
      </x:c>
      <x:c r="G38" s="3" t="str">
        <x:v>Unforeseen site/structural issues &amp; rework, Planning &amp; estimation / coordination complexity, Equipment constraints / low availability</x:v>
      </x:c>
      <x:c r="H38" s="3" t="str">
        <x:v>Cost overrun mainly linked to unforeseen site/structural issues &amp; rework; schedule overrun mainly linked to unforeseen site/structural issues &amp; rework.</x:v>
      </x:c>
    </x:row>
    <x:row r="39" ht="95.69999694824219" customHeight="1">
      <x:c r="A39" s="3" t="str">
        <x:v>PJT_38</x:v>
      </x:c>
      <x:c r="B39" s="3" t="str">
        <x:v>Resource inefficiency (materials/labor/energy)</x:v>
      </x:c>
      <x:c r="C39" s="3" t="str">
        <x:v>Unforeseen site/structural issues &amp; rework</x:v>
      </x:c>
      <x:c r="D39" s="3" t="str">
        <x:v>Resource inefficiency (materials/labor/energy), Unforeseen site/structural issues &amp; rework, Material supply / logistics &amp; market disruption</x:v>
      </x:c>
      <x:c r="E39" s="3" t="str">
        <x:v>Resource inefficiency (materials/labor/energy)</x:v>
      </x:c>
      <x:c r="F39" s="3" t="str">
        <x:v>Equipment constraints / low availability</x:v>
      </x:c>
      <x:c r="G39" s="3" t="str">
        <x:v>Resource inefficiency (materials/labor/energy), Equipment constraints / low availability, Unforeseen site/structural issues &amp; rework</x:v>
      </x:c>
      <x:c r="H39" s="3" t="str">
        <x:v>Cost overrun mainly linked to resource inefficiency (materials/labor/energy); schedule overrun mainly linked to resource inefficiency (materials/labor/energy).</x:v>
      </x:c>
    </x:row>
    <x:row r="40" ht="95.69999694824219" customHeight="1">
      <x:c r="A40" s="3" t="str">
        <x:v>PJT_39</x:v>
      </x:c>
      <x:c r="B40" s="3" t="str">
        <x:v>Material supply / logistics &amp; market disruption</x:v>
      </x:c>
      <x:c r="C40" s="3" t="str">
        <x:v>Resource inefficiency (materials/labor/energy)</x:v>
      </x:c>
      <x:c r="D40" s="3" t="str">
        <x:v>Material supply / logistics &amp; market disruption, Resource inefficiency (materials/labor/energy), Planning &amp; estimation / coordination complexity</x:v>
      </x:c>
      <x:c r="E40" s="3" t="str">
        <x:v>Resource inefficiency (materials/labor/energy)</x:v>
      </x:c>
      <x:c r="F40" s="3" t="str">
        <x:v>Equipment constraints / low availability</x:v>
      </x:c>
      <x:c r="G40" s="3" t="str">
        <x:v>Resource inefficiency (materials/labor/energy), Equipment constraints / low availability, Weather disruption / environmental constraints</x:v>
      </x:c>
      <x:c r="H40" s="3" t="str">
        <x:v>Cost overrun mainly linked to material supply / logistics &amp; market disruption; schedule overrun mainly linked to resource inefficiency (materials/labor/energy).</x:v>
      </x:c>
    </x:row>
    <x:row r="41" ht="95.69999694824219" customHeight="1">
      <x:c r="A41" s="3" t="str">
        <x:v>PJT_40</x:v>
      </x:c>
      <x:c r="B41" s="3" t="str">
        <x:v>Material supply / logistics &amp; market disruption</x:v>
      </x:c>
      <x:c r="C41" s="3" t="str">
        <x:v>Resource inefficiency (materials/labor/energy)</x:v>
      </x:c>
      <x:c r="D41" s="3" t="str">
        <x:v>Material supply / logistics &amp; market disruption, Resource inefficiency (materials/labor/energy), Planning &amp; estimation / coordination complexity</x:v>
      </x:c>
      <x:c r="E41" s="3" t="str">
        <x:v>Resource inefficiency (materials/labor/energy)</x:v>
      </x:c>
      <x:c r="F41" s="3" t="str">
        <x:v>Equipment constraints / low availability</x:v>
      </x:c>
      <x:c r="G41" s="3" t="str">
        <x:v>Resource inefficiency (materials/labor/energy), Equipment constraints / low availability, Weather disruption / environmental constraints</x:v>
      </x:c>
      <x:c r="H41" s="3" t="str">
        <x:v>Cost overrun mainly linked to material supply / logistics &amp; market disruption; schedule overrun mainly linked to resource inefficiency (materials/labor/energy).</x:v>
      </x:c>
    </x:row>
    <x:row r="42" ht="82.05000305175781" customHeight="1">
      <x:c r="A42" s="3" t="str">
        <x:v>PJT_41</x:v>
      </x:c>
      <x:c r="B42" s="3" t="str">
        <x:v>Material supply / logistics &amp; market disruption</x:v>
      </x:c>
      <x:c r="C42" s="3" t="str">
        <x:v>Resource inefficiency (materials/labor/energy)</x:v>
      </x:c>
      <x:c r="D42" s="3" t="str">
        <x:v>Material supply / logistics &amp; market disruption, Resource inefficiency (materials/labor/energy), Equipment constraints / low availability</x:v>
      </x:c>
      <x:c r="E42" s="3" t="str">
        <x:v>Resource inefficiency (materials/labor/energy)</x:v>
      </x:c>
      <x:c r="F42" s="3" t="str">
        <x:v>Equipment constraints / low availability</x:v>
      </x:c>
      <x:c r="G42" s="3" t="str">
        <x:v>Resource inefficiency (materials/labor/energy), Equipment constraints / low availability, Material supply / logistics &amp; market disruption</x:v>
      </x:c>
      <x:c r="H42" s="3" t="str">
        <x:v>Cost overrun mainly linked to material supply / logistics &amp; market disruption; schedule overrun mainly linked to resource inefficiency (materials/labor/energy).</x:v>
      </x:c>
    </x:row>
    <x:row r="43" ht="82.05000305175781" customHeight="1">
      <x:c r="A43" s="3" t="str">
        <x:v>PJT_42</x:v>
      </x:c>
      <x:c r="B43" s="3" t="str">
        <x:v>Planning &amp; estimation / coordination complexity</x:v>
      </x:c>
      <x:c r="C43" s="3" t="str">
        <x:v>Equipment constraints / low availability</x:v>
      </x:c>
      <x:c r="D43" s="3" t="str">
        <x:v>Planning &amp; estimation / coordination complexity, Equipment constraints / low availability, Resource inefficiency (materials/labor/energy)</x:v>
      </x:c>
      <x:c r="E43" s="3" t="str">
        <x:v>Equipment constraints / low availability</x:v>
      </x:c>
      <x:c r="F43" s="3" t="str">
        <x:v>Resource inefficiency (materials/labor/energy)</x:v>
      </x:c>
      <x:c r="G43" s="3" t="str">
        <x:v>Equipment constraints / low availability, Resource inefficiency (materials/labor/energy), Planning &amp; estimation / coordination complexity</x:v>
      </x:c>
      <x:c r="H43" s="3" t="str">
        <x:v>Cost overrun mainly linked to planning &amp; estimation / coordination complexity; schedule overrun mainly linked to equipment constraints / low availability.</x:v>
      </x:c>
    </x:row>
    <x:row r="44" ht="82.05000305175781" customHeight="1">
      <x:c r="A44" s="3" t="str">
        <x:v>PJT_43</x:v>
      </x:c>
      <x:c r="B44" s="3" t="str">
        <x:v>Planning &amp; estimation / coordination complexity</x:v>
      </x:c>
      <x:c r="C44" s="3" t="str">
        <x:v>Resource inefficiency (materials/labor/energy)</x:v>
      </x:c>
      <x:c r="D44" s="3" t="str">
        <x:v>Planning &amp; estimation / coordination complexity, Resource inefficiency (materials/labor/energy), Equipment constraints / low availability</x:v>
      </x:c>
      <x:c r="E44" s="3" t="str">
        <x:v>Resource inefficiency (materials/labor/energy)</x:v>
      </x:c>
      <x:c r="F44" s="3" t="str">
        <x:v>Equipment constraints / low availability</x:v>
      </x:c>
      <x:c r="G44" s="3" t="str">
        <x:v>Resource inefficiency (materials/labor/energy), Equipment constraints / low availability, Planning &amp; estimation / coordination complexity</x:v>
      </x:c>
      <x:c r="H44" s="3" t="str">
        <x:v>Cost overrun mainly linked to planning &amp; estimation / coordination complexity; schedule overrun mainly linked to resource inefficiency (materials/labor/energy).</x:v>
      </x:c>
    </x:row>
    <x:row r="45" ht="95.69999694824219" customHeight="1">
      <x:c r="A45" s="3" t="str">
        <x:v>PJT_44</x:v>
      </x:c>
      <x:c r="B45" s="3" t="str">
        <x:v>Material supply / logistics &amp; market disruption</x:v>
      </x:c>
      <x:c r="C45" s="3" t="str">
        <x:v>Equipment constraints / low availability</x:v>
      </x:c>
      <x:c r="D45" s="3" t="str">
        <x:v>Material supply / logistics &amp; market disruption, Equipment constraints / low availability, Resource inefficiency (materials/labor/energy)</x:v>
      </x:c>
      <x:c r="E45" s="3" t="str">
        <x:v>Equipment constraints / low availability</x:v>
      </x:c>
      <x:c r="F45" s="3" t="str">
        <x:v>Resource inefficiency (materials/labor/energy)</x:v>
      </x:c>
      <x:c r="G45" s="3" t="str">
        <x:v>Equipment constraints / low availability, Resource inefficiency (materials/labor/energy), Weather disruption / environmental constraints</x:v>
      </x:c>
      <x:c r="H45" s="3" t="str">
        <x:v>Cost overrun mainly linked to material supply / logistics &amp; market disruption; schedule overrun mainly linked to equipment constraints / low availability.</x:v>
      </x:c>
    </x:row>
    <x:row r="46" ht="109.3499984741211" customHeight="1">
      <x:c r="A46" s="3" t="str">
        <x:v>PJT_45</x:v>
      </x:c>
      <x:c r="B46" s="3" t="str">
        <x:v>Unforeseen site/structural issues &amp; rework</x:v>
      </x:c>
      <x:c r="C46" s="3" t="str">
        <x:v>Material supply / logistics &amp; market disruption</x:v>
      </x:c>
      <x:c r="D46" s="3" t="str">
        <x:v>Unforeseen site/structural issues &amp; rework, Material supply / logistics &amp; market disruption, Planning &amp; estimation / coordination complexity</x:v>
      </x:c>
      <x:c r="E46" s="3" t="str">
        <x:v>Unforeseen site/structural issues &amp; rework</x:v>
      </x:c>
      <x:c r="F46" s="3" t="str">
        <x:v>Weather disruption / environmental constraints</x:v>
      </x:c>
      <x:c r="G46" s="3" t="str">
        <x:v>Unforeseen site/structural issues &amp; rework, Weather disruption / environmental constraints, Equipment constraints / low availability</x:v>
      </x:c>
      <x:c r="H46" s="3" t="str">
        <x:v>Cost overrun mainly linked to unforeseen site/structural issues &amp; rework; schedule overrun mainly linked to unforeseen site/structural issues &amp; rework.</x:v>
      </x:c>
    </x:row>
    <x:row r="47" ht="95.69999694824219" customHeight="1">
      <x:c r="A47" s="3" t="str">
        <x:v>PJT_46</x:v>
      </x:c>
      <x:c r="B47" s="3" t="str">
        <x:v>Material supply / logistics &amp; market disruption</x:v>
      </x:c>
      <x:c r="C47" s="3" t="str">
        <x:v>Unforeseen site/structural issues &amp; rework</x:v>
      </x:c>
      <x:c r="D47" s="3" t="str">
        <x:v>Material supply / logistics &amp; market disruption, Unforeseen site/structural issues &amp; rework, Planning &amp; estimation / coordination complexity</x:v>
      </x:c>
      <x:c r="E47" s="3" t="str">
        <x:v>Resource inefficiency (materials/labor/energy)</x:v>
      </x:c>
      <x:c r="F47" s="3" t="str">
        <x:v>Material supply / logistics &amp; market disruption</x:v>
      </x:c>
      <x:c r="G47" s="3" t="str">
        <x:v>Resource inefficiency (materials/labor/energy), Material supply / logistics &amp; market disruption, Weather disruption / environmental constraints</x:v>
      </x:c>
      <x:c r="H47" s="3" t="str">
        <x:v>Cost overrun mainly linked to material supply / logistics &amp; market disruption; schedule overrun mainly linked to resource inefficiency (materials/labor/energy).</x:v>
      </x:c>
    </x:row>
    <x:row r="48" ht="82.05000305175781" customHeight="1">
      <x:c r="A48" s="3" t="str">
        <x:v>PJT_47</x:v>
      </x:c>
      <x:c r="B48" s="3" t="str">
        <x:v>Resource inefficiency (materials/labor/energy)</x:v>
      </x:c>
      <x:c r="C48" s="3" t="str">
        <x:v>Material supply / logistics &amp; market disruption</x:v>
      </x:c>
      <x:c r="D48" s="3" t="str">
        <x:v>Resource inefficiency (materials/labor/energy), Material supply / logistics &amp; market disruption, Equipment constraints / low availability</x:v>
      </x:c>
      <x:c r="E48" s="3" t="str">
        <x:v>Resource inefficiency (materials/labor/energy)</x:v>
      </x:c>
      <x:c r="F48" s="3" t="str">
        <x:v>Equipment constraints / low availability</x:v>
      </x:c>
      <x:c r="G48" s="3" t="str">
        <x:v>Resource inefficiency (materials/labor/energy), Equipment constraints / low availability, Planning &amp; estimation / coordination complexity</x:v>
      </x:c>
      <x:c r="H48" s="3" t="str">
        <x:v>Cost overrun mainly linked to resource inefficiency (materials/labor/energy); schedule overrun mainly linked to resource inefficiency (materials/labor/energy).</x:v>
      </x:c>
    </x:row>
    <x:row r="49" ht="82.05000305175781" customHeight="1">
      <x:c r="A49" s="3" t="str">
        <x:v>PJT_48</x:v>
      </x:c>
      <x:c r="B49" s="3" t="str">
        <x:v>Resource inefficiency (materials/labor/energy)</x:v>
      </x:c>
      <x:c r="C49" s="3" t="str">
        <x:v>Equipment constraints / low availability</x:v>
      </x:c>
      <x:c r="D49" s="3" t="str">
        <x:v>Resource inefficiency (materials/labor/energy), Equipment constraints / low availability, Material supply / logistics &amp; market disruption</x:v>
      </x:c>
      <x:c r="E49" s="3" t="str">
        <x:v>Resource inefficiency (materials/labor/energy)</x:v>
      </x:c>
      <x:c r="F49" s="3" t="str">
        <x:v>Equipment constraints / low availability</x:v>
      </x:c>
      <x:c r="G49" s="3" t="str">
        <x:v>Resource inefficiency (materials/labor/energy), Equipment constraints / low availability, Planning &amp; estimation / coordination complexity</x:v>
      </x:c>
      <x:c r="H49" s="3" t="str">
        <x:v>Cost overrun mainly linked to resource inefficiency (materials/labor/energy); schedule overrun mainly linked to resource inefficiency (materials/labor/energy).</x:v>
      </x:c>
    </x:row>
    <x:row r="50" ht="82.05000305175781" customHeight="1">
      <x:c r="A50" s="3" t="str">
        <x:v>PJT_49</x:v>
      </x:c>
      <x:c r="B50" s="3" t="str">
        <x:v>Planning &amp; estimation / coordination complexity</x:v>
      </x:c>
      <x:c r="C50" s="3" t="str">
        <x:v>Material supply / logistics &amp; market disruption</x:v>
      </x:c>
      <x:c r="D50" s="3" t="str">
        <x:v>Planning &amp; estimation / coordination complexity, Material supply / logistics &amp; market disruption, Resource inefficiency (materials/labor/energy)</x:v>
      </x:c>
      <x:c r="E50" s="3" t="str">
        <x:v>Resource inefficiency (materials/labor/energy)</x:v>
      </x:c>
      <x:c r="F50" s="3" t="str">
        <x:v>Equipment constraints / low availability</x:v>
      </x:c>
      <x:c r="G50" s="3" t="str">
        <x:v>Resource inefficiency (materials/labor/energy), Equipment constraints / low availability, Planning &amp; estimation / coordination complexity</x:v>
      </x:c>
      <x:c r="H50" s="3" t="str">
        <x:v>Cost overrun mainly linked to planning &amp; estimation / coordination complexity; schedule overrun mainly linked to resource inefficiency (materials/labor/energy).</x:v>
      </x:c>
    </x:row>
    <x:row r="51" ht="109.3499984741211" customHeight="1">
      <x:c r="A51" s="3" t="str">
        <x:v>PJT_50</x:v>
      </x:c>
      <x:c r="B51" s="3" t="str">
        <x:v>Unforeseen site/structural issues &amp; rework</x:v>
      </x:c>
      <x:c r="C51" s="3" t="str">
        <x:v>Material supply / logistics &amp; market disruption</x:v>
      </x:c>
      <x:c r="D51" s="3" t="str">
        <x:v>Unforeseen site/structural issues &amp; rework, Material supply / logistics &amp; market disruption, Weather disruption / environmental constraints</x:v>
      </x:c>
      <x:c r="E51" s="3" t="str">
        <x:v>Weather disruption / environmental constraints</x:v>
      </x:c>
      <x:c r="F51" s="3" t="str">
        <x:v>Unforeseen site/structural issues &amp; rework</x:v>
      </x:c>
      <x:c r="G51" s="3" t="str">
        <x:v>Weather disruption / environmental constraints, Unforeseen site/structural issues &amp; rework, Material supply / logistics &amp; market disruption</x:v>
      </x:c>
      <x:c r="H51" s="3" t="str">
        <x:v>Cost overrun mainly linked to unforeseen site/structural issues &amp; rework; schedule overrun mainly linked to weather disruption / environmental constraints.</x:v>
      </x:c>
    </x:row>
    <x:row r="52" ht="95.69999694824219" customHeight="1">
      <x:c r="A52" s="3" t="str">
        <x:v>PJT_51</x:v>
      </x:c>
      <x:c r="B52" s="3" t="str">
        <x:v>Unforeseen site/structural issues &amp; rework</x:v>
      </x:c>
      <x:c r="C52" s="3" t="str">
        <x:v>Planning &amp; estimation / coordination complexity</x:v>
      </x:c>
      <x:c r="D52" s="3" t="str">
        <x:v>Unforeseen site/structural issues &amp; rework, Planning &amp; estimation / coordination complexity, Equipment constraints / low availability</x:v>
      </x:c>
      <x:c r="E52" s="3" t="str">
        <x:v>Unforeseen site/structural issues &amp; rework</x:v>
      </x:c>
      <x:c r="F52" s="3" t="str">
        <x:v>Equipment constraints / low availability</x:v>
      </x:c>
      <x:c r="G52" s="3" t="str">
        <x:v>Unforeseen site/structural issues &amp; rework, Equipment constraints / low availability, Planning &amp; estimation / coordination complexity</x:v>
      </x:c>
      <x:c r="H52" s="3" t="str">
        <x:v>Cost overrun mainly linked to unforeseen site/structural issues &amp; rework; schedule overrun mainly linked to unforeseen site/structural issues &amp; rework.</x:v>
      </x:c>
    </x:row>
    <x:row r="53" ht="95.69999694824219" customHeight="1">
      <x:c r="A53" s="3" t="str">
        <x:v>PJT_52</x:v>
      </x:c>
      <x:c r="B53" s="3" t="str">
        <x:v>Weather disruption / environmental constraints</x:v>
      </x:c>
      <x:c r="C53" s="3" t="str">
        <x:v>Material supply / logistics &amp; market disruption</x:v>
      </x:c>
      <x:c r="D53" s="3" t="str">
        <x:v>Weather disruption / environmental constraints, Material supply / logistics &amp; market disruption, Planning &amp; estimation / coordination complexity</x:v>
      </x:c>
      <x:c r="E53" s="3" t="str">
        <x:v>Weather disruption / environmental constraints</x:v>
      </x:c>
      <x:c r="F53" s="3" t="str">
        <x:v>Planning &amp; estimation / coordination complexity</x:v>
      </x:c>
      <x:c r="G53" s="3" t="str">
        <x:v>Weather disruption / environmental constraints, Planning &amp; estimation / coordination complexity, Material supply / logistics &amp; market disruption</x:v>
      </x:c>
      <x:c r="H53" s="3" t="str">
        <x:v>Cost overrun mainly linked to weather disruption / environmental constraints; schedule overrun mainly linked to weather disruption / environmental constraints.</x:v>
      </x:c>
    </x:row>
    <x:row r="54" ht="82.05000305175781" customHeight="1">
      <x:c r="A54" s="3" t="str">
        <x:v>PJT_53</x:v>
      </x:c>
      <x:c r="B54" s="3" t="str">
        <x:v>Planning &amp; estimation / coordination complexity</x:v>
      </x:c>
      <x:c r="C54" s="3" t="str">
        <x:v>Resource inefficiency (materials/labor/energy)</x:v>
      </x:c>
      <x:c r="D54" s="3" t="str">
        <x:v>Planning &amp; estimation / coordination complexity, Resource inefficiency (materials/labor/energy), Equipment constraints / low availability</x:v>
      </x:c>
      <x:c r="E54" s="3" t="str">
        <x:v>Resource inefficiency (materials/labor/energy)</x:v>
      </x:c>
      <x:c r="F54" s="3" t="str">
        <x:v>Equipment constraints / low availability</x:v>
      </x:c>
      <x:c r="G54" s="3" t="str">
        <x:v>Resource inefficiency (materials/labor/energy), Equipment constraints / low availability, Planning &amp; estimation / coordination complexity</x:v>
      </x:c>
      <x:c r="H54" s="3" t="str">
        <x:v>Cost overrun mainly linked to planning &amp; estimation / coordination complexity; schedule overrun mainly linked to resource inefficiency (materials/labor/energy).</x:v>
      </x:c>
    </x:row>
    <x:row r="55" ht="82.05000305175781" customHeight="1">
      <x:c r="A55" s="3" t="str">
        <x:v>PJT_54</x:v>
      </x:c>
      <x:c r="B55" s="3" t="str">
        <x:v>Resource inefficiency (materials/labor/energy)</x:v>
      </x:c>
      <x:c r="C55" s="3" t="str">
        <x:v>Planning &amp; estimation / coordination complexity</x:v>
      </x:c>
      <x:c r="D55" s="3" t="str">
        <x:v>Resource inefficiency (materials/labor/energy), Planning &amp; estimation / coordination complexity, Equipment constraints / low availability</x:v>
      </x:c>
      <x:c r="E55" s="3" t="str">
        <x:v>Resource inefficiency (materials/labor/energy)</x:v>
      </x:c>
      <x:c r="F55" s="3" t="str">
        <x:v>Equipment constraints / low availability</x:v>
      </x:c>
      <x:c r="G55" s="3" t="str">
        <x:v>Resource inefficiency (materials/labor/energy), Equipment constraints / low availability, Planning &amp; estimation / coordination complexity</x:v>
      </x:c>
      <x:c r="H55" s="3" t="str">
        <x:v>Cost overrun mainly linked to resource inefficiency (materials/labor/energy); schedule overrun mainly linked to resource inefficiency (materials/labor/energy).</x:v>
      </x:c>
    </x:row>
    <x:row r="56" ht="95.69999694824219" customHeight="1">
      <x:c r="A56" s="3" t="str">
        <x:v>PJT_55</x:v>
      </x:c>
      <x:c r="B56" s="3" t="str">
        <x:v>Material supply / logistics &amp; market disruption</x:v>
      </x:c>
      <x:c r="C56" s="3" t="str">
        <x:v>Resource inefficiency (materials/labor/energy)</x:v>
      </x:c>
      <x:c r="D56" s="3" t="str">
        <x:v>Material supply / logistics &amp; market disruption, Resource inefficiency (materials/labor/energy), Planning &amp; estimation / coordination complexity</x:v>
      </x:c>
      <x:c r="E56" s="3" t="str">
        <x:v>Resource inefficiency (materials/labor/energy)</x:v>
      </x:c>
      <x:c r="F56" s="3" t="str">
        <x:v>Material supply / logistics &amp; market disruption</x:v>
      </x:c>
      <x:c r="G56" s="3" t="str">
        <x:v>Resource inefficiency (materials/labor/energy), Material supply / logistics &amp; market disruption, Weather disruption / environmental constraints</x:v>
      </x:c>
      <x:c r="H56" s="3" t="str">
        <x:v>Cost overrun mainly linked to material supply / logistics &amp; market disruption; schedule overrun mainly linked to resource inefficiency (materials/labor/energy).</x:v>
      </x:c>
    </x:row>
    <x:row r="57" ht="109.3499984741211" customHeight="1">
      <x:c r="A57" s="3" t="str">
        <x:v>PJT_56</x:v>
      </x:c>
      <x:c r="B57" s="3" t="str">
        <x:v>Material supply / logistics &amp; market disruption</x:v>
      </x:c>
      <x:c r="C57" s="3" t="str">
        <x:v>Unforeseen site/structural issues &amp; rework</x:v>
      </x:c>
      <x:c r="D57" s="3" t="str">
        <x:v>Material supply / logistics &amp; market disruption, Unforeseen site/structural issues &amp; rework, Weather disruption / environmental constraints</x:v>
      </x:c>
      <x:c r="E57" s="3" t="str">
        <x:v>Weather disruption / environmental constraints</x:v>
      </x:c>
      <x:c r="F57" s="3" t="str">
        <x:v>Unforeseen site/structural issues &amp; rework</x:v>
      </x:c>
      <x:c r="G57" s="3" t="str">
        <x:v>Weather disruption / environmental constraints, Unforeseen site/structural issues &amp; rework, Material supply / logistics &amp; market disruption</x:v>
      </x:c>
      <x:c r="H57" s="3" t="str">
        <x:v>Cost overrun mainly linked to material supply / logistics &amp; market disruption; schedule overrun mainly linked to weather disruption / environmental constraints.</x:v>
      </x:c>
    </x:row>
    <x:row r="58" ht="95.69999694824219" customHeight="1">
      <x:c r="A58" s="3" t="str">
        <x:v>PJT_57</x:v>
      </x:c>
      <x:c r="B58" s="3" t="str">
        <x:v>Material supply / logistics &amp; market disruption</x:v>
      </x:c>
      <x:c r="C58" s="3" t="str">
        <x:v>Resource inefficiency (materials/labor/energy)</x:v>
      </x:c>
      <x:c r="D58" s="3" t="str">
        <x:v>Material supply / logistics &amp; market disruption, Resource inefficiency (materials/labor/energy), Unforeseen site/structural issues &amp; rework</x:v>
      </x:c>
      <x:c r="E58" s="3" t="str">
        <x:v>Resource inefficiency (materials/labor/energy)</x:v>
      </x:c>
      <x:c r="F58" s="3" t="str">
        <x:v>Material supply / logistics &amp; market disruption</x:v>
      </x:c>
      <x:c r="G58" s="3" t="str">
        <x:v>Resource inefficiency (materials/labor/energy), Material supply / logistics &amp; market disruption, Equipment constraints / low availability</x:v>
      </x:c>
      <x:c r="H58" s="3" t="str">
        <x:v>Cost overrun mainly linked to material supply / logistics &amp; market disruption; schedule overrun mainly linked to resource inefficiency (materials/labor/energy).</x:v>
      </x:c>
    </x:row>
    <x:row r="59" ht="82.05000305175781" customHeight="1">
      <x:c r="A59" s="3" t="str">
        <x:v>PJT_58</x:v>
      </x:c>
      <x:c r="B59" s="3" t="str">
        <x:v>Planning &amp; estimation / coordination complexity</x:v>
      </x:c>
      <x:c r="C59" s="3" t="str">
        <x:v>Material supply / logistics &amp; market disruption</x:v>
      </x:c>
      <x:c r="D59" s="3" t="str">
        <x:v>Planning &amp; estimation / coordination complexity, Material supply / logistics &amp; market disruption, Resource inefficiency (materials/labor/energy)</x:v>
      </x:c>
      <x:c r="E59" s="3" t="str">
        <x:v>Resource inefficiency (materials/labor/energy)</x:v>
      </x:c>
      <x:c r="F59" s="3" t="str">
        <x:v>Equipment constraints / low availability</x:v>
      </x:c>
      <x:c r="G59" s="3" t="str">
        <x:v>Resource inefficiency (materials/labor/energy), Equipment constraints / low availability, Planning &amp; estimation / coordination complexity</x:v>
      </x:c>
      <x:c r="H59" s="3" t="str">
        <x:v>Cost overrun mainly linked to planning &amp; estimation / coordination complexity; schedule overrun mainly linked to resource inefficiency (materials/labor/energy).</x:v>
      </x:c>
    </x:row>
    <x:row r="60" ht="95.69999694824219" customHeight="1">
      <x:c r="A60" s="3" t="str">
        <x:v>PJT_59</x:v>
      </x:c>
      <x:c r="B60" s="3" t="str">
        <x:v>Material supply / logistics &amp; market disruption</x:v>
      </x:c>
      <x:c r="C60" s="3" t="str">
        <x:v>Unforeseen site/structural issues &amp; rework</x:v>
      </x:c>
      <x:c r="D60" s="3" t="str">
        <x:v>Material supply / logistics &amp; market disruption, Unforeseen site/structural issues &amp; rework, Safety incidents &amp; stop-work disruptions</x:v>
      </x:c>
      <x:c r="E60" s="3" t="str">
        <x:v>Weather disruption / environmental constraints</x:v>
      </x:c>
      <x:c r="F60" s="3" t="str">
        <x:v>Safety incidents &amp; stop-work disruptions</x:v>
      </x:c>
      <x:c r="G60" s="3" t="str">
        <x:v>Weather disruption / environmental constraints, Safety incidents &amp; stop-work disruptions, Unforeseen site/structural issues &amp; rework</x:v>
      </x:c>
      <x:c r="H60" s="3" t="str">
        <x:v>Cost overrun mainly linked to material supply / logistics &amp; market disruption; schedule overrun mainly linked to weather disruption / environmental constraints.</x:v>
      </x:c>
    </x:row>
    <x:row r="61" ht="95.69999694824219" customHeight="1">
      <x:c r="A61" s="3" t="str">
        <x:v>PJT_60</x:v>
      </x:c>
      <x:c r="B61" s="3" t="str">
        <x:v>Material supply / logistics &amp; market disruption</x:v>
      </x:c>
      <x:c r="C61" s="3" t="str">
        <x:v>Weather disruption / environmental constraints</x:v>
      </x:c>
      <x:c r="D61" s="3" t="str">
        <x:v>Material supply / logistics &amp; market disruption, Weather disruption / environmental constraints, Safety incidents &amp; stop-work disruptions</x:v>
      </x:c>
      <x:c r="E61" s="3" t="str">
        <x:v>Weather disruption / environmental constraints</x:v>
      </x:c>
      <x:c r="F61" s="3" t="str">
        <x:v>Material supply / logistics &amp; market disruption</x:v>
      </x:c>
      <x:c r="G61" s="3" t="str">
        <x:v>Weather disruption / environmental constraints, Material supply / logistics &amp; market disruption, Safety incidents &amp; stop-work disruptions</x:v>
      </x:c>
      <x:c r="H61" s="3" t="str">
        <x:v>Cost overrun mainly linked to material supply / logistics &amp; market disruption; schedule overrun mainly linked to weather disruption / environmental constraints.</x:v>
      </x:c>
    </x:row>
    <x:row r="62" ht="109.3499984741211" customHeight="1">
      <x:c r="A62" s="3" t="str">
        <x:v>PJT_61</x:v>
      </x:c>
      <x:c r="B62" s="3" t="str">
        <x:v>Unforeseen site/structural issues &amp; rework</x:v>
      </x:c>
      <x:c r="C62" s="3" t="str">
        <x:v>Material supply / logistics &amp; market disruption</x:v>
      </x:c>
      <x:c r="D62" s="3" t="str">
        <x:v>Unforeseen site/structural issues &amp; rework, Material supply / logistics &amp; market disruption, Planning &amp; estimation / coordination complexity</x:v>
      </x:c>
      <x:c r="E62" s="3" t="str">
        <x:v>Unforeseen site/structural issues &amp; rework</x:v>
      </x:c>
      <x:c r="F62" s="3" t="str">
        <x:v>Weather disruption / environmental constraints</x:v>
      </x:c>
      <x:c r="G62" s="3" t="str">
        <x:v>Unforeseen site/structural issues &amp; rework, Weather disruption / environmental constraints, Safety incidents &amp; stop-work disruptions</x:v>
      </x:c>
      <x:c r="H62" s="3" t="str">
        <x:v>Cost overrun mainly linked to unforeseen site/structural issues &amp; rework; schedule overrun mainly linked to unforeseen site/structural issues &amp; rework.</x:v>
      </x:c>
    </x:row>
    <x:row r="63" ht="82.05000305175781" customHeight="1">
      <x:c r="A63" s="3" t="str">
        <x:v>PJT_62</x:v>
      </x:c>
      <x:c r="B63" s="3" t="str">
        <x:v>Resource inefficiency (materials/labor/energy)</x:v>
      </x:c>
      <x:c r="C63" s="3" t="str">
        <x:v>Equipment constraints / low availability</x:v>
      </x:c>
      <x:c r="D63" s="3" t="str">
        <x:v>Resource inefficiency (materials/labor/energy), Equipment constraints / low availability, Planning &amp; estimation / coordination complexity</x:v>
      </x:c>
      <x:c r="E63" s="3" t="str">
        <x:v>Resource inefficiency (materials/labor/energy)</x:v>
      </x:c>
      <x:c r="F63" s="3" t="str">
        <x:v>Equipment constraints / low availability</x:v>
      </x:c>
      <x:c r="G63" s="3" t="str">
        <x:v>Resource inefficiency (materials/labor/energy), Equipment constraints / low availability, Planning &amp; estimation / coordination complexity</x:v>
      </x:c>
      <x:c r="H63" s="3" t="str">
        <x:v>Cost overrun mainly linked to resource inefficiency (materials/labor/energy); schedule overrun mainly linked to resource inefficiency (materials/labor/energy).</x:v>
      </x:c>
    </x:row>
    <x:row r="64" ht="95.69999694824219" customHeight="1">
      <x:c r="A64" s="3" t="str">
        <x:v>PJT_63</x:v>
      </x:c>
      <x:c r="B64" s="3" t="str">
        <x:v>Unforeseen site/structural issues &amp; rework</x:v>
      </x:c>
      <x:c r="C64" s="3" t="str">
        <x:v>Planning &amp; estimation / coordination complexity</x:v>
      </x:c>
      <x:c r="D64" s="3" t="str">
        <x:v>Unforeseen site/structural issues &amp; rework, Planning &amp; estimation / coordination complexity, Equipment constraints / low availability</x:v>
      </x:c>
      <x:c r="E64" s="3" t="str">
        <x:v>Unforeseen site/structural issues &amp; rework</x:v>
      </x:c>
      <x:c r="F64" s="3" t="str">
        <x:v>Equipment constraints / low availability</x:v>
      </x:c>
      <x:c r="G64" s="3" t="str">
        <x:v>Unforeseen site/structural issues &amp; rework, Equipment constraints / low availability, Planning &amp; estimation / coordination complexity</x:v>
      </x:c>
      <x:c r="H64" s="3" t="str">
        <x:v>Cost overrun mainly linked to unforeseen site/structural issues &amp; rework; schedule overrun mainly linked to unforeseen site/structural issues &amp; rework.</x:v>
      </x:c>
    </x:row>
    <x:row r="65" ht="82.05000305175781" customHeight="1">
      <x:c r="A65" s="3" t="str">
        <x:v>PJT_64</x:v>
      </x:c>
      <x:c r="B65" s="3" t="str">
        <x:v>Resource inefficiency (materials/labor/energy)</x:v>
      </x:c>
      <x:c r="C65" s="3" t="str">
        <x:v>Planning &amp; estimation / coordination complexity</x:v>
      </x:c>
      <x:c r="D65" s="3" t="str">
        <x:v>Resource inefficiency (materials/labor/energy), Planning &amp; estimation / coordination complexity, Equipment constraints / low availability</x:v>
      </x:c>
      <x:c r="E65" s="3" t="str">
        <x:v>Resource inefficiency (materials/labor/energy)</x:v>
      </x:c>
      <x:c r="F65" s="3" t="str">
        <x:v>Equipment constraints / low availability</x:v>
      </x:c>
      <x:c r="G65" s="3" t="str">
        <x:v>Resource inefficiency (materials/labor/energy), Equipment constraints / low availability, Planning &amp; estimation / coordination complexity</x:v>
      </x:c>
      <x:c r="H65" s="3" t="str">
        <x:v>Cost overrun mainly linked to resource inefficiency (materials/labor/energy); schedule overrun mainly linked to resource inefficiency (materials/labor/energy).</x:v>
      </x:c>
    </x:row>
    <x:row r="66" ht="95.69999694824219" customHeight="1">
      <x:c r="A66" s="3" t="str">
        <x:v>PJT_65</x:v>
      </x:c>
      <x:c r="B66" s="3" t="str">
        <x:v>Material supply / logistics &amp; market disruption</x:v>
      </x:c>
      <x:c r="C66" s="3" t="str">
        <x:v>Unforeseen site/structural issues &amp; rework</x:v>
      </x:c>
      <x:c r="D66" s="3" t="str">
        <x:v>Material supply / logistics &amp; market disruption, Unforeseen site/structural issues &amp; rework, Resource inefficiency (materials/labor/energy)</x:v>
      </x:c>
      <x:c r="E66" s="3" t="str">
        <x:v>Resource inefficiency (materials/labor/energy)</x:v>
      </x:c>
      <x:c r="F66" s="3" t="str">
        <x:v>Weather disruption / environmental constraints</x:v>
      </x:c>
      <x:c r="G66" s="3" t="str">
        <x:v>Resource inefficiency (materials/labor/energy), Weather disruption / environmental constraints, Equipment constraints / low availability</x:v>
      </x:c>
      <x:c r="H66" s="3" t="str">
        <x:v>Cost overrun mainly linked to material supply / logistics &amp; market disruption; schedule overrun mainly linked to resource inefficiency (materials/labor/energy).</x:v>
      </x:c>
    </x:row>
    <x:row r="67" ht="82.05000305175781" customHeight="1">
      <x:c r="A67" s="3" t="str">
        <x:v>PJT_66</x:v>
      </x:c>
      <x:c r="B67" s="3" t="str">
        <x:v>Planning &amp; estimation / coordination complexity</x:v>
      </x:c>
      <x:c r="C67" s="3" t="str">
        <x:v>Resource inefficiency (materials/labor/energy)</x:v>
      </x:c>
      <x:c r="D67" s="3" t="str">
        <x:v>Planning &amp; estimation / coordination complexity, Resource inefficiency (materials/labor/energy), Material supply / logistics &amp; market disruption</x:v>
      </x:c>
      <x:c r="E67" s="3" t="str">
        <x:v>Resource inefficiency (materials/labor/energy)</x:v>
      </x:c>
      <x:c r="F67" s="3" t="str">
        <x:v>Equipment constraints / low availability</x:v>
      </x:c>
      <x:c r="G67" s="3" t="str">
        <x:v>Resource inefficiency (materials/labor/energy), Equipment constraints / low availability, Planning &amp; estimation / coordination complexity</x:v>
      </x:c>
      <x:c r="H67" s="3" t="str">
        <x:v>Cost overrun mainly linked to planning &amp; estimation / coordination complexity; schedule overrun mainly linked to resource inefficiency (materials/labor/energy).</x:v>
      </x:c>
    </x:row>
    <x:row r="68" ht="95.69999694824219" customHeight="1">
      <x:c r="A68" s="3" t="str">
        <x:v>PJT_67</x:v>
      </x:c>
      <x:c r="B68" s="3" t="str">
        <x:v>Material supply / logistics &amp; market disruption</x:v>
      </x:c>
      <x:c r="C68" s="3" t="str">
        <x:v>Weather disruption / environmental constraints</x:v>
      </x:c>
      <x:c r="D68" s="3" t="str">
        <x:v>Material supply / logistics &amp; market disruption, Weather disruption / environmental constraints, Planning &amp; estimation / coordination complexity</x:v>
      </x:c>
      <x:c r="E68" s="3" t="str">
        <x:v>Weather disruption / environmental constraints</x:v>
      </x:c>
      <x:c r="F68" s="3" t="str">
        <x:v>Safety incidents &amp; stop-work disruptions</x:v>
      </x:c>
      <x:c r="G68" s="3" t="str">
        <x:v>Weather disruption / environmental constraints, Safety incidents &amp; stop-work disruptions, Material supply / logistics &amp; market disruption</x:v>
      </x:c>
      <x:c r="H68" s="3" t="str">
        <x:v>Cost overrun mainly linked to material supply / logistics &amp; market disruption; schedule overrun mainly linked to weather disruption / environmental constraints.</x:v>
      </x:c>
    </x:row>
    <x:row r="69" ht="95.69999694824219" customHeight="1">
      <x:c r="A69" s="3" t="str">
        <x:v>PJT_68</x:v>
      </x:c>
      <x:c r="B69" s="3" t="str">
        <x:v>Unforeseen site/structural issues &amp; rework</x:v>
      </x:c>
      <x:c r="C69" s="3" t="str">
        <x:v>Planning &amp; estimation / coordination complexity</x:v>
      </x:c>
      <x:c r="D69" s="3" t="str">
        <x:v>Unforeseen site/structural issues &amp; rework, Planning &amp; estimation / coordination complexity, Material supply / logistics &amp; market disruption</x:v>
      </x:c>
      <x:c r="E69" s="3" t="str">
        <x:v>Unforeseen site/structural issues &amp; rework</x:v>
      </x:c>
      <x:c r="F69" s="3" t="str">
        <x:v>Equipment constraints / low availability</x:v>
      </x:c>
      <x:c r="G69" s="3" t="str">
        <x:v>Unforeseen site/structural issues &amp; rework, Equipment constraints / low availability, Planning &amp; estimation / coordination complexity</x:v>
      </x:c>
      <x:c r="H69" s="3" t="str">
        <x:v>Cost overrun mainly linked to unforeseen site/structural issues &amp; rework; schedule overrun mainly linked to unforeseen site/structural issues &amp; rework.</x:v>
      </x:c>
    </x:row>
    <x:row r="70" ht="95.69999694824219" customHeight="1">
      <x:c r="A70" s="3" t="str">
        <x:v>PJT_69</x:v>
      </x:c>
      <x:c r="B70" s="3" t="str">
        <x:v>Material supply / logistics &amp; market disruption</x:v>
      </x:c>
      <x:c r="C70" s="3" t="str">
        <x:v>Equipment constraints / low availability</x:v>
      </x:c>
      <x:c r="D70" s="3" t="str">
        <x:v>Material supply / logistics &amp; market disruption, Equipment constraints / low availability, Resource inefficiency (materials/labor/energy)</x:v>
      </x:c>
      <x:c r="E70" s="3" t="str">
        <x:v>Weather disruption / environmental constraints</x:v>
      </x:c>
      <x:c r="F70" s="3" t="str">
        <x:v>Equipment constraints / low availability</x:v>
      </x:c>
      <x:c r="G70" s="3" t="str">
        <x:v>Weather disruption / environmental constraints, Equipment constraints / low availability, Resource inefficiency (materials/labor/energy)</x:v>
      </x:c>
      <x:c r="H70" s="3" t="str">
        <x:v>Cost overrun mainly linked to material supply / logistics &amp; market disruption; schedule overrun mainly linked to weather disruption / environmental constraints.</x:v>
      </x:c>
    </x:row>
    <x:row r="71" ht="95.69999694824219" customHeight="1">
      <x:c r="A71" s="3" t="str">
        <x:v>PJT_70</x:v>
      </x:c>
      <x:c r="B71" s="3" t="str">
        <x:v>Equipment constraints / low availability</x:v>
      </x:c>
      <x:c r="C71" s="3" t="str">
        <x:v>Material supply / logistics &amp; market disruption</x:v>
      </x:c>
      <x:c r="D71" s="3" t="str">
        <x:v>Equipment constraints / low availability, Material supply / logistics &amp; market disruption, Unforeseen site/structural issues &amp; rework</x:v>
      </x:c>
      <x:c r="E71" s="3" t="str">
        <x:v>Equipment constraints / low availability</x:v>
      </x:c>
      <x:c r="F71" s="3" t="str">
        <x:v>Resource inefficiency (materials/labor/energy)</x:v>
      </x:c>
      <x:c r="G71" s="3" t="str">
        <x:v>Equipment constraints / low availability, Resource inefficiency (materials/labor/energy), Weather disruption / environmental constraints</x:v>
      </x:c>
      <x:c r="H71" s="3" t="str">
        <x:v>Cost overrun mainly linked to equipment constraints / low availability; schedule overrun mainly linked to equipment constraints / low availability.</x:v>
      </x:c>
    </x:row>
    <x:row r="72" ht="82.05000305175781" customHeight="1">
      <x:c r="A72" s="3" t="str">
        <x:v>PJT_71</x:v>
      </x:c>
      <x:c r="B72" s="3" t="str">
        <x:v>Resource inefficiency (materials/labor/energy)</x:v>
      </x:c>
      <x:c r="C72" s="3" t="str">
        <x:v>Equipment constraints / low availability</x:v>
      </x:c>
      <x:c r="D72" s="3" t="str">
        <x:v>Resource inefficiency (materials/labor/energy), Equipment constraints / low availability, Planning &amp; estimation / coordination complexity</x:v>
      </x:c>
      <x:c r="E72" s="3" t="str">
        <x:v>Resource inefficiency (materials/labor/energy)</x:v>
      </x:c>
      <x:c r="F72" s="3" t="str">
        <x:v>Equipment constraints / low availability</x:v>
      </x:c>
      <x:c r="G72" s="3" t="str">
        <x:v>Resource inefficiency (materials/labor/energy), Equipment constraints / low availability, Planning &amp; estimation / coordination complexity</x:v>
      </x:c>
      <x:c r="H72" s="3" t="str">
        <x:v>Cost overrun mainly linked to resource inefficiency (materials/labor/energy); schedule overrun mainly linked to resource inefficiency (materials/labor/energy).</x:v>
      </x:c>
    </x:row>
    <x:row r="73" ht="95.69999694824219" customHeight="1">
      <x:c r="A73" s="3" t="str">
        <x:v>PJT_72</x:v>
      </x:c>
      <x:c r="B73" s="3" t="str">
        <x:v>Unforeseen site/structural issues &amp; rework</x:v>
      </x:c>
      <x:c r="C73" s="3" t="str">
        <x:v>Planning &amp; estimation / coordination complexity</x:v>
      </x:c>
      <x:c r="D73" s="3" t="str">
        <x:v>Unforeseen site/structural issues &amp; rework, Planning &amp; estimation / coordination complexity, Material supply / logistics &amp; market disruption</x:v>
      </x:c>
      <x:c r="E73" s="3" t="str">
        <x:v>Unforeseen site/structural issues &amp; rework</x:v>
      </x:c>
      <x:c r="F73" s="3" t="str">
        <x:v>Planning &amp; estimation / coordination complexity</x:v>
      </x:c>
      <x:c r="G73" s="3" t="str">
        <x:v>Unforeseen site/structural issues &amp; rework, Planning &amp; estimation / coordination complexity, Equipment constraints / low availability</x:v>
      </x:c>
      <x:c r="H73" s="3" t="str">
        <x:v>Cost overrun mainly linked to unforeseen site/structural issues &amp; rework; schedule overrun mainly linked to unforeseen site/structural issues &amp; rework.</x:v>
      </x:c>
    </x:row>
    <x:row r="74" ht="95.69999694824219" customHeight="1">
      <x:c r="A74" s="3" t="str">
        <x:v>PJT_73</x:v>
      </x:c>
      <x:c r="B74" s="3" t="str">
        <x:v>Unforeseen site/structural issues &amp; rework</x:v>
      </x:c>
      <x:c r="C74" s="3" t="str">
        <x:v>Planning &amp; estimation / coordination complexity</x:v>
      </x:c>
      <x:c r="D74" s="3" t="str">
        <x:v>Unforeseen site/structural issues &amp; rework, Planning &amp; estimation / coordination complexity, Material supply / logistics &amp; market disruption</x:v>
      </x:c>
      <x:c r="E74" s="3" t="str">
        <x:v>Unforeseen site/structural issues &amp; rework</x:v>
      </x:c>
      <x:c r="F74" s="3" t="str">
        <x:v>Planning &amp; estimation / coordination complexity</x:v>
      </x:c>
      <x:c r="G74" s="3" t="str">
        <x:v>Unforeseen site/structural issues &amp; rework, Planning &amp; estimation / coordination complexity, Equipment constraints / low availability</x:v>
      </x:c>
      <x:c r="H74" s="3" t="str">
        <x:v>Cost overrun mainly linked to unforeseen site/structural issues &amp; rework; schedule overrun mainly linked to unforeseen site/structural issues &amp; rework.</x:v>
      </x:c>
    </x:row>
    <x:row r="75" ht="95.69999694824219" customHeight="1">
      <x:c r="A75" s="3" t="str">
        <x:v>PJT_74</x:v>
      </x:c>
      <x:c r="B75" s="3" t="str">
        <x:v>Planning &amp; estimation / coordination complexity</x:v>
      </x:c>
      <x:c r="C75" s="3" t="str">
        <x:v>Unforeseen site/structural issues &amp; rework</x:v>
      </x:c>
      <x:c r="D75" s="3" t="str">
        <x:v>Planning &amp; estimation / coordination complexity, Unforeseen site/structural issues &amp; rework, Material supply / logistics &amp; market disruption</x:v>
      </x:c>
      <x:c r="E75" s="3" t="str">
        <x:v>Planning &amp; estimation / coordination complexity</x:v>
      </x:c>
      <x:c r="F75" s="3" t="str">
        <x:v>Weather disruption / environmental constraints</x:v>
      </x:c>
      <x:c r="G75" s="3" t="str">
        <x:v>Planning &amp; estimation / coordination complexity, Weather disruption / environmental constraints, Unforeseen site/structural issues &amp; rework</x:v>
      </x:c>
      <x:c r="H75" s="3" t="str">
        <x:v>Cost overrun mainly linked to planning &amp; estimation / coordination complexity; schedule overrun mainly linked to planning &amp; estimation / coordination complexity.</x:v>
      </x:c>
    </x:row>
    <x:row r="76" ht="82.05000305175781" customHeight="1">
      <x:c r="A76" s="3" t="str">
        <x:v>PJT_75</x:v>
      </x:c>
      <x:c r="B76" s="3" t="str">
        <x:v>Planning &amp; estimation / coordination complexity</x:v>
      </x:c>
      <x:c r="C76" s="3" t="str">
        <x:v>Material supply / logistics &amp; market disruption</x:v>
      </x:c>
      <x:c r="D76" s="3" t="str">
        <x:v>Planning &amp; estimation / coordination complexity, Material supply / logistics &amp; market disruption, Resource inefficiency (materials/labor/energy)</x:v>
      </x:c>
      <x:c r="E76" s="3" t="str">
        <x:v>Resource inefficiency (materials/labor/energy)</x:v>
      </x:c>
      <x:c r="F76" s="3" t="str">
        <x:v>Planning &amp; estimation / coordination complexity</x:v>
      </x:c>
      <x:c r="G76" s="3" t="str">
        <x:v>Resource inefficiency (materials/labor/energy), Planning &amp; estimation / coordination complexity, Equipment constraints / low availability</x:v>
      </x:c>
      <x:c r="H76" s="3" t="str">
        <x:v>Cost overrun mainly linked to planning &amp; estimation / coordination complexity; schedule overrun mainly linked to resource inefficiency (materials/labor/energy).</x:v>
      </x:c>
    </x:row>
    <x:row r="77" ht="82.05000305175781" customHeight="1">
      <x:c r="A77" s="3" t="str">
        <x:v>PJT_76</x:v>
      </x:c>
      <x:c r="B77" s="3" t="str">
        <x:v>Planning &amp; estimation / coordination complexity</x:v>
      </x:c>
      <x:c r="C77" s="3" t="str">
        <x:v>Resource inefficiency (materials/labor/energy)</x:v>
      </x:c>
      <x:c r="D77" s="3" t="str">
        <x:v>Planning &amp; estimation / coordination complexity, Resource inefficiency (materials/labor/energy), Equipment constraints / low availability</x:v>
      </x:c>
      <x:c r="E77" s="3" t="str">
        <x:v>Resource inefficiency (materials/labor/energy)</x:v>
      </x:c>
      <x:c r="F77" s="3" t="str">
        <x:v>Equipment constraints / low availability</x:v>
      </x:c>
      <x:c r="G77" s="3" t="str">
        <x:v>Resource inefficiency (materials/labor/energy), Equipment constraints / low availability, Planning &amp; estimation / coordination complexity</x:v>
      </x:c>
      <x:c r="H77" s="3" t="str">
        <x:v>Cost overrun mainly linked to planning &amp; estimation / coordination complexity; schedule overrun mainly linked to resource inefficiency (materials/labor/energy).</x:v>
      </x:c>
    </x:row>
    <x:row r="78" ht="82.05000305175781" customHeight="1">
      <x:c r="A78" s="3" t="str">
        <x:v>PJT_77</x:v>
      </x:c>
      <x:c r="B78" s="3" t="str">
        <x:v>Resource inefficiency (materials/labor/energy)</x:v>
      </x:c>
      <x:c r="C78" s="3" t="str">
        <x:v>Equipment constraints / low availability</x:v>
      </x:c>
      <x:c r="D78" s="3" t="str">
        <x:v>Resource inefficiency (materials/labor/energy), Equipment constraints / low availability, Material supply / logistics &amp; market disruption</x:v>
      </x:c>
      <x:c r="E78" s="3" t="str">
        <x:v>Resource inefficiency (materials/labor/energy)</x:v>
      </x:c>
      <x:c r="F78" s="3" t="str">
        <x:v>Equipment constraints / low availability</x:v>
      </x:c>
      <x:c r="G78" s="3" t="str">
        <x:v>Resource inefficiency (materials/labor/energy), Equipment constraints / low availability, Planning &amp; estimation / coordination complexity</x:v>
      </x:c>
      <x:c r="H78" s="3" t="str">
        <x:v>Cost overrun mainly linked to resource inefficiency (materials/labor/energy); schedule overrun mainly linked to resource inefficiency (materials/labor/energy).</x:v>
      </x:c>
    </x:row>
    <x:row r="79" ht="95.69999694824219" customHeight="1">
      <x:c r="A79" s="3" t="str">
        <x:v>PJT_78</x:v>
      </x:c>
      <x:c r="B79" s="3" t="str">
        <x:v>Unforeseen site/structural issues &amp; rework</x:v>
      </x:c>
      <x:c r="C79" s="3" t="str">
        <x:v>Equipment constraints / low availability</x:v>
      </x:c>
      <x:c r="D79" s="3" t="str">
        <x:v>Unforeseen site/structural issues &amp; rework, Equipment constraints / low availability, Planning &amp; estimation / coordination complexity</x:v>
      </x:c>
      <x:c r="E79" s="3" t="str">
        <x:v>Unforeseen site/structural issues &amp; rework</x:v>
      </x:c>
      <x:c r="F79" s="3" t="str">
        <x:v>Equipment constraints / low availability</x:v>
      </x:c>
      <x:c r="G79" s="3" t="str">
        <x:v>Unforeseen site/structural issues &amp; rework, Equipment constraints / low availability, Planning &amp; estimation / coordination complexity</x:v>
      </x:c>
      <x:c r="H79" s="3" t="str">
        <x:v>Cost overrun mainly linked to unforeseen site/structural issues &amp; rework; schedule overrun mainly linked to unforeseen site/structural issues &amp; rework.</x:v>
      </x:c>
    </x:row>
    <x:row r="80" ht="82.05000305175781" customHeight="1">
      <x:c r="A80" s="3" t="str">
        <x:v>PJT_79</x:v>
      </x:c>
      <x:c r="B80" s="3" t="str">
        <x:v>Planning &amp; estimation / coordination complexity</x:v>
      </x:c>
      <x:c r="C80" s="3" t="str">
        <x:v>Material supply / logistics &amp; market disruption</x:v>
      </x:c>
      <x:c r="D80" s="3" t="str">
        <x:v>Planning &amp; estimation / coordination complexity, Material supply / logistics &amp; market disruption, Resource inefficiency (materials/labor/energy)</x:v>
      </x:c>
      <x:c r="E80" s="3" t="str">
        <x:v>Resource inefficiency (materials/labor/energy)</x:v>
      </x:c>
      <x:c r="F80" s="3" t="str">
        <x:v>Equipment constraints / low availability</x:v>
      </x:c>
      <x:c r="G80" s="3" t="str">
        <x:v>Resource inefficiency (materials/labor/energy), Equipment constraints / low availability, Planning &amp; estimation / coordination complexity</x:v>
      </x:c>
      <x:c r="H80" s="3" t="str">
        <x:v>Cost overrun mainly linked to planning &amp; estimation / coordination complexity; schedule overrun mainly linked to resource inefficiency (materials/labor/energy).</x:v>
      </x:c>
    </x:row>
    <x:row r="81" ht="82.05000305175781" customHeight="1">
      <x:c r="A81" s="3" t="str">
        <x:v>PJT_80</x:v>
      </x:c>
      <x:c r="B81" s="3" t="str">
        <x:v>Planning &amp; estimation / coordination complexity</x:v>
      </x:c>
      <x:c r="C81" s="3" t="str">
        <x:v>Resource inefficiency (materials/labor/energy)</x:v>
      </x:c>
      <x:c r="D81" s="3" t="str">
        <x:v>Planning &amp; estimation / coordination complexity, Resource inefficiency (materials/labor/energy), Material supply / logistics &amp; market disruption</x:v>
      </x:c>
      <x:c r="E81" s="3" t="str">
        <x:v>Resource inefficiency (materials/labor/energy)</x:v>
      </x:c>
      <x:c r="F81" s="3" t="str">
        <x:v>Equipment constraints / low availability</x:v>
      </x:c>
      <x:c r="G81" s="3" t="str">
        <x:v>Resource inefficiency (materials/labor/energy), Equipment constraints / low availability, Planning &amp; estimation / coordination complexity</x:v>
      </x:c>
      <x:c r="H81" s="3" t="str">
        <x:v>Cost overrun mainly linked to planning &amp; estimation / coordination complexity; schedule overrun mainly linked to resource inefficiency (materials/labor/energy).</x:v>
      </x:c>
    </x:row>
    <x:row r="82" ht="95.69999694824219" customHeight="1">
      <x:c r="A82" s="3" t="str">
        <x:v>PJT_81</x:v>
      </x:c>
      <x:c r="B82" s="3" t="str">
        <x:v>Unforeseen site/structural issues &amp; rework</x:v>
      </x:c>
      <x:c r="C82" s="3" t="str">
        <x:v>Planning &amp; estimation / coordination complexity</x:v>
      </x:c>
      <x:c r="D82" s="3" t="str">
        <x:v>Unforeseen site/structural issues &amp; rework, Planning &amp; estimation / coordination complexity, Material supply / logistics &amp; market disruption</x:v>
      </x:c>
      <x:c r="E82" s="3" t="str">
        <x:v>Unforeseen site/structural issues &amp; rework</x:v>
      </x:c>
      <x:c r="F82" s="3" t="str">
        <x:v>Planning &amp; estimation / coordination complexity</x:v>
      </x:c>
      <x:c r="G82" s="3" t="str">
        <x:v>Unforeseen site/structural issues &amp; rework, Planning &amp; estimation / coordination complexity, Equipment constraints / low availability</x:v>
      </x:c>
      <x:c r="H82" s="3" t="str">
        <x:v>Cost overrun mainly linked to unforeseen site/structural issues &amp; rework; schedule overrun mainly linked to unforeseen site/structural issues &amp; rework.</x:v>
      </x:c>
    </x:row>
    <x:row r="83" ht="82.05000305175781" customHeight="1">
      <x:c r="A83" s="3" t="str">
        <x:v>PJT_82</x:v>
      </x:c>
      <x:c r="B83" s="3" t="str">
        <x:v>Planning &amp; estimation / coordination complexity</x:v>
      </x:c>
      <x:c r="C83" s="3" t="str">
        <x:v>Resource inefficiency (materials/labor/energy)</x:v>
      </x:c>
      <x:c r="D83" s="3" t="str">
        <x:v>Planning &amp; estimation / coordination complexity, Resource inefficiency (materials/labor/energy), Equipment constraints / low availability</x:v>
      </x:c>
      <x:c r="E83" s="3" t="str">
        <x:v>Resource inefficiency (materials/labor/energy)</x:v>
      </x:c>
      <x:c r="F83" s="3" t="str">
        <x:v>Equipment constraints / low availability</x:v>
      </x:c>
      <x:c r="G83" s="3" t="str">
        <x:v>Resource inefficiency (materials/labor/energy), Equipment constraints / low availability, Planning &amp; estimation / coordination complexity</x:v>
      </x:c>
      <x:c r="H83" s="3" t="str">
        <x:v>Cost overrun mainly linked to planning &amp; estimation / coordination complexity; schedule overrun mainly linked to resource inefficiency (materials/labor/energy).</x:v>
      </x:c>
    </x:row>
    <x:row r="84" ht="95.69999694824219" customHeight="1">
      <x:c r="A84" s="3" t="str">
        <x:v>PJT_83</x:v>
      </x:c>
      <x:c r="B84" s="3" t="str">
        <x:v>Unforeseen site/structural issues &amp; rework</x:v>
      </x:c>
      <x:c r="C84" s="3" t="str">
        <x:v>Material supply / logistics &amp; market disruption</x:v>
      </x:c>
      <x:c r="D84" s="3" t="str">
        <x:v>Unforeseen site/structural issues &amp; rework, Material supply / logistics &amp; market disruption, Safety incidents &amp; stop-work disruptions</x:v>
      </x:c>
      <x:c r="E84" s="3" t="str">
        <x:v>Weather disruption / environmental constraints</x:v>
      </x:c>
      <x:c r="F84" s="3" t="str">
        <x:v>Unforeseen site/structural issues &amp; rework</x:v>
      </x:c>
      <x:c r="G84" s="3" t="str">
        <x:v>Weather disruption / environmental constraints, Unforeseen site/structural issues &amp; rework, Safety incidents &amp; stop-work disruptions</x:v>
      </x:c>
      <x:c r="H84" s="3" t="str">
        <x:v>Cost overrun mainly linked to unforeseen site/structural issues &amp; rework; schedule overrun mainly linked to weather disruption / environmental constraints.</x:v>
      </x:c>
    </x:row>
    <x:row r="85" ht="82.05000305175781" customHeight="1">
      <x:c r="A85" s="3" t="str">
        <x:v>PJT_84</x:v>
      </x:c>
      <x:c r="B85" s="3" t="str">
        <x:v>Resource inefficiency (materials/labor/energy)</x:v>
      </x:c>
      <x:c r="C85" s="3" t="str">
        <x:v>Material supply / logistics &amp; market disruption</x:v>
      </x:c>
      <x:c r="D85" s="3" t="str">
        <x:v>Resource inefficiency (materials/labor/energy), Material supply / logistics &amp; market disruption, Equipment constraints / low availability</x:v>
      </x:c>
      <x:c r="E85" s="3" t="str">
        <x:v>Resource inefficiency (materials/labor/energy)</x:v>
      </x:c>
      <x:c r="F85" s="3" t="str">
        <x:v>Equipment constraints / low availability</x:v>
      </x:c>
      <x:c r="G85" s="3" t="str">
        <x:v>Resource inefficiency (materials/labor/energy), Equipment constraints / low availability, Planning &amp; estimation / coordination complexity</x:v>
      </x:c>
      <x:c r="H85" s="3" t="str">
        <x:v>Cost overrun mainly linked to resource inefficiency (materials/labor/energy); schedule overrun mainly linked to resource inefficiency (materials/labor/energy).</x:v>
      </x:c>
    </x:row>
    <x:row r="86" ht="82.05000305175781" customHeight="1">
      <x:c r="A86" s="3" t="str">
        <x:v>PJT_85</x:v>
      </x:c>
      <x:c r="B86" s="3" t="str">
        <x:v>Material supply / logistics &amp; market disruption</x:v>
      </x:c>
      <x:c r="C86" s="3" t="str">
        <x:v>Equipment constraints / low availability</x:v>
      </x:c>
      <x:c r="D86" s="3" t="str">
        <x:v>Material supply / logistics &amp; market disruption, Equipment constraints / low availability, Resource inefficiency (materials/labor/energy)</x:v>
      </x:c>
      <x:c r="E86" s="3" t="str">
        <x:v>Equipment constraints / low availability</x:v>
      </x:c>
      <x:c r="F86" s="3" t="str">
        <x:v>Resource inefficiency (materials/labor/energy)</x:v>
      </x:c>
      <x:c r="G86" s="3" t="str">
        <x:v>Equipment constraints / low availability, Resource inefficiency (materials/labor/energy), Material supply / logistics &amp; market disruption</x:v>
      </x:c>
      <x:c r="H86" s="3" t="str">
        <x:v>Cost overrun mainly linked to material supply / logistics &amp; market disruption; schedule overrun mainly linked to equipment constraints / low availability.</x:v>
      </x:c>
    </x:row>
    <x:row r="87" ht="95.69999694824219" customHeight="1">
      <x:c r="A87" s="3" t="str">
        <x:v>PJT_86</x:v>
      </x:c>
      <x:c r="B87" s="3" t="str">
        <x:v>Material supply / logistics &amp; market disruption</x:v>
      </x:c>
      <x:c r="C87" s="3" t="str">
        <x:v>Unforeseen site/structural issues &amp; rework</x:v>
      </x:c>
      <x:c r="D87" s="3" t="str">
        <x:v>Material supply / logistics &amp; market disruption, Unforeseen site/structural issues &amp; rework, Planning &amp; estimation / coordination complexity</x:v>
      </x:c>
      <x:c r="E87" s="3" t="str">
        <x:v>Weather disruption / environmental constraints</x:v>
      </x:c>
      <x:c r="F87" s="3" t="str">
        <x:v>Resource inefficiency (materials/labor/energy)</x:v>
      </x:c>
      <x:c r="G87" s="3" t="str">
        <x:v>Weather disruption / environmental constraints, Resource inefficiency (materials/labor/energy), Equipment constraints / low availability</x:v>
      </x:c>
      <x:c r="H87" s="3" t="str">
        <x:v>Cost overrun mainly linked to material supply / logistics &amp; market disruption; schedule overrun mainly linked to weather disruption / environmental constraints.</x:v>
      </x:c>
    </x:row>
    <x:row r="88" ht="95.69999694824219" customHeight="1">
      <x:c r="A88" s="3" t="str">
        <x:v>PJT_87</x:v>
      </x:c>
      <x:c r="B88" s="3" t="str">
        <x:v>Material supply / logistics &amp; market disruption</x:v>
      </x:c>
      <x:c r="C88" s="3" t="str">
        <x:v>Unforeseen site/structural issues &amp; rework</x:v>
      </x:c>
      <x:c r="D88" s="3" t="str">
        <x:v>Material supply / logistics &amp; market disruption, Unforeseen site/structural issues &amp; rework, Planning &amp; estimation / coordination complexity</x:v>
      </x:c>
      <x:c r="E88" s="3" t="str">
        <x:v>Material supply / logistics &amp; market disruption</x:v>
      </x:c>
      <x:c r="F88" s="3" t="str">
        <x:v>Resource inefficiency (materials/labor/energy)</x:v>
      </x:c>
      <x:c r="G88" s="3" t="str">
        <x:v>Material supply / logistics &amp; market disruption, Resource inefficiency (materials/labor/energy), Unforeseen site/structural issues &amp; rework</x:v>
      </x:c>
      <x:c r="H88" s="3" t="str">
        <x:v>Cost overrun mainly linked to material supply / logistics &amp; market disruption; schedule overrun mainly linked to material supply / logistics &amp; market disruption.</x:v>
      </x:c>
    </x:row>
    <x:row r="89" ht="82.05000305175781" customHeight="1">
      <x:c r="A89" s="3" t="str">
        <x:v>PJT_88</x:v>
      </x:c>
      <x:c r="B89" s="3" t="str">
        <x:v>Material supply / logistics &amp; market disruption</x:v>
      </x:c>
      <x:c r="C89" s="3" t="str">
        <x:v>Planning &amp; estimation / coordination complexity</x:v>
      </x:c>
      <x:c r="D89" s="3" t="str">
        <x:v>Material supply / logistics &amp; market disruption, Planning &amp; estimation / coordination complexity, Resource inefficiency (materials/labor/energy)</x:v>
      </x:c>
      <x:c r="E89" s="3" t="str">
        <x:v>Resource inefficiency (materials/labor/energy)</x:v>
      </x:c>
      <x:c r="F89" s="3" t="str">
        <x:v>Equipment constraints / low availability</x:v>
      </x:c>
      <x:c r="G89" s="3" t="str">
        <x:v>Resource inefficiency (materials/labor/energy), Equipment constraints / low availability, Planning &amp; estimation / coordination complexity</x:v>
      </x:c>
      <x:c r="H89" s="3" t="str">
        <x:v>Cost overrun mainly linked to material supply / logistics &amp; market disruption; schedule overrun mainly linked to resource inefficiency (materials/labor/energy).</x:v>
      </x:c>
    </x:row>
    <x:row r="90" ht="95.69999694824219" customHeight="1">
      <x:c r="A90" s="3" t="str">
        <x:v>PJT_89</x:v>
      </x:c>
      <x:c r="B90" s="3" t="str">
        <x:v>Material supply / logistics &amp; market disruption</x:v>
      </x:c>
      <x:c r="C90" s="3" t="str">
        <x:v>Unforeseen site/structural issues &amp; rework</x:v>
      </x:c>
      <x:c r="D90" s="3" t="str">
        <x:v>Material supply / logistics &amp; market disruption, Unforeseen site/structural issues &amp; rework, Planning &amp; estimation / coordination complexity</x:v>
      </x:c>
      <x:c r="E90" s="3" t="str">
        <x:v>Resource inefficiency (materials/labor/energy)</x:v>
      </x:c>
      <x:c r="F90" s="3" t="str">
        <x:v>Weather disruption / environmental constraints</x:v>
      </x:c>
      <x:c r="G90" s="3" t="str">
        <x:v>Resource inefficiency (materials/labor/energy), Weather disruption / environmental constraints, Material supply / logistics &amp; market disruption</x:v>
      </x:c>
      <x:c r="H90" s="3" t="str">
        <x:v>Cost overrun mainly linked to material supply / logistics &amp; market disruption; schedule overrun mainly linked to resource inefficiency (materials/labor/energy).</x:v>
      </x:c>
    </x:row>
    <x:row r="91" ht="82.05000305175781" customHeight="1">
      <x:c r="A91" s="3" t="str">
        <x:v>PJT_90</x:v>
      </x:c>
      <x:c r="B91" s="3" t="str">
        <x:v>Planning &amp; estimation / coordination complexity</x:v>
      </x:c>
      <x:c r="C91" s="3" t="str">
        <x:v>Resource inefficiency (materials/labor/energy)</x:v>
      </x:c>
      <x:c r="D91" s="3" t="str">
        <x:v>Planning &amp; estimation / coordination complexity, Resource inefficiency (materials/labor/energy), Material supply / logistics &amp; market disruption</x:v>
      </x:c>
      <x:c r="E91" s="3" t="str">
        <x:v>Resource inefficiency (materials/labor/energy)</x:v>
      </x:c>
      <x:c r="F91" s="3" t="str">
        <x:v>Equipment constraints / low availability</x:v>
      </x:c>
      <x:c r="G91" s="3" t="str">
        <x:v>Resource inefficiency (materials/labor/energy), Equipment constraints / low availability, Planning &amp; estimation / coordination complexity</x:v>
      </x:c>
      <x:c r="H91" s="3" t="str">
        <x:v>Cost overrun mainly linked to planning &amp; estimation / coordination complexity; schedule overrun mainly linked to resource inefficiency (materials/labor/energy).</x:v>
      </x:c>
    </x:row>
    <x:row r="92" ht="109.3499984741211" customHeight="1">
      <x:c r="A92" s="3" t="str">
        <x:v>PJT_91</x:v>
      </x:c>
      <x:c r="B92" s="3" t="str">
        <x:v>Unforeseen site/structural issues &amp; rework</x:v>
      </x:c>
      <x:c r="C92" s="3" t="str">
        <x:v>Material supply / logistics &amp; market disruption</x:v>
      </x:c>
      <x:c r="D92" s="3" t="str">
        <x:v>Unforeseen site/structural issues &amp; rework, Material supply / logistics &amp; market disruption, Weather disruption / environmental constraints</x:v>
      </x:c>
      <x:c r="E92" s="3" t="str">
        <x:v>Weather disruption / environmental constraints</x:v>
      </x:c>
      <x:c r="F92" s="3" t="str">
        <x:v>Unforeseen site/structural issues &amp; rework</x:v>
      </x:c>
      <x:c r="G92" s="3" t="str">
        <x:v>Weather disruption / environmental constraints, Unforeseen site/structural issues &amp; rework, Safety incidents &amp; stop-work disruptions</x:v>
      </x:c>
      <x:c r="H92" s="3" t="str">
        <x:v>Cost overrun mainly linked to unforeseen site/structural issues &amp; rework; schedule overrun mainly linked to weather disruption / environmental constraints.</x:v>
      </x:c>
    </x:row>
    <x:row r="93" ht="95.69999694824219" customHeight="1">
      <x:c r="A93" s="3" t="str">
        <x:v>PJT_92</x:v>
      </x:c>
      <x:c r="B93" s="3" t="str">
        <x:v>Planning &amp; estimation / coordination complexity</x:v>
      </x:c>
      <x:c r="C93" s="3" t="str">
        <x:v>Resource inefficiency (materials/labor/energy)</x:v>
      </x:c>
      <x:c r="D93" s="3" t="str">
        <x:v>Planning &amp; estimation / coordination complexity, Resource inefficiency (materials/labor/energy), Unforeseen site/structural issues &amp; rework</x:v>
      </x:c>
      <x:c r="E93" s="3" t="str">
        <x:v>Resource inefficiency (materials/labor/energy)</x:v>
      </x:c>
      <x:c r="F93" s="3" t="str">
        <x:v>Equipment constraints / low availability</x:v>
      </x:c>
      <x:c r="G93" s="3" t="str">
        <x:v>Resource inefficiency (materials/labor/energy), Equipment constraints / low availability, Planning &amp; estimation / coordination complexity</x:v>
      </x:c>
      <x:c r="H93" s="3" t="str">
        <x:v>Cost overrun mainly linked to planning &amp; estimation / coordination complexity; schedule overrun mainly linked to resource inefficiency (materials/labor/energy).</x:v>
      </x:c>
    </x:row>
    <x:row r="94" ht="95.69999694824219" customHeight="1">
      <x:c r="A94" s="3" t="str">
        <x:v>PJT_93</x:v>
      </x:c>
      <x:c r="B94" s="3" t="str">
        <x:v>Equipment constraints / low availability</x:v>
      </x:c>
      <x:c r="C94" s="3" t="str">
        <x:v>Material supply / logistics &amp; market disruption</x:v>
      </x:c>
      <x:c r="D94" s="3" t="str">
        <x:v>Equipment constraints / low availability, Material supply / logistics &amp; market disruption, Resource inefficiency (materials/labor/energy)</x:v>
      </x:c>
      <x:c r="E94" s="3" t="str">
        <x:v>Equipment constraints / low availability</x:v>
      </x:c>
      <x:c r="F94" s="3" t="str">
        <x:v>Resource inefficiency (materials/labor/energy)</x:v>
      </x:c>
      <x:c r="G94" s="3" t="str">
        <x:v>Equipment constraints / low availability, Resource inefficiency (materials/labor/energy), Weather disruption / environmental constraints</x:v>
      </x:c>
      <x:c r="H94" s="3" t="str">
        <x:v>Cost overrun mainly linked to equipment constraints / low availability; schedule overrun mainly linked to equipment constraints / low availability.</x:v>
      </x:c>
    </x:row>
    <x:row r="95" ht="95.69999694824219" customHeight="1">
      <x:c r="A95" s="3" t="str">
        <x:v>PJT_94</x:v>
      </x:c>
      <x:c r="B95" s="3" t="str">
        <x:v>Unforeseen site/structural issues &amp; rework</x:v>
      </x:c>
      <x:c r="C95" s="3" t="str">
        <x:v>Material supply / logistics &amp; market disruption</x:v>
      </x:c>
      <x:c r="D95" s="3" t="str">
        <x:v>Unforeseen site/structural issues &amp; rework, Material supply / logistics &amp; market disruption, Equipment constraints / low availability</x:v>
      </x:c>
      <x:c r="E95" s="3" t="str">
        <x:v>Equipment constraints / low availability</x:v>
      </x:c>
      <x:c r="F95" s="3" t="str">
        <x:v>Resource inefficiency (materials/labor/energy)</x:v>
      </x:c>
      <x:c r="G95" s="3" t="str">
        <x:v>Equipment constraints / low availability, Resource inefficiency (materials/labor/energy), Unforeseen site/structural issues &amp; rework</x:v>
      </x:c>
      <x:c r="H95" s="3" t="str">
        <x:v>Cost overrun mainly linked to unforeseen site/structural issues &amp; rework; schedule overrun mainly linked to equipment constraints / low availability.</x:v>
      </x:c>
    </x:row>
    <x:row r="96" ht="95.69999694824219" customHeight="1">
      <x:c r="A96" s="3" t="str">
        <x:v>PJT_95</x:v>
      </x:c>
      <x:c r="B96" s="3" t="str">
        <x:v>Planning &amp; estimation / coordination complexity</x:v>
      </x:c>
      <x:c r="C96" s="3" t="str">
        <x:v>Unforeseen site/structural issues &amp; rework</x:v>
      </x:c>
      <x:c r="D96" s="3" t="str">
        <x:v>Planning &amp; estimation / coordination complexity, Unforeseen site/structural issues &amp; rework, Equipment constraints / low availability</x:v>
      </x:c>
      <x:c r="E96" s="3" t="str">
        <x:v>Equipment constraints / low availability</x:v>
      </x:c>
      <x:c r="F96" s="3" t="str">
        <x:v>Resource inefficiency (materials/labor/energy)</x:v>
      </x:c>
      <x:c r="G96" s="3" t="str">
        <x:v>Equipment constraints / low availability, Resource inefficiency (materials/labor/energy), Planning &amp; estimation / coordination complexity</x:v>
      </x:c>
      <x:c r="H96" s="3" t="str">
        <x:v>Cost overrun mainly linked to planning &amp; estimation / coordination complexity; schedule overrun mainly linked to equipment constraints / low availability.</x:v>
      </x:c>
    </x:row>
    <x:row r="97" ht="82.05000305175781" customHeight="1">
      <x:c r="A97" s="3" t="str">
        <x:v>PJT_96</x:v>
      </x:c>
      <x:c r="B97" s="3" t="str">
        <x:v>Resource inefficiency (materials/labor/energy)</x:v>
      </x:c>
      <x:c r="C97" s="3" t="str">
        <x:v>Material supply / logistics &amp; market disruption</x:v>
      </x:c>
      <x:c r="D97" s="3" t="str">
        <x:v>Resource inefficiency (materials/labor/energy), Material supply / logistics &amp; market disruption, Equipment constraints / low availability</x:v>
      </x:c>
      <x:c r="E97" s="3" t="str">
        <x:v>Resource inefficiency (materials/labor/energy)</x:v>
      </x:c>
      <x:c r="F97" s="3" t="str">
        <x:v>Equipment constraints / low availability</x:v>
      </x:c>
      <x:c r="G97" s="3" t="str">
        <x:v>Resource inefficiency (materials/labor/energy), Equipment constraints / low availability, Material supply / logistics &amp; market disruption</x:v>
      </x:c>
      <x:c r="H97" s="3" t="str">
        <x:v>Cost overrun mainly linked to resource inefficiency (materials/labor/energy); schedule overrun mainly linked to resource inefficiency (materials/labor/energy).</x:v>
      </x:c>
    </x:row>
    <x:row r="98" ht="82.05000305175781" customHeight="1">
      <x:c r="A98" s="3" t="str">
        <x:v>PJT_97</x:v>
      </x:c>
      <x:c r="B98" s="3" t="str">
        <x:v>Planning &amp; estimation / coordination complexity</x:v>
      </x:c>
      <x:c r="C98" s="3" t="str">
        <x:v>Material supply / logistics &amp; market disruption</x:v>
      </x:c>
      <x:c r="D98" s="3" t="str">
        <x:v>Planning &amp; estimation / coordination complexity, Material supply / logistics &amp; market disruption, Resource inefficiency (materials/labor/energy)</x:v>
      </x:c>
      <x:c r="E98" s="3" t="str">
        <x:v>Resource inefficiency (materials/labor/energy)</x:v>
      </x:c>
      <x:c r="F98" s="3" t="str">
        <x:v>Planning &amp; estimation / coordination complexity</x:v>
      </x:c>
      <x:c r="G98" s="3" t="str">
        <x:v>Resource inefficiency (materials/labor/energy), Planning &amp; estimation / coordination complexity, Equipment constraints / low availability</x:v>
      </x:c>
      <x:c r="H98" s="3" t="str">
        <x:v>Cost overrun mainly linked to planning &amp; estimation / coordination complexity; schedule overrun mainly linked to resource inefficiency (materials/labor/energy).</x:v>
      </x:c>
    </x:row>
    <x:row r="99" ht="95.69999694824219" customHeight="1">
      <x:c r="A99" s="3" t="str">
        <x:v>PJT_98</x:v>
      </x:c>
      <x:c r="B99" s="3" t="str">
        <x:v>Material supply / logistics &amp; market disruption</x:v>
      </x:c>
      <x:c r="C99" s="3" t="str">
        <x:v>Planning &amp; estimation / coordination complexity</x:v>
      </x:c>
      <x:c r="D99" s="3" t="str">
        <x:v>Material supply / logistics &amp; market disruption, Planning &amp; estimation / coordination complexity, Safety incidents &amp; stop-work disruptions</x:v>
      </x:c>
      <x:c r="E99" s="3" t="str">
        <x:v>Weather disruption / environmental constraints</x:v>
      </x:c>
      <x:c r="F99" s="3" t="str">
        <x:v>Safety incidents &amp; stop-work disruptions</x:v>
      </x:c>
      <x:c r="G99" s="3" t="str">
        <x:v>Weather disruption / environmental constraints, Safety incidents &amp; stop-work disruptions, Planning &amp; estimation / coordination complexity</x:v>
      </x:c>
      <x:c r="H99" s="3" t="str">
        <x:v>Cost overrun mainly linked to material supply / logistics &amp; market disruption; schedule overrun mainly linked to weather disruption / environmental constraints.</x:v>
      </x:c>
    </x:row>
    <x:row r="100" ht="95.69999694824219" customHeight="1">
      <x:c r="A100" s="3" t="str">
        <x:v>PJT_99</x:v>
      </x:c>
      <x:c r="B100" s="3" t="str">
        <x:v>Material supply / logistics &amp; market disruption</x:v>
      </x:c>
      <x:c r="C100" s="3" t="str">
        <x:v>Unforeseen site/structural issues &amp; rework</x:v>
      </x:c>
      <x:c r="D100" s="3" t="str">
        <x:v>Material supply / logistics &amp; market disruption, Unforeseen site/structural issues &amp; rework, Planning &amp; estimation / coordination complexity</x:v>
      </x:c>
      <x:c r="E100" s="3" t="str">
        <x:v>Weather disruption / environmental constraints</x:v>
      </x:c>
      <x:c r="F100" s="3" t="str">
        <x:v>Equipment constraints / low availability</x:v>
      </x:c>
      <x:c r="G100" s="3" t="str">
        <x:v>Weather disruption / environmental constraints, Equipment constraints / low availability, Resource inefficiency (materials/labor/energy)</x:v>
      </x:c>
      <x:c r="H100" s="3" t="str">
        <x:v>Cost overrun mainly linked to material supply / logistics &amp; market disruption; schedule overrun mainly linked to weather disruption / environmental constraints.</x:v>
      </x:c>
    </x:row>
    <x:row r="101" ht="95.69999694824219" customHeight="1">
      <x:c r="A101" s="3" t="str">
        <x:v>PJT_100</x:v>
      </x:c>
      <x:c r="B101" s="3" t="str">
        <x:v>Material supply / logistics &amp; market disruption</x:v>
      </x:c>
      <x:c r="C101" s="3" t="str">
        <x:v>Unforeseen site/structural issues &amp; rework</x:v>
      </x:c>
      <x:c r="D101" s="3" t="str">
        <x:v>Material supply / logistics &amp; market disruption, Unforeseen site/structural issues &amp; rework, Resource inefficiency (materials/labor/energy)</x:v>
      </x:c>
      <x:c r="E101" s="3" t="str">
        <x:v>Resource inefficiency (materials/labor/energy)</x:v>
      </x:c>
      <x:c r="F101" s="3" t="str">
        <x:v>Equipment constraints / low availability</x:v>
      </x:c>
      <x:c r="G101" s="3" t="str">
        <x:v>Resource inefficiency (materials/labor/energy), Equipment constraints / low availability, Weather disruption / environmental constraints</x:v>
      </x:c>
      <x:c r="H101" s="3" t="str">
        <x:v>Cost overrun mainly linked to material supply / logistics &amp; market disruption; schedule overrun mainly linked to resource inefficiency (materials/labor/energy).</x:v>
      </x:c>
    </x:row>
    <x:row r="102" ht="95.69999694824219" customHeight="1">
      <x:c r="A102" s="3" t="str">
        <x:v>PJT_101</x:v>
      </x:c>
      <x:c r="B102" s="3" t="str">
        <x:v>Material supply / logistics &amp; market disruption</x:v>
      </x:c>
      <x:c r="C102" s="3" t="str">
        <x:v>Resource inefficiency (materials/labor/energy)</x:v>
      </x:c>
      <x:c r="D102" s="3" t="str">
        <x:v>Material supply / logistics &amp; market disruption, Resource inefficiency (materials/labor/energy), Unforeseen site/structural issues &amp; rework</x:v>
      </x:c>
      <x:c r="E102" s="3" t="str">
        <x:v>Resource inefficiency (materials/labor/energy)</x:v>
      </x:c>
      <x:c r="F102" s="3" t="str">
        <x:v>Equipment constraints / low availability</x:v>
      </x:c>
      <x:c r="G102" s="3" t="str">
        <x:v>Resource inefficiency (materials/labor/energy), Equipment constraints / low availability, Unforeseen site/structural issues &amp; rework</x:v>
      </x:c>
      <x:c r="H102" s="3" t="str">
        <x:v>Cost overrun mainly linked to material supply / logistics &amp; market disruption; schedule overrun mainly linked to resource inefficiency (materials/labor/energy).</x:v>
      </x:c>
    </x:row>
    <x:row r="103" ht="95.69999694824219" customHeight="1">
      <x:c r="A103" s="3" t="str">
        <x:v>PJT_102</x:v>
      </x:c>
      <x:c r="B103" s="3" t="str">
        <x:v>Material supply / logistics &amp; market disruption</x:v>
      </x:c>
      <x:c r="C103" s="3" t="str">
        <x:v>Unforeseen site/structural issues &amp; rework</x:v>
      </x:c>
      <x:c r="D103" s="3" t="str">
        <x:v>Material supply / logistics &amp; market disruption, Unforeseen site/structural issues &amp; rework, Resource inefficiency (materials/labor/energy)</x:v>
      </x:c>
      <x:c r="E103" s="3" t="str">
        <x:v>Equipment constraints / low availability</x:v>
      </x:c>
      <x:c r="F103" s="3" t="str">
        <x:v>Weather disruption / environmental constraints</x:v>
      </x:c>
      <x:c r="G103" s="3" t="str">
        <x:v>Equipment constraints / low availability, Weather disruption / environmental constraints, Resource inefficiency (materials/labor/energy)</x:v>
      </x:c>
      <x:c r="H103" s="3" t="str">
        <x:v>Cost overrun mainly linked to material supply / logistics &amp; market disruption; schedule overrun mainly linked to equipment constraints / low availability.</x:v>
      </x:c>
    </x:row>
    <x:row r="104" ht="95.69999694824219" customHeight="1">
      <x:c r="A104" s="3" t="str">
        <x:v>PJT_103</x:v>
      </x:c>
      <x:c r="B104" s="3" t="str">
        <x:v>Planning &amp; estimation / coordination complexity</x:v>
      </x:c>
      <x:c r="C104" s="3" t="str">
        <x:v>Unforeseen site/structural issues &amp; rework</x:v>
      </x:c>
      <x:c r="D104" s="3" t="str">
        <x:v>Planning &amp; estimation / coordination complexity, Unforeseen site/structural issues &amp; rework, Material supply / logistics &amp; market disruption</x:v>
      </x:c>
      <x:c r="E104" s="3" t="str">
        <x:v>Planning &amp; estimation / coordination complexity</x:v>
      </x:c>
      <x:c r="F104" s="3" t="str">
        <x:v>Weather disruption / environmental constraints</x:v>
      </x:c>
      <x:c r="G104" s="3" t="str">
        <x:v>Planning &amp; estimation / coordination complexity, Weather disruption / environmental constraints, Resource inefficiency (materials/labor/energy)</x:v>
      </x:c>
      <x:c r="H104" s="3" t="str">
        <x:v>Cost overrun mainly linked to planning &amp; estimation / coordination complexity; schedule overrun mainly linked to planning &amp; estimation / coordination complexity.</x:v>
      </x:c>
    </x:row>
    <x:row r="105" ht="82.05000305175781" customHeight="1">
      <x:c r="A105" s="3" t="str">
        <x:v>PJT_104</x:v>
      </x:c>
      <x:c r="B105" s="3" t="str">
        <x:v>Material supply / logistics &amp; market disruption</x:v>
      </x:c>
      <x:c r="C105" s="3" t="str">
        <x:v>Planning &amp; estimation / coordination complexity</x:v>
      </x:c>
      <x:c r="D105" s="3" t="str">
        <x:v>Material supply / logistics &amp; market disruption, Planning &amp; estimation / coordination complexity, Resource inefficiency (materials/labor/energy)</x:v>
      </x:c>
      <x:c r="E105" s="3" t="str">
        <x:v>Resource inefficiency (materials/labor/energy)</x:v>
      </x:c>
      <x:c r="F105" s="3" t="str">
        <x:v>Planning &amp; estimation / coordination complexity</x:v>
      </x:c>
      <x:c r="G105" s="3" t="str">
        <x:v>Resource inefficiency (materials/labor/energy), Planning &amp; estimation / coordination complexity, Material supply / logistics &amp; market disruption</x:v>
      </x:c>
      <x:c r="H105" s="3" t="str">
        <x:v>Cost overrun mainly linked to material supply / logistics &amp; market disruption; schedule overrun mainly linked to resource inefficiency (materials/labor/energy).</x:v>
      </x:c>
    </x:row>
    <x:row r="106" ht="109.3499984741211" customHeight="1">
      <x:c r="A106" s="3" t="str">
        <x:v>PJT_105</x:v>
      </x:c>
      <x:c r="B106" s="3" t="str">
        <x:v>Material supply / logistics &amp; market disruption</x:v>
      </x:c>
      <x:c r="C106" s="3" t="str">
        <x:v>Weather disruption / environmental constraints</x:v>
      </x:c>
      <x:c r="D106" s="3" t="str">
        <x:v>Material supply / logistics &amp; market disruption, Weather disruption / environmental constraints, Unforeseen site/structural issues &amp; rework</x:v>
      </x:c>
      <x:c r="E106" s="3" t="str">
        <x:v>Weather disruption / environmental constraints</x:v>
      </x:c>
      <x:c r="F106" s="3" t="str">
        <x:v>Material supply / logistics &amp; market disruption</x:v>
      </x:c>
      <x:c r="G106" s="3" t="str">
        <x:v>Weather disruption / environmental constraints, Material supply / logistics &amp; market disruption, Unforeseen site/structural issues &amp; rework</x:v>
      </x:c>
      <x:c r="H106" s="3" t="str">
        <x:v>Cost overrun mainly linked to material supply / logistics &amp; market disruption; schedule overrun mainly linked to weather disruption / environmental constraints.</x:v>
      </x:c>
    </x:row>
    <x:row r="107" ht="82.05000305175781" customHeight="1">
      <x:c r="A107" s="3" t="str">
        <x:v>PJT_106</x:v>
      </x:c>
      <x:c r="B107" s="3" t="str">
        <x:v>Planning &amp; estimation / coordination complexity</x:v>
      </x:c>
      <x:c r="C107" s="3" t="str">
        <x:v>Resource inefficiency (materials/labor/energy)</x:v>
      </x:c>
      <x:c r="D107" s="3" t="str">
        <x:v>Planning &amp; estimation / coordination complexity, Resource inefficiency (materials/labor/energy), Material supply / logistics &amp; market disruption</x:v>
      </x:c>
      <x:c r="E107" s="3" t="str">
        <x:v>Resource inefficiency (materials/labor/energy)</x:v>
      </x:c>
      <x:c r="F107" s="3" t="str">
        <x:v>Equipment constraints / low availability</x:v>
      </x:c>
      <x:c r="G107" s="3" t="str">
        <x:v>Resource inefficiency (materials/labor/energy), Equipment constraints / low availability, Planning &amp; estimation / coordination complexity</x:v>
      </x:c>
      <x:c r="H107" s="3" t="str">
        <x:v>Cost overrun mainly linked to planning &amp; estimation / coordination complexity; schedule overrun mainly linked to resource inefficiency (materials/labor/energy).</x:v>
      </x:c>
    </x:row>
    <x:row r="108" ht="95.69999694824219" customHeight="1">
      <x:c r="A108" s="3" t="str">
        <x:v>PJT_107</x:v>
      </x:c>
      <x:c r="B108" s="3" t="str">
        <x:v>Material supply / logistics &amp; market disruption</x:v>
      </x:c>
      <x:c r="C108" s="3" t="str">
        <x:v>Resource inefficiency (materials/labor/energy)</x:v>
      </x:c>
      <x:c r="D108" s="3" t="str">
        <x:v>Material supply / logistics &amp; market disruption, Resource inefficiency (materials/labor/energy), Planning &amp; estimation / coordination complexity</x:v>
      </x:c>
      <x:c r="E108" s="3" t="str">
        <x:v>Weather disruption / environmental constraints</x:v>
      </x:c>
      <x:c r="F108" s="3" t="str">
        <x:v>Resource inefficiency (materials/labor/energy)</x:v>
      </x:c>
      <x:c r="G108" s="3" t="str">
        <x:v>Weather disruption / environmental constraints, Resource inefficiency (materials/labor/energy), Material supply / logistics &amp; market disruption</x:v>
      </x:c>
      <x:c r="H108" s="3" t="str">
        <x:v>Cost overrun mainly linked to material supply / logistics &amp; market disruption; schedule overrun mainly linked to weather disruption / environmental constraints.</x:v>
      </x:c>
    </x:row>
    <x:row r="109" ht="95.69999694824219" customHeight="1">
      <x:c r="A109" s="3" t="str">
        <x:v>PJT_108</x:v>
      </x:c>
      <x:c r="B109" s="3" t="str">
        <x:v>Material supply / logistics &amp; market disruption</x:v>
      </x:c>
      <x:c r="C109" s="3" t="str">
        <x:v>Planning &amp; estimation / coordination complexity</x:v>
      </x:c>
      <x:c r="D109" s="3" t="str">
        <x:v>Material supply / logistics &amp; market disruption, Planning &amp; estimation / coordination complexity, Resource inefficiency (materials/labor/energy)</x:v>
      </x:c>
      <x:c r="E109" s="3" t="str">
        <x:v>Resource inefficiency (materials/labor/energy)</x:v>
      </x:c>
      <x:c r="F109" s="3" t="str">
        <x:v>Weather disruption / environmental constraints</x:v>
      </x:c>
      <x:c r="G109" s="3" t="str">
        <x:v>Resource inefficiency (materials/labor/energy), Weather disruption / environmental constraints, Planning &amp; estimation / coordination complexity</x:v>
      </x:c>
      <x:c r="H109" s="3" t="str">
        <x:v>Cost overrun mainly linked to material supply / logistics &amp; market disruption; schedule overrun mainly linked to resource inefficiency (materials/labor/energy).</x:v>
      </x:c>
    </x:row>
    <x:row r="110" ht="95.69999694824219" customHeight="1">
      <x:c r="A110" s="3" t="str">
        <x:v>PJT_109</x:v>
      </x:c>
      <x:c r="B110" s="3" t="str">
        <x:v>Planning &amp; estimation / coordination complexity</x:v>
      </x:c>
      <x:c r="C110" s="3" t="str">
        <x:v>Unforeseen site/structural issues &amp; rework</x:v>
      </x:c>
      <x:c r="D110" s="3" t="str">
        <x:v>Planning &amp; estimation / coordination complexity, Unforeseen site/structural issues &amp; rework, Safety incidents &amp; stop-work disruptions</x:v>
      </x:c>
      <x:c r="E110" s="3" t="str">
        <x:v>Planning &amp; estimation / coordination complexity</x:v>
      </x:c>
      <x:c r="F110" s="3" t="str">
        <x:v>Safety incidents &amp; stop-work disruptions</x:v>
      </x:c>
      <x:c r="G110" s="3" t="str">
        <x:v>Planning &amp; estimation / coordination complexity, Safety incidents &amp; stop-work disruptions, Unforeseen site/structural issues &amp; rework</x:v>
      </x:c>
      <x:c r="H110" s="3" t="str">
        <x:v>Cost overrun mainly linked to planning &amp; estimation / coordination complexity; schedule overrun mainly linked to planning &amp; estimation / coordination complexity.</x:v>
      </x:c>
    </x:row>
    <x:row r="111" ht="95.69999694824219" customHeight="1">
      <x:c r="A111" s="3" t="str">
        <x:v>PJT_110</x:v>
      </x:c>
      <x:c r="B111" s="3" t="str">
        <x:v>Material supply / logistics &amp; market disruption</x:v>
      </x:c>
      <x:c r="C111" s="3" t="str">
        <x:v>Planning &amp; estimation / coordination complexity</x:v>
      </x:c>
      <x:c r="D111" s="3" t="str">
        <x:v>Material supply / logistics &amp; market disruption, Planning &amp; estimation / coordination complexity, Resource inefficiency (materials/labor/energy)</x:v>
      </x:c>
      <x:c r="E111" s="3" t="str">
        <x:v>Weather disruption / environmental constraints</x:v>
      </x:c>
      <x:c r="F111" s="3" t="str">
        <x:v>Material supply / logistics &amp; market disruption</x:v>
      </x:c>
      <x:c r="G111" s="3" t="str">
        <x:v>Weather disruption / environmental constraints, Material supply / logistics &amp; market disruption, Resource inefficiency (materials/labor/energy)</x:v>
      </x:c>
      <x:c r="H111" s="3" t="str">
        <x:v>Cost overrun mainly linked to material supply / logistics &amp; market disruption; schedule overrun mainly linked to weather disruption / environmental constraints.</x:v>
      </x:c>
    </x:row>
    <x:row r="112" ht="95.69999694824219" customHeight="1">
      <x:c r="A112" s="3" t="str">
        <x:v>PJT_111</x:v>
      </x:c>
      <x:c r="B112" s="3" t="str">
        <x:v>Unforeseen site/structural issues &amp; rework</x:v>
      </x:c>
      <x:c r="C112" s="3" t="str">
        <x:v>Material supply / logistics &amp; market disruption</x:v>
      </x:c>
      <x:c r="D112" s="3" t="str">
        <x:v>Unforeseen site/structural issues &amp; rework, Material supply / logistics &amp; market disruption, Equipment constraints / low availability</x:v>
      </x:c>
      <x:c r="E112" s="3" t="str">
        <x:v>Equipment constraints / low availability</x:v>
      </x:c>
      <x:c r="F112" s="3" t="str">
        <x:v>Resource inefficiency (materials/labor/energy)</x:v>
      </x:c>
      <x:c r="G112" s="3" t="str">
        <x:v>Equipment constraints / low availability, Resource inefficiency (materials/labor/energy), Unforeseen site/structural issues &amp; rework</x:v>
      </x:c>
      <x:c r="H112" s="3" t="str">
        <x:v>Cost overrun mainly linked to unforeseen site/structural issues &amp; rework; schedule overrun mainly linked to equipment constraints / low availability.</x:v>
      </x:c>
    </x:row>
    <x:row r="113" ht="95.69999694824219" customHeight="1">
      <x:c r="A113" s="3" t="str">
        <x:v>PJT_112</x:v>
      </x:c>
      <x:c r="B113" s="3" t="str">
        <x:v>Unforeseen site/structural issues &amp; rework</x:v>
      </x:c>
      <x:c r="C113" s="3" t="str">
        <x:v>Planning &amp; estimation / coordination complexity</x:v>
      </x:c>
      <x:c r="D113" s="3" t="str">
        <x:v>Unforeseen site/structural issues &amp; rework, Planning &amp; estimation / coordination complexity, Material supply / logistics &amp; market disruption</x:v>
      </x:c>
      <x:c r="E113" s="3" t="str">
        <x:v>Weather disruption / environmental constraints</x:v>
      </x:c>
      <x:c r="F113" s="3" t="str">
        <x:v>Planning &amp; estimation / coordination complexity</x:v>
      </x:c>
      <x:c r="G113" s="3" t="str">
        <x:v>Weather disruption / environmental constraints, Planning &amp; estimation / coordination complexity, Unforeseen site/structural issues &amp; rework</x:v>
      </x:c>
      <x:c r="H113" s="3" t="str">
        <x:v>Cost overrun mainly linked to unforeseen site/structural issues &amp; rework; schedule overrun mainly linked to weather disruption / environmental constraints.</x:v>
      </x:c>
    </x:row>
    <x:row r="114" ht="82.05000305175781" customHeight="1">
      <x:c r="A114" s="3" t="str">
        <x:v>PJT_113</x:v>
      </x:c>
      <x:c r="B114" s="3" t="str">
        <x:v>Material supply / logistics &amp; market disruption</x:v>
      </x:c>
      <x:c r="C114" s="3" t="str">
        <x:v>Resource inefficiency (materials/labor/energy)</x:v>
      </x:c>
      <x:c r="D114" s="3" t="str">
        <x:v>Material supply / logistics &amp; market disruption, Resource inefficiency (materials/labor/energy), Planning &amp; estimation / coordination complexity</x:v>
      </x:c>
      <x:c r="E114" s="3" t="str">
        <x:v>Resource inefficiency (materials/labor/energy)</x:v>
      </x:c>
      <x:c r="F114" s="3" t="str">
        <x:v>Material supply / logistics &amp; market disruption</x:v>
      </x:c>
      <x:c r="G114" s="3" t="str">
        <x:v>Resource inefficiency (materials/labor/energy), Material supply / logistics &amp; market disruption, Planning &amp; estimation / coordination complexity</x:v>
      </x:c>
      <x:c r="H114" s="3" t="str">
        <x:v>Cost overrun mainly linked to material supply / logistics &amp; market disruption; schedule overrun mainly linked to resource inefficiency (materials/labor/energy).</x:v>
      </x:c>
    </x:row>
    <x:row r="115" ht="82.05000305175781" customHeight="1">
      <x:c r="A115" s="3" t="str">
        <x:v>PJT_114</x:v>
      </x:c>
      <x:c r="B115" s="3" t="str">
        <x:v>Equipment constraints / low availability</x:v>
      </x:c>
      <x:c r="C115" s="3" t="str">
        <x:v>Resource inefficiency (materials/labor/energy)</x:v>
      </x:c>
      <x:c r="D115" s="3" t="str">
        <x:v>Equipment constraints / low availability, Resource inefficiency (materials/labor/energy), Planning &amp; estimation / coordination complexity</x:v>
      </x:c>
      <x:c r="E115" s="3" t="str">
        <x:v>Equipment constraints / low availability</x:v>
      </x:c>
      <x:c r="F115" s="3" t="str">
        <x:v>Resource inefficiency (materials/labor/energy)</x:v>
      </x:c>
      <x:c r="G115" s="3" t="str">
        <x:v>Equipment constraints / low availability, Resource inefficiency (materials/labor/energy), Planning &amp; estimation / coordination complexity</x:v>
      </x:c>
      <x:c r="H115" s="3" t="str">
        <x:v>Cost overrun mainly linked to equipment constraints / low availability; schedule overrun mainly linked to equipment constraints / low availability.</x:v>
      </x:c>
    </x:row>
    <x:row r="116" ht="82.05000305175781" customHeight="1">
      <x:c r="A116" s="3" t="str">
        <x:v>PJT_115</x:v>
      </x:c>
      <x:c r="B116" s="3" t="str">
        <x:v>Material supply / logistics &amp; market disruption</x:v>
      </x:c>
      <x:c r="C116" s="3" t="str">
        <x:v>Resource inefficiency (materials/labor/energy)</x:v>
      </x:c>
      <x:c r="D116" s="3" t="str">
        <x:v>Material supply / logistics &amp; market disruption, Resource inefficiency (materials/labor/energy), Planning &amp; estimation / coordination complexity</x:v>
      </x:c>
      <x:c r="E116" s="3" t="str">
        <x:v>Resource inefficiency (materials/labor/energy)</x:v>
      </x:c>
      <x:c r="F116" s="3" t="str">
        <x:v>Equipment constraints / low availability</x:v>
      </x:c>
      <x:c r="G116" s="3" t="str">
        <x:v>Resource inefficiency (materials/labor/energy), Equipment constraints / low availability, Planning &amp; estimation / coordination complexity</x:v>
      </x:c>
      <x:c r="H116" s="3" t="str">
        <x:v>Cost overrun mainly linked to material supply / logistics &amp; market disruption; schedule overrun mainly linked to resource inefficiency (materials/labor/energy).</x:v>
      </x:c>
    </x:row>
    <x:row r="117" ht="95.69999694824219" customHeight="1">
      <x:c r="A117" s="3" t="str">
        <x:v>PJT_116</x:v>
      </x:c>
      <x:c r="B117" s="3" t="str">
        <x:v>Unforeseen site/structural issues &amp; rework</x:v>
      </x:c>
      <x:c r="C117" s="3" t="str">
        <x:v>Material supply / logistics &amp; market disruption</x:v>
      </x:c>
      <x:c r="D117" s="3" t="str">
        <x:v>Unforeseen site/structural issues &amp; rework, Material supply / logistics &amp; market disruption, Planning &amp; estimation / coordination complexity</x:v>
      </x:c>
      <x:c r="E117" s="3" t="str">
        <x:v>Weather disruption / environmental constraints</x:v>
      </x:c>
      <x:c r="F117" s="3" t="str">
        <x:v>Unforeseen site/structural issues &amp; rework</x:v>
      </x:c>
      <x:c r="G117" s="3" t="str">
        <x:v>Weather disruption / environmental constraints, Unforeseen site/structural issues &amp; rework, Equipment constraints / low availability</x:v>
      </x:c>
      <x:c r="H117" s="3" t="str">
        <x:v>Cost overrun mainly linked to unforeseen site/structural issues &amp; rework; schedule overrun mainly linked to weather disruption / environmental constraints.</x:v>
      </x:c>
    </x:row>
    <x:row r="118" ht="109.3499984741211" customHeight="1">
      <x:c r="A118" s="3" t="str">
        <x:v>PJT_117</x:v>
      </x:c>
      <x:c r="B118" s="3" t="str">
        <x:v>Unforeseen site/structural issues &amp; rework</x:v>
      </x:c>
      <x:c r="C118" s="3" t="str">
        <x:v>Material supply / logistics &amp; market disruption</x:v>
      </x:c>
      <x:c r="D118" s="3" t="str">
        <x:v>Unforeseen site/structural issues &amp; rework, Material supply / logistics &amp; market disruption, Planning &amp; estimation / coordination complexity</x:v>
      </x:c>
      <x:c r="E118" s="3" t="str">
        <x:v>Unforeseen site/structural issues &amp; rework</x:v>
      </x:c>
      <x:c r="F118" s="3" t="str">
        <x:v>Weather disruption / environmental constraints</x:v>
      </x:c>
      <x:c r="G118" s="3" t="str">
        <x:v>Unforeseen site/structural issues &amp; rework, Weather disruption / environmental constraints, Equipment constraints / low availability</x:v>
      </x:c>
      <x:c r="H118" s="3" t="str">
        <x:v>Cost overrun mainly linked to unforeseen site/structural issues &amp; rework; schedule overrun mainly linked to unforeseen site/structural issues &amp; rework.</x:v>
      </x:c>
    </x:row>
    <x:row r="119" ht="95.69999694824219" customHeight="1">
      <x:c r="A119" s="3" t="str">
        <x:v>PJT_118</x:v>
      </x:c>
      <x:c r="B119" s="3" t="str">
        <x:v>Unforeseen site/structural issues &amp; rework</x:v>
      </x:c>
      <x:c r="C119" s="3" t="str">
        <x:v>Equipment constraints / low availability</x:v>
      </x:c>
      <x:c r="D119" s="3" t="str">
        <x:v>Unforeseen site/structural issues &amp; rework, Equipment constraints / low availability, Resource inefficiency (materials/labor/energy)</x:v>
      </x:c>
      <x:c r="E119" s="3" t="str">
        <x:v>Equipment constraints / low availability</x:v>
      </x:c>
      <x:c r="F119" s="3" t="str">
        <x:v>Resource inefficiency (materials/labor/energy)</x:v>
      </x:c>
      <x:c r="G119" s="3" t="str">
        <x:v>Equipment constraints / low availability, Resource inefficiency (materials/labor/energy), Planning &amp; estimation / coordination complexity</x:v>
      </x:c>
      <x:c r="H119" s="3" t="str">
        <x:v>Cost overrun mainly linked to unforeseen site/structural issues &amp; rework; schedule overrun mainly linked to equipment constraints / low availability.</x:v>
      </x:c>
    </x:row>
    <x:row r="120" ht="95.69999694824219" customHeight="1">
      <x:c r="A120" s="3" t="str">
        <x:v>PJT_119</x:v>
      </x:c>
      <x:c r="B120" s="3" t="str">
        <x:v>Unforeseen site/structural issues &amp; rework</x:v>
      </x:c>
      <x:c r="C120" s="3" t="str">
        <x:v>Material supply / logistics &amp; market disruption</x:v>
      </x:c>
      <x:c r="D120" s="3" t="str">
        <x:v>Unforeseen site/structural issues &amp; rework, Material supply / logistics &amp; market disruption, Resource inefficiency (materials/labor/energy)</x:v>
      </x:c>
      <x:c r="E120" s="3" t="str">
        <x:v>Equipment constraints / low availability</x:v>
      </x:c>
      <x:c r="F120" s="3" t="str">
        <x:v>Resource inefficiency (materials/labor/energy)</x:v>
      </x:c>
      <x:c r="G120" s="3" t="str">
        <x:v>Equipment constraints / low availability, Resource inefficiency (materials/labor/energy), Unforeseen site/structural issues &amp; rework</x:v>
      </x:c>
      <x:c r="H120" s="3" t="str">
        <x:v>Cost overrun mainly linked to unforeseen site/structural issues &amp; rework; schedule overrun mainly linked to equipment constraints / low availability.</x:v>
      </x:c>
    </x:row>
    <x:row r="121" ht="82.05000305175781" customHeight="1">
      <x:c r="A121" s="3" t="str">
        <x:v>PJT_120</x:v>
      </x:c>
      <x:c r="B121" s="3" t="str">
        <x:v>Planning &amp; estimation / coordination complexity</x:v>
      </x:c>
      <x:c r="C121" s="3" t="str">
        <x:v>Material supply / logistics &amp; market disruption</x:v>
      </x:c>
      <x:c r="D121" s="3" t="str">
        <x:v>Planning &amp; estimation / coordination complexity, Material supply / logistics &amp; market disruption, Resource inefficiency (materials/labor/energy)</x:v>
      </x:c>
      <x:c r="E121" s="3" t="str">
        <x:v>Resource inefficiency (materials/labor/energy)</x:v>
      </x:c>
      <x:c r="F121" s="3" t="str">
        <x:v>Equipment constraints / low availability</x:v>
      </x:c>
      <x:c r="G121" s="3" t="str">
        <x:v>Resource inefficiency (materials/labor/energy), Equipment constraints / low availability, Planning &amp; estimation / coordination complexity</x:v>
      </x:c>
      <x:c r="H121" s="3" t="str">
        <x:v>Cost overrun mainly linked to planning &amp; estimation / coordination complexity; schedule overrun mainly linked to resource inefficiency (materials/labor/energy).</x:v>
      </x:c>
    </x:row>
    <x:row r="122" ht="95.69999694824219" customHeight="1">
      <x:c r="A122" s="3" t="str">
        <x:v>PJT_121</x:v>
      </x:c>
      <x:c r="B122" s="3" t="str">
        <x:v>Unforeseen site/structural issues &amp; rework</x:v>
      </x:c>
      <x:c r="C122" s="3" t="str">
        <x:v>Material supply / logistics &amp; market disruption</x:v>
      </x:c>
      <x:c r="D122" s="3" t="str">
        <x:v>Unforeseen site/structural issues &amp; rework, Material supply / logistics &amp; market disruption, Safety incidents &amp; stop-work disruptions</x:v>
      </x:c>
      <x:c r="E122" s="3" t="str">
        <x:v>Unforeseen site/structural issues &amp; rework</x:v>
      </x:c>
      <x:c r="F122" s="3" t="str">
        <x:v>Equipment constraints / low availability</x:v>
      </x:c>
      <x:c r="G122" s="3" t="str">
        <x:v>Unforeseen site/structural issues &amp; rework, Equipment constraints / low availability, Safety incidents &amp; stop-work disruptions</x:v>
      </x:c>
      <x:c r="H122" s="3" t="str">
        <x:v>Cost overrun mainly linked to unforeseen site/structural issues &amp; rework; schedule overrun mainly linked to unforeseen site/structural issues &amp; rework.</x:v>
      </x:c>
    </x:row>
    <x:row r="123" ht="95.69999694824219" customHeight="1">
      <x:c r="A123" s="3" t="str">
        <x:v>PJT_122</x:v>
      </x:c>
      <x:c r="B123" s="3" t="str">
        <x:v>Planning &amp; estimation / coordination complexity</x:v>
      </x:c>
      <x:c r="C123" s="3" t="str">
        <x:v>Resource inefficiency (materials/labor/energy)</x:v>
      </x:c>
      <x:c r="D123" s="3" t="str">
        <x:v>Planning &amp; estimation / coordination complexity, Resource inefficiency (materials/labor/energy), Unforeseen site/structural issues &amp; rework</x:v>
      </x:c>
      <x:c r="E123" s="3" t="str">
        <x:v>Resource inefficiency (materials/labor/energy)</x:v>
      </x:c>
      <x:c r="F123" s="3" t="str">
        <x:v>Equipment constraints / low availability</x:v>
      </x:c>
      <x:c r="G123" s="3" t="str">
        <x:v>Resource inefficiency (materials/labor/energy), Equipment constraints / low availability, Planning &amp; estimation / coordination complexity</x:v>
      </x:c>
      <x:c r="H123" s="3" t="str">
        <x:v>Cost overrun mainly linked to planning &amp; estimation / coordination complexity; schedule overrun mainly linked to resource inefficiency (materials/labor/energy).</x:v>
      </x:c>
    </x:row>
    <x:row r="124" ht="95.69999694824219" customHeight="1">
      <x:c r="A124" s="3" t="str">
        <x:v>PJT_123</x:v>
      </x:c>
      <x:c r="B124" s="3" t="str">
        <x:v>Planning &amp; estimation / coordination complexity</x:v>
      </x:c>
      <x:c r="C124" s="3" t="str">
        <x:v>Material supply / logistics &amp; market disruption</x:v>
      </x:c>
      <x:c r="D124" s="3" t="str">
        <x:v>Planning &amp; estimation / coordination complexity, Material supply / logistics &amp; market disruption, Unforeseen site/structural issues &amp; rework</x:v>
      </x:c>
      <x:c r="E124" s="3" t="str">
        <x:v>Resource inefficiency (materials/labor/energy)</x:v>
      </x:c>
      <x:c r="F124" s="3" t="str">
        <x:v>Equipment constraints / low availability</x:v>
      </x:c>
      <x:c r="G124" s="3" t="str">
        <x:v>Resource inefficiency (materials/labor/energy), Equipment constraints / low availability, Planning &amp; estimation / coordination complexity</x:v>
      </x:c>
      <x:c r="H124" s="3" t="str">
        <x:v>Cost overrun mainly linked to planning &amp; estimation / coordination complexity; schedule overrun mainly linked to resource inefficiency (materials/labor/energy).</x:v>
      </x:c>
    </x:row>
    <x:row r="125" ht="82.05000305175781" customHeight="1">
      <x:c r="A125" s="3" t="str">
        <x:v>PJT_124</x:v>
      </x:c>
      <x:c r="B125" s="3" t="str">
        <x:v>Planning &amp; estimation / coordination complexity</x:v>
      </x:c>
      <x:c r="C125" s="3" t="str">
        <x:v>Resource inefficiency (materials/labor/energy)</x:v>
      </x:c>
      <x:c r="D125" s="3" t="str">
        <x:v>Planning &amp; estimation / coordination complexity, Resource inefficiency (materials/labor/energy), Equipment constraints / low availability</x:v>
      </x:c>
      <x:c r="E125" s="3" t="str">
        <x:v>Resource inefficiency (materials/labor/energy)</x:v>
      </x:c>
      <x:c r="F125" s="3" t="str">
        <x:v>Equipment constraints / low availability</x:v>
      </x:c>
      <x:c r="G125" s="3" t="str">
        <x:v>Resource inefficiency (materials/labor/energy), Equipment constraints / low availability, Planning &amp; estimation / coordination complexity</x:v>
      </x:c>
      <x:c r="H125" s="3" t="str">
        <x:v>Cost overrun mainly linked to planning &amp; estimation / coordination complexity; schedule overrun mainly linked to resource inefficiency (materials/labor/energy).</x:v>
      </x:c>
    </x:row>
    <x:row r="126" ht="95.69999694824219" customHeight="1">
      <x:c r="A126" s="3" t="str">
        <x:v>PJT_125</x:v>
      </x:c>
      <x:c r="B126" s="3" t="str">
        <x:v>Material supply / logistics &amp; market disruption</x:v>
      </x:c>
      <x:c r="C126" s="3" t="str">
        <x:v>Resource inefficiency (materials/labor/energy)</x:v>
      </x:c>
      <x:c r="D126" s="3" t="str">
        <x:v>Material supply / logistics &amp; market disruption, Resource inefficiency (materials/labor/energy), Planning &amp; estimation / coordination complexity</x:v>
      </x:c>
      <x:c r="E126" s="3" t="str">
        <x:v>Resource inefficiency (materials/labor/energy)</x:v>
      </x:c>
      <x:c r="F126" s="3" t="str">
        <x:v>Equipment constraints / low availability</x:v>
      </x:c>
      <x:c r="G126" s="3" t="str">
        <x:v>Resource inefficiency (materials/labor/energy), Equipment constraints / low availability, Weather disruption / environmental constraints</x:v>
      </x:c>
      <x:c r="H126" s="3" t="str">
        <x:v>Cost overrun mainly linked to material supply / logistics &amp; market disruption; schedule overrun mainly linked to resource inefficiency (materials/labor/energy).</x:v>
      </x:c>
    </x:row>
    <x:row r="127" ht="95.69999694824219" customHeight="1">
      <x:c r="A127" s="3" t="str">
        <x:v>PJT_126</x:v>
      </x:c>
      <x:c r="B127" s="3" t="str">
        <x:v>Planning &amp; estimation / coordination complexity</x:v>
      </x:c>
      <x:c r="C127" s="3" t="str">
        <x:v>Unforeseen site/structural issues &amp; rework</x:v>
      </x:c>
      <x:c r="D127" s="3" t="str">
        <x:v>Planning &amp; estimation / coordination complexity, Unforeseen site/structural issues &amp; rework, Resource inefficiency (materials/labor/energy)</x:v>
      </x:c>
      <x:c r="E127" s="3" t="str">
        <x:v>Resource inefficiency (materials/labor/energy)</x:v>
      </x:c>
      <x:c r="F127" s="3" t="str">
        <x:v>Equipment constraints / low availability</x:v>
      </x:c>
      <x:c r="G127" s="3" t="str">
        <x:v>Resource inefficiency (materials/labor/energy), Equipment constraints / low availability, Planning &amp; estimation / coordination complexity</x:v>
      </x:c>
      <x:c r="H127" s="3" t="str">
        <x:v>Cost overrun mainly linked to planning &amp; estimation / coordination complexity; schedule overrun mainly linked to resource inefficiency (materials/labor/energy).</x:v>
      </x:c>
    </x:row>
    <x:row r="128" ht="82.05000305175781" customHeight="1">
      <x:c r="A128" s="3" t="str">
        <x:v>PJT_127</x:v>
      </x:c>
      <x:c r="B128" s="3" t="str">
        <x:v>Planning &amp; estimation / coordination complexity</x:v>
      </x:c>
      <x:c r="C128" s="3" t="str">
        <x:v>Resource inefficiency (materials/labor/energy)</x:v>
      </x:c>
      <x:c r="D128" s="3" t="str">
        <x:v>Planning &amp; estimation / coordination complexity, Resource inefficiency (materials/labor/energy), Equipment constraints / low availability</x:v>
      </x:c>
      <x:c r="E128" s="3" t="str">
        <x:v>Resource inefficiency (materials/labor/energy)</x:v>
      </x:c>
      <x:c r="F128" s="3" t="str">
        <x:v>Equipment constraints / low availability</x:v>
      </x:c>
      <x:c r="G128" s="3" t="str">
        <x:v>Resource inefficiency (materials/labor/energy), Equipment constraints / low availability, Planning &amp; estimation / coordination complexity</x:v>
      </x:c>
      <x:c r="H128" s="3" t="str">
        <x:v>Cost overrun mainly linked to planning &amp; estimation / coordination complexity; schedule overrun mainly linked to resource inefficiency (materials/labor/energy).</x:v>
      </x:c>
    </x:row>
    <x:row r="129" ht="109.3499984741211" customHeight="1">
      <x:c r="A129" s="3" t="str">
        <x:v>PJT_128</x:v>
      </x:c>
      <x:c r="B129" s="3" t="str">
        <x:v>Unforeseen site/structural issues &amp; rework</x:v>
      </x:c>
      <x:c r="C129" s="3" t="str">
        <x:v>Planning &amp; estimation / coordination complexity</x:v>
      </x:c>
      <x:c r="D129" s="3" t="str">
        <x:v>Unforeseen site/structural issues &amp; rework, Planning &amp; estimation / coordination complexity, Material supply / logistics &amp; market disruption</x:v>
      </x:c>
      <x:c r="E129" s="3" t="str">
        <x:v>Unforeseen site/structural issues &amp; rework</x:v>
      </x:c>
      <x:c r="F129" s="3" t="str">
        <x:v>Planning &amp; estimation / coordination complexity</x:v>
      </x:c>
      <x:c r="G129" s="3" t="str">
        <x:v>Unforeseen site/structural issues &amp; rework, Planning &amp; estimation / coordination complexity, Weather disruption / environmental constraints</x:v>
      </x:c>
      <x:c r="H129" s="3" t="str">
        <x:v>Cost overrun mainly linked to unforeseen site/structural issues &amp; rework; schedule overrun mainly linked to unforeseen site/structural issues &amp; rework.</x:v>
      </x:c>
    </x:row>
    <x:row r="130" ht="95.69999694824219" customHeight="1">
      <x:c r="A130" s="3" t="str">
        <x:v>PJT_129</x:v>
      </x:c>
      <x:c r="B130" s="3" t="str">
        <x:v>Unforeseen site/structural issues &amp; rework</x:v>
      </x:c>
      <x:c r="C130" s="3" t="str">
        <x:v>Material supply / logistics &amp; market disruption</x:v>
      </x:c>
      <x:c r="D130" s="3" t="str">
        <x:v>Unforeseen site/structural issues &amp; rework, Material supply / logistics &amp; market disruption, Planning &amp; estimation / coordination complexity</x:v>
      </x:c>
      <x:c r="E130" s="3" t="str">
        <x:v>Weather disruption / environmental constraints</x:v>
      </x:c>
      <x:c r="F130" s="3" t="str">
        <x:v>Unforeseen site/structural issues &amp; rework</x:v>
      </x:c>
      <x:c r="G130" s="3" t="str">
        <x:v>Weather disruption / environmental constraints, Unforeseen site/structural issues &amp; rework, Planning &amp; estimation / coordination complexity</x:v>
      </x:c>
      <x:c r="H130" s="3" t="str">
        <x:v>Cost overrun mainly linked to unforeseen site/structural issues &amp; rework; schedule overrun mainly linked to weather disruption / environmental constraints.</x:v>
      </x:c>
    </x:row>
    <x:row r="131" ht="95.69999694824219" customHeight="1">
      <x:c r="A131" s="3" t="str">
        <x:v>PJT_130</x:v>
      </x:c>
      <x:c r="B131" s="3" t="str">
        <x:v>Unforeseen site/structural issues &amp; rework</x:v>
      </x:c>
      <x:c r="C131" s="3" t="str">
        <x:v>Equipment constraints / low availability</x:v>
      </x:c>
      <x:c r="D131" s="3" t="str">
        <x:v>Unforeseen site/structural issues &amp; rework, Equipment constraints / low availability, Material supply / logistics &amp; market disruption</x:v>
      </x:c>
      <x:c r="E131" s="3" t="str">
        <x:v>Equipment constraints / low availability</x:v>
      </x:c>
      <x:c r="F131" s="3" t="str">
        <x:v>Resource inefficiency (materials/labor/energy)</x:v>
      </x:c>
      <x:c r="G131" s="3" t="str">
        <x:v>Equipment constraints / low availability, Resource inefficiency (materials/labor/energy), Weather disruption / environmental constraints</x:v>
      </x:c>
      <x:c r="H131" s="3" t="str">
        <x:v>Cost overrun mainly linked to unforeseen site/structural issues &amp; rework; schedule overrun mainly linked to equipment constraints / low availability.</x:v>
      </x:c>
    </x:row>
    <x:row r="132" ht="82.05000305175781" customHeight="1">
      <x:c r="A132" s="3" t="str">
        <x:v>PJT_131</x:v>
      </x:c>
      <x:c r="B132" s="3" t="str">
        <x:v>Planning &amp; estimation / coordination complexity</x:v>
      </x:c>
      <x:c r="C132" s="3" t="str">
        <x:v>Resource inefficiency (materials/labor/energy)</x:v>
      </x:c>
      <x:c r="D132" s="3" t="str">
        <x:v>Planning &amp; estimation / coordination complexity, Resource inefficiency (materials/labor/energy), Material supply / logistics &amp; market disruption</x:v>
      </x:c>
      <x:c r="E132" s="3" t="str">
        <x:v>Resource inefficiency (materials/labor/energy)</x:v>
      </x:c>
      <x:c r="F132" s="3" t="str">
        <x:v>Planning &amp; estimation / coordination complexity</x:v>
      </x:c>
      <x:c r="G132" s="3" t="str">
        <x:v>Resource inefficiency (materials/labor/energy), Planning &amp; estimation / coordination complexity, Equipment constraints / low availability</x:v>
      </x:c>
      <x:c r="H132" s="3" t="str">
        <x:v>Cost overrun mainly linked to planning &amp; estimation / coordination complexity; schedule overrun mainly linked to resource inefficiency (materials/labor/energy).</x:v>
      </x:c>
    </x:row>
    <x:row r="133" ht="82.05000305175781" customHeight="1">
      <x:c r="A133" s="3" t="str">
        <x:v>PJT_132</x:v>
      </x:c>
      <x:c r="B133" s="3" t="str">
        <x:v>Planning &amp; estimation / coordination complexity</x:v>
      </x:c>
      <x:c r="C133" s="3" t="str">
        <x:v>Material supply / logistics &amp; market disruption</x:v>
      </x:c>
      <x:c r="D133" s="3" t="str">
        <x:v>Planning &amp; estimation / coordination complexity, Material supply / logistics &amp; market disruption, Resource inefficiency (materials/labor/energy)</x:v>
      </x:c>
      <x:c r="E133" s="3" t="str">
        <x:v>Resource inefficiency (materials/labor/energy)</x:v>
      </x:c>
      <x:c r="F133" s="3" t="str">
        <x:v>Planning &amp; estimation / coordination complexity</x:v>
      </x:c>
      <x:c r="G133" s="3" t="str">
        <x:v>Resource inefficiency (materials/labor/energy), Planning &amp; estimation / coordination complexity, Equipment constraints / low availability</x:v>
      </x:c>
      <x:c r="H133" s="3" t="str">
        <x:v>Cost overrun mainly linked to planning &amp; estimation / coordination complexity; schedule overrun mainly linked to resource inefficiency (materials/labor/energy).</x:v>
      </x:c>
    </x:row>
    <x:row r="134" ht="95.69999694824219" customHeight="1">
      <x:c r="A134" s="3" t="str">
        <x:v>PJT_133</x:v>
      </x:c>
      <x:c r="B134" s="3" t="str">
        <x:v>Planning &amp; estimation / coordination complexity</x:v>
      </x:c>
      <x:c r="C134" s="3" t="str">
        <x:v>Unforeseen site/structural issues &amp; rework</x:v>
      </x:c>
      <x:c r="D134" s="3" t="str">
        <x:v>Planning &amp; estimation / coordination complexity, Unforeseen site/structural issues &amp; rework, Material supply / logistics &amp; market disruption</x:v>
      </x:c>
      <x:c r="E134" s="3" t="str">
        <x:v>Resource inefficiency (materials/labor/energy)</x:v>
      </x:c>
      <x:c r="F134" s="3" t="str">
        <x:v>Equipment constraints / low availability</x:v>
      </x:c>
      <x:c r="G134" s="3" t="str">
        <x:v>Resource inefficiency (materials/labor/energy), Equipment constraints / low availability, Planning &amp; estimation / coordination complexity</x:v>
      </x:c>
      <x:c r="H134" s="3" t="str">
        <x:v>Cost overrun mainly linked to planning &amp; estimation / coordination complexity; schedule overrun mainly linked to resource inefficiency (materials/labor/energy).</x:v>
      </x:c>
    </x:row>
    <x:row r="135" ht="95.69999694824219" customHeight="1">
      <x:c r="A135" s="3" t="str">
        <x:v>PJT_134</x:v>
      </x:c>
      <x:c r="B135" s="3" t="str">
        <x:v>Equipment constraints / low availability</x:v>
      </x:c>
      <x:c r="C135" s="3" t="str">
        <x:v>Unforeseen site/structural issues &amp; rework</x:v>
      </x:c>
      <x:c r="D135" s="3" t="str">
        <x:v>Equipment constraints / low availability, Unforeseen site/structural issues &amp; rework, Resource inefficiency (materials/labor/energy)</x:v>
      </x:c>
      <x:c r="E135" s="3" t="str">
        <x:v>Equipment constraints / low availability</x:v>
      </x:c>
      <x:c r="F135" s="3" t="str">
        <x:v>Resource inefficiency (materials/labor/energy)</x:v>
      </x:c>
      <x:c r="G135" s="3" t="str">
        <x:v>Equipment constraints / low availability, Resource inefficiency (materials/labor/energy), Unforeseen site/structural issues &amp; rework</x:v>
      </x:c>
      <x:c r="H135" s="3" t="str">
        <x:v>Cost overrun mainly linked to equipment constraints / low availability; schedule overrun mainly linked to equipment constraints / low availability.</x:v>
      </x:c>
    </x:row>
    <x:row r="136" ht="82.05000305175781" customHeight="1">
      <x:c r="A136" s="3" t="str">
        <x:v>PJT_135</x:v>
      </x:c>
      <x:c r="B136" s="3" t="str">
        <x:v>Resource inefficiency (materials/labor/energy)</x:v>
      </x:c>
      <x:c r="C136" s="3" t="str">
        <x:v>Equipment constraints / low availability</x:v>
      </x:c>
      <x:c r="D136" s="3" t="str">
        <x:v>Resource inefficiency (materials/labor/energy), Equipment constraints / low availability, Material supply / logistics &amp; market disruption</x:v>
      </x:c>
      <x:c r="E136" s="3" t="str">
        <x:v>Resource inefficiency (materials/labor/energy)</x:v>
      </x:c>
      <x:c r="F136" s="3" t="str">
        <x:v>Equipment constraints / low availability</x:v>
      </x:c>
      <x:c r="G136" s="3" t="str">
        <x:v>Resource inefficiency (materials/labor/energy), Equipment constraints / low availability, Planning &amp; estimation / coordination complexity</x:v>
      </x:c>
      <x:c r="H136" s="3" t="str">
        <x:v>Cost overrun mainly linked to resource inefficiency (materials/labor/energy); schedule overrun mainly linked to resource inefficiency (materials/labor/energy).</x:v>
      </x:c>
    </x:row>
    <x:row r="137" ht="109.3499984741211" customHeight="1">
      <x:c r="A137" s="3" t="str">
        <x:v>PJT_136</x:v>
      </x:c>
      <x:c r="B137" s="3" t="str">
        <x:v>Unforeseen site/structural issues &amp; rework</x:v>
      </x:c>
      <x:c r="C137" s="3" t="str">
        <x:v>Planning &amp; estimation / coordination complexity</x:v>
      </x:c>
      <x:c r="D137" s="3" t="str">
        <x:v>Unforeseen site/structural issues &amp; rework, Planning &amp; estimation / coordination complexity, Material supply / logistics &amp; market disruption</x:v>
      </x:c>
      <x:c r="E137" s="3" t="str">
        <x:v>Unforeseen site/structural issues &amp; rework</x:v>
      </x:c>
      <x:c r="F137" s="3" t="str">
        <x:v>Weather disruption / environmental constraints</x:v>
      </x:c>
      <x:c r="G137" s="3" t="str">
        <x:v>Unforeseen site/structural issues &amp; rework, Weather disruption / environmental constraints, Equipment constraints / low availability</x:v>
      </x:c>
      <x:c r="H137" s="3" t="str">
        <x:v>Cost overrun mainly linked to unforeseen site/structural issues &amp; rework; schedule overrun mainly linked to unforeseen site/structural issues &amp; rework.</x:v>
      </x:c>
    </x:row>
    <x:row r="138" ht="82.05000305175781" customHeight="1">
      <x:c r="A138" s="3" t="str">
        <x:v>PJT_137</x:v>
      </x:c>
      <x:c r="B138" s="3" t="str">
        <x:v>Planning &amp; estimation / coordination complexity</x:v>
      </x:c>
      <x:c r="C138" s="3" t="str">
        <x:v>Material supply / logistics &amp; market disruption</x:v>
      </x:c>
      <x:c r="D138" s="3" t="str">
        <x:v>Planning &amp; estimation / coordination complexity, Material supply / logistics &amp; market disruption, Resource inefficiency (materials/labor/energy)</x:v>
      </x:c>
      <x:c r="E138" s="3" t="str">
        <x:v>Resource inefficiency (materials/labor/energy)</x:v>
      </x:c>
      <x:c r="F138" s="3" t="str">
        <x:v>Planning &amp; estimation / coordination complexity</x:v>
      </x:c>
      <x:c r="G138" s="3" t="str">
        <x:v>Resource inefficiency (materials/labor/energy), Planning &amp; estimation / coordination complexity, Material supply / logistics &amp; market disruption</x:v>
      </x:c>
      <x:c r="H138" s="3" t="str">
        <x:v>Cost overrun mainly linked to planning &amp; estimation / coordination complexity; schedule overrun mainly linked to resource inefficiency (materials/labor/energy).</x:v>
      </x:c>
    </x:row>
    <x:row r="139" ht="95.69999694824219" customHeight="1">
      <x:c r="A139" s="3" t="str">
        <x:v>PJT_138</x:v>
      </x:c>
      <x:c r="B139" s="3" t="str">
        <x:v>Planning &amp; estimation / coordination complexity</x:v>
      </x:c>
      <x:c r="C139" s="3" t="str">
        <x:v>Unforeseen site/structural issues &amp; rework</x:v>
      </x:c>
      <x:c r="D139" s="3" t="str">
        <x:v>Planning &amp; estimation / coordination complexity, Unforeseen site/structural issues &amp; rework, Material supply / logistics &amp; market disruption</x:v>
      </x:c>
      <x:c r="E139" s="3" t="str">
        <x:v>Weather disruption / environmental constraints</x:v>
      </x:c>
      <x:c r="F139" s="3" t="str">
        <x:v>Planning &amp; estimation / coordination complexity</x:v>
      </x:c>
      <x:c r="G139" s="3" t="str">
        <x:v>Weather disruption / environmental constraints, Planning &amp; estimation / coordination complexity, Equipment constraints / low availability</x:v>
      </x:c>
      <x:c r="H139" s="3" t="str">
        <x:v>Cost overrun mainly linked to planning &amp; estimation / coordination complexity; schedule overrun mainly linked to weather disruption / environmental constraints.</x:v>
      </x:c>
    </x:row>
    <x:row r="140" ht="82.05000305175781" customHeight="1">
      <x:c r="A140" s="3" t="str">
        <x:v>PJT_139</x:v>
      </x:c>
      <x:c r="B140" s="3" t="str">
        <x:v>Resource inefficiency (materials/labor/energy)</x:v>
      </x:c>
      <x:c r="C140" s="3" t="str">
        <x:v>Equipment constraints / low availability</x:v>
      </x:c>
      <x:c r="D140" s="3" t="str">
        <x:v>Resource inefficiency (materials/labor/energy), Equipment constraints / low availability, Material supply / logistics &amp; market disruption</x:v>
      </x:c>
      <x:c r="E140" s="3" t="str">
        <x:v>Resource inefficiency (materials/labor/energy)</x:v>
      </x:c>
      <x:c r="F140" s="3" t="str">
        <x:v>Equipment constraints / low availability</x:v>
      </x:c>
      <x:c r="G140" s="3" t="str">
        <x:v>Resource inefficiency (materials/labor/energy), Equipment constraints / low availability, Planning &amp; estimation / coordination complexity</x:v>
      </x:c>
      <x:c r="H140" s="3" t="str">
        <x:v>Cost overrun mainly linked to resource inefficiency (materials/labor/energy); schedule overrun mainly linked to resource inefficiency (materials/labor/energy).</x:v>
      </x:c>
    </x:row>
    <x:row r="141" ht="82.05000305175781" customHeight="1">
      <x:c r="A141" s="3" t="str">
        <x:v>PJT_140</x:v>
      </x:c>
      <x:c r="B141" s="3" t="str">
        <x:v>Material supply / logistics &amp; market disruption</x:v>
      </x:c>
      <x:c r="C141" s="3" t="str">
        <x:v>Resource inefficiency (materials/labor/energy)</x:v>
      </x:c>
      <x:c r="D141" s="3" t="str">
        <x:v>Material supply / logistics &amp; market disruption, Resource inefficiency (materials/labor/energy), Equipment constraints / low availability</x:v>
      </x:c>
      <x:c r="E141" s="3" t="str">
        <x:v>Resource inefficiency (materials/labor/energy)</x:v>
      </x:c>
      <x:c r="F141" s="3" t="str">
        <x:v>Equipment constraints / low availability</x:v>
      </x:c>
      <x:c r="G141" s="3" t="str">
        <x:v>Resource inefficiency (materials/labor/energy), Equipment constraints / low availability, Planning &amp; estimation / coordination complexity</x:v>
      </x:c>
      <x:c r="H141" s="3" t="str">
        <x:v>Cost overrun mainly linked to material supply / logistics &amp; market disruption; schedule overrun mainly linked to resource inefficiency (materials/labor/energy).</x:v>
      </x:c>
    </x:row>
    <x:row r="142" ht="82.05000305175781" customHeight="1">
      <x:c r="A142" s="3" t="str">
        <x:v>PJT_141</x:v>
      </x:c>
      <x:c r="B142" s="3" t="str">
        <x:v>Planning &amp; estimation / coordination complexity</x:v>
      </x:c>
      <x:c r="C142" s="3" t="str">
        <x:v>Equipment constraints / low availability</x:v>
      </x:c>
      <x:c r="D142" s="3" t="str">
        <x:v>Planning &amp; estimation / coordination complexity, Equipment constraints / low availability, Resource inefficiency (materials/labor/energy)</x:v>
      </x:c>
      <x:c r="E142" s="3" t="str">
        <x:v>Equipment constraints / low availability</x:v>
      </x:c>
      <x:c r="F142" s="3" t="str">
        <x:v>Resource inefficiency (materials/labor/energy)</x:v>
      </x:c>
      <x:c r="G142" s="3" t="str">
        <x:v>Equipment constraints / low availability, Resource inefficiency (materials/labor/energy), Planning &amp; estimation / coordination complexity</x:v>
      </x:c>
      <x:c r="H142" s="3" t="str">
        <x:v>Cost overrun mainly linked to planning &amp; estimation / coordination complexity; schedule overrun mainly linked to equipment constraints / low availability.</x:v>
      </x:c>
    </x:row>
    <x:row r="143" ht="82.05000305175781" customHeight="1">
      <x:c r="A143" s="3" t="str">
        <x:v>PJT_142</x:v>
      </x:c>
      <x:c r="B143" s="3" t="str">
        <x:v>Planning &amp; estimation / coordination complexity</x:v>
      </x:c>
      <x:c r="C143" s="3" t="str">
        <x:v>Resource inefficiency (materials/labor/energy)</x:v>
      </x:c>
      <x:c r="D143" s="3" t="str">
        <x:v>Planning &amp; estimation / coordination complexity, Resource inefficiency (materials/labor/energy), Equipment constraints / low availability</x:v>
      </x:c>
      <x:c r="E143" s="3" t="str">
        <x:v>Resource inefficiency (materials/labor/energy)</x:v>
      </x:c>
      <x:c r="F143" s="3" t="str">
        <x:v>Equipment constraints / low availability</x:v>
      </x:c>
      <x:c r="G143" s="3" t="str">
        <x:v>Resource inefficiency (materials/labor/energy), Equipment constraints / low availability, Planning &amp; estimation / coordination complexity</x:v>
      </x:c>
      <x:c r="H143" s="3" t="str">
        <x:v>Cost overrun mainly linked to planning &amp; estimation / coordination complexity; schedule overrun mainly linked to resource inefficiency (materials/labor/energy).</x:v>
      </x:c>
    </x:row>
    <x:row r="144" ht="82.05000305175781" customHeight="1">
      <x:c r="A144" s="3" t="str">
        <x:v>PJT_143</x:v>
      </x:c>
      <x:c r="B144" s="3" t="str">
        <x:v>Resource inefficiency (materials/labor/energy)</x:v>
      </x:c>
      <x:c r="C144" s="3" t="str">
        <x:v>Material supply / logistics &amp; market disruption</x:v>
      </x:c>
      <x:c r="D144" s="3" t="str">
        <x:v>Resource inefficiency (materials/labor/energy), Material supply / logistics &amp; market disruption, Planning &amp; estimation / coordination complexity</x:v>
      </x:c>
      <x:c r="E144" s="3" t="str">
        <x:v>Resource inefficiency (materials/labor/energy)</x:v>
      </x:c>
      <x:c r="F144" s="3" t="str">
        <x:v>Equipment constraints / low availability</x:v>
      </x:c>
      <x:c r="G144" s="3" t="str">
        <x:v>Resource inefficiency (materials/labor/energy), Equipment constraints / low availability, Planning &amp; estimation / coordination complexity</x:v>
      </x:c>
      <x:c r="H144" s="3" t="str">
        <x:v>Cost overrun mainly linked to resource inefficiency (materials/labor/energy); schedule overrun mainly linked to resource inefficiency (materials/labor/energy).</x:v>
      </x:c>
    </x:row>
    <x:row r="145" ht="82.05000305175781" customHeight="1">
      <x:c r="A145" s="3" t="str">
        <x:v>PJT_144</x:v>
      </x:c>
      <x:c r="B145" s="3" t="str">
        <x:v>Resource inefficiency (materials/labor/energy)</x:v>
      </x:c>
      <x:c r="C145" s="3" t="str">
        <x:v>Planning &amp; estimation / coordination complexity</x:v>
      </x:c>
      <x:c r="D145" s="3" t="str">
        <x:v>Resource inefficiency (materials/labor/energy), Planning &amp; estimation / coordination complexity, Material supply / logistics &amp; market disruption</x:v>
      </x:c>
      <x:c r="E145" s="3" t="str">
        <x:v>Resource inefficiency (materials/labor/energy)</x:v>
      </x:c>
      <x:c r="F145" s="3" t="str">
        <x:v>Equipment constraints / low availability</x:v>
      </x:c>
      <x:c r="G145" s="3" t="str">
        <x:v>Resource inefficiency (materials/labor/energy), Equipment constraints / low availability, Planning &amp; estimation / coordination complexity</x:v>
      </x:c>
      <x:c r="H145" s="3" t="str">
        <x:v>Cost overrun mainly linked to resource inefficiency (materials/labor/energy); schedule overrun mainly linked to resource inefficiency (materials/labor/energy).</x:v>
      </x:c>
    </x:row>
    <x:row r="146" ht="95.69999694824219" customHeight="1">
      <x:c r="A146" s="3" t="str">
        <x:v>PJT_145</x:v>
      </x:c>
      <x:c r="B146" s="3" t="str">
        <x:v>Material supply / logistics &amp; market disruption</x:v>
      </x:c>
      <x:c r="C146" s="3" t="str">
        <x:v>Planning &amp; estimation / coordination complexity</x:v>
      </x:c>
      <x:c r="D146" s="3" t="str">
        <x:v>Material supply / logistics &amp; market disruption, Planning &amp; estimation / coordination complexity, Resource inefficiency (materials/labor/energy)</x:v>
      </x:c>
      <x:c r="E146" s="3" t="str">
        <x:v>Resource inefficiency (materials/labor/energy)</x:v>
      </x:c>
      <x:c r="F146" s="3" t="str">
        <x:v>Weather disruption / environmental constraints</x:v>
      </x:c>
      <x:c r="G146" s="3" t="str">
        <x:v>Resource inefficiency (materials/labor/energy), Weather disruption / environmental constraints, Planning &amp; estimation / coordination complexity</x:v>
      </x:c>
      <x:c r="H146" s="3" t="str">
        <x:v>Cost overrun mainly linked to material supply / logistics &amp; market disruption; schedule overrun mainly linked to resource inefficiency (materials/labor/energy).</x:v>
      </x:c>
    </x:row>
    <x:row r="147" ht="82.05000305175781" customHeight="1">
      <x:c r="A147" s="3" t="str">
        <x:v>PJT_146</x:v>
      </x:c>
      <x:c r="B147" s="3" t="str">
        <x:v>Resource inefficiency (materials/labor/energy)</x:v>
      </x:c>
      <x:c r="C147" s="3" t="str">
        <x:v>Planning &amp; estimation / coordination complexity</x:v>
      </x:c>
      <x:c r="D147" s="3" t="str">
        <x:v>Resource inefficiency (materials/labor/energy), Planning &amp; estimation / coordination complexity, Equipment constraints / low availability</x:v>
      </x:c>
      <x:c r="E147" s="3" t="str">
        <x:v>Resource inefficiency (materials/labor/energy)</x:v>
      </x:c>
      <x:c r="F147" s="3" t="str">
        <x:v>Equipment constraints / low availability</x:v>
      </x:c>
      <x:c r="G147" s="3" t="str">
        <x:v>Resource inefficiency (materials/labor/energy), Equipment constraints / low availability, Planning &amp; estimation / coordination complexity</x:v>
      </x:c>
      <x:c r="H147" s="3" t="str">
        <x:v>Cost overrun mainly linked to resource inefficiency (materials/labor/energy); schedule overrun mainly linked to resource inefficiency (materials/labor/energy).</x:v>
      </x:c>
    </x:row>
    <x:row r="148" ht="95.69999694824219" customHeight="1">
      <x:c r="A148" s="3" t="str">
        <x:v>PJT_147</x:v>
      </x:c>
      <x:c r="B148" s="3" t="str">
        <x:v>Unforeseen site/structural issues &amp; rework</x:v>
      </x:c>
      <x:c r="C148" s="3" t="str">
        <x:v>Equipment constraints / low availability</x:v>
      </x:c>
      <x:c r="D148" s="3" t="str">
        <x:v>Unforeseen site/structural issues &amp; rework, Equipment constraints / low availability, Material supply / logistics &amp; market disruption</x:v>
      </x:c>
      <x:c r="E148" s="3" t="str">
        <x:v>Unforeseen site/structural issues &amp; rework</x:v>
      </x:c>
      <x:c r="F148" s="3" t="str">
        <x:v>Equipment constraints / low availability</x:v>
      </x:c>
      <x:c r="G148" s="3" t="str">
        <x:v>Unforeseen site/structural issues &amp; rework, Equipment constraints / low availability, Resource inefficiency (materials/labor/energy)</x:v>
      </x:c>
      <x:c r="H148" s="3" t="str">
        <x:v>Cost overrun mainly linked to unforeseen site/structural issues &amp; rework; schedule overrun mainly linked to unforeseen site/structural issues &amp; rework.</x:v>
      </x:c>
    </x:row>
    <x:row r="149" ht="95.69999694824219" customHeight="1">
      <x:c r="A149" s="3" t="str">
        <x:v>PJT_148</x:v>
      </x:c>
      <x:c r="B149" s="3" t="str">
        <x:v>Unforeseen site/structural issues &amp; rework</x:v>
      </x:c>
      <x:c r="C149" s="3" t="str">
        <x:v>Equipment constraints / low availability</x:v>
      </x:c>
      <x:c r="D149" s="3" t="str">
        <x:v>Unforeseen site/structural issues &amp; rework, Equipment constraints / low availability, Resource inefficiency (materials/labor/energy)</x:v>
      </x:c>
      <x:c r="E149" s="3" t="str">
        <x:v>Equipment constraints / low availability</x:v>
      </x:c>
      <x:c r="F149" s="3" t="str">
        <x:v>Resource inefficiency (materials/labor/energy)</x:v>
      </x:c>
      <x:c r="G149" s="3" t="str">
        <x:v>Equipment constraints / low availability, Resource inefficiency (materials/labor/energy), Unforeseen site/structural issues &amp; rework</x:v>
      </x:c>
      <x:c r="H149" s="3" t="str">
        <x:v>Cost overrun mainly linked to unforeseen site/structural issues &amp; rework; schedule overrun mainly linked to equipment constraints / low availability.</x:v>
      </x:c>
    </x:row>
    <x:row r="150" ht="95.69999694824219" customHeight="1">
      <x:c r="A150" s="3" t="str">
        <x:v>PJT_149</x:v>
      </x:c>
      <x:c r="B150" s="3" t="str">
        <x:v>Planning &amp; estimation / coordination complexity</x:v>
      </x:c>
      <x:c r="C150" s="3" t="str">
        <x:v>Material supply / logistics &amp; market disruption</x:v>
      </x:c>
      <x:c r="D150" s="3" t="str">
        <x:v>Planning &amp; estimation / coordination complexity, Material supply / logistics &amp; market disruption, Resource inefficiency (materials/labor/energy)</x:v>
      </x:c>
      <x:c r="E150" s="3" t="str">
        <x:v>Resource inefficiency (materials/labor/energy)</x:v>
      </x:c>
      <x:c r="F150" s="3" t="str">
        <x:v>Planning &amp; estimation / coordination complexity</x:v>
      </x:c>
      <x:c r="G150" s="3" t="str">
        <x:v>Resource inefficiency (materials/labor/energy), Planning &amp; estimation / coordination complexity, Weather disruption / environmental constraints</x:v>
      </x:c>
      <x:c r="H150" s="3" t="str">
        <x:v>Cost overrun mainly linked to planning &amp; estimation / coordination complexity; schedule overrun mainly linked to resource inefficiency (materials/labor/energy).</x:v>
      </x:c>
    </x:row>
    <x:row r="151" ht="95.69999694824219" customHeight="1">
      <x:c r="A151" s="3" t="str">
        <x:v>PJT_150</x:v>
      </x:c>
      <x:c r="B151" s="3" t="str">
        <x:v>Planning &amp; estimation / coordination complexity</x:v>
      </x:c>
      <x:c r="C151" s="3" t="str">
        <x:v>Unforeseen site/structural issues &amp; rework</x:v>
      </x:c>
      <x:c r="D151" s="3" t="str">
        <x:v>Planning &amp; estimation / coordination complexity, Unforeseen site/structural issues &amp; rework, Equipment constraints / low availability</x:v>
      </x:c>
      <x:c r="E151" s="3" t="str">
        <x:v>Equipment constraints / low availability</x:v>
      </x:c>
      <x:c r="F151" s="3" t="str">
        <x:v>Planning &amp; estimation / coordination complexity</x:v>
      </x:c>
      <x:c r="G151" s="3" t="str">
        <x:v>Equipment constraints / low availability, Planning &amp; estimation / coordination complexity, Resource inefficiency (materials/labor/energy)</x:v>
      </x:c>
      <x:c r="H151" s="3" t="str">
        <x:v>Cost overrun mainly linked to planning &amp; estimation / coordination complexity; schedule overrun mainly linked to equipment constraints / low availability.</x:v>
      </x:c>
    </x:row>
    <x:row r="152" ht="109.3499984741211" customHeight="1">
      <x:c r="A152" s="3" t="str">
        <x:v>PJT_151</x:v>
      </x:c>
      <x:c r="B152" s="3" t="str">
        <x:v>Unforeseen site/structural issues &amp; rework</x:v>
      </x:c>
      <x:c r="C152" s="3" t="str">
        <x:v>Weather disruption / environmental constraints</x:v>
      </x:c>
      <x:c r="D152" s="3" t="str">
        <x:v>Unforeseen site/structural issues &amp; rework, Weather disruption / environmental constraints, Material supply / logistics &amp; market disruption</x:v>
      </x:c>
      <x:c r="E152" s="3" t="str">
        <x:v>Weather disruption / environmental constraints</x:v>
      </x:c>
      <x:c r="F152" s="3" t="str">
        <x:v>Unforeseen site/structural issues &amp; rework</x:v>
      </x:c>
      <x:c r="G152" s="3" t="str">
        <x:v>Weather disruption / environmental constraints, Unforeseen site/structural issues &amp; rework, Safety incidents &amp; stop-work disruptions</x:v>
      </x:c>
      <x:c r="H152" s="3" t="str">
        <x:v>Cost overrun mainly linked to unforeseen site/structural issues &amp; rework; schedule overrun mainly linked to weather disruption / environmental constraints.</x:v>
      </x:c>
    </x:row>
    <x:row r="153" ht="82.05000305175781" customHeight="1">
      <x:c r="A153" s="3" t="str">
        <x:v>PJT_152</x:v>
      </x:c>
      <x:c r="B153" s="3" t="str">
        <x:v>Material supply / logistics &amp; market disruption</x:v>
      </x:c>
      <x:c r="C153" s="3" t="str">
        <x:v>Planning &amp; estimation / coordination complexity</x:v>
      </x:c>
      <x:c r="D153" s="3" t="str">
        <x:v>Material supply / logistics &amp; market disruption, Planning &amp; estimation / coordination complexity, Resource inefficiency (materials/labor/energy)</x:v>
      </x:c>
      <x:c r="E153" s="3" t="str">
        <x:v>Resource inefficiency (materials/labor/energy)</x:v>
      </x:c>
      <x:c r="F153" s="3" t="str">
        <x:v>Equipment constraints / low availability</x:v>
      </x:c>
      <x:c r="G153" s="3" t="str">
        <x:v>Resource inefficiency (materials/labor/energy), Equipment constraints / low availability, Planning &amp; estimation / coordination complexity</x:v>
      </x:c>
      <x:c r="H153" s="3" t="str">
        <x:v>Cost overrun mainly linked to material supply / logistics &amp; market disruption; schedule overrun mainly linked to resource inefficiency (materials/labor/energy).</x:v>
      </x:c>
    </x:row>
    <x:row r="154" ht="82.05000305175781" customHeight="1">
      <x:c r="A154" s="3" t="str">
        <x:v>PJT_153</x:v>
      </x:c>
      <x:c r="B154" s="3" t="str">
        <x:v>Material supply / logistics &amp; market disruption</x:v>
      </x:c>
      <x:c r="C154" s="3" t="str">
        <x:v>Planning &amp; estimation / coordination complexity</x:v>
      </x:c>
      <x:c r="D154" s="3" t="str">
        <x:v>Material supply / logistics &amp; market disruption, Planning &amp; estimation / coordination complexity, Resource inefficiency (materials/labor/energy)</x:v>
      </x:c>
      <x:c r="E154" s="3" t="str">
        <x:v>Resource inefficiency (materials/labor/energy)</x:v>
      </x:c>
      <x:c r="F154" s="3" t="str">
        <x:v>Material supply / logistics &amp; market disruption</x:v>
      </x:c>
      <x:c r="G154" s="3" t="str">
        <x:v>Resource inefficiency (materials/labor/energy), Material supply / logistics &amp; market disruption, Planning &amp; estimation / coordination complexity</x:v>
      </x:c>
      <x:c r="H154" s="3" t="str">
        <x:v>Cost overrun mainly linked to material supply / logistics &amp; market disruption; schedule overrun mainly linked to resource inefficiency (materials/labor/energy).</x:v>
      </x:c>
    </x:row>
    <x:row r="155" ht="109.3499984741211" customHeight="1">
      <x:c r="A155" s="3" t="str">
        <x:v>PJT_154</x:v>
      </x:c>
      <x:c r="B155" s="3" t="str">
        <x:v>Unforeseen site/structural issues &amp; rework</x:v>
      </x:c>
      <x:c r="C155" s="3" t="str">
        <x:v>Planning &amp; estimation / coordination complexity</x:v>
      </x:c>
      <x:c r="D155" s="3" t="str">
        <x:v>Unforeseen site/structural issues &amp; rework, Planning &amp; estimation / coordination complexity, Material supply / logistics &amp; market disruption</x:v>
      </x:c>
      <x:c r="E155" s="3" t="str">
        <x:v>Unforeseen site/structural issues &amp; rework</x:v>
      </x:c>
      <x:c r="F155" s="3" t="str">
        <x:v>Weather disruption / environmental constraints</x:v>
      </x:c>
      <x:c r="G155" s="3" t="str">
        <x:v>Unforeseen site/structural issues &amp; rework, Weather disruption / environmental constraints, Planning &amp; estimation / coordination complexity</x:v>
      </x:c>
      <x:c r="H155" s="3" t="str">
        <x:v>Cost overrun mainly linked to unforeseen site/structural issues &amp; rework; schedule overrun mainly linked to unforeseen site/structural issues &amp; rework.</x:v>
      </x:c>
    </x:row>
    <x:row r="156" ht="82.05000305175781" customHeight="1">
      <x:c r="A156" s="3" t="str">
        <x:v>PJT_155</x:v>
      </x:c>
      <x:c r="B156" s="3" t="str">
        <x:v>Planning &amp; estimation / coordination complexity</x:v>
      </x:c>
      <x:c r="C156" s="3" t="str">
        <x:v>Resource inefficiency (materials/labor/energy)</x:v>
      </x:c>
      <x:c r="D156" s="3" t="str">
        <x:v>Planning &amp; estimation / coordination complexity, Resource inefficiency (materials/labor/energy), Equipment constraints / low availability</x:v>
      </x:c>
      <x:c r="E156" s="3" t="str">
        <x:v>Resource inefficiency (materials/labor/energy)</x:v>
      </x:c>
      <x:c r="F156" s="3" t="str">
        <x:v>Equipment constraints / low availability</x:v>
      </x:c>
      <x:c r="G156" s="3" t="str">
        <x:v>Resource inefficiency (materials/labor/energy), Equipment constraints / low availability, Planning &amp; estimation / coordination complexity</x:v>
      </x:c>
      <x:c r="H156" s="3" t="str">
        <x:v>Cost overrun mainly linked to planning &amp; estimation / coordination complexity; schedule overrun mainly linked to resource inefficiency (materials/labor/energy).</x:v>
      </x:c>
    </x:row>
    <x:row r="157" ht="95.69999694824219" customHeight="1">
      <x:c r="A157" s="3" t="str">
        <x:v>PJT_156</x:v>
      </x:c>
      <x:c r="B157" s="3" t="str">
        <x:v>Material supply / logistics &amp; market disruption</x:v>
      </x:c>
      <x:c r="C157" s="3" t="str">
        <x:v>Planning &amp; estimation / coordination complexity</x:v>
      </x:c>
      <x:c r="D157" s="3" t="str">
        <x:v>Material supply / logistics &amp; market disruption, Planning &amp; estimation / coordination complexity, Resource inefficiency (materials/labor/energy)</x:v>
      </x:c>
      <x:c r="E157" s="3" t="str">
        <x:v>Resource inefficiency (materials/labor/energy)</x:v>
      </x:c>
      <x:c r="F157" s="3" t="str">
        <x:v>Equipment constraints / low availability</x:v>
      </x:c>
      <x:c r="G157" s="3" t="str">
        <x:v>Resource inefficiency (materials/labor/energy), Equipment constraints / low availability, Weather disruption / environmental constraints</x:v>
      </x:c>
      <x:c r="H157" s="3" t="str">
        <x:v>Cost overrun mainly linked to material supply / logistics &amp; market disruption; schedule overrun mainly linked to resource inefficiency (materials/labor/energy).</x:v>
      </x:c>
    </x:row>
    <x:row r="158" ht="95.69999694824219" customHeight="1">
      <x:c r="A158" s="3" t="str">
        <x:v>PJT_157</x:v>
      </x:c>
      <x:c r="B158" s="3" t="str">
        <x:v>Material supply / logistics &amp; market disruption</x:v>
      </x:c>
      <x:c r="C158" s="3" t="str">
        <x:v>Planning &amp; estimation / coordination complexity</x:v>
      </x:c>
      <x:c r="D158" s="3" t="str">
        <x:v>Material supply / logistics &amp; market disruption, Planning &amp; estimation / coordination complexity, Resource inefficiency (materials/labor/energy)</x:v>
      </x:c>
      <x:c r="E158" s="3" t="str">
        <x:v>Resource inefficiency (materials/labor/energy)</x:v>
      </x:c>
      <x:c r="F158" s="3" t="str">
        <x:v>Equipment constraints / low availability</x:v>
      </x:c>
      <x:c r="G158" s="3" t="str">
        <x:v>Resource inefficiency (materials/labor/energy), Equipment constraints / low availability, Weather disruption / environmental constraints</x:v>
      </x:c>
      <x:c r="H158" s="3" t="str">
        <x:v>Cost overrun mainly linked to material supply / logistics &amp; market disruption; schedule overrun mainly linked to resource inefficiency (materials/labor/energy).</x:v>
      </x:c>
    </x:row>
    <x:row r="159" ht="95.69999694824219" customHeight="1">
      <x:c r="A159" s="3" t="str">
        <x:v>PJT_158</x:v>
      </x:c>
      <x:c r="B159" s="3" t="str">
        <x:v>Material supply / logistics &amp; market disruption</x:v>
      </x:c>
      <x:c r="C159" s="3" t="str">
        <x:v>Unforeseen site/structural issues &amp; rework</x:v>
      </x:c>
      <x:c r="D159" s="3" t="str">
        <x:v>Material supply / logistics &amp; market disruption, Unforeseen site/structural issues &amp; rework, Equipment constraints / low availability</x:v>
      </x:c>
      <x:c r="E159" s="3" t="str">
        <x:v>Weather disruption / environmental constraints</x:v>
      </x:c>
      <x:c r="F159" s="3" t="str">
        <x:v>Equipment constraints / low availability</x:v>
      </x:c>
      <x:c r="G159" s="3" t="str">
        <x:v>Weather disruption / environmental constraints, Equipment constraints / low availability, Resource inefficiency (materials/labor/energy)</x:v>
      </x:c>
      <x:c r="H159" s="3" t="str">
        <x:v>Cost overrun mainly linked to material supply / logistics &amp; market disruption; schedule overrun mainly linked to weather disruption / environmental constraints.</x:v>
      </x:c>
    </x:row>
    <x:row r="160" ht="95.69999694824219" customHeight="1">
      <x:c r="A160" s="3" t="str">
        <x:v>PJT_159</x:v>
      </x:c>
      <x:c r="B160" s="3" t="str">
        <x:v>Material supply / logistics &amp; market disruption</x:v>
      </x:c>
      <x:c r="C160" s="3" t="str">
        <x:v>Planning &amp; estimation / coordination complexity</x:v>
      </x:c>
      <x:c r="D160" s="3" t="str">
        <x:v>Material supply / logistics &amp; market disruption, Planning &amp; estimation / coordination complexity, Unforeseen site/structural issues &amp; rework</x:v>
      </x:c>
      <x:c r="E160" s="3" t="str">
        <x:v>Resource inefficiency (materials/labor/energy)</x:v>
      </x:c>
      <x:c r="F160" s="3" t="str">
        <x:v>Planning &amp; estimation / coordination complexity</x:v>
      </x:c>
      <x:c r="G160" s="3" t="str">
        <x:v>Resource inefficiency (materials/labor/energy), Planning &amp; estimation / coordination complexity, Material supply / logistics &amp; market disruption</x:v>
      </x:c>
      <x:c r="H160" s="3" t="str">
        <x:v>Cost overrun mainly linked to material supply / logistics &amp; market disruption; schedule overrun mainly linked to resource inefficiency (materials/labor/energy).</x:v>
      </x:c>
    </x:row>
    <x:row r="161" ht="82.05000305175781" customHeight="1">
      <x:c r="A161" s="3" t="str">
        <x:v>PJT_160</x:v>
      </x:c>
      <x:c r="B161" s="3" t="str">
        <x:v>Material supply / logistics &amp; market disruption</x:v>
      </x:c>
      <x:c r="C161" s="3" t="str">
        <x:v>Planning &amp; estimation / coordination complexity</x:v>
      </x:c>
      <x:c r="D161" s="3" t="str">
        <x:v>Material supply / logistics &amp; market disruption, Planning &amp; estimation / coordination complexity, Resource inefficiency (materials/labor/energy)</x:v>
      </x:c>
      <x:c r="E161" s="3" t="str">
        <x:v>Resource inefficiency (materials/labor/energy)</x:v>
      </x:c>
      <x:c r="F161" s="3" t="str">
        <x:v>Planning &amp; estimation / coordination complexity</x:v>
      </x:c>
      <x:c r="G161" s="3" t="str">
        <x:v>Resource inefficiency (materials/labor/energy), Planning &amp; estimation / coordination complexity, Equipment constraints / low availability</x:v>
      </x:c>
      <x:c r="H161" s="3" t="str">
        <x:v>Cost overrun mainly linked to material supply / logistics &amp; market disruption; schedule overrun mainly linked to resource inefficiency (materials/labor/energy).</x:v>
      </x:c>
    </x:row>
    <x:row r="162" ht="82.05000305175781" customHeight="1">
      <x:c r="A162" s="3" t="str">
        <x:v>PJT_161</x:v>
      </x:c>
      <x:c r="B162" s="3" t="str">
        <x:v>Material supply / logistics &amp; market disruption</x:v>
      </x:c>
      <x:c r="C162" s="3" t="str">
        <x:v>Resource inefficiency (materials/labor/energy)</x:v>
      </x:c>
      <x:c r="D162" s="3" t="str">
        <x:v>Material supply / logistics &amp; market disruption, Resource inefficiency (materials/labor/energy), Equipment constraints / low availability</x:v>
      </x:c>
      <x:c r="E162" s="3" t="str">
        <x:v>Resource inefficiency (materials/labor/energy)</x:v>
      </x:c>
      <x:c r="F162" s="3" t="str">
        <x:v>Equipment constraints / low availability</x:v>
      </x:c>
      <x:c r="G162" s="3" t="str">
        <x:v>Resource inefficiency (materials/labor/energy), Equipment constraints / low availability, Planning &amp; estimation / coordination complexity</x:v>
      </x:c>
      <x:c r="H162" s="3" t="str">
        <x:v>Cost overrun mainly linked to material supply / logistics &amp; market disruption; schedule overrun mainly linked to resource inefficiency (materials/labor/energy).</x:v>
      </x:c>
    </x:row>
    <x:row r="163" ht="109.3499984741211" customHeight="1">
      <x:c r="A163" s="3" t="str">
        <x:v>PJT_162</x:v>
      </x:c>
      <x:c r="B163" s="3" t="str">
        <x:v>Unforeseen site/structural issues &amp; rework</x:v>
      </x:c>
      <x:c r="C163" s="3" t="str">
        <x:v>Material supply / logistics &amp; market disruption</x:v>
      </x:c>
      <x:c r="D163" s="3" t="str">
        <x:v>Unforeseen site/structural issues &amp; rework, Material supply / logistics &amp; market disruption, Weather disruption / environmental constraints</x:v>
      </x:c>
      <x:c r="E163" s="3" t="str">
        <x:v>Weather disruption / environmental constraints</x:v>
      </x:c>
      <x:c r="F163" s="3" t="str">
        <x:v>Unforeseen site/structural issues &amp; rework</x:v>
      </x:c>
      <x:c r="G163" s="3" t="str">
        <x:v>Weather disruption / environmental constraints, Unforeseen site/structural issues &amp; rework, Equipment constraints / low availability</x:v>
      </x:c>
      <x:c r="H163" s="3" t="str">
        <x:v>Cost overrun mainly linked to unforeseen site/structural issues &amp; rework; schedule overrun mainly linked to weather disruption / environmental constraints.</x:v>
      </x:c>
    </x:row>
    <x:row r="164" ht="82.05000305175781" customHeight="1">
      <x:c r="A164" s="3" t="str">
        <x:v>PJT_163</x:v>
      </x:c>
      <x:c r="B164" s="3" t="str">
        <x:v>Planning &amp; estimation / coordination complexity</x:v>
      </x:c>
      <x:c r="C164" s="3" t="str">
        <x:v>Resource inefficiency (materials/labor/energy)</x:v>
      </x:c>
      <x:c r="D164" s="3" t="str">
        <x:v>Planning &amp; estimation / coordination complexity, Resource inefficiency (materials/labor/energy), Equipment constraints / low availability</x:v>
      </x:c>
      <x:c r="E164" s="3" t="str">
        <x:v>Resource inefficiency (materials/labor/energy)</x:v>
      </x:c>
      <x:c r="F164" s="3" t="str">
        <x:v>Equipment constraints / low availability</x:v>
      </x:c>
      <x:c r="G164" s="3" t="str">
        <x:v>Resource inefficiency (materials/labor/energy), Equipment constraints / low availability, Planning &amp; estimation / coordination complexity</x:v>
      </x:c>
      <x:c r="H164" s="3" t="str">
        <x:v>Cost overrun mainly linked to planning &amp; estimation / coordination complexity; schedule overrun mainly linked to resource inefficiency (materials/labor/energy).</x:v>
      </x:c>
    </x:row>
    <x:row r="165" ht="82.05000305175781" customHeight="1">
      <x:c r="A165" s="3" t="str">
        <x:v>PJT_164</x:v>
      </x:c>
      <x:c r="B165" s="3" t="str">
        <x:v>Planning &amp; estimation / coordination complexity</x:v>
      </x:c>
      <x:c r="C165" s="3" t="str">
        <x:v>Resource inefficiency (materials/labor/energy)</x:v>
      </x:c>
      <x:c r="D165" s="3" t="str">
        <x:v>Planning &amp; estimation / coordination complexity, Resource inefficiency (materials/labor/energy), Equipment constraints / low availability</x:v>
      </x:c>
      <x:c r="E165" s="3" t="str">
        <x:v>Resource inefficiency (materials/labor/energy)</x:v>
      </x:c>
      <x:c r="F165" s="3" t="str">
        <x:v>Equipment constraints / low availability</x:v>
      </x:c>
      <x:c r="G165" s="3" t="str">
        <x:v>Resource inefficiency (materials/labor/energy), Equipment constraints / low availability, Planning &amp; estimation / coordination complexity</x:v>
      </x:c>
      <x:c r="H165" s="3" t="str">
        <x:v>Cost overrun mainly linked to planning &amp; estimation / coordination complexity; schedule overrun mainly linked to resource inefficiency (materials/labor/energy).</x:v>
      </x:c>
    </x:row>
    <x:row r="166" ht="95.69999694824219" customHeight="1">
      <x:c r="A166" s="3" t="str">
        <x:v>PJT_165</x:v>
      </x:c>
      <x:c r="B166" s="3" t="str">
        <x:v>Material supply / logistics &amp; market disruption</x:v>
      </x:c>
      <x:c r="C166" s="3" t="str">
        <x:v>Resource inefficiency (materials/labor/energy)</x:v>
      </x:c>
      <x:c r="D166" s="3" t="str">
        <x:v>Material supply / logistics &amp; market disruption, Resource inefficiency (materials/labor/energy), Planning &amp; estimation / coordination complexity</x:v>
      </x:c>
      <x:c r="E166" s="3" t="str">
        <x:v>Weather disruption / environmental constraints</x:v>
      </x:c>
      <x:c r="F166" s="3" t="str">
        <x:v>Resource inefficiency (materials/labor/energy)</x:v>
      </x:c>
      <x:c r="G166" s="3" t="str">
        <x:v>Weather disruption / environmental constraints, Resource inefficiency (materials/labor/energy), Material supply / logistics &amp; market disruption</x:v>
      </x:c>
      <x:c r="H166" s="3" t="str">
        <x:v>Cost overrun mainly linked to material supply / logistics &amp; market disruption; schedule overrun mainly linked to weather disruption / environmental constraints.</x:v>
      </x:c>
    </x:row>
    <x:row r="167" ht="82.05000305175781" customHeight="1">
      <x:c r="A167" s="3" t="str">
        <x:v>PJT_166</x:v>
      </x:c>
      <x:c r="B167" s="3" t="str">
        <x:v>Material supply / logistics &amp; market disruption</x:v>
      </x:c>
      <x:c r="C167" s="3" t="str">
        <x:v>Planning &amp; estimation / coordination complexity</x:v>
      </x:c>
      <x:c r="D167" s="3" t="str">
        <x:v>Material supply / logistics &amp; market disruption, Planning &amp; estimation / coordination complexity, Resource inefficiency (materials/labor/energy)</x:v>
      </x:c>
      <x:c r="E167" s="3" t="str">
        <x:v>Resource inefficiency (materials/labor/energy)</x:v>
      </x:c>
      <x:c r="F167" s="3" t="str">
        <x:v>Equipment constraints / low availability</x:v>
      </x:c>
      <x:c r="G167" s="3" t="str">
        <x:v>Resource inefficiency (materials/labor/energy), Equipment constraints / low availability, Planning &amp; estimation / coordination complexity</x:v>
      </x:c>
      <x:c r="H167" s="3" t="str">
        <x:v>Cost overrun mainly linked to material supply / logistics &amp; market disruption; schedule overrun mainly linked to resource inefficiency (materials/labor/energy).</x:v>
      </x:c>
    </x:row>
    <x:row r="168" ht="95.69999694824219" customHeight="1">
      <x:c r="A168" s="3" t="str">
        <x:v>PJT_167</x:v>
      </x:c>
      <x:c r="B168" s="3" t="str">
        <x:v>Material supply / logistics &amp; market disruption</x:v>
      </x:c>
      <x:c r="C168" s="3" t="str">
        <x:v>Unforeseen site/structural issues &amp; rework</x:v>
      </x:c>
      <x:c r="D168" s="3" t="str">
        <x:v>Material supply / logistics &amp; market disruption, Unforeseen site/structural issues &amp; rework, Planning &amp; estimation / coordination complexity</x:v>
      </x:c>
      <x:c r="E168" s="3" t="str">
        <x:v>Equipment constraints / low availability</x:v>
      </x:c>
      <x:c r="F168" s="3" t="str">
        <x:v>Resource inefficiency (materials/labor/energy)</x:v>
      </x:c>
      <x:c r="G168" s="3" t="str">
        <x:v>Equipment constraints / low availability, Resource inefficiency (materials/labor/energy), Planning &amp; estimation / coordination complexity</x:v>
      </x:c>
      <x:c r="H168" s="3" t="str">
        <x:v>Cost overrun mainly linked to material supply / logistics &amp; market disruption; schedule overrun mainly linked to equipment constraints / low availability.</x:v>
      </x:c>
    </x:row>
    <x:row r="169" ht="82.05000305175781" customHeight="1">
      <x:c r="A169" s="3" t="str">
        <x:v>PJT_168</x:v>
      </x:c>
      <x:c r="B169" s="3" t="str">
        <x:v>Resource inefficiency (materials/labor/energy)</x:v>
      </x:c>
      <x:c r="C169" s="3" t="str">
        <x:v>Planning &amp; estimation / coordination complexity</x:v>
      </x:c>
      <x:c r="D169" s="3" t="str">
        <x:v>Resource inefficiency (materials/labor/energy), Planning &amp; estimation / coordination complexity, Material supply / logistics &amp; market disruption</x:v>
      </x:c>
      <x:c r="E169" s="3" t="str">
        <x:v>Resource inefficiency (materials/labor/energy)</x:v>
      </x:c>
      <x:c r="F169" s="3" t="str">
        <x:v>Equipment constraints / low availability</x:v>
      </x:c>
      <x:c r="G169" s="3" t="str">
        <x:v>Resource inefficiency (materials/labor/energy), Equipment constraints / low availability, Planning &amp; estimation / coordination complexity</x:v>
      </x:c>
      <x:c r="H169" s="3" t="str">
        <x:v>Cost overrun mainly linked to resource inefficiency (materials/labor/energy); schedule overrun mainly linked to resource inefficiency (materials/labor/energy).</x:v>
      </x:c>
    </x:row>
    <x:row r="170" ht="82.05000305175781" customHeight="1">
      <x:c r="A170" s="3" t="str">
        <x:v>PJT_169</x:v>
      </x:c>
      <x:c r="B170" s="3" t="str">
        <x:v>Planning &amp; estimation / coordination complexity</x:v>
      </x:c>
      <x:c r="C170" s="3" t="str">
        <x:v>Resource inefficiency (materials/labor/energy)</x:v>
      </x:c>
      <x:c r="D170" s="3" t="str">
        <x:v>Planning &amp; estimation / coordination complexity, Resource inefficiency (materials/labor/energy), Material supply / logistics &amp; market disruption</x:v>
      </x:c>
      <x:c r="E170" s="3" t="str">
        <x:v>Resource inefficiency (materials/labor/energy)</x:v>
      </x:c>
      <x:c r="F170" s="3" t="str">
        <x:v>Planning &amp; estimation / coordination complexity</x:v>
      </x:c>
      <x:c r="G170" s="3" t="str">
        <x:v>Resource inefficiency (materials/labor/energy), Planning &amp; estimation / coordination complexity, Equipment constraints / low availability</x:v>
      </x:c>
      <x:c r="H170" s="3" t="str">
        <x:v>Cost overrun mainly linked to planning &amp; estimation / coordination complexity; schedule overrun mainly linked to resource inefficiency (materials/labor/energy).</x:v>
      </x:c>
    </x:row>
    <x:row r="171" ht="95.69999694824219" customHeight="1">
      <x:c r="A171" s="3" t="str">
        <x:v>PJT_170</x:v>
      </x:c>
      <x:c r="B171" s="3" t="str">
        <x:v>Planning &amp; estimation / coordination complexity</x:v>
      </x:c>
      <x:c r="C171" s="3" t="str">
        <x:v>Unforeseen site/structural issues &amp; rework</x:v>
      </x:c>
      <x:c r="D171" s="3" t="str">
        <x:v>Planning &amp; estimation / coordination complexity, Unforeseen site/structural issues &amp; rework, Material supply / logistics &amp; market disruption</x:v>
      </x:c>
      <x:c r="E171" s="3" t="str">
        <x:v>Weather disruption / environmental constraints</x:v>
      </x:c>
      <x:c r="F171" s="3" t="str">
        <x:v>Planning &amp; estimation / coordination complexity</x:v>
      </x:c>
      <x:c r="G171" s="3" t="str">
        <x:v>Weather disruption / environmental constraints, Planning &amp; estimation / coordination complexity, Unforeseen site/structural issues &amp; rework</x:v>
      </x:c>
      <x:c r="H171" s="3" t="str">
        <x:v>Cost overrun mainly linked to planning &amp; estimation / coordination complexity; schedule overrun mainly linked to weather disruption / environmental constraints.</x:v>
      </x:c>
    </x:row>
    <x:row r="172" ht="95.69999694824219" customHeight="1">
      <x:c r="A172" s="3" t="str">
        <x:v>PJT_171</x:v>
      </x:c>
      <x:c r="B172" s="3" t="str">
        <x:v>Unforeseen site/structural issues &amp; rework</x:v>
      </x:c>
      <x:c r="C172" s="3" t="str">
        <x:v>Planning &amp; estimation / coordination complexity</x:v>
      </x:c>
      <x:c r="D172" s="3" t="str">
        <x:v>Unforeseen site/structural issues &amp; rework, Planning &amp; estimation / coordination complexity, Safety incidents &amp; stop-work disruptions</x:v>
      </x:c>
      <x:c r="E172" s="3" t="str">
        <x:v>Unforeseen site/structural issues &amp; rework</x:v>
      </x:c>
      <x:c r="F172" s="3" t="str">
        <x:v>Equipment constraints / low availability</x:v>
      </x:c>
      <x:c r="G172" s="3" t="str">
        <x:v>Unforeseen site/structural issues &amp; rework, Equipment constraints / low availability, Safety incidents &amp; stop-work disruptions</x:v>
      </x:c>
      <x:c r="H172" s="3" t="str">
        <x:v>Cost overrun mainly linked to unforeseen site/structural issues &amp; rework; schedule overrun mainly linked to unforeseen site/structural issues &amp; rework.</x:v>
      </x:c>
    </x:row>
    <x:row r="173" ht="95.69999694824219" customHeight="1">
      <x:c r="A173" s="3" t="str">
        <x:v>PJT_172</x:v>
      </x:c>
      <x:c r="B173" s="3" t="str">
        <x:v>Material supply / logistics &amp; market disruption</x:v>
      </x:c>
      <x:c r="C173" s="3" t="str">
        <x:v>Resource inefficiency (materials/labor/energy)</x:v>
      </x:c>
      <x:c r="D173" s="3" t="str">
        <x:v>Material supply / logistics &amp; market disruption, Resource inefficiency (materials/labor/energy), Planning &amp; estimation / coordination complexity</x:v>
      </x:c>
      <x:c r="E173" s="3" t="str">
        <x:v>Resource inefficiency (materials/labor/energy)</x:v>
      </x:c>
      <x:c r="F173" s="3" t="str">
        <x:v>Weather disruption / environmental constraints</x:v>
      </x:c>
      <x:c r="G173" s="3" t="str">
        <x:v>Resource inefficiency (materials/labor/energy), Weather disruption / environmental constraints, Equipment constraints / low availability</x:v>
      </x:c>
      <x:c r="H173" s="3" t="str">
        <x:v>Cost overrun mainly linked to material supply / logistics &amp; market disruption; schedule overrun mainly linked to resource inefficiency (materials/labor/energy).</x:v>
      </x:c>
    </x:row>
    <x:row r="174" ht="109.3499984741211" customHeight="1">
      <x:c r="A174" s="3" t="str">
        <x:v>PJT_173</x:v>
      </x:c>
      <x:c r="B174" s="3" t="str">
        <x:v>Unforeseen site/structural issues &amp; rework</x:v>
      </x:c>
      <x:c r="C174" s="3" t="str">
        <x:v>Material supply / logistics &amp; market disruption</x:v>
      </x:c>
      <x:c r="D174" s="3" t="str">
        <x:v>Unforeseen site/structural issues &amp; rework, Material supply / logistics &amp; market disruption, Planning &amp; estimation / coordination complexity</x:v>
      </x:c>
      <x:c r="E174" s="3" t="str">
        <x:v>Unforeseen site/structural issues &amp; rework</x:v>
      </x:c>
      <x:c r="F174" s="3" t="str">
        <x:v>Weather disruption / environmental constraints</x:v>
      </x:c>
      <x:c r="G174" s="3" t="str">
        <x:v>Unforeseen site/structural issues &amp; rework, Weather disruption / environmental constraints, Equipment constraints / low availability</x:v>
      </x:c>
      <x:c r="H174" s="3" t="str">
        <x:v>Cost overrun mainly linked to unforeseen site/structural issues &amp; rework; schedule overrun mainly linked to unforeseen site/structural issues &amp; rework.</x:v>
      </x:c>
    </x:row>
    <x:row r="175" ht="95.69999694824219" customHeight="1">
      <x:c r="A175" s="3" t="str">
        <x:v>PJT_174</x:v>
      </x:c>
      <x:c r="B175" s="3" t="str">
        <x:v>Planning &amp; estimation / coordination complexity</x:v>
      </x:c>
      <x:c r="C175" s="3" t="str">
        <x:v>Resource inefficiency (materials/labor/energy)</x:v>
      </x:c>
      <x:c r="D175" s="3" t="str">
        <x:v>Planning &amp; estimation / coordination complexity, Resource inefficiency (materials/labor/energy), Unforeseen site/structural issues &amp; rework</x:v>
      </x:c>
      <x:c r="E175" s="3" t="str">
        <x:v>Resource inefficiency (materials/labor/energy)</x:v>
      </x:c>
      <x:c r="F175" s="3" t="str">
        <x:v>Equipment constraints / low availability</x:v>
      </x:c>
      <x:c r="G175" s="3" t="str">
        <x:v>Resource inefficiency (materials/labor/energy), Equipment constraints / low availability, Planning &amp; estimation / coordination complexity</x:v>
      </x:c>
      <x:c r="H175" s="3" t="str">
        <x:v>Cost overrun mainly linked to planning &amp; estimation / coordination complexity; schedule overrun mainly linked to resource inefficiency (materials/labor/energy).</x:v>
      </x:c>
    </x:row>
    <x:row r="176" ht="95.69999694824219" customHeight="1">
      <x:c r="A176" s="3" t="str">
        <x:v>PJT_175</x:v>
      </x:c>
      <x:c r="B176" s="3" t="str">
        <x:v>Unforeseen site/structural issues &amp; rework</x:v>
      </x:c>
      <x:c r="C176" s="3" t="str">
        <x:v>Material supply / logistics &amp; market disruption</x:v>
      </x:c>
      <x:c r="D176" s="3" t="str">
        <x:v>Unforeseen site/structural issues &amp; rework, Material supply / logistics &amp; market disruption, Equipment constraints / low availability</x:v>
      </x:c>
      <x:c r="E176" s="3" t="str">
        <x:v>Equipment constraints / low availability</x:v>
      </x:c>
      <x:c r="F176" s="3" t="str">
        <x:v>Resource inefficiency (materials/labor/energy)</x:v>
      </x:c>
      <x:c r="G176" s="3" t="str">
        <x:v>Equipment constraints / low availability, Resource inefficiency (materials/labor/energy), Unforeseen site/structural issues &amp; rework</x:v>
      </x:c>
      <x:c r="H176" s="3" t="str">
        <x:v>Cost overrun mainly linked to unforeseen site/structural issues &amp; rework; schedule overrun mainly linked to equipment constraints / low availability.</x:v>
      </x:c>
    </x:row>
    <x:row r="177" ht="82.05000305175781" customHeight="1">
      <x:c r="A177" s="3" t="str">
        <x:v>PJT_176</x:v>
      </x:c>
      <x:c r="B177" s="3" t="str">
        <x:v>Material supply / logistics &amp; market disruption</x:v>
      </x:c>
      <x:c r="C177" s="3" t="str">
        <x:v>Resource inefficiency (materials/labor/energy)</x:v>
      </x:c>
      <x:c r="D177" s="3" t="str">
        <x:v>Material supply / logistics &amp; market disruption, Resource inefficiency (materials/labor/energy), Planning &amp; estimation / coordination complexity</x:v>
      </x:c>
      <x:c r="E177" s="3" t="str">
        <x:v>Resource inefficiency (materials/labor/energy)</x:v>
      </x:c>
      <x:c r="F177" s="3" t="str">
        <x:v>Equipment constraints / low availability</x:v>
      </x:c>
      <x:c r="G177" s="3" t="str">
        <x:v>Resource inefficiency (materials/labor/energy), Equipment constraints / low availability, Material supply / logistics &amp; market disruption</x:v>
      </x:c>
      <x:c r="H177" s="3" t="str">
        <x:v>Cost overrun mainly linked to material supply / logistics &amp; market disruption; schedule overrun mainly linked to resource inefficiency (materials/labor/energy).</x:v>
      </x:c>
    </x:row>
    <x:row r="178" ht="95.69999694824219" customHeight="1">
      <x:c r="A178" s="3" t="str">
        <x:v>PJT_177</x:v>
      </x:c>
      <x:c r="B178" s="3" t="str">
        <x:v>Planning &amp; estimation / coordination complexity</x:v>
      </x:c>
      <x:c r="C178" s="3" t="str">
        <x:v>Unforeseen site/structural issues &amp; rework</x:v>
      </x:c>
      <x:c r="D178" s="3" t="str">
        <x:v>Planning &amp; estimation / coordination complexity, Unforeseen site/structural issues &amp; rework, Resource inefficiency (materials/labor/energy)</x:v>
      </x:c>
      <x:c r="E178" s="3" t="str">
        <x:v>Resource inefficiency (materials/labor/energy)</x:v>
      </x:c>
      <x:c r="F178" s="3" t="str">
        <x:v>Equipment constraints / low availability</x:v>
      </x:c>
      <x:c r="G178" s="3" t="str">
        <x:v>Resource inefficiency (materials/labor/energy), Equipment constraints / low availability, Planning &amp; estimation / coordination complexity</x:v>
      </x:c>
      <x:c r="H178" s="3" t="str">
        <x:v>Cost overrun mainly linked to planning &amp; estimation / coordination complexity; schedule overrun mainly linked to resource inefficiency (materials/labor/energy).</x:v>
      </x:c>
    </x:row>
    <x:row r="179" ht="82.05000305175781" customHeight="1">
      <x:c r="A179" s="3" t="str">
        <x:v>PJT_178</x:v>
      </x:c>
      <x:c r="B179" s="3" t="str">
        <x:v>Resource inefficiency (materials/labor/energy)</x:v>
      </x:c>
      <x:c r="C179" s="3" t="str">
        <x:v>Equipment constraints / low availability</x:v>
      </x:c>
      <x:c r="D179" s="3" t="str">
        <x:v>Resource inefficiency (materials/labor/energy), Equipment constraints / low availability, Planning &amp; estimation / coordination complexity</x:v>
      </x:c>
      <x:c r="E179" s="3" t="str">
        <x:v>Resource inefficiency (materials/labor/energy)</x:v>
      </x:c>
      <x:c r="F179" s="3" t="str">
        <x:v>Equipment constraints / low availability</x:v>
      </x:c>
      <x:c r="G179" s="3" t="str">
        <x:v>Resource inefficiency (materials/labor/energy), Equipment constraints / low availability, Planning &amp; estimation / coordination complexity</x:v>
      </x:c>
      <x:c r="H179" s="3" t="str">
        <x:v>Cost overrun mainly linked to resource inefficiency (materials/labor/energy); schedule overrun mainly linked to resource inefficiency (materials/labor/energy).</x:v>
      </x:c>
    </x:row>
    <x:row r="180" ht="95.69999694824219" customHeight="1">
      <x:c r="A180" s="3" t="str">
        <x:v>PJT_179</x:v>
      </x:c>
      <x:c r="B180" s="3" t="str">
        <x:v>Weather disruption / environmental constraints</x:v>
      </x:c>
      <x:c r="C180" s="3" t="str">
        <x:v>Material supply / logistics &amp; market disruption</x:v>
      </x:c>
      <x:c r="D180" s="3" t="str">
        <x:v>Weather disruption / environmental constraints, Material supply / logistics &amp; market disruption, Planning &amp; estimation / coordination complexity</x:v>
      </x:c>
      <x:c r="E180" s="3" t="str">
        <x:v>Weather disruption / environmental constraints</x:v>
      </x:c>
      <x:c r="F180" s="3" t="str">
        <x:v>Planning &amp; estimation / coordination complexity</x:v>
      </x:c>
      <x:c r="G180" s="3" t="str">
        <x:v>Weather disruption / environmental constraints, Planning &amp; estimation / coordination complexity, Material supply / logistics &amp; market disruption</x:v>
      </x:c>
      <x:c r="H180" s="3" t="str">
        <x:v>Cost overrun mainly linked to weather disruption / environmental constraints; schedule overrun mainly linked to weather disruption / environmental constraints.</x:v>
      </x:c>
    </x:row>
    <x:row r="181" ht="82.05000305175781" customHeight="1">
      <x:c r="A181" s="3" t="str">
        <x:v>PJT_180</x:v>
      </x:c>
      <x:c r="B181" s="3" t="str">
        <x:v>Planning &amp; estimation / coordination complexity</x:v>
      </x:c>
      <x:c r="C181" s="3" t="str">
        <x:v>Material supply / logistics &amp; market disruption</x:v>
      </x:c>
      <x:c r="D181" s="3" t="str">
        <x:v>Planning &amp; estimation / coordination complexity, Material supply / logistics &amp; market disruption, Equipment constraints / low availability</x:v>
      </x:c>
      <x:c r="E181" s="3" t="str">
        <x:v>Equipment constraints / low availability</x:v>
      </x:c>
      <x:c r="F181" s="3" t="str">
        <x:v>Resource inefficiency (materials/labor/energy)</x:v>
      </x:c>
      <x:c r="G181" s="3" t="str">
        <x:v>Equipment constraints / low availability, Resource inefficiency (materials/labor/energy), Planning &amp; estimation / coordination complexity</x:v>
      </x:c>
      <x:c r="H181" s="3" t="str">
        <x:v>Cost overrun mainly linked to planning &amp; estimation / coordination complexity; schedule overrun mainly linked to equipment constraints / low availability.</x:v>
      </x:c>
    </x:row>
    <x:row r="182" ht="95.69999694824219" customHeight="1">
      <x:c r="A182" s="3" t="str">
        <x:v>PJT_181</x:v>
      </x:c>
      <x:c r="B182" s="3" t="str">
        <x:v>Material supply / logistics &amp; market disruption</x:v>
      </x:c>
      <x:c r="C182" s="3" t="str">
        <x:v>Unforeseen site/structural issues &amp; rework</x:v>
      </x:c>
      <x:c r="D182" s="3" t="str">
        <x:v>Material supply / logistics &amp; market disruption, Unforeseen site/structural issues &amp; rework, Planning &amp; estimation / coordination complexity</x:v>
      </x:c>
      <x:c r="E182" s="3" t="str">
        <x:v>Resource inefficiency (materials/labor/energy)</x:v>
      </x:c>
      <x:c r="F182" s="3" t="str">
        <x:v>Unforeseen site/structural issues &amp; rework</x:v>
      </x:c>
      <x:c r="G182" s="3" t="str">
        <x:v>Resource inefficiency (materials/labor/energy), Unforeseen site/structural issues &amp; rework, Material supply / logistics &amp; market disruption</x:v>
      </x:c>
      <x:c r="H182" s="3" t="str">
        <x:v>Cost overrun mainly linked to material supply / logistics &amp; market disruption; schedule overrun mainly linked to resource inefficiency (materials/labor/energy).</x:v>
      </x:c>
    </x:row>
    <x:row r="183" ht="82.05000305175781" customHeight="1">
      <x:c r="A183" s="3" t="str">
        <x:v>PJT_182</x:v>
      </x:c>
      <x:c r="B183" s="3" t="str">
        <x:v>Resource inefficiency (materials/labor/energy)</x:v>
      </x:c>
      <x:c r="C183" s="3" t="str">
        <x:v>Material supply / logistics &amp; market disruption</x:v>
      </x:c>
      <x:c r="D183" s="3" t="str">
        <x:v>Resource inefficiency (materials/labor/energy), Material supply / logistics &amp; market disruption, Equipment constraints / low availability</x:v>
      </x:c>
      <x:c r="E183" s="3" t="str">
        <x:v>Resource inefficiency (materials/labor/energy)</x:v>
      </x:c>
      <x:c r="F183" s="3" t="str">
        <x:v>Equipment constraints / low availability</x:v>
      </x:c>
      <x:c r="G183" s="3" t="str">
        <x:v>Resource inefficiency (materials/labor/energy), Equipment constraints / low availability, Planning &amp; estimation / coordination complexity</x:v>
      </x:c>
      <x:c r="H183" s="3" t="str">
        <x:v>Cost overrun mainly linked to resource inefficiency (materials/labor/energy); schedule overrun mainly linked to resource inefficiency (materials/labor/energy).</x:v>
      </x:c>
    </x:row>
    <x:row r="184" ht="82.05000305175781" customHeight="1">
      <x:c r="A184" s="3" t="str">
        <x:v>PJT_183</x:v>
      </x:c>
      <x:c r="B184" s="3" t="str">
        <x:v>Material supply / logistics &amp; market disruption</x:v>
      </x:c>
      <x:c r="C184" s="3" t="str">
        <x:v>Planning &amp; estimation / coordination complexity</x:v>
      </x:c>
      <x:c r="D184" s="3" t="str">
        <x:v>Material supply / logistics &amp; market disruption, Planning &amp; estimation / coordination complexity, Safety incidents &amp; stop-work disruptions</x:v>
      </x:c>
      <x:c r="E184" s="3" t="str">
        <x:v>Resource inefficiency (materials/labor/energy)</x:v>
      </x:c>
      <x:c r="F184" s="3" t="str">
        <x:v>Planning &amp; estimation / coordination complexity</x:v>
      </x:c>
      <x:c r="G184" s="3" t="str">
        <x:v>Resource inefficiency (materials/labor/energy), Planning &amp; estimation / coordination complexity, Safety incidents &amp; stop-work disruptions</x:v>
      </x:c>
      <x:c r="H184" s="3" t="str">
        <x:v>Cost overrun mainly linked to material supply / logistics &amp; market disruption; schedule overrun mainly linked to resource inefficiency (materials/labor/energy).</x:v>
      </x:c>
    </x:row>
    <x:row r="185" ht="95.69999694824219" customHeight="1">
      <x:c r="A185" s="3" t="str">
        <x:v>PJT_184</x:v>
      </x:c>
      <x:c r="B185" s="3" t="str">
        <x:v>Equipment constraints / low availability</x:v>
      </x:c>
      <x:c r="C185" s="3" t="str">
        <x:v>Unforeseen site/structural issues &amp; rework</x:v>
      </x:c>
      <x:c r="D185" s="3" t="str">
        <x:v>Equipment constraints / low availability, Unforeseen site/structural issues &amp; rework, Material supply / logistics &amp; market disruption</x:v>
      </x:c>
      <x:c r="E185" s="3" t="str">
        <x:v>Equipment constraints / low availability</x:v>
      </x:c>
      <x:c r="F185" s="3" t="str">
        <x:v>Resource inefficiency (materials/labor/energy)</x:v>
      </x:c>
      <x:c r="G185" s="3" t="str">
        <x:v>Equipment constraints / low availability, Resource inefficiency (materials/labor/energy), Weather disruption / environmental constraints</x:v>
      </x:c>
      <x:c r="H185" s="3" t="str">
        <x:v>Cost overrun mainly linked to equipment constraints / low availability; schedule overrun mainly linked to equipment constraints / low availability.</x:v>
      </x:c>
    </x:row>
    <x:row r="186" ht="109.3499984741211" customHeight="1">
      <x:c r="A186" s="3" t="str">
        <x:v>PJT_185</x:v>
      </x:c>
      <x:c r="B186" s="3" t="str">
        <x:v>Planning &amp; estimation / coordination complexity</x:v>
      </x:c>
      <x:c r="C186" s="3" t="str">
        <x:v>Unforeseen site/structural issues &amp; rework</x:v>
      </x:c>
      <x:c r="D186" s="3" t="str">
        <x:v>Planning &amp; estimation / coordination complexity, Unforeseen site/structural issues &amp; rework, Material supply / logistics &amp; market disruption</x:v>
      </x:c>
      <x:c r="E186" s="3" t="str">
        <x:v>Planning &amp; estimation / coordination complexity</x:v>
      </x:c>
      <x:c r="F186" s="3" t="str">
        <x:v>Unforeseen site/structural issues &amp; rework</x:v>
      </x:c>
      <x:c r="G186" s="3" t="str">
        <x:v>Planning &amp; estimation / coordination complexity, Unforeseen site/structural issues &amp; rework, Weather disruption / environmental constraints</x:v>
      </x:c>
      <x:c r="H186" s="3" t="str">
        <x:v>Cost overrun mainly linked to planning &amp; estimation / coordination complexity; schedule overrun mainly linked to planning &amp; estimation / coordination complexity.</x:v>
      </x:c>
    </x:row>
    <x:row r="187" ht="95.69999694824219" customHeight="1">
      <x:c r="A187" s="3" t="str">
        <x:v>PJT_186</x:v>
      </x:c>
      <x:c r="B187" s="3" t="str">
        <x:v>Unforeseen site/structural issues &amp; rework</x:v>
      </x:c>
      <x:c r="C187" s="3" t="str">
        <x:v>Planning &amp; estimation / coordination complexity</x:v>
      </x:c>
      <x:c r="D187" s="3" t="str">
        <x:v>Unforeseen site/structural issues &amp; rework, Planning &amp; estimation / coordination complexity, Material supply / logistics &amp; market disruption</x:v>
      </x:c>
      <x:c r="E187" s="3" t="str">
        <x:v>Unforeseen site/structural issues &amp; rework</x:v>
      </x:c>
      <x:c r="F187" s="3" t="str">
        <x:v>Planning &amp; estimation / coordination complexity</x:v>
      </x:c>
      <x:c r="G187" s="3" t="str">
        <x:v>Unforeseen site/structural issues &amp; rework, Planning &amp; estimation / coordination complexity, Equipment constraints / low availability</x:v>
      </x:c>
      <x:c r="H187" s="3" t="str">
        <x:v>Cost overrun mainly linked to unforeseen site/structural issues &amp; rework; schedule overrun mainly linked to unforeseen site/structural issues &amp; rework.</x:v>
      </x:c>
    </x:row>
    <x:row r="188" ht="95.69999694824219" customHeight="1">
      <x:c r="A188" s="3" t="str">
        <x:v>PJT_187</x:v>
      </x:c>
      <x:c r="B188" s="3" t="str">
        <x:v>Unforeseen site/structural issues &amp; rework</x:v>
      </x:c>
      <x:c r="C188" s="3" t="str">
        <x:v>Planning &amp; estimation / coordination complexity</x:v>
      </x:c>
      <x:c r="D188" s="3" t="str">
        <x:v>Unforeseen site/structural issues &amp; rework, Planning &amp; estimation / coordination complexity, Material supply / logistics &amp; market disruption</x:v>
      </x:c>
      <x:c r="E188" s="3" t="str">
        <x:v>Unforeseen site/structural issues &amp; rework</x:v>
      </x:c>
      <x:c r="F188" s="3" t="str">
        <x:v>Planning &amp; estimation / coordination complexity</x:v>
      </x:c>
      <x:c r="G188" s="3" t="str">
        <x:v>Unforeseen site/structural issues &amp; rework, Planning &amp; estimation / coordination complexity, Resource inefficiency (materials/labor/energy)</x:v>
      </x:c>
      <x:c r="H188" s="3" t="str">
        <x:v>Cost overrun mainly linked to unforeseen site/structural issues &amp; rework; schedule overrun mainly linked to unforeseen site/structural issues &amp; rework.</x:v>
      </x:c>
    </x:row>
    <x:row r="189" ht="82.05000305175781" customHeight="1">
      <x:c r="A189" s="3" t="str">
        <x:v>PJT_188</x:v>
      </x:c>
      <x:c r="B189" s="3" t="str">
        <x:v>Resource inefficiency (materials/labor/energy)</x:v>
      </x:c>
      <x:c r="C189" s="3" t="str">
        <x:v>Planning &amp; estimation / coordination complexity</x:v>
      </x:c>
      <x:c r="D189" s="3" t="str">
        <x:v>Resource inefficiency (materials/labor/energy), Planning &amp; estimation / coordination complexity, Equipment constraints / low availability</x:v>
      </x:c>
      <x:c r="E189" s="3" t="str">
        <x:v>Resource inefficiency (materials/labor/energy)</x:v>
      </x:c>
      <x:c r="F189" s="3" t="str">
        <x:v>Equipment constraints / low availability</x:v>
      </x:c>
      <x:c r="G189" s="3" t="str">
        <x:v>Resource inefficiency (materials/labor/energy), Equipment constraints / low availability, Planning &amp; estimation / coordination complexity</x:v>
      </x:c>
      <x:c r="H189" s="3" t="str">
        <x:v>Cost overrun mainly linked to resource inefficiency (materials/labor/energy); schedule overrun mainly linked to resource inefficiency (materials/labor/energy).</x:v>
      </x:c>
    </x:row>
    <x:row r="190" ht="95.69999694824219" customHeight="1">
      <x:c r="A190" s="3" t="str">
        <x:v>PJT_189</x:v>
      </x:c>
      <x:c r="B190" s="3" t="str">
        <x:v>Planning &amp; estimation / coordination complexity</x:v>
      </x:c>
      <x:c r="C190" s="3" t="str">
        <x:v>Material supply / logistics &amp; market disruption</x:v>
      </x:c>
      <x:c r="D190" s="3" t="str">
        <x:v>Planning &amp; estimation / coordination complexity, Material supply / logistics &amp; market disruption, Safety incidents &amp; stop-work disruptions</x:v>
      </x:c>
      <x:c r="E190" s="3" t="str">
        <x:v>Planning &amp; estimation / coordination complexity</x:v>
      </x:c>
      <x:c r="F190" s="3" t="str">
        <x:v>Weather disruption / environmental constraints</x:v>
      </x:c>
      <x:c r="G190" s="3" t="str">
        <x:v>Planning &amp; estimation / coordination complexity, Weather disruption / environmental constraints, Resource inefficiency (materials/labor/energy)</x:v>
      </x:c>
      <x:c r="H190" s="3" t="str">
        <x:v>Cost overrun mainly linked to planning &amp; estimation / coordination complexity; schedule overrun mainly linked to planning &amp; estimation / coordination complexity.</x:v>
      </x:c>
    </x:row>
    <x:row r="191" ht="95.69999694824219" customHeight="1">
      <x:c r="A191" s="3" t="str">
        <x:v>PJT_190</x:v>
      </x:c>
      <x:c r="B191" s="3" t="str">
        <x:v>Material supply / logistics &amp; market disruption</x:v>
      </x:c>
      <x:c r="C191" s="3" t="str">
        <x:v>Unforeseen site/structural issues &amp; rework</x:v>
      </x:c>
      <x:c r="D191" s="3" t="str">
        <x:v>Material supply / logistics &amp; market disruption, Unforeseen site/structural issues &amp; rework, Planning &amp; estimation / coordination complexity</x:v>
      </x:c>
      <x:c r="E191" s="3" t="str">
        <x:v>Weather disruption / environmental constraints</x:v>
      </x:c>
      <x:c r="F191" s="3" t="str">
        <x:v>Planning &amp; estimation / coordination complexity</x:v>
      </x:c>
      <x:c r="G191" s="3" t="str">
        <x:v>Weather disruption / environmental constraints, Planning &amp; estimation / coordination complexity, Unforeseen site/structural issues &amp; rework</x:v>
      </x:c>
      <x:c r="H191" s="3" t="str">
        <x:v>Cost overrun mainly linked to material supply / logistics &amp; market disruption; schedule overrun mainly linked to weather disruption / environmental constraints.</x:v>
      </x:c>
    </x:row>
    <x:row r="192">
      <x:c r="A192" s="3" t="str">
        <x:v>PJT_191</x:v>
      </x:c>
      <x:c r="B192" s="3" t="str">
        <x:v>Weather disruption / environmental constraints</x:v>
      </x:c>
      <x:c r="C192" s="3" t="str">
        <x:v>Unforeseen site/structural issues &amp; rework</x:v>
      </x:c>
      <x:c r="D192" s="3" t="str">
        <x:v>Weather disruption / environmental constraints, Unforeseen site/structural issues &amp; rework, Material supply / logistics &amp; market disruption</x:v>
      </x:c>
      <x:c r="E192" s="3" t="str">
        <x:v>Weather disruption / environmental constraints</x:v>
      </x:c>
      <x:c r="F192" s="3" t="str">
        <x:v>Material supply / logistics &amp; market disruption</x:v>
      </x:c>
      <x:c r="G192" s="3" t="str">
        <x:v>Weather disruption / environmental constraints, Material supply / logistics &amp; market disruption, Unforeseen site/structural issues &amp; rework</x:v>
      </x:c>
      <x:c r="H192" s="3" t="str">
        <x:v>Cost overrun mainly linked to weather disruption / environmental constraints; schedule overrun mainly linked to weather disruption / environmental constraints.</x:v>
      </x:c>
    </x:row>
    <x:row r="193">
      <x:c r="A193" s="3" t="str">
        <x:v>PJT_192</x:v>
      </x:c>
      <x:c r="B193" s="3" t="str">
        <x:v>Weather disruption / environmental constraints</x:v>
      </x:c>
      <x:c r="C193" s="3" t="str">
        <x:v>Unforeseen site/structural issues &amp; rework</x:v>
      </x:c>
      <x:c r="D193" s="3" t="str">
        <x:v>Weather disruption / environmental constraints, Unforeseen site/structural issues &amp; rework, Material supply / logistics &amp; market disruption</x:v>
      </x:c>
      <x:c r="E193" s="3" t="str">
        <x:v>Weather disruption / environmental constraints</x:v>
      </x:c>
      <x:c r="F193" s="3" t="str">
        <x:v>Material supply / logistics &amp; market disruption</x:v>
      </x:c>
      <x:c r="G193" s="3" t="str">
        <x:v>Weather disruption / environmental constraints, Material supply / logistics &amp; market disruption, Resource inefficiency (materials/labor/energy)</x:v>
      </x:c>
      <x:c r="H193" s="3" t="str">
        <x:v>Cost overrun mainly linked to weather disruption / environmental constraints; schedule overrun mainly linked to weather disruption / environmental constraints.</x:v>
      </x:c>
    </x:row>
    <x:row r="194">
      <x:c r="A194" s="3" t="str">
        <x:v>PJT_193</x:v>
      </x:c>
      <x:c r="B194" s="3" t="str">
        <x:v>Weather disruption / environmental constraints</x:v>
      </x:c>
      <x:c r="C194" s="3" t="str">
        <x:v>Unforeseen site/structural issues &amp; rework</x:v>
      </x:c>
      <x:c r="D194" s="3" t="str">
        <x:v>Weather disruption / environmental constraints, Unforeseen site/structural issues &amp; rework, Material supply / logistics &amp; market disruption</x:v>
      </x:c>
      <x:c r="E194" s="3" t="str">
        <x:v>Weather disruption / environmental constraints</x:v>
      </x:c>
      <x:c r="F194" s="3" t="str">
        <x:v>Material supply / logistics &amp; market disruption</x:v>
      </x:c>
      <x:c r="G194" s="3" t="str">
        <x:v>Weather disruption / environmental constraints, Material supply / logistics &amp; market disruption, Unforeseen site/structural issues &amp; rework</x:v>
      </x:c>
      <x:c r="H194" s="3" t="str">
        <x:v>Cost overrun mainly linked to weather disruption / environmental constraints; schedule overrun mainly linked to weather disruption / environmental constraints.</x:v>
      </x:c>
    </x:row>
    <x:row r="195">
      <x:c r="A195" s="3" t="str">
        <x:v>PJT_194</x:v>
      </x:c>
      <x:c r="B195" s="3" t="str">
        <x:v>Unforeseen site/structural issues &amp; rework</x:v>
      </x:c>
      <x:c r="C195" s="3" t="str">
        <x:v>Planning &amp; estimation / coordination complexity</x:v>
      </x:c>
      <x:c r="D195" s="3" t="str">
        <x:v>Unforeseen site/structural issues &amp; rework, Planning &amp; estimation / coordination complexity, Weather disruption / environmental constraints</x:v>
      </x:c>
      <x:c r="E195" s="3" t="str">
        <x:v>Unforeseen site/structural issues &amp; rework</x:v>
      </x:c>
      <x:c r="F195" s="3" t="str">
        <x:v>Planning &amp; estimation / coordination complexity</x:v>
      </x:c>
      <x:c r="G195" s="3" t="str">
        <x:v>Unforeseen site/structural issues &amp; rework, Planning &amp; estimation / coordination complexity, Weather disruption / environmental constraints</x:v>
      </x:c>
      <x:c r="H195" s="3" t="str">
        <x:v>Cost overrun mainly linked to unforeseen site/structural issues &amp; rework; schedule overrun mainly linked to unforeseen site/structural issues &amp; rework.</x:v>
      </x:c>
    </x:row>
    <x:row r="196">
      <x:c r="A196" s="3" t="str">
        <x:v>PJT_195</x:v>
      </x:c>
      <x:c r="B196" s="3" t="str">
        <x:v>Planning &amp; estimation / coordination complexity</x:v>
      </x:c>
      <x:c r="C196" s="3" t="str">
        <x:v>Unforeseen site/structural issues &amp; rework</x:v>
      </x:c>
      <x:c r="D196" s="3" t="str">
        <x:v>Planning &amp; estimation / coordination complexity, Unforeseen site/structural issues &amp; rework, Resource inefficiency (materials/labor/energy)</x:v>
      </x:c>
      <x:c r="E196" s="3" t="str">
        <x:v>Planning &amp; estimation / coordination complexity</x:v>
      </x:c>
      <x:c r="F196" s="3" t="str">
        <x:v>Unforeseen site/structural issues &amp; rework</x:v>
      </x:c>
      <x:c r="G196" s="3" t="str">
        <x:v>Planning &amp; estimation / coordination complexity, Unforeseen site/structural issues &amp; rework, Resource inefficiency (materials/labor/energy)</x:v>
      </x:c>
      <x:c r="H196" s="3" t="str">
        <x:v>Cost overrun mainly linked to planning &amp; estimation / coordination complexity; schedule overrun mainly linked to planning &amp; estimation / coordination complexity.</x:v>
      </x:c>
    </x:row>
    <x:row r="197">
      <x:c r="A197" s="3" t="str">
        <x:v>PJT_196</x:v>
      </x:c>
      <x:c r="B197" s="3" t="str">
        <x:v>Resource inefficiency (materials/labor/energy)</x:v>
      </x:c>
      <x:c r="C197" s="3" t="str">
        <x:v>Planning &amp; estimation / coordination complexity</x:v>
      </x:c>
      <x:c r="D197" s="3" t="str">
        <x:v>Resource inefficiency (materials/labor/energy), Planning &amp; estimation / coordination complexity, Equipment constraints / low availability</x:v>
      </x:c>
      <x:c r="E197" s="3" t="str">
        <x:v>Resource inefficiency (materials/labor/energy)</x:v>
      </x:c>
      <x:c r="F197" s="3" t="str">
        <x:v>Planning &amp; estimation / coordination complexity</x:v>
      </x:c>
      <x:c r="G197" s="3" t="str">
        <x:v>Resource inefficiency (materials/labor/energy), Planning &amp; estimation / coordination complexity, Equipment constraints / low availability</x:v>
      </x:c>
      <x:c r="H197" s="3" t="str">
        <x:v>Cost overrun mainly linked to resource inefficiency (materials/labor/energy); schedule overrun mainly linked to resource inefficiency (materials/labor/energy).</x:v>
      </x:c>
    </x:row>
    <x:row r="198">
      <x:c r="A198" s="3" t="str">
        <x:v>PJT_197</x:v>
      </x:c>
      <x:c r="B198" s="3" t="str">
        <x:v>Unforeseen site/structural issues &amp; rework</x:v>
      </x:c>
      <x:c r="C198" s="3" t="str">
        <x:v>Planning &amp; estimation / coordination complexity</x:v>
      </x:c>
      <x:c r="D198" s="3" t="str">
        <x:v>Unforeseen site/structural issues &amp; rework, Planning &amp; estimation / coordination complexity, Weather disruption / environmental constraints</x:v>
      </x:c>
      <x:c r="E198" s="3" t="str">
        <x:v>Unforeseen site/structural issues &amp; rework</x:v>
      </x:c>
      <x:c r="F198" s="3" t="str">
        <x:v>Planning &amp; estimation / coordination complexity</x:v>
      </x:c>
      <x:c r="G198" s="3" t="str">
        <x:v>Unforeseen site/structural issues &amp; rework, Planning &amp; estimation / coordination complexity, Weather disruption / environmental constraints</x:v>
      </x:c>
      <x:c r="H198" s="3" t="str">
        <x:v>Cost overrun mainly linked to unforeseen site/structural issues &amp; rework; schedule overrun mainly linked to unforeseen site/structural issues &amp; rework.</x:v>
      </x:c>
    </x:row>
    <x:row r="199">
      <x:c r="A199" s="3" t="str">
        <x:v>PJT_198</x:v>
      </x:c>
      <x:c r="B199" s="3" t="str">
        <x:v>Weather disruption / environmental constraints</x:v>
      </x:c>
      <x:c r="C199" s="3" t="str">
        <x:v>Unforeseen site/structural issues &amp; rework</x:v>
      </x:c>
      <x:c r="D199" s="3" t="str">
        <x:v>Weather disruption / environmental constraints, Unforeseen site/structural issues &amp; rework, Material supply / logistics &amp; market disruption</x:v>
      </x:c>
      <x:c r="E199" s="3" t="str">
        <x:v>Weather disruption / environmental constraints</x:v>
      </x:c>
      <x:c r="F199" s="3" t="str">
        <x:v>Material supply / logistics &amp; market disruption</x:v>
      </x:c>
      <x:c r="G199" s="3" t="str">
        <x:v>Weather disruption / environmental constraints, Material supply / logistics &amp; market disruption, Unforeseen site/structural issues &amp; rework</x:v>
      </x:c>
      <x:c r="H199" s="3" t="str">
        <x:v>Cost overrun mainly linked to weather disruption / environmental constraints; schedule overrun mainly linked to weather disruption / environmental constraints.</x:v>
      </x:c>
    </x:row>
    <x:row r="200">
      <x:c r="A200" s="3" t="str">
        <x:v>PJT_199</x:v>
      </x:c>
      <x:c r="B200" s="3" t="str">
        <x:v>Unforeseen site/structural issues &amp; rework</x:v>
      </x:c>
      <x:c r="C200" s="3" t="str">
        <x:v>Resource inefficiency (materials/labor/energy)</x:v>
      </x:c>
      <x:c r="D200" s="3" t="str">
        <x:v>Unforeseen site/structural issues &amp; rework, Resource inefficiency (materials/labor/energy), Equipment constraints / low availability</x:v>
      </x:c>
      <x:c r="E200" s="3" t="str">
        <x:v>Unforeseen site/structural issues &amp; rework</x:v>
      </x:c>
      <x:c r="F200" s="3" t="str">
        <x:v>Equipment constraints / low availability</x:v>
      </x:c>
      <x:c r="G200" s="3" t="str">
        <x:v>Unforeseen site/structural issues &amp; rework, Equipment constraints / low availability, Resource inefficiency (materials/labor/energy)</x:v>
      </x:c>
      <x:c r="H200" s="3" t="str">
        <x:v>Cost overrun mainly linked to unforeseen site/structural issues &amp; rework; schedule overrun mainly linked to unforeseen site/structural issues &amp; rework.</x:v>
      </x:c>
    </x:row>
    <x:row r="201">
      <x:c r="A201" s="3" t="str">
        <x:v>PJT_200</x:v>
      </x:c>
      <x:c r="B201" s="3" t="str">
        <x:v>Resource inefficiency (materials/labor/energy)</x:v>
      </x:c>
      <x:c r="C201" s="3" t="str">
        <x:v>Equipment constraints / low availability</x:v>
      </x:c>
      <x:c r="D201" s="3" t="str">
        <x:v>Resource inefficiency (materials/labor/energy), Equipment constraints / low availability, Planning &amp; estimation / coordination complexity</x:v>
      </x:c>
      <x:c r="E201" s="3" t="str">
        <x:v>Resource inefficiency (materials/labor/energy)</x:v>
      </x:c>
      <x:c r="F201" s="3" t="str">
        <x:v>Equipment constraints / low availability</x:v>
      </x:c>
      <x:c r="G201" s="3" t="str">
        <x:v>Resource inefficiency (materials/labor/energy), Equipment constraints / low availability, Planning &amp; estimation / coordination complexity</x:v>
      </x:c>
      <x:c r="H201" s="3" t="str">
        <x:v>Cost overrun mainly linked to resource inefficiency (materials/labor/energy); schedule overrun mainly linked to resource inefficiency (materials/labor/energy).</x:v>
      </x:c>
    </x:row>
    <x:row r="202">
      <x:c r="A202" s="3" t="str">
        <x:v>PJT_201</x:v>
      </x:c>
      <x:c r="B202" s="3" t="str">
        <x:v>Planning &amp; estimation / coordination complexity</x:v>
      </x:c>
      <x:c r="C202" s="3" t="str">
        <x:v>Resource inefficiency (materials/labor/energy)</x:v>
      </x:c>
      <x:c r="D202" s="3" t="str">
        <x:v>Planning &amp; estimation / coordination complexity, Resource inefficiency (materials/labor/energy), Unforeseen site/structural issues &amp; rework</x:v>
      </x:c>
      <x:c r="E202" s="3" t="str">
        <x:v>Planning &amp; estimation / coordination complexity</x:v>
      </x:c>
      <x:c r="F202" s="3" t="str">
        <x:v>Unforeseen site/structural issues &amp; rework</x:v>
      </x:c>
      <x:c r="G202" s="3" t="str">
        <x:v>Planning &amp; estimation / coordination complexity, Unforeseen site/structural issues &amp; rework, Resource inefficiency (materials/labor/energy)</x:v>
      </x:c>
      <x:c r="H202" s="3" t="str">
        <x:v>Cost overrun mainly linked to planning &amp; estimation / coordination complexity; schedule overrun mainly linked to planning &amp; estimation / coordination complexity.</x:v>
      </x:c>
    </x:row>
    <x:row r="203">
      <x:c r="A203" s="3" t="str">
        <x:v>PJT_202</x:v>
      </x:c>
      <x:c r="B203" s="3" t="str">
        <x:v>Unforeseen site/structural issues &amp; rework</x:v>
      </x:c>
      <x:c r="C203" s="3" t="str">
        <x:v>Equipment constraints / low availability</x:v>
      </x:c>
      <x:c r="D203" s="3" t="str">
        <x:v>Unforeseen site/structural issues &amp; rework, Equipment constraints / low availability, Resource inefficiency (materials/labor/energy)</x:v>
      </x:c>
      <x:c r="E203" s="3" t="str">
        <x:v>Unforeseen site/structural issues &amp; rework</x:v>
      </x:c>
      <x:c r="F203" s="3" t="str">
        <x:v>Equipment constraints / low availability</x:v>
      </x:c>
      <x:c r="G203" s="3" t="str">
        <x:v>Unforeseen site/structural issues &amp; rework, Equipment constraints / low availability, Planning &amp; estimation / coordination complexity</x:v>
      </x:c>
      <x:c r="H203" s="3" t="str">
        <x:v>Cost overrun mainly linked to unforeseen site/structural issues &amp; rework; schedule overrun mainly linked to unforeseen site/structural issues &amp; rework.</x:v>
      </x:c>
    </x:row>
    <x:row r="204">
      <x:c r="A204" s="3" t="str">
        <x:v>PJT_203</x:v>
      </x:c>
      <x:c r="B204" s="3" t="str">
        <x:v>Weather disruption / environmental constraints</x:v>
      </x:c>
      <x:c r="C204" s="3" t="str">
        <x:v>Equipment constraints / low availability</x:v>
      </x:c>
      <x:c r="D204" s="3" t="str">
        <x:v>Weather disruption / environmental constraints, Equipment constraints / low availability, Material supply / logistics &amp; market disruption</x:v>
      </x:c>
      <x:c r="E204" s="3" t="str">
        <x:v>Weather disruption / environmental constraints</x:v>
      </x:c>
      <x:c r="F204" s="3" t="str">
        <x:v>Material supply / logistics &amp; market disruption</x:v>
      </x:c>
      <x:c r="G204" s="3" t="str">
        <x:v>Weather disruption / environmental constraints, Material supply / logistics &amp; market disruption, Equipment constraints / low availability</x:v>
      </x:c>
      <x:c r="H204" s="3" t="str">
        <x:v>Cost overrun mainly linked to weather disruption / environmental constraints; schedule overrun mainly linked to weather disruption / environmental constraints.</x:v>
      </x:c>
    </x:row>
    <x:row r="205">
      <x:c r="A205" s="3" t="str">
        <x:v>PJT_204</x:v>
      </x:c>
      <x:c r="B205" s="3" t="str">
        <x:v>Equipment constraints / low availability</x:v>
      </x:c>
      <x:c r="C205" s="3" t="str">
        <x:v>Planning &amp; estimation / coordination complexity</x:v>
      </x:c>
      <x:c r="D205" s="3" t="str">
        <x:v>Equipment constraints / low availability, Planning &amp; estimation / coordination complexity, Resource inefficiency (materials/labor/energy)</x:v>
      </x:c>
      <x:c r="E205" s="3" t="str">
        <x:v>Equipment constraints / low availability</x:v>
      </x:c>
      <x:c r="F205" s="3" t="str">
        <x:v>Resource inefficiency (materials/labor/energy)</x:v>
      </x:c>
      <x:c r="G205" s="3" t="str">
        <x:v>Equipment constraints / low availability, Resource inefficiency (materials/labor/energy), Planning &amp; estimation / coordination complexity</x:v>
      </x:c>
      <x:c r="H205" s="3" t="str">
        <x:v>Cost overrun mainly linked to equipment constraints / low availability; schedule overrun mainly linked to equipment constraints / low availability.</x:v>
      </x:c>
    </x:row>
    <x:row r="206">
      <x:c r="A206" s="3" t="str">
        <x:v>PJT_205</x:v>
      </x:c>
      <x:c r="B206" s="3" t="str">
        <x:v>Unforeseen site/structural issues &amp; rework</x:v>
      </x:c>
      <x:c r="C206" s="3" t="str">
        <x:v>Planning &amp; estimation / coordination complexity</x:v>
      </x:c>
      <x:c r="D206" s="3" t="str">
        <x:v>Unforeseen site/structural issues &amp; rework, Planning &amp; estimation / coordination complexity, Material supply / logistics &amp; market disruption</x:v>
      </x:c>
      <x:c r="E206" s="3" t="str">
        <x:v>Unforeseen site/structural issues &amp; rework</x:v>
      </x:c>
      <x:c r="F206" s="3" t="str">
        <x:v>Planning &amp; estimation / coordination complexity</x:v>
      </x:c>
      <x:c r="G206" s="3" t="str">
        <x:v>Unforeseen site/structural issues &amp; rework, Planning &amp; estimation / coordination complexity, Material supply / logistics &amp; market disruption</x:v>
      </x:c>
      <x:c r="H206" s="3" t="str">
        <x:v>Cost overrun mainly linked to unforeseen site/structural issues &amp; rework; schedule overrun mainly linked to unforeseen site/structural issues &amp; rework.</x:v>
      </x:c>
    </x:row>
    <x:row r="207">
      <x:c r="A207" s="3" t="str">
        <x:v>PJT_206</x:v>
      </x:c>
      <x:c r="B207" s="3" t="str">
        <x:v>Resource inefficiency (materials/labor/energy)</x:v>
      </x:c>
      <x:c r="C207" s="3" t="str">
        <x:v>Planning &amp; estimation / coordination complexity</x:v>
      </x:c>
      <x:c r="D207" s="3" t="str">
        <x:v>Resource inefficiency (materials/labor/energy), Planning &amp; estimation / coordination complexity, Equipment constraints / low availability</x:v>
      </x:c>
      <x:c r="E207" s="3" t="str">
        <x:v>Resource inefficiency (materials/labor/energy)</x:v>
      </x:c>
      <x:c r="F207" s="3" t="str">
        <x:v>Planning &amp; estimation / coordination complexity</x:v>
      </x:c>
      <x:c r="G207" s="3" t="str">
        <x:v>Resource inefficiency (materials/labor/energy), Planning &amp; estimation / coordination complexity, Equipment constraints / low availability</x:v>
      </x:c>
      <x:c r="H207" s="3" t="str">
        <x:v>Cost overrun mainly linked to resource inefficiency (materials/labor/energy); schedule overrun mainly linked to resource inefficiency (materials/labor/energy).</x:v>
      </x:c>
    </x:row>
    <x:row r="208">
      <x:c r="A208" s="3" t="str">
        <x:v>PJT_207</x:v>
      </x:c>
      <x:c r="B208" s="3" t="str">
        <x:v>Resource inefficiency (materials/labor/energy)</x:v>
      </x:c>
      <x:c r="C208" s="3" t="str">
        <x:v>Material supply / logistics &amp; market disruption</x:v>
      </x:c>
      <x:c r="D208" s="3" t="str">
        <x:v>Resource inefficiency (materials/labor/energy), Material supply / logistics &amp; market disruption, Unforeseen site/structural issues &amp; rework</x:v>
      </x:c>
      <x:c r="E208" s="3" t="str">
        <x:v>Resource inefficiency (materials/labor/energy)</x:v>
      </x:c>
      <x:c r="F208" s="3" t="str">
        <x:v>Unforeseen site/structural issues &amp; rework</x:v>
      </x:c>
      <x:c r="G208" s="3" t="str">
        <x:v>Resource inefficiency (materials/labor/energy), Unforeseen site/structural issues &amp; rework, Equipment constraints / low availability</x:v>
      </x:c>
      <x:c r="H208" s="3" t="str">
        <x:v>Cost overrun mainly linked to resource inefficiency (materials/labor/energy); schedule overrun mainly linked to resource inefficiency (materials/labor/energy).</x:v>
      </x:c>
    </x:row>
    <x:row r="209">
      <x:c r="A209" s="3" t="str">
        <x:v>PJT_208</x:v>
      </x:c>
      <x:c r="B209" s="3" t="str">
        <x:v>Unforeseen site/structural issues &amp; rework</x:v>
      </x:c>
      <x:c r="C209" s="3" t="str">
        <x:v>Planning &amp; estimation / coordination complexity</x:v>
      </x:c>
      <x:c r="D209" s="3" t="str">
        <x:v>Unforeseen site/structural issues &amp; rework, Planning &amp; estimation / coordination complexity, Equipment constraints / low availability</x:v>
      </x:c>
      <x:c r="E209" s="3" t="str">
        <x:v>Unforeseen site/structural issues &amp; rework</x:v>
      </x:c>
      <x:c r="F209" s="3" t="str">
        <x:v>Planning &amp; estimation / coordination complexity</x:v>
      </x:c>
      <x:c r="G209" s="3" t="str">
        <x:v>Unforeseen site/structural issues &amp; rework, Planning &amp; estimation / coordination complexity, Equipment constraints / low availability</x:v>
      </x:c>
      <x:c r="H209" s="3" t="str">
        <x:v>Cost overrun mainly linked to unforeseen site/structural issues &amp; rework; schedule overrun mainly linked to unforeseen site/structural issues &amp; rework.</x:v>
      </x:c>
    </x:row>
    <x:row r="210">
      <x:c r="A210" s="3" t="str">
        <x:v>PJT_209</x:v>
      </x:c>
      <x:c r="B210" s="3" t="str">
        <x:v>Weather disruption / environmental constraints</x:v>
      </x:c>
      <x:c r="C210" s="3" t="str">
        <x:v>Unforeseen site/structural issues &amp; rework</x:v>
      </x:c>
      <x:c r="D210" s="3" t="str">
        <x:v>Weather disruption / environmental constraints, Unforeseen site/structural issues &amp; rework, Material supply / logistics &amp; market disruption</x:v>
      </x:c>
      <x:c r="E210" s="3" t="str">
        <x:v>Weather disruption / environmental constraints</x:v>
      </x:c>
      <x:c r="F210" s="3" t="str">
        <x:v>Unforeseen site/structural issues &amp; rework</x:v>
      </x:c>
      <x:c r="G210" s="3" t="str">
        <x:v>Weather disruption / environmental constraints, Unforeseen site/structural issues &amp; rework, Material supply / logistics &amp; market disruption</x:v>
      </x:c>
      <x:c r="H210" s="3" t="str">
        <x:v>Cost overrun mainly linked to weather disruption / environmental constraints; schedule overrun mainly linked to weather disruption / environmental constraints.</x:v>
      </x:c>
    </x:row>
    <x:row r="211">
      <x:c r="A211" s="3" t="str">
        <x:v>PJT_210</x:v>
      </x:c>
      <x:c r="B211" s="3" t="str">
        <x:v>Material supply / logistics &amp; market disruption</x:v>
      </x:c>
      <x:c r="C211" s="3" t="str">
        <x:v>Unforeseen site/structural issues &amp; rework</x:v>
      </x:c>
      <x:c r="D211" s="3" t="str">
        <x:v>Material supply / logistics &amp; market disruption, Unforeseen site/structural issues &amp; rework, Resource inefficiency (materials/labor/energy)</x:v>
      </x:c>
      <x:c r="E211" s="3" t="str">
        <x:v>Unforeseen site/structural issues &amp; rework</x:v>
      </x:c>
      <x:c r="F211" s="3" t="str">
        <x:v>Material supply / logistics &amp; market disruption</x:v>
      </x:c>
      <x:c r="G211" s="3" t="str">
        <x:v>Unforeseen site/structural issues &amp; rework, Material supply / logistics &amp; market disruption, Planning &amp; estimation / coordination complexity</x:v>
      </x:c>
      <x:c r="H211" s="3" t="str">
        <x:v>Cost overrun mainly linked to material supply / logistics &amp; market disruption; schedule overrun mainly linked to unforeseen site/structural issues &amp; rework.</x:v>
      </x:c>
    </x:row>
    <x:row r="212">
      <x:c r="A212" s="3" t="str">
        <x:v>PJT_211</x:v>
      </x:c>
      <x:c r="B212" s="3" t="str">
        <x:v>Planning &amp; estimation / coordination complexity</x:v>
      </x:c>
      <x:c r="C212" s="3" t="str">
        <x:v>Resource inefficiency (materials/labor/energy)</x:v>
      </x:c>
      <x:c r="D212" s="3" t="str">
        <x:v>Planning &amp; estimation / coordination complexity, Resource inefficiency (materials/labor/energy), Material supply / logistics &amp; market disruption</x:v>
      </x:c>
      <x:c r="E212" s="3" t="str">
        <x:v>Planning &amp; estimation / coordination complexity</x:v>
      </x:c>
      <x:c r="F212" s="3" t="str">
        <x:v>Resource inefficiency (materials/labor/energy)</x:v>
      </x:c>
      <x:c r="G212" s="3" t="str">
        <x:v>Planning &amp; estimation / coordination complexity, Resource inefficiency (materials/labor/energy), Unforeseen site/structural issues &amp; rework</x:v>
      </x:c>
      <x:c r="H212" s="3" t="str">
        <x:v>Cost overrun mainly linked to planning &amp; estimation / coordination complexity; schedule overrun mainly linked to planning &amp; estimation / coordination complexity.</x:v>
      </x:c>
    </x:row>
    <x:row r="213">
      <x:c r="A213" s="3" t="str">
        <x:v>PJT_212</x:v>
      </x:c>
      <x:c r="B213" s="3" t="str">
        <x:v>Equipment constraints / low availability</x:v>
      </x:c>
      <x:c r="C213" s="3" t="str">
        <x:v>Resource inefficiency (materials/labor/energy)</x:v>
      </x:c>
      <x:c r="D213" s="3" t="str">
        <x:v>Equipment constraints / low availability, Resource inefficiency (materials/labor/energy), Material supply / logistics &amp; market disruption</x:v>
      </x:c>
      <x:c r="E213" s="3" t="str">
        <x:v>Equipment constraints / low availability</x:v>
      </x:c>
      <x:c r="F213" s="3" t="str">
        <x:v>Resource inefficiency (materials/labor/energy)</x:v>
      </x:c>
      <x:c r="G213" s="3" t="str">
        <x:v>Equipment constraints / low availability, Resource inefficiency (materials/labor/energy), Material supply / logistics &amp; market disruption</x:v>
      </x:c>
      <x:c r="H213" s="3" t="str">
        <x:v>Cost overrun mainly linked to equipment constraints / low availability; schedule overrun mainly linked to equipment constraints / low availability.</x:v>
      </x:c>
    </x:row>
    <x:row r="214">
      <x:c r="A214" s="3" t="str">
        <x:v>PJT_213</x:v>
      </x:c>
      <x:c r="B214" s="3" t="str">
        <x:v>Equipment constraints / low availability</x:v>
      </x:c>
      <x:c r="C214" s="3" t="str">
        <x:v>Weather disruption / environmental constraints</x:v>
      </x:c>
      <x:c r="D214" s="3" t="str">
        <x:v>Equipment constraints / low availability, Weather disruption / environmental constraints, Material supply / logistics &amp; market disruption</x:v>
      </x:c>
      <x:c r="E214" s="3" t="str">
        <x:v>Equipment constraints / low availability</x:v>
      </x:c>
      <x:c r="F214" s="3" t="str">
        <x:v>Weather disruption / environmental constraints</x:v>
      </x:c>
      <x:c r="G214" s="3" t="str">
        <x:v>Equipment constraints / low availability, Weather disruption / environmental constraints, Resource inefficiency (materials/labor/energy)</x:v>
      </x:c>
      <x:c r="H214" s="3" t="str">
        <x:v>Cost overrun mainly linked to equipment constraints / low availability; schedule overrun mainly linked to equipment constraints / low availability.</x:v>
      </x:c>
    </x:row>
    <x:row r="215">
      <x:c r="A215" s="3" t="str">
        <x:v>PJT_214</x:v>
      </x:c>
      <x:c r="B215" s="3" t="str">
        <x:v>Planning &amp; estimation / coordination complexity</x:v>
      </x:c>
      <x:c r="C215" s="3" t="str">
        <x:v>Resource inefficiency (materials/labor/energy)</x:v>
      </x:c>
      <x:c r="D215" s="3" t="str">
        <x:v>Planning &amp; estimation / coordination complexity, Resource inefficiency (materials/labor/energy), Unforeseen site/structural issues &amp; rework</x:v>
      </x:c>
      <x:c r="E215" s="3" t="str">
        <x:v>Planning &amp; estimation / coordination complexity</x:v>
      </x:c>
      <x:c r="F215" s="3" t="str">
        <x:v>Unforeseen site/structural issues &amp; rework</x:v>
      </x:c>
      <x:c r="G215" s="3" t="str">
        <x:v>Planning &amp; estimation / coordination complexity, Unforeseen site/structural issues &amp; rework, Resource inefficiency (materials/labor/energy)</x:v>
      </x:c>
      <x:c r="H215" s="3" t="str">
        <x:v>Cost overrun mainly linked to planning &amp; estimation / coordination complexity; schedule overrun mainly linked to planning &amp; estimation / coordination complexity.</x:v>
      </x:c>
    </x:row>
    <x:row r="216">
      <x:c r="A216" s="3" t="str">
        <x:v>PJT_215</x:v>
      </x:c>
      <x:c r="B216" s="3" t="str">
        <x:v>Resource inefficiency (materials/labor/energy)</x:v>
      </x:c>
      <x:c r="C216" s="3" t="str">
        <x:v>Planning &amp; estimation / coordination complexity</x:v>
      </x:c>
      <x:c r="D216" s="3" t="str">
        <x:v>Resource inefficiency (materials/labor/energy), Planning &amp; estimation / coordination complexity, Material supply / logistics &amp; market disruption</x:v>
      </x:c>
      <x:c r="E216" s="3" t="str">
        <x:v>Resource inefficiency (materials/labor/energy)</x:v>
      </x:c>
      <x:c r="F216" s="3" t="str">
        <x:v>Equipment constraints / low availability</x:v>
      </x:c>
      <x:c r="G216" s="3" t="str">
        <x:v>Resource inefficiency (materials/labor/energy), Equipment constraints / low availability, Material supply / logistics &amp; market disruption</x:v>
      </x:c>
      <x:c r="H216" s="3" t="str">
        <x:v>Cost overrun mainly linked to resource inefficiency (materials/labor/energy); schedule overrun mainly linked to resource inefficiency (materials/labor/energy).</x:v>
      </x:c>
    </x:row>
    <x:row r="217">
      <x:c r="A217" s="3" t="str">
        <x:v>PJT_216</x:v>
      </x:c>
      <x:c r="B217" s="3" t="str">
        <x:v>Planning &amp; estimation / coordination complexity</x:v>
      </x:c>
      <x:c r="C217" s="3" t="str">
        <x:v>Weather disruption / environmental constraints</x:v>
      </x:c>
      <x:c r="D217" s="3" t="str">
        <x:v>Planning &amp; estimation / coordination complexity, Weather disruption / environmental constraints, Equipment constraints / low availability</x:v>
      </x:c>
      <x:c r="E217" s="3" t="str">
        <x:v>Planning &amp; estimation / coordination complexity</x:v>
      </x:c>
      <x:c r="F217" s="3" t="str">
        <x:v>Weather disruption / environmental constraints</x:v>
      </x:c>
      <x:c r="G217" s="3" t="str">
        <x:v>Planning &amp; estimation / coordination complexity, Weather disruption / environmental constraints, Resource inefficiency (materials/labor/energy)</x:v>
      </x:c>
      <x:c r="H217" s="3" t="str">
        <x:v>Cost overrun mainly linked to planning &amp; estimation / coordination complexity; schedule overrun mainly linked to planning &amp; estimation / coordination complexity.</x:v>
      </x:c>
    </x:row>
    <x:row r="218">
      <x:c r="A218" s="3" t="str">
        <x:v>PJT_217</x:v>
      </x:c>
      <x:c r="B218" s="3" t="str">
        <x:v>Resource inefficiency (materials/labor/energy)</x:v>
      </x:c>
      <x:c r="C218" s="3" t="str">
        <x:v>Planning &amp; estimation / coordination complexity</x:v>
      </x:c>
      <x:c r="D218" s="3" t="str">
        <x:v>Resource inefficiency (materials/labor/energy), Planning &amp; estimation / coordination complexity, Unforeseen site/structural issues &amp; rework</x:v>
      </x:c>
      <x:c r="E218" s="3" t="str">
        <x:v>Resource inefficiency (materials/labor/energy)</x:v>
      </x:c>
      <x:c r="F218" s="3" t="str">
        <x:v>Planning &amp; estimation / coordination complexity</x:v>
      </x:c>
      <x:c r="G218" s="3" t="str">
        <x:v>Resource inefficiency (materials/labor/energy), Planning &amp; estimation / coordination complexity, Unforeseen site/structural issues &amp; rework</x:v>
      </x:c>
      <x:c r="H218" s="3" t="str">
        <x:v>Cost overrun mainly linked to resource inefficiency (materials/labor/energy); schedule overrun mainly linked to resource inefficiency (materials/labor/energy).</x:v>
      </x:c>
    </x:row>
    <x:row r="219">
      <x:c r="A219" s="3" t="str">
        <x:v>PJT_218</x:v>
      </x:c>
      <x:c r="B219" s="3" t="str">
        <x:v>Resource inefficiency (materials/labor/energy)</x:v>
      </x:c>
      <x:c r="C219" s="3" t="str">
        <x:v>Material supply / logistics &amp; market disruption</x:v>
      </x:c>
      <x:c r="D219" s="3" t="str">
        <x:v>Resource inefficiency (materials/labor/energy), Material supply / logistics &amp; market disruption, Unforeseen site/structural issues &amp; rework</x:v>
      </x:c>
      <x:c r="E219" s="3" t="str">
        <x:v>Resource inefficiency (materials/labor/energy)</x:v>
      </x:c>
      <x:c r="F219" s="3" t="str">
        <x:v>Unforeseen site/structural issues &amp; rework</x:v>
      </x:c>
      <x:c r="G219" s="3" t="str">
        <x:v>Resource inefficiency (materials/labor/energy), Unforeseen site/structural issues &amp; rework, Material supply / logistics &amp; market disruption</x:v>
      </x:c>
      <x:c r="H219" s="3" t="str">
        <x:v>Cost overrun mainly linked to resource inefficiency (materials/labor/energy); schedule overrun mainly linked to resource inefficiency (materials/labor/energy).</x:v>
      </x:c>
    </x:row>
    <x:row r="220">
      <x:c r="A220" s="3" t="str">
        <x:v>PJT_219</x:v>
      </x:c>
      <x:c r="B220" s="3" t="str">
        <x:v>Weather disruption / environmental constraints</x:v>
      </x:c>
      <x:c r="C220" s="3" t="str">
        <x:v>Material supply / logistics &amp; market disruption</x:v>
      </x:c>
      <x:c r="D220" s="3" t="str">
        <x:v>Weather disruption / environmental constraints, Material supply / logistics &amp; market disruption, Planning &amp; estimation / coordination complexity</x:v>
      </x:c>
      <x:c r="E220" s="3" t="str">
        <x:v>Weather disruption / environmental constraints</x:v>
      </x:c>
      <x:c r="F220" s="3" t="str">
        <x:v>Material supply / logistics &amp; market disruption</x:v>
      </x:c>
      <x:c r="G220" s="3" t="str">
        <x:v>Weather disruption / environmental constraints, Material supply / logistics &amp; market disruption, Resource inefficiency (materials/labor/energy)</x:v>
      </x:c>
      <x:c r="H220" s="3" t="str">
        <x:v>Cost overrun mainly linked to weather disruption / environmental constraints; schedule overrun mainly linked to weather disruption / environmental constraints.</x:v>
      </x:c>
    </x:row>
    <x:row r="221">
      <x:c r="A221" s="3" t="str">
        <x:v>PJT_220</x:v>
      </x:c>
      <x:c r="B221" s="3" t="str">
        <x:v>Material supply / logistics &amp; market disruption</x:v>
      </x:c>
      <x:c r="C221" s="3" t="str">
        <x:v>Resource inefficiency (materials/labor/energy)</x:v>
      </x:c>
      <x:c r="D221" s="3" t="str">
        <x:v>Material supply / logistics &amp; market disruption, Resource inefficiency (materials/labor/energy), Planning &amp; estimation / coordination complexity</x:v>
      </x:c>
      <x:c r="E221" s="3" t="str">
        <x:v>Resource inefficiency (materials/labor/energy)</x:v>
      </x:c>
      <x:c r="F221" s="3" t="str">
        <x:v>Material supply / logistics &amp; market disruption</x:v>
      </x:c>
      <x:c r="G221" s="3" t="str">
        <x:v>Resource inefficiency (materials/labor/energy), Material supply / logistics &amp; market disruption, Planning &amp; estimation / coordination complexity</x:v>
      </x:c>
      <x:c r="H221" s="3" t="str">
        <x:v>Cost overrun mainly linked to material supply / logistics &amp; market disruption; schedule overrun mainly linked to resource inefficiency (materials/labor/energy).</x:v>
      </x:c>
    </x:row>
    <x:row r="222">
      <x:c r="A222" s="3" t="str">
        <x:v>PJT_221</x:v>
      </x:c>
      <x:c r="B222" s="3" t="str">
        <x:v>Unforeseen site/structural issues &amp; rework</x:v>
      </x:c>
      <x:c r="C222" s="3" t="str">
        <x:v>Equipment constraints / low availability</x:v>
      </x:c>
      <x:c r="D222" s="3" t="str">
        <x:v>Unforeseen site/structural issues &amp; rework, Equipment constraints / low availability, Planning &amp; estimation / coordination complexity</x:v>
      </x:c>
      <x:c r="E222" s="3" t="str">
        <x:v>Equipment constraints / low availability</x:v>
      </x:c>
      <x:c r="F222" s="3" t="str">
        <x:v>Unforeseen site/structural issues &amp; rework</x:v>
      </x:c>
      <x:c r="G222" s="3" t="str">
        <x:v>Equipment constraints / low availability, Unforeseen site/structural issues &amp; rework, Weather disruption / environmental constraints</x:v>
      </x:c>
      <x:c r="H222" s="3" t="str">
        <x:v>Cost overrun mainly linked to unforeseen site/structural issues &amp; rework; schedule overrun mainly linked to equipment constraints / low availability.</x:v>
      </x:c>
    </x:row>
    <x:row r="223">
      <x:c r="A223" s="3" t="str">
        <x:v>PJT_222</x:v>
      </x:c>
      <x:c r="B223" s="3" t="str">
        <x:v>Weather disruption / environmental constraints</x:v>
      </x:c>
      <x:c r="C223" s="3" t="str">
        <x:v>Material supply / logistics &amp; market disruption</x:v>
      </x:c>
      <x:c r="D223" s="3" t="str">
        <x:v>Weather disruption / environmental constraints, Material supply / logistics &amp; market disruption, Equipment constraints / low availability</x:v>
      </x:c>
      <x:c r="E223" s="3" t="str">
        <x:v>Weather disruption / environmental constraints</x:v>
      </x:c>
      <x:c r="F223" s="3" t="str">
        <x:v>Material supply / logistics &amp; market disruption</x:v>
      </x:c>
      <x:c r="G223" s="3" t="str">
        <x:v>Weather disruption / environmental constraints, Material supply / logistics &amp; market disruption, Equipment constraints / low availability</x:v>
      </x:c>
      <x:c r="H223" s="3" t="str">
        <x:v>Cost overrun mainly linked to weather disruption / environmental constraints; schedule overrun mainly linked to weather disruption / environmental constraints.</x:v>
      </x:c>
    </x:row>
    <x:row r="224">
      <x:c r="A224" s="3" t="str">
        <x:v>PJT_223</x:v>
      </x:c>
      <x:c r="B224" s="3" t="str">
        <x:v>Planning &amp; estimation / coordination complexity</x:v>
      </x:c>
      <x:c r="C224" s="3" t="str">
        <x:v>Unforeseen site/structural issues &amp; rework</x:v>
      </x:c>
      <x:c r="D224" s="3" t="str">
        <x:v>Planning &amp; estimation / coordination complexity, Unforeseen site/structural issues &amp; rework, Resource inefficiency (materials/labor/energy)</x:v>
      </x:c>
      <x:c r="E224" s="3" t="str">
        <x:v>Planning &amp; estimation / coordination complexity</x:v>
      </x:c>
      <x:c r="F224" s="3" t="str">
        <x:v>Unforeseen site/structural issues &amp; rework</x:v>
      </x:c>
      <x:c r="G224" s="3" t="str">
        <x:v>Planning &amp; estimation / coordination complexity, Unforeseen site/structural issues &amp; rework, Resource inefficiency (materials/labor/energy)</x:v>
      </x:c>
      <x:c r="H224" s="3" t="str">
        <x:v>Cost overrun mainly linked to planning &amp; estimation / coordination complexity; schedule overrun mainly linked to planning &amp; estimation / coordination complexity.</x:v>
      </x:c>
    </x:row>
    <x:row r="225">
      <x:c r="A225" s="3" t="str">
        <x:v>PJT_224</x:v>
      </x:c>
      <x:c r="B225" s="3" t="str">
        <x:v>Material supply / logistics &amp; market disruption</x:v>
      </x:c>
      <x:c r="C225" s="3" t="str">
        <x:v>Weather disruption / environmental constraints</x:v>
      </x:c>
      <x:c r="D225" s="3" t="str">
        <x:v>Material supply / logistics &amp; market disruption, Weather disruption / environmental constraints, Equipment constraints / low availability</x:v>
      </x:c>
      <x:c r="E225" s="3" t="str">
        <x:v>Material supply / logistics &amp; market disruption</x:v>
      </x:c>
      <x:c r="F225" s="3" t="str">
        <x:v>Weather disruption / environmental constraints</x:v>
      </x:c>
      <x:c r="G225" s="3" t="str">
        <x:v>Material supply / logistics &amp; market disruption, Weather disruption / environmental constraints, Equipment constraints / low availability</x:v>
      </x:c>
      <x:c r="H225" s="3" t="str">
        <x:v>Cost overrun mainly linked to material supply / logistics &amp; market disruption; schedule overrun mainly linked to material supply / logistics &amp; market disruption.</x:v>
      </x:c>
    </x:row>
    <x:row r="226">
      <x:c r="A226" s="3" t="str">
        <x:v>PJT_225</x:v>
      </x:c>
      <x:c r="B226" s="3" t="str">
        <x:v>Resource inefficiency (materials/labor/energy)</x:v>
      </x:c>
      <x:c r="C226" s="3" t="str">
        <x:v>Planning &amp; estimation / coordination complexity</x:v>
      </x:c>
      <x:c r="D226" s="3" t="str">
        <x:v>Resource inefficiency (materials/labor/energy), Planning &amp; estimation / coordination complexity, Equipment constraints / low availability</x:v>
      </x:c>
      <x:c r="E226" s="3" t="str">
        <x:v>Resource inefficiency (materials/labor/energy)</x:v>
      </x:c>
      <x:c r="F226" s="3" t="str">
        <x:v>Planning &amp; estimation / coordination complexity</x:v>
      </x:c>
      <x:c r="G226" s="3" t="str">
        <x:v>Resource inefficiency (materials/labor/energy), Planning &amp; estimation / coordination complexity, Equipment constraints / low availability</x:v>
      </x:c>
      <x:c r="H226" s="3" t="str">
        <x:v>Cost overrun mainly linked to resource inefficiency (materials/labor/energy); schedule overrun mainly linked to resource inefficiency (materials/labor/energy).</x:v>
      </x:c>
    </x:row>
    <x:row r="227">
      <x:c r="A227" s="3" t="str">
        <x:v>PJT_226</x:v>
      </x:c>
      <x:c r="B227" s="3" t="str">
        <x:v>Unforeseen site/structural issues &amp; rework</x:v>
      </x:c>
      <x:c r="C227" s="3" t="str">
        <x:v>Resource inefficiency (materials/labor/energy)</x:v>
      </x:c>
      <x:c r="D227" s="3" t="str">
        <x:v>Unforeseen site/structural issues &amp; rework, Resource inefficiency (materials/labor/energy), Planning &amp; estimation / coordination complexity</x:v>
      </x:c>
      <x:c r="E227" s="3" t="str">
        <x:v>Unforeseen site/structural issues &amp; rework</x:v>
      </x:c>
      <x:c r="F227" s="3" t="str">
        <x:v>Resource inefficiency (materials/labor/energy)</x:v>
      </x:c>
      <x:c r="G227" s="3" t="str">
        <x:v>Unforeseen site/structural issues &amp; rework, Resource inefficiency (materials/labor/energy), Planning &amp; estimation / coordination complexity</x:v>
      </x:c>
      <x:c r="H227" s="3" t="str">
        <x:v>Cost overrun mainly linked to unforeseen site/structural issues &amp; rework; schedule overrun mainly linked to unforeseen site/structural issues &amp; rework.</x:v>
      </x:c>
    </x:row>
    <x:row r="228">
      <x:c r="A228" s="3" t="str">
        <x:v>PJT_227</x:v>
      </x:c>
      <x:c r="B228" s="3" t="str">
        <x:v>Resource inefficiency (materials/labor/energy)</x:v>
      </x:c>
      <x:c r="C228" s="3" t="str">
        <x:v>Planning &amp; estimation / coordination complexity</x:v>
      </x:c>
      <x:c r="D228" s="3" t="str">
        <x:v>Resource inefficiency (materials/labor/energy), Planning &amp; estimation / coordination complexity, Material supply / logistics &amp; market disruption</x:v>
      </x:c>
      <x:c r="E228" s="3" t="str">
        <x:v>Resource inefficiency (materials/labor/energy)</x:v>
      </x:c>
      <x:c r="F228" s="3" t="str">
        <x:v>Planning &amp; estimation / coordination complexity</x:v>
      </x:c>
      <x:c r="G228" s="3" t="str">
        <x:v>Resource inefficiency (materials/labor/energy), Planning &amp; estimation / coordination complexity, Equipment constraints / low availability</x:v>
      </x:c>
      <x:c r="H228" s="3" t="str">
        <x:v>Cost overrun mainly linked to resource inefficiency (materials/labor/energy); schedule overrun mainly linked to resource inefficiency (materials/labor/energy).</x:v>
      </x:c>
    </x:row>
    <x:row r="229">
      <x:c r="A229" s="3" t="str">
        <x:v>PJT_228</x:v>
      </x:c>
      <x:c r="B229" s="3" t="str">
        <x:v>Resource inefficiency (materials/labor/energy)</x:v>
      </x:c>
      <x:c r="C229" s="3" t="str">
        <x:v>Equipment constraints / low availability</x:v>
      </x:c>
      <x:c r="D229" s="3" t="str">
        <x:v>Resource inefficiency (materials/labor/energy), Equipment constraints / low availability, Planning &amp; estimation / coordination complexity</x:v>
      </x:c>
      <x:c r="E229" s="3" t="str">
        <x:v>Resource inefficiency (materials/labor/energy)</x:v>
      </x:c>
      <x:c r="F229" s="3" t="str">
        <x:v>Equipment constraints / low availability</x:v>
      </x:c>
      <x:c r="G229" s="3" t="str">
        <x:v>Resource inefficiency (materials/labor/energy), Equipment constraints / low availability, Planning &amp; estimation / coordination complexity</x:v>
      </x:c>
      <x:c r="H229" s="3" t="str">
        <x:v>Cost overrun mainly linked to resource inefficiency (materials/labor/energy); schedule overrun mainly linked to resource inefficiency (materials/labor/energy).</x:v>
      </x:c>
    </x:row>
    <x:row r="230">
      <x:c r="A230" s="3" t="str">
        <x:v>PJT_229</x:v>
      </x:c>
      <x:c r="B230" s="3" t="str">
        <x:v>Unforeseen site/structural issues &amp; rework</x:v>
      </x:c>
      <x:c r="C230" s="3" t="str">
        <x:v>Equipment constraints / low availability</x:v>
      </x:c>
      <x:c r="D230" s="3" t="str">
        <x:v>Unforeseen site/structural issues &amp; rework, Equipment constraints / low availability, Planning &amp; estimation / coordination complexity</x:v>
      </x:c>
      <x:c r="E230" s="3" t="str">
        <x:v>Unforeseen site/structural issues &amp; rework</x:v>
      </x:c>
      <x:c r="F230" s="3" t="str">
        <x:v>Equipment constraints / low availability</x:v>
      </x:c>
      <x:c r="G230" s="3" t="str">
        <x:v>Unforeseen site/structural issues &amp; rework, Equipment constraints / low availability, Planning &amp; estimation / coordination complexity</x:v>
      </x:c>
      <x:c r="H230" s="3" t="str">
        <x:v>Cost overrun mainly linked to unforeseen site/structural issues &amp; rework; schedule overrun mainly linked to unforeseen site/structural issues &amp; rework.</x:v>
      </x:c>
    </x:row>
    <x:row r="231">
      <x:c r="A231" s="3" t="str">
        <x:v>PJT_230</x:v>
      </x:c>
      <x:c r="B231" s="3" t="str">
        <x:v>Resource inefficiency (materials/labor/energy)</x:v>
      </x:c>
      <x:c r="C231" s="3" t="str">
        <x:v>Planning &amp; estimation / coordination complexity</x:v>
      </x:c>
      <x:c r="D231" s="3" t="str">
        <x:v>Resource inefficiency (materials/labor/energy), Planning &amp; estimation / coordination complexity, Equipment constraints / low availability</x:v>
      </x:c>
      <x:c r="E231" s="3" t="str">
        <x:v>Resource inefficiency (materials/labor/energy)</x:v>
      </x:c>
      <x:c r="F231" s="3" t="str">
        <x:v>Planning &amp; estimation / coordination complexity</x:v>
      </x:c>
      <x:c r="G231" s="3" t="str">
        <x:v>Resource inefficiency (materials/labor/energy), Planning &amp; estimation / coordination complexity, Equipment constraints / low availability</x:v>
      </x:c>
      <x:c r="H231" s="3" t="str">
        <x:v>Cost overrun mainly linked to resource inefficiency (materials/labor/energy); schedule overrun mainly linked to resource inefficiency (materials/labor/energy).</x:v>
      </x:c>
    </x:row>
    <x:row r="232">
      <x:c r="A232" s="3" t="str">
        <x:v>PJT_231</x:v>
      </x:c>
      <x:c r="B232" s="3" t="str">
        <x:v>Resource inefficiency (materials/labor/energy)</x:v>
      </x:c>
      <x:c r="C232" s="3" t="str">
        <x:v>Material supply / logistics &amp; market disruption</x:v>
      </x:c>
      <x:c r="D232" s="3" t="str">
        <x:v>Resource inefficiency (materials/labor/energy), Material supply / logistics &amp; market disruption, Equipment constraints / low availability</x:v>
      </x:c>
      <x:c r="E232" s="3" t="str">
        <x:v>Resource inefficiency (materials/labor/energy)</x:v>
      </x:c>
      <x:c r="F232" s="3" t="str">
        <x:v>Equipment constraints / low availability</x:v>
      </x:c>
      <x:c r="G232" s="3" t="str">
        <x:v>Resource inefficiency (materials/labor/energy), Equipment constraints / low availability, Material supply / logistics &amp; market disruption</x:v>
      </x:c>
      <x:c r="H232" s="3" t="str">
        <x:v>Cost overrun mainly linked to resource inefficiency (materials/labor/energy); schedule overrun mainly linked to resource inefficiency (materials/labor/energy).</x:v>
      </x:c>
    </x:row>
    <x:row r="233">
      <x:c r="A233" s="3" t="str">
        <x:v>PJT_232</x:v>
      </x:c>
      <x:c r="B233" s="3" t="str">
        <x:v>Resource inefficiency (materials/labor/energy)</x:v>
      </x:c>
      <x:c r="C233" s="3" t="str">
        <x:v>Material supply / logistics &amp; market disruption</x:v>
      </x:c>
      <x:c r="D233" s="3" t="str">
        <x:v>Resource inefficiency (materials/labor/energy), Material supply / logistics &amp; market disruption, Equipment constraints / low availability</x:v>
      </x:c>
      <x:c r="E233" s="3" t="str">
        <x:v>Resource inefficiency (materials/labor/energy)</x:v>
      </x:c>
      <x:c r="F233" s="3" t="str">
        <x:v>Material supply / logistics &amp; market disruption</x:v>
      </x:c>
      <x:c r="G233" s="3" t="str">
        <x:v>Resource inefficiency (materials/labor/energy), Material supply / logistics &amp; market disruption, Equipment constraints / low availability</x:v>
      </x:c>
      <x:c r="H233" s="3" t="str">
        <x:v>Cost overrun mainly linked to resource inefficiency (materials/labor/energy); schedule overrun mainly linked to resource inefficiency (materials/labor/energy).</x:v>
      </x:c>
    </x:row>
    <x:row r="234">
      <x:c r="A234" s="3" t="str">
        <x:v>PJT_233</x:v>
      </x:c>
      <x:c r="B234" s="3" t="str">
        <x:v>Resource inefficiency (materials/labor/energy)</x:v>
      </x:c>
      <x:c r="C234" s="3" t="str">
        <x:v>Planning &amp; estimation / coordination complexity</x:v>
      </x:c>
      <x:c r="D234" s="3" t="str">
        <x:v>Resource inefficiency (materials/labor/energy), Planning &amp; estimation / coordination complexity, Material supply / logistics &amp; market disruption</x:v>
      </x:c>
      <x:c r="E234" s="3" t="str">
        <x:v>Resource inefficiency (materials/labor/energy)</x:v>
      </x:c>
      <x:c r="F234" s="3" t="str">
        <x:v>Planning &amp; estimation / coordination complexity</x:v>
      </x:c>
      <x:c r="G234" s="3" t="str">
        <x:v>Resource inefficiency (materials/labor/energy), Planning &amp; estimation / coordination complexity, Material supply / logistics &amp; market disruption</x:v>
      </x:c>
      <x:c r="H234" s="3" t="str">
        <x:v>Cost overrun mainly linked to resource inefficiency (materials/labor/energy); schedule overrun mainly linked to resource inefficiency (materials/labor/energy).</x:v>
      </x:c>
    </x:row>
    <x:row r="235">
      <x:c r="A235" s="3" t="str">
        <x:v>PJT_234</x:v>
      </x:c>
      <x:c r="B235" s="3" t="str">
        <x:v>Unforeseen site/structural issues &amp; rework</x:v>
      </x:c>
      <x:c r="C235" s="3" t="str">
        <x:v>Planning &amp; estimation / coordination complexity</x:v>
      </x:c>
      <x:c r="D235" s="3" t="str">
        <x:v>Unforeseen site/structural issues &amp; rework, Planning &amp; estimation / coordination complexity, Resource inefficiency (materials/labor/energy)</x:v>
      </x:c>
      <x:c r="E235" s="3" t="str">
        <x:v>Unforeseen site/structural issues &amp; rework</x:v>
      </x:c>
      <x:c r="F235" s="3" t="str">
        <x:v>Planning &amp; estimation / coordination complexity</x:v>
      </x:c>
      <x:c r="G235" s="3" t="str">
        <x:v>Unforeseen site/structural issues &amp; rework, Planning &amp; estimation / coordination complexity, Resource inefficiency (materials/labor/energy)</x:v>
      </x:c>
      <x:c r="H235" s="3" t="str">
        <x:v>Cost overrun mainly linked to unforeseen site/structural issues &amp; rework; schedule overrun mainly linked to unforeseen site/structural issues &amp; rework.</x:v>
      </x:c>
    </x:row>
    <x:row r="236">
      <x:c r="A236" s="3" t="str">
        <x:v>PJT_235</x:v>
      </x:c>
      <x:c r="B236" s="3" t="str">
        <x:v>Resource inefficiency (materials/labor/energy)</x:v>
      </x:c>
      <x:c r="C236" s="3" t="str">
        <x:v>Unforeseen site/structural issues &amp; rework</x:v>
      </x:c>
      <x:c r="D236" s="3" t="str">
        <x:v>Resource inefficiency (materials/labor/energy), Unforeseen site/structural issues &amp; rework, Equipment constraints / low availability</x:v>
      </x:c>
      <x:c r="E236" s="3" t="str">
        <x:v>Resource inefficiency (materials/labor/energy)</x:v>
      </x:c>
      <x:c r="F236" s="3" t="str">
        <x:v>Unforeseen site/structural issues &amp; rework</x:v>
      </x:c>
      <x:c r="G236" s="3" t="str">
        <x:v>Resource inefficiency (materials/labor/energy), Unforeseen site/structural issues &amp; rework, Equipment constraints / low availability</x:v>
      </x:c>
      <x:c r="H236" s="3" t="str">
        <x:v>Cost overrun mainly linked to resource inefficiency (materials/labor/energy); schedule overrun mainly linked to resource inefficiency (materials/labor/energy).</x:v>
      </x:c>
    </x:row>
    <x:row r="237">
      <x:c r="A237" s="3" t="str">
        <x:v>PJT_236</x:v>
      </x:c>
      <x:c r="B237" s="3" t="str">
        <x:v>Planning &amp; estimation / coordination complexity</x:v>
      </x:c>
      <x:c r="C237" s="3" t="str">
        <x:v>Resource inefficiency (materials/labor/energy)</x:v>
      </x:c>
      <x:c r="D237" s="3" t="str">
        <x:v>Planning &amp; estimation / coordination complexity, Resource inefficiency (materials/labor/energy), Material supply / logistics &amp; market disruption</x:v>
      </x:c>
      <x:c r="E237" s="3" t="str">
        <x:v>Planning &amp; estimation / coordination complexity</x:v>
      </x:c>
      <x:c r="F237" s="3" t="str">
        <x:v>Unforeseen site/structural issues &amp; rework</x:v>
      </x:c>
      <x:c r="G237" s="3" t="str">
        <x:v>Planning &amp; estimation / coordination complexity, Unforeseen site/structural issues &amp; rework, Resource inefficiency (materials/labor/energy)</x:v>
      </x:c>
      <x:c r="H237" s="3" t="str">
        <x:v>Cost overrun mainly linked to planning &amp; estimation / coordination complexity; schedule overrun mainly linked to planning &amp; estimation / coordination complexity.</x:v>
      </x:c>
    </x:row>
    <x:row r="238">
      <x:c r="A238" s="3" t="str">
        <x:v>PJT_237</x:v>
      </x:c>
      <x:c r="B238" s="3" t="str">
        <x:v>Material supply / logistics &amp; market disruption</x:v>
      </x:c>
      <x:c r="C238" s="3" t="str">
        <x:v>Equipment constraints / low availability</x:v>
      </x:c>
      <x:c r="D238" s="3" t="str">
        <x:v>Material supply / logistics &amp; market disruption, Equipment constraints / low availability, Resource inefficiency (materials/labor/energy)</x:v>
      </x:c>
      <x:c r="E238" s="3" t="str">
        <x:v>Material supply / logistics &amp; market disruption</x:v>
      </x:c>
      <x:c r="F238" s="3" t="str">
        <x:v>Equipment constraints / low availability</x:v>
      </x:c>
      <x:c r="G238" s="3" t="str">
        <x:v>Material supply / logistics &amp; market disruption, Equipment constraints / low availability, Resource inefficiency (materials/labor/energy)</x:v>
      </x:c>
      <x:c r="H238" s="3" t="str">
        <x:v>Cost overrun mainly linked to material supply / logistics &amp; market disruption; schedule overrun mainly linked to material supply / logistics &amp; market disruption.</x:v>
      </x:c>
    </x:row>
    <x:row r="239">
      <x:c r="A239" s="3" t="str">
        <x:v>PJT_238</x:v>
      </x:c>
      <x:c r="B239" s="3" t="str">
        <x:v>Resource inefficiency (materials/labor/energy)</x:v>
      </x:c>
      <x:c r="C239" s="3" t="str">
        <x:v>Material supply / logistics &amp; market disruption</x:v>
      </x:c>
      <x:c r="D239" s="3" t="str">
        <x:v>Resource inefficiency (materials/labor/energy), Material supply / logistics &amp; market disruption, Unforeseen site/structural issues &amp; rework</x:v>
      </x:c>
      <x:c r="E239" s="3" t="str">
        <x:v>Resource inefficiency (materials/labor/energy)</x:v>
      </x:c>
      <x:c r="F239" s="3" t="str">
        <x:v>Material supply / logistics &amp; market disruption</x:v>
      </x:c>
      <x:c r="G239" s="3" t="str">
        <x:v>Resource inefficiency (materials/labor/energy), Material supply / logistics &amp; market disruption, Weather disruption / environmental constraints</x:v>
      </x:c>
      <x:c r="H239" s="3" t="str">
        <x:v>Cost overrun mainly linked to resource inefficiency (materials/labor/energy); schedule overrun mainly linked to resource inefficiency (materials/labor/energy).</x:v>
      </x:c>
    </x:row>
    <x:row r="240">
      <x:c r="A240" s="3" t="str">
        <x:v>PJT_239</x:v>
      </x:c>
      <x:c r="B240" s="3" t="str">
        <x:v>Weather disruption / environmental constraints</x:v>
      </x:c>
      <x:c r="C240" s="3" t="str">
        <x:v>Equipment constraints / low availability</x:v>
      </x:c>
      <x:c r="D240" s="3" t="str">
        <x:v>Weather disruption / environmental constraints, Equipment constraints / low availability, Material supply / logistics &amp; market disruption</x:v>
      </x:c>
      <x:c r="E240" s="3" t="str">
        <x:v>Weather disruption / environmental constraints</x:v>
      </x:c>
      <x:c r="F240" s="3" t="str">
        <x:v>Equipment constraints / low availability</x:v>
      </x:c>
      <x:c r="G240" s="3" t="str">
        <x:v>Weather disruption / environmental constraints, Equipment constraints / low availability, Resource inefficiency (materials/labor/energy)</x:v>
      </x:c>
      <x:c r="H240" s="3" t="str">
        <x:v>Cost overrun mainly linked to weather disruption / environmental constraints; schedule overrun mainly linked to weather disruption / environmental constraints.</x:v>
      </x:c>
    </x:row>
    <x:row r="241">
      <x:c r="A241" s="3" t="str">
        <x:v>PJT_240</x:v>
      </x:c>
      <x:c r="B241" s="3" t="str">
        <x:v>Unforeseen site/structural issues &amp; rework</x:v>
      </x:c>
      <x:c r="C241" s="3" t="str">
        <x:v>Weather disruption / environmental constraints</x:v>
      </x:c>
      <x:c r="D241" s="3" t="str">
        <x:v>Unforeseen site/structural issues &amp; rework, Weather disruption / environmental constraints, Material supply / logistics &amp; market disruption</x:v>
      </x:c>
      <x:c r="E241" s="3" t="str">
        <x:v>Unforeseen site/structural issues &amp; rework</x:v>
      </x:c>
      <x:c r="F241" s="3" t="str">
        <x:v>Weather disruption / environmental constraints</x:v>
      </x:c>
      <x:c r="G241" s="3" t="str">
        <x:v>Unforeseen site/structural issues &amp; rework, Weather disruption / environmental constraints, Material supply / logistics &amp; market disruption</x:v>
      </x:c>
      <x:c r="H241" s="3" t="str">
        <x:v>Cost overrun mainly linked to unforeseen site/structural issues &amp; rework; schedule overrun mainly linked to unforeseen site/structural issues &amp; rework.</x:v>
      </x:c>
    </x:row>
    <x:row r="242">
      <x:c r="A242" s="3" t="str">
        <x:v>PJT_241</x:v>
      </x:c>
      <x:c r="B242" s="3" t="str">
        <x:v>Weather disruption / environmental constraints</x:v>
      </x:c>
      <x:c r="C242" s="3" t="str">
        <x:v>Unforeseen site/structural issues &amp; rework</x:v>
      </x:c>
      <x:c r="D242" s="3" t="str">
        <x:v>Weather disruption / environmental constraints, Unforeseen site/structural issues &amp; rework, Planning &amp; estimation / coordination complexity</x:v>
      </x:c>
      <x:c r="E242" s="3" t="str">
        <x:v>Weather disruption / environmental constraints</x:v>
      </x:c>
      <x:c r="F242" s="3" t="str">
        <x:v>Unforeseen site/structural issues &amp; rework</x:v>
      </x:c>
      <x:c r="G242" s="3" t="str">
        <x:v>Weather disruption / environmental constraints, Unforeseen site/structural issues &amp; rework, Planning &amp; estimation / coordination complexity</x:v>
      </x:c>
      <x:c r="H242" s="3" t="str">
        <x:v>Cost overrun mainly linked to weather disruption / environmental constraints; schedule overrun mainly linked to weather disruption / environmental constraints.</x:v>
      </x:c>
    </x:row>
    <x:row r="243">
      <x:c r="A243" s="3" t="str">
        <x:v>PJT_242</x:v>
      </x:c>
      <x:c r="B243" s="3" t="str">
        <x:v>Weather disruption / environmental constraints</x:v>
      </x:c>
      <x:c r="C243" s="3" t="str">
        <x:v>Unforeseen site/structural issues &amp; rework</x:v>
      </x:c>
      <x:c r="D243" s="3" t="str">
        <x:v>Weather disruption / environmental constraints, Unforeseen site/structural issues &amp; rework, Material supply / logistics &amp; market disruption</x:v>
      </x:c>
      <x:c r="E243" s="3" t="str">
        <x:v>Weather disruption / environmental constraints</x:v>
      </x:c>
      <x:c r="F243" s="3" t="str">
        <x:v>Unforeseen site/structural issues &amp; rework</x:v>
      </x:c>
      <x:c r="G243" s="3" t="str">
        <x:v>Weather disruption / environmental constraints, Unforeseen site/structural issues &amp; rework, Material supply / logistics &amp; market disruption</x:v>
      </x:c>
      <x:c r="H243" s="3" t="str">
        <x:v>Cost overrun mainly linked to weather disruption / environmental constraints; schedule overrun mainly linked to weather disruption / environmental constraints.</x:v>
      </x:c>
    </x:row>
    <x:row r="244">
      <x:c r="A244" s="3" t="str">
        <x:v>PJT_243</x:v>
      </x:c>
      <x:c r="B244" s="3" t="str">
        <x:v>Weather disruption / environmental constraints</x:v>
      </x:c>
      <x:c r="C244" s="3" t="str">
        <x:v>Unforeseen site/structural issues &amp; rework</x:v>
      </x:c>
      <x:c r="D244" s="3" t="str">
        <x:v>Weather disruption / environmental constraints, Unforeseen site/structural issues &amp; rework, Material supply / logistics &amp; market disruption</x:v>
      </x:c>
      <x:c r="E244" s="3" t="str">
        <x:v>Weather disruption / environmental constraints</x:v>
      </x:c>
      <x:c r="F244" s="3" t="str">
        <x:v>Unforeseen site/structural issues &amp; rework</x:v>
      </x:c>
      <x:c r="G244" s="3" t="str">
        <x:v>Weather disruption / environmental constraints, Unforeseen site/structural issues &amp; rework, Material supply / logistics &amp; market disruption</x:v>
      </x:c>
      <x:c r="H244" s="3" t="str">
        <x:v>Cost overrun mainly linked to weather disruption / environmental constraints; schedule overrun mainly linked to weather disruption / environmental constraints.</x:v>
      </x:c>
    </x:row>
    <x:row r="245">
      <x:c r="A245" s="3" t="str">
        <x:v>PJT_244</x:v>
      </x:c>
      <x:c r="B245" s="3" t="str">
        <x:v>Weather disruption / environmental constraints</x:v>
      </x:c>
      <x:c r="C245" s="3" t="str">
        <x:v>Unforeseen site/structural issues &amp; rework</x:v>
      </x:c>
      <x:c r="D245" s="3" t="str">
        <x:v>Weather disruption / environmental constraints, Unforeseen site/structural issues &amp; rework, Planning &amp; estimation / coordination complexity</x:v>
      </x:c>
      <x:c r="E245" s="3" t="str">
        <x:v>Weather disruption / environmental constraints</x:v>
      </x:c>
      <x:c r="F245" s="3" t="str">
        <x:v>Unforeseen site/structural issues &amp; rework</x:v>
      </x:c>
      <x:c r="G245" s="3" t="str">
        <x:v>Weather disruption / environmental constraints, Unforeseen site/structural issues &amp; rework, Material supply / logistics &amp; market disruption</x:v>
      </x:c>
      <x:c r="H245" s="3" t="str">
        <x:v>Cost overrun mainly linked to weather disruption / environmental constraints; schedule overrun mainly linked to weather disruption / environmental constraints.</x:v>
      </x:c>
    </x:row>
    <x:row r="246">
      <x:c r="A246" s="3" t="str">
        <x:v>PJT_245</x:v>
      </x:c>
      <x:c r="B246" s="3" t="str">
        <x:v>Unforeseen site/structural issues &amp; rework</x:v>
      </x:c>
      <x:c r="C246" s="3" t="str">
        <x:v>Planning &amp; estimation / coordination complexity</x:v>
      </x:c>
      <x:c r="D246" s="3" t="str">
        <x:v>Unforeseen site/structural issues &amp; rework, Planning &amp; estimation / coordination complexity, Resource inefficiency (materials/labor/energy)</x:v>
      </x:c>
      <x:c r="E246" s="3" t="str">
        <x:v>Unforeseen site/structural issues &amp; rework</x:v>
      </x:c>
      <x:c r="F246" s="3" t="str">
        <x:v>Planning &amp; estimation / coordination complexity</x:v>
      </x:c>
      <x:c r="G246" s="3" t="str">
        <x:v>Unforeseen site/structural issues &amp; rework, Planning &amp; estimation / coordination complexity, Resource inefficiency (materials/labor/energy)</x:v>
      </x:c>
      <x:c r="H246" s="3" t="str">
        <x:v>Cost overrun mainly linked to unforeseen site/structural issues &amp; rework; schedule overrun mainly linked to unforeseen site/structural issues &amp; rework.</x:v>
      </x:c>
    </x:row>
    <x:row r="247">
      <x:c r="A247" s="3" t="str">
        <x:v>PJT_246</x:v>
      </x:c>
      <x:c r="B247" s="3" t="str">
        <x:v>Equipment constraints / low availability</x:v>
      </x:c>
      <x:c r="C247" s="3" t="str">
        <x:v>Resource inefficiency (materials/labor/energy)</x:v>
      </x:c>
      <x:c r="D247" s="3" t="str">
        <x:v>Equipment constraints / low availability, Resource inefficiency (materials/labor/energy), Planning &amp; estimation / coordination complexity</x:v>
      </x:c>
      <x:c r="E247" s="3" t="str">
        <x:v>Equipment constraints / low availability</x:v>
      </x:c>
      <x:c r="F247" s="3" t="str">
        <x:v>Resource inefficiency (materials/labor/energy)</x:v>
      </x:c>
      <x:c r="G247" s="3" t="str">
        <x:v>Equipment constraints / low availability, Resource inefficiency (materials/labor/energy), Planning &amp; estimation / coordination complexity</x:v>
      </x:c>
      <x:c r="H247" s="3" t="str">
        <x:v>Cost overrun mainly linked to equipment constraints / low availability; schedule overrun mainly linked to equipment constraints / low availability.</x:v>
      </x:c>
    </x:row>
    <x:row r="248">
      <x:c r="A248" s="3" t="str">
        <x:v>PJT_247</x:v>
      </x:c>
      <x:c r="B248" s="3" t="str">
        <x:v>Weather disruption / environmental constraints</x:v>
      </x:c>
      <x:c r="C248" s="3" t="str">
        <x:v>Material supply / logistics &amp; market disruption</x:v>
      </x:c>
      <x:c r="D248" s="3" t="str">
        <x:v>Weather disruption / environmental constraints, Material supply / logistics &amp; market disruption, Equipment constraints / low availability</x:v>
      </x:c>
      <x:c r="E248" s="3" t="str">
        <x:v>Weather disruption / environmental constraints</x:v>
      </x:c>
      <x:c r="F248" s="3" t="str">
        <x:v>Material supply / logistics &amp; market disruption</x:v>
      </x:c>
      <x:c r="G248" s="3" t="str">
        <x:v>Weather disruption / environmental constraints, Material supply / logistics &amp; market disruption, Equipment constraints / low availability</x:v>
      </x:c>
      <x:c r="H248" s="3" t="str">
        <x:v>Cost overrun mainly linked to weather disruption / environmental constraints; schedule overrun mainly linked to weather disruption / environmental constraints.</x:v>
      </x:c>
    </x:row>
    <x:row r="249">
      <x:c r="A249" s="3" t="str">
        <x:v>PJT_248</x:v>
      </x:c>
      <x:c r="B249" s="3" t="str">
        <x:v>Resource inefficiency (materials/labor/energy)</x:v>
      </x:c>
      <x:c r="C249" s="3" t="str">
        <x:v>Equipment constraints / low availability</x:v>
      </x:c>
      <x:c r="D249" s="3" t="str">
        <x:v>Resource inefficiency (materials/labor/energy), Equipment constraints / low availability, Planning &amp; estimation / coordination complexity</x:v>
      </x:c>
      <x:c r="E249" s="3" t="str">
        <x:v>Resource inefficiency (materials/labor/energy)</x:v>
      </x:c>
      <x:c r="F249" s="3" t="str">
        <x:v>Equipment constraints / low availability</x:v>
      </x:c>
      <x:c r="G249" s="3" t="str">
        <x:v>Resource inefficiency (materials/labor/energy), Equipment constraints / low availability, Planning &amp; estimation / coordination complexity</x:v>
      </x:c>
      <x:c r="H249" s="3" t="str">
        <x:v>Cost overrun mainly linked to resource inefficiency (materials/labor/energy); schedule overrun mainly linked to resource inefficiency (materials/labor/energy).</x:v>
      </x:c>
    </x:row>
    <x:row r="250">
      <x:c r="A250" s="3" t="str">
        <x:v>PJT_249</x:v>
      </x:c>
      <x:c r="B250" s="3" t="str">
        <x:v>Planning &amp; estimation / coordination complexity</x:v>
      </x:c>
      <x:c r="C250" s="3" t="str">
        <x:v>Unforeseen site/structural issues &amp; rework</x:v>
      </x:c>
      <x:c r="D250" s="3" t="str">
        <x:v>Planning &amp; estimation / coordination complexity, Unforeseen site/structural issues &amp; rework, Equipment constraints / low availability</x:v>
      </x:c>
      <x:c r="E250" s="3" t="str">
        <x:v>Planning &amp; estimation / coordination complexity</x:v>
      </x:c>
      <x:c r="F250" s="3" t="str">
        <x:v>Unforeseen site/structural issues &amp; rework</x:v>
      </x:c>
      <x:c r="G250" s="3" t="str">
        <x:v>Planning &amp; estimation / coordination complexity, Unforeseen site/structural issues &amp; rework, Equipment constraints / low availability</x:v>
      </x:c>
      <x:c r="H250" s="3" t="str">
        <x:v>Cost overrun mainly linked to planning &amp; estimation / coordination complexity; schedule overrun mainly linked to planning &amp; estimation / coordination complexity.</x:v>
      </x:c>
    </x:row>
    <x:row r="251">
      <x:c r="A251" t="str">
        <x:v>PJT_250</x:v>
      </x:c>
      <x:c r="B251" t="str">
        <x:v>Resource inefficiency (materials/labor/energy)</x:v>
      </x:c>
      <x:c r="C251" t="str">
        <x:v>Equipment constraints / low availability</x:v>
      </x:c>
      <x:c r="D251" t="str">
        <x:v>Resource inefficiency (materials/labor/energy), Equipment constraints / low availability, Material supply / logistics &amp; market disruption</x:v>
      </x:c>
      <x:c r="E251" t="str">
        <x:v>Resource inefficiency (materials/labor/energy)</x:v>
      </x:c>
      <x:c r="F251" t="str">
        <x:v>Equipment constraints / low availability</x:v>
      </x:c>
      <x:c r="G251" t="str">
        <x:v>Resource inefficiency (materials/labor/energy), Equipment constraints / low availability, Planning &amp; estimation / coordination complexity</x:v>
      </x:c>
      <x:c r="H251" t="str">
        <x:v>Cost overrun mainly linked to resource inefficiency (materials/labor/energy); schedule overrun mainly linked to resource inefficiency (materials/labor/energy).</x:v>
      </x:c>
    </x:row>
    <x:row r="252">
      <x:c r="A252" t="str">
        <x:v>PJT_251</x:v>
      </x:c>
      <x:c r="B252" t="str">
        <x:v>Resource inefficiency (materials/labor/energy)</x:v>
      </x:c>
      <x:c r="C252" t="str">
        <x:v>Material supply / logistics &amp; market disruption</x:v>
      </x:c>
      <x:c r="D252" t="str">
        <x:v>Resource inefficiency (materials/labor/energy), Material supply / logistics &amp; market disruption, Equipment constraints / low availability</x:v>
      </x:c>
      <x:c r="E252" t="str">
        <x:v>Resource inefficiency (materials/labor/energy)</x:v>
      </x:c>
      <x:c r="F252" t="str">
        <x:v>Material supply / logistics &amp; market disruption</x:v>
      </x:c>
      <x:c r="G252" t="str">
        <x:v>Resource inefficiency (materials/labor/energy), Material supply / logistics &amp; market disruption, Equipment constraints / low availability</x:v>
      </x:c>
      <x:c r="H252" t="str">
        <x:v>Cost overrun mainly linked to resource inefficiency (materials/labor/energy); schedule overrun mainly linked to resource inefficiency (materials/labor/energy).</x:v>
      </x:c>
    </x:row>
    <x:row r="253">
      <x:c r="A253" t="str">
        <x:v>PJT_252</x:v>
      </x:c>
      <x:c r="B253" t="str">
        <x:v>Weather disruption / environmental constraints</x:v>
      </x:c>
      <x:c r="C253" t="str">
        <x:v>Unforeseen site/structural issues &amp; rework</x:v>
      </x:c>
      <x:c r="D253" t="str">
        <x:v>Weather disruption / environmental constraints, Unforeseen site/structural issues &amp; rework, Equipment constraints / low availability</x:v>
      </x:c>
      <x:c r="E253" t="str">
        <x:v>Weather disruption / environmental constraints</x:v>
      </x:c>
      <x:c r="F253" t="str">
        <x:v>Unforeseen site/structural issues &amp; rework</x:v>
      </x:c>
      <x:c r="G253" t="str">
        <x:v>Weather disruption / environmental constraints, Unforeseen site/structural issues &amp; rework, Equipment constraints / low availability</x:v>
      </x:c>
      <x:c r="H253" t="str">
        <x:v>Cost overrun mainly linked to weather disruption / environmental constraints; schedule overrun mainly linked to weather disruption / environmental constraints.</x:v>
      </x:c>
    </x:row>
    <x:row r="254">
      <x:c r="A254" t="str">
        <x:v>PJT_253</x:v>
      </x:c>
      <x:c r="B254" t="str">
        <x:v>Weather disruption / environmental constraints</x:v>
      </x:c>
      <x:c r="C254" t="str">
        <x:v>Unforeseen site/structural issues &amp; rework</x:v>
      </x:c>
      <x:c r="D254" t="str">
        <x:v>Weather disruption / environmental constraints, Unforeseen site/structural issues &amp; rework, Planning &amp; estimation / coordination complexity</x:v>
      </x:c>
      <x:c r="E254" t="str">
        <x:v>Weather disruption / environmental constraints</x:v>
      </x:c>
      <x:c r="F254" t="str">
        <x:v>Unforeseen site/structural issues &amp; rework</x:v>
      </x:c>
      <x:c r="G254" t="str">
        <x:v>Weather disruption / environmental constraints, Unforeseen site/structural issues &amp; rework, Material supply / logistics &amp; market disruption</x:v>
      </x:c>
      <x:c r="H254" t="str">
        <x:v>Cost overrun mainly linked to weather disruption / environmental constraints; schedule overrun mainly linked to weather disruption / environmental constraints.</x:v>
      </x:c>
    </x:row>
    <x:row r="255">
      <x:c r="A255" t="str">
        <x:v>PJT_254</x:v>
      </x:c>
      <x:c r="B255" t="str">
        <x:v>Weather disruption / environmental constraints</x:v>
      </x:c>
      <x:c r="C255" t="str">
        <x:v>Equipment constraints / low availability</x:v>
      </x:c>
      <x:c r="D255" t="str">
        <x:v>Weather disruption / environmental constraints, Equipment constraints / low availability, Unforeseen site/structural issues &amp; rework</x:v>
      </x:c>
      <x:c r="E255" t="str">
        <x:v>Weather disruption / environmental constraints</x:v>
      </x:c>
      <x:c r="F255" t="str">
        <x:v>Equipment constraints / low availability</x:v>
      </x:c>
      <x:c r="G255" t="str">
        <x:v>Weather disruption / environmental constraints, Equipment constraints / low availability, Unforeseen site/structural issues &amp; rework</x:v>
      </x:c>
      <x:c r="H255" t="str">
        <x:v>Cost overrun mainly linked to weather disruption / environmental constraints; schedule overrun mainly linked to weather disruption / environmental constraints.</x:v>
      </x:c>
    </x:row>
    <x:row r="256">
      <x:c r="A256" t="str">
        <x:v>PJT_255</x:v>
      </x:c>
      <x:c r="B256" t="str">
        <x:v>Unforeseen site/structural issues &amp; rework</x:v>
      </x:c>
      <x:c r="C256" t="str">
        <x:v>Planning &amp; estimation / coordination complexity</x:v>
      </x:c>
      <x:c r="D256" t="str">
        <x:v>Unforeseen site/structural issues &amp; rework, Planning &amp; estimation / coordination complexity, Resource inefficiency (materials/labor/energy)</x:v>
      </x:c>
      <x:c r="E256" t="str">
        <x:v>Unforeseen site/structural issues &amp; rework</x:v>
      </x:c>
      <x:c r="F256" t="str">
        <x:v>Planning &amp; estimation / coordination complexity</x:v>
      </x:c>
      <x:c r="G256" t="str">
        <x:v>Unforeseen site/structural issues &amp; rework, Planning &amp; estimation / coordination complexity, Resource inefficiency (materials/labor/energy)</x:v>
      </x:c>
      <x:c r="H256" t="str">
        <x:v>Cost overrun mainly linked to unforeseen site/structural issues &amp; rework; schedule overrun mainly linked to unforeseen site/structural issues &amp; rework.</x:v>
      </x:c>
    </x:row>
    <x:row r="257">
      <x:c r="A257" t="str">
        <x:v>PJT_256</x:v>
      </x:c>
      <x:c r="B257" t="str">
        <x:v>Resource inefficiency (materials/labor/energy)</x:v>
      </x:c>
      <x:c r="C257" t="str">
        <x:v>Planning &amp; estimation / coordination complexity</x:v>
      </x:c>
      <x:c r="D257" t="str">
        <x:v>Resource inefficiency (materials/labor/energy), Planning &amp; estimation / coordination complexity, Material supply / logistics &amp; market disruption</x:v>
      </x:c>
      <x:c r="E257" t="str">
        <x:v>Resource inefficiency (materials/labor/energy)</x:v>
      </x:c>
      <x:c r="F257" t="str">
        <x:v>Planning &amp; estimation / coordination complexity</x:v>
      </x:c>
      <x:c r="G257" t="str">
        <x:v>Resource inefficiency (materials/labor/energy), Planning &amp; estimation / coordination complexity, Unforeseen site/structural issues &amp; rework</x:v>
      </x:c>
      <x:c r="H257" t="str">
        <x:v>Cost overrun mainly linked to resource inefficiency (materials/labor/energy); schedule overrun mainly linked to resource inefficiency (materials/labor/energy).</x:v>
      </x:c>
    </x:row>
    <x:row r="258">
      <x:c r="A258" t="str">
        <x:v>PJT_257</x:v>
      </x:c>
      <x:c r="B258" t="str">
        <x:v>Weather disruption / environmental constraints</x:v>
      </x:c>
      <x:c r="C258" t="str">
        <x:v>Unforeseen site/structural issues &amp; rework</x:v>
      </x:c>
      <x:c r="D258" t="str">
        <x:v>Weather disruption / environmental constraints, Unforeseen site/structural issues &amp; rework, Equipment constraints / low availability</x:v>
      </x:c>
      <x:c r="E258" t="str">
        <x:v>Weather disruption / environmental constraints</x:v>
      </x:c>
      <x:c r="F258" t="str">
        <x:v>Unforeseen site/structural issues &amp; rework</x:v>
      </x:c>
      <x:c r="G258" t="str">
        <x:v>Weather disruption / environmental constraints, Unforeseen site/structural issues &amp; rework, Equipment constraints / low availability</x:v>
      </x:c>
      <x:c r="H258" t="str">
        <x:v>Cost overrun mainly linked to weather disruption / environmental constraints; schedule overrun mainly linked to weather disruption / environmental constraints.</x:v>
      </x:c>
    </x:row>
    <x:row r="259">
      <x:c r="A259" t="str">
        <x:v>PJT_258</x:v>
      </x:c>
      <x:c r="B259" t="str">
        <x:v>Unforeseen site/structural issues &amp; rework</x:v>
      </x:c>
      <x:c r="C259" t="str">
        <x:v>Planning &amp; estimation / coordination complexity</x:v>
      </x:c>
      <x:c r="D259" t="str">
        <x:v>Unforeseen site/structural issues &amp; rework, Planning &amp; estimation / coordination complexity, Weather disruption / environmental constraints</x:v>
      </x:c>
      <x:c r="E259" t="str">
        <x:v>Unforeseen site/structural issues &amp; rework</x:v>
      </x:c>
      <x:c r="F259" t="str">
        <x:v>Planning &amp; estimation / coordination complexity</x:v>
      </x:c>
      <x:c r="G259" t="str">
        <x:v>Unforeseen site/structural issues &amp; rework, Planning &amp; estimation / coordination complexity, Weather disruption / environmental constraints</x:v>
      </x:c>
      <x:c r="H259" t="str">
        <x:v>Cost overrun mainly linked to unforeseen site/structural issues &amp; rework; schedule overrun mainly linked to unforeseen site/structural issues &amp; rework.</x:v>
      </x:c>
    </x:row>
    <x:row r="260">
      <x:c r="A260" t="str">
        <x:v>PJT_259</x:v>
      </x:c>
      <x:c r="B260" t="str">
        <x:v>Resource inefficiency (materials/labor/energy)</x:v>
      </x:c>
      <x:c r="C260" t="str">
        <x:v>Planning &amp; estimation / coordination complexity</x:v>
      </x:c>
      <x:c r="D260" t="str">
        <x:v>Resource inefficiency (materials/labor/energy), Planning &amp; estimation / coordination complexity, Material supply / logistics &amp; market disruption</x:v>
      </x:c>
      <x:c r="E260" t="str">
        <x:v>Resource inefficiency (materials/labor/energy)</x:v>
      </x:c>
      <x:c r="F260" t="str">
        <x:v>Planning &amp; estimation / coordination complexity</x:v>
      </x:c>
      <x:c r="G260" t="str">
        <x:v>Resource inefficiency (materials/labor/energy), Planning &amp; estimation / coordination complexity, Material supply / logistics &amp; market disruption</x:v>
      </x:c>
      <x:c r="H260" t="str">
        <x:v>Cost overrun mainly linked to resource inefficiency (materials/labor/energy); schedule overrun mainly linked to resource inefficiency (materials/labor/energy).</x:v>
      </x:c>
    </x:row>
    <x:row r="261">
      <x:c r="A261" t="str">
        <x:v>PJT_260</x:v>
      </x:c>
      <x:c r="B261" t="str">
        <x:v>Resource inefficiency (materials/labor/energy)</x:v>
      </x:c>
      <x:c r="C261" t="str">
        <x:v>Material supply / logistics &amp; market disruption</x:v>
      </x:c>
      <x:c r="D261" t="str">
        <x:v>Resource inefficiency (materials/labor/energy), Material supply / logistics &amp; market disruption, Equipment constraints / low availability</x:v>
      </x:c>
      <x:c r="E261" t="str">
        <x:v>Resource inefficiency (materials/labor/energy)</x:v>
      </x:c>
      <x:c r="F261" t="str">
        <x:v>Planning &amp; estimation / coordination complexity</x:v>
      </x:c>
      <x:c r="G261" t="str">
        <x:v>Resource inefficiency (materials/labor/energy), Planning &amp; estimation / coordination complexity, Equipment constraints / low availability</x:v>
      </x:c>
      <x:c r="H261" t="str">
        <x:v>Cost overrun mainly linked to resource inefficiency (materials/labor/energy); schedule overrun mainly linked to resource inefficiency (materials/labor/energy).</x:v>
      </x:c>
    </x:row>
    <x:row r="262">
      <x:c r="A262" t="str">
        <x:v>PJT_261</x:v>
      </x:c>
      <x:c r="B262" t="str">
        <x:v>Material supply / logistics &amp; market disruption</x:v>
      </x:c>
      <x:c r="C262" t="str">
        <x:v>Equipment constraints / low availability</x:v>
      </x:c>
      <x:c r="D262" t="str">
        <x:v>Material supply / logistics &amp; market disruption, Equipment constraints / low availability, Resource inefficiency (materials/labor/energy)</x:v>
      </x:c>
      <x:c r="E262" t="str">
        <x:v>Material supply / logistics &amp; market disruption</x:v>
      </x:c>
      <x:c r="F262" t="str">
        <x:v>Resource inefficiency (materials/labor/energy)</x:v>
      </x:c>
      <x:c r="G262" t="str">
        <x:v>Material supply / logistics &amp; market disruption, Resource inefficiency (materials/labor/energy), Equipment constraints / low availability</x:v>
      </x:c>
      <x:c r="H262" t="str">
        <x:v>Cost overrun mainly linked to material supply / logistics &amp; market disruption; schedule overrun mainly linked to material supply / logistics &amp; market disruption.</x:v>
      </x:c>
    </x:row>
    <x:row r="263">
      <x:c r="A263" t="str">
        <x:v>PJT_262</x:v>
      </x:c>
      <x:c r="B263" t="str">
        <x:v>Material supply / logistics &amp; market disruption</x:v>
      </x:c>
      <x:c r="C263" t="str">
        <x:v>Resource inefficiency (materials/labor/energy)</x:v>
      </x:c>
      <x:c r="D263" t="str">
        <x:v>Material supply / logistics &amp; market disruption, Resource inefficiency (materials/labor/energy), Weather disruption / environmental constraints</x:v>
      </x:c>
      <x:c r="E263" t="str">
        <x:v>Material supply / logistics &amp; market disruption</x:v>
      </x:c>
      <x:c r="F263" t="str">
        <x:v>Resource inefficiency (materials/labor/energy)</x:v>
      </x:c>
      <x:c r="G263" t="str">
        <x:v>Material supply / logistics &amp; market disruption, Resource inefficiency (materials/labor/energy), Weather disruption / environmental constraints</x:v>
      </x:c>
      <x:c r="H263" t="str">
        <x:v>Cost overrun mainly linked to material supply / logistics &amp; market disruption; schedule overrun mainly linked to material supply / logistics &amp; market disruption.</x:v>
      </x:c>
    </x:row>
    <x:row r="264">
      <x:c r="A264" t="str">
        <x:v>PJT_263</x:v>
      </x:c>
      <x:c r="B264" t="str">
        <x:v>Unforeseen site/structural issues &amp; rework</x:v>
      </x:c>
      <x:c r="C264" t="str">
        <x:v>Weather disruption / environmental constraints</x:v>
      </x:c>
      <x:c r="D264" t="str">
        <x:v>Unforeseen site/structural issues &amp; rework, Weather disruption / environmental constraints, Material supply / logistics &amp; market disruption</x:v>
      </x:c>
      <x:c r="E264" t="str">
        <x:v>Unforeseen site/structural issues &amp; rework</x:v>
      </x:c>
      <x:c r="F264" t="str">
        <x:v>Weather disruption / environmental constraints</x:v>
      </x:c>
      <x:c r="G264" t="str">
        <x:v>Unforeseen site/structural issues &amp; rework, Weather disruption / environmental constraints, Material supply / logistics &amp; market disruption</x:v>
      </x:c>
      <x:c r="H264" t="str">
        <x:v>Cost overrun mainly linked to unforeseen site/structural issues &amp; rework; schedule overrun mainly linked to unforeseen site/structural issues &amp; rework.</x:v>
      </x:c>
    </x:row>
    <x:row r="265">
      <x:c r="A265" t="str">
        <x:v>PJT_264</x:v>
      </x:c>
      <x:c r="B265" t="str">
        <x:v>Planning &amp; estimation / coordination complexity</x:v>
      </x:c>
      <x:c r="C265" t="str">
        <x:v>Equipment constraints / low availability</x:v>
      </x:c>
      <x:c r="D265" t="str">
        <x:v>Planning &amp; estimation / coordination complexity, Equipment constraints / low availability, Unforeseen site/structural issues &amp; rework</x:v>
      </x:c>
      <x:c r="E265" t="str">
        <x:v>Planning &amp; estimation / coordination complexity</x:v>
      </x:c>
      <x:c r="F265" t="str">
        <x:v>Equipment constraints / low availability</x:v>
      </x:c>
      <x:c r="G265" t="str">
        <x:v>Planning &amp; estimation / coordination complexity, Equipment constraints / low availability, Unforeseen site/structural issues &amp; rework</x:v>
      </x:c>
      <x:c r="H265" t="str">
        <x:v>Cost overrun mainly linked to planning &amp; estimation / coordination complexity; schedule overrun mainly linked to planning &amp; estimation / coordination complexity.</x:v>
      </x:c>
    </x:row>
    <x:row r="266">
      <x:c r="A266" t="str">
        <x:v>PJT_265</x:v>
      </x:c>
      <x:c r="B266" t="str">
        <x:v>Resource inefficiency (materials/labor/energy)</x:v>
      </x:c>
      <x:c r="C266" t="str">
        <x:v>Equipment constraints / low availability</x:v>
      </x:c>
      <x:c r="D266" t="str">
        <x:v>Resource inefficiency (materials/labor/energy), Equipment constraints / low availability, Planning &amp; estimation / coordination complexity</x:v>
      </x:c>
      <x:c r="E266" t="str">
        <x:v>Resource inefficiency (materials/labor/energy)</x:v>
      </x:c>
      <x:c r="F266" t="str">
        <x:v>Planning &amp; estimation / coordination complexity</x:v>
      </x:c>
      <x:c r="G266" t="str">
        <x:v>Resource inefficiency (materials/labor/energy), Planning &amp; estimation / coordination complexity, Equipment constraints / low availability</x:v>
      </x:c>
      <x:c r="H266" t="str">
        <x:v>Cost overrun mainly linked to resource inefficiency (materials/labor/energy); schedule overrun mainly linked to resource inefficiency (materials/labor/energy).</x:v>
      </x:c>
    </x:row>
    <x:row r="267">
      <x:c r="A267" t="str">
        <x:v>PJT_266</x:v>
      </x:c>
      <x:c r="B267" t="str">
        <x:v>Planning &amp; estimation / coordination complexity</x:v>
      </x:c>
      <x:c r="C267" t="str">
        <x:v>Resource inefficiency (materials/labor/energy)</x:v>
      </x:c>
      <x:c r="D267" t="str">
        <x:v>Planning &amp; estimation / coordination complexity, Resource inefficiency (materials/labor/energy), Equipment constraints / low availability</x:v>
      </x:c>
      <x:c r="E267" t="str">
        <x:v>Planning &amp; estimation / coordination complexity</x:v>
      </x:c>
      <x:c r="F267" t="str">
        <x:v>Resource inefficiency (materials/labor/energy)</x:v>
      </x:c>
      <x:c r="G267" t="str">
        <x:v>Planning &amp; estimation / coordination complexity, Resource inefficiency (materials/labor/energy), Equipment constraints / low availability</x:v>
      </x:c>
      <x:c r="H267" t="str">
        <x:v>Cost overrun mainly linked to planning &amp; estimation / coordination complexity; schedule overrun mainly linked to planning &amp; estimation / coordination complexity.</x:v>
      </x:c>
    </x:row>
    <x:row r="268">
      <x:c r="A268" t="str">
        <x:v>PJT_267</x:v>
      </x:c>
      <x:c r="B268" t="str">
        <x:v>Equipment constraints / low availability</x:v>
      </x:c>
      <x:c r="C268" t="str">
        <x:v>Planning &amp; estimation / coordination complexity</x:v>
      </x:c>
      <x:c r="D268" t="str">
        <x:v>Equipment constraints / low availability, Planning &amp; estimation / coordination complexity, Resource inefficiency (materials/labor/energy)</x:v>
      </x:c>
      <x:c r="E268" t="str">
        <x:v>Equipment constraints / low availability</x:v>
      </x:c>
      <x:c r="F268" t="str">
        <x:v>Resource inefficiency (materials/labor/energy)</x:v>
      </x:c>
      <x:c r="G268" t="str">
        <x:v>Equipment constraints / low availability, Resource inefficiency (materials/labor/energy), Planning &amp; estimation / coordination complexity</x:v>
      </x:c>
      <x:c r="H268" t="str">
        <x:v>Cost overrun mainly linked to equipment constraints / low availability; schedule overrun mainly linked to equipment constraints / low availability.</x:v>
      </x:c>
    </x:row>
    <x:row r="269">
      <x:c r="A269" t="str">
        <x:v>PJT_268</x:v>
      </x:c>
      <x:c r="B269" t="str">
        <x:v>Resource inefficiency (materials/labor/energy)</x:v>
      </x:c>
      <x:c r="C269" t="str">
        <x:v>Planning &amp; estimation / coordination complexity</x:v>
      </x:c>
      <x:c r="D269" t="str">
        <x:v>Resource inefficiency (materials/labor/energy), Planning &amp; estimation / coordination complexity, Material supply / logistics &amp; market disruption</x:v>
      </x:c>
      <x:c r="E269" t="str">
        <x:v>Resource inefficiency (materials/labor/energy)</x:v>
      </x:c>
      <x:c r="F269" t="str">
        <x:v>Planning &amp; estimation / coordination complexity</x:v>
      </x:c>
      <x:c r="G269" t="str">
        <x:v>Resource inefficiency (materials/labor/energy), Planning &amp; estimation / coordination complexity, Unforeseen site/structural issues &amp; rework</x:v>
      </x:c>
      <x:c r="H269" t="str">
        <x:v>Cost overrun mainly linked to resource inefficiency (materials/labor/energy); schedule overrun mainly linked to resource inefficiency (materials/labor/energy).</x:v>
      </x:c>
    </x:row>
    <x:row r="270">
      <x:c r="A270" t="str">
        <x:v>PJT_269</x:v>
      </x:c>
      <x:c r="B270" t="str">
        <x:v>Weather disruption / environmental constraints</x:v>
      </x:c>
      <x:c r="C270" t="str">
        <x:v>Equipment constraints / low availability</x:v>
      </x:c>
      <x:c r="D270" t="str">
        <x:v>Weather disruption / environmental constraints, Equipment constraints / low availability, Unforeseen site/structural issues &amp; rework</x:v>
      </x:c>
      <x:c r="E270" t="str">
        <x:v>Weather disruption / environmental constraints</x:v>
      </x:c>
      <x:c r="F270" t="str">
        <x:v>Equipment constraints / low availability</x:v>
      </x:c>
      <x:c r="G270" t="str">
        <x:v>Weather disruption / environmental constraints, Equipment constraints / low availability, Unforeseen site/structural issues &amp; rework</x:v>
      </x:c>
      <x:c r="H270" t="str">
        <x:v>Cost overrun mainly linked to weather disruption / environmental constraints; schedule overrun mainly linked to weather disruption / environmental constraints.</x:v>
      </x:c>
    </x:row>
    <x:row r="271">
      <x:c r="A271" t="str">
        <x:v>PJT_270</x:v>
      </x:c>
      <x:c r="B271" t="str">
        <x:v>Unforeseen site/structural issues &amp; rework</x:v>
      </x:c>
      <x:c r="C271" t="str">
        <x:v>Planning &amp; estimation / coordination complexity</x:v>
      </x:c>
      <x:c r="D271" t="str">
        <x:v>Unforeseen site/structural issues &amp; rework, Planning &amp; estimation / coordination complexity, Equipment constraints / low availability</x:v>
      </x:c>
      <x:c r="E271" t="str">
        <x:v>Unforeseen site/structural issues &amp; rework</x:v>
      </x:c>
      <x:c r="F271" t="str">
        <x:v>Planning &amp; estimation / coordination complexity</x:v>
      </x:c>
      <x:c r="G271" t="str">
        <x:v>Unforeseen site/structural issues &amp; rework, Planning &amp; estimation / coordination complexity, Equipment constraints / low availability</x:v>
      </x:c>
      <x:c r="H271" t="str">
        <x:v>Cost overrun mainly linked to unforeseen site/structural issues &amp; rework; schedule overrun mainly linked to unforeseen site/structural issues &amp; rework.</x:v>
      </x:c>
    </x:row>
    <x:row r="272">
      <x:c r="A272" t="str">
        <x:v>PJT_271</x:v>
      </x:c>
      <x:c r="B272" t="str">
        <x:v>Unforeseen site/structural issues &amp; rework</x:v>
      </x:c>
      <x:c r="C272" t="str">
        <x:v>Equipment constraints / low availability</x:v>
      </x:c>
      <x:c r="D272" t="str">
        <x:v>Unforeseen site/structural issues &amp; rework, Equipment constraints / low availability, Planning &amp; estimation / coordination complexity</x:v>
      </x:c>
      <x:c r="E272" t="str">
        <x:v>Unforeseen site/structural issues &amp; rework</x:v>
      </x:c>
      <x:c r="F272" t="str">
        <x:v>Equipment constraints / low availability</x:v>
      </x:c>
      <x:c r="G272" t="str">
        <x:v>Unforeseen site/structural issues &amp; rework, Equipment constraints / low availability, Planning &amp; estimation / coordination complexity</x:v>
      </x:c>
      <x:c r="H272" t="str">
        <x:v>Cost overrun mainly linked to unforeseen site/structural issues &amp; rework; schedule overrun mainly linked to unforeseen site/structural issues &amp; rework.</x:v>
      </x:c>
    </x:row>
    <x:row r="273">
      <x:c r="A273" t="str">
        <x:v>PJT_272</x:v>
      </x:c>
      <x:c r="B273" t="str">
        <x:v>Planning &amp; estimation / coordination complexity</x:v>
      </x:c>
      <x:c r="C273" t="str">
        <x:v>Resource inefficiency (materials/labor/energy)</x:v>
      </x:c>
      <x:c r="D273" t="str">
        <x:v>Planning &amp; estimation / coordination complexity, Resource inefficiency (materials/labor/energy), Unforeseen site/structural issues &amp; rework</x:v>
      </x:c>
      <x:c r="E273" t="str">
        <x:v>Planning &amp; estimation / coordination complexity</x:v>
      </x:c>
      <x:c r="F273" t="str">
        <x:v>Unforeseen site/structural issues &amp; rework</x:v>
      </x:c>
      <x:c r="G273" t="str">
        <x:v>Planning &amp; estimation / coordination complexity, Unforeseen site/structural issues &amp; rework, Resource inefficiency (materials/labor/energy)</x:v>
      </x:c>
      <x:c r="H273" t="str">
        <x:v>Cost overrun mainly linked to planning &amp; estimation / coordination complexity; schedule overrun mainly linked to planning &amp; estimation / coordination complexity.</x:v>
      </x:c>
    </x:row>
    <x:row r="274">
      <x:c r="A274" t="str">
        <x:v>PJT_273</x:v>
      </x:c>
      <x:c r="B274" t="str">
        <x:v>Resource inefficiency (materials/labor/energy)</x:v>
      </x:c>
      <x:c r="C274" t="str">
        <x:v>Equipment constraints / low availability</x:v>
      </x:c>
      <x:c r="D274" t="str">
        <x:v>Resource inefficiency (materials/labor/energy), Equipment constraints / low availability, Material supply / logistics &amp; market disruption</x:v>
      </x:c>
      <x:c r="E274" t="str">
        <x:v>Resource inefficiency (materials/labor/energy)</x:v>
      </x:c>
      <x:c r="F274" t="str">
        <x:v>Equipment constraints / low availability</x:v>
      </x:c>
      <x:c r="G274" t="str">
        <x:v>Resource inefficiency (materials/labor/energy), Equipment constraints / low availability, Planning &amp; estimation / coordination complexity</x:v>
      </x:c>
      <x:c r="H274" t="str">
        <x:v>Cost overrun mainly linked to resource inefficiency (materials/labor/energy); schedule overrun mainly linked to resource inefficiency (materials/labor/energy).</x:v>
      </x:c>
    </x:row>
    <x:row r="275">
      <x:c r="A275" t="str">
        <x:v>PJT_274</x:v>
      </x:c>
      <x:c r="B275" t="str">
        <x:v>Unforeseen site/structural issues &amp; rework</x:v>
      </x:c>
      <x:c r="C275" t="str">
        <x:v>Equipment constraints / low availability</x:v>
      </x:c>
      <x:c r="D275" t="str">
        <x:v>Unforeseen site/structural issues &amp; rework, Equipment constraints / low availability, Planning &amp; estimation / coordination complexity</x:v>
      </x:c>
      <x:c r="E275" t="str">
        <x:v>Unforeseen site/structural issues &amp; rework</x:v>
      </x:c>
      <x:c r="F275" t="str">
        <x:v>Equipment constraints / low availability</x:v>
      </x:c>
      <x:c r="G275" t="str">
        <x:v>Unforeseen site/structural issues &amp; rework, Equipment constraints / low availability, Planning &amp; estimation / coordination complexity</x:v>
      </x:c>
      <x:c r="H275" t="str">
        <x:v>Cost overrun mainly linked to unforeseen site/structural issues &amp; rework; schedule overrun mainly linked to unforeseen site/structural issues &amp; rework.</x:v>
      </x:c>
    </x:row>
    <x:row r="276">
      <x:c r="A276" t="str">
        <x:v>PJT_275</x:v>
      </x:c>
      <x:c r="B276" t="str">
        <x:v>Unforeseen site/structural issues &amp; rework</x:v>
      </x:c>
      <x:c r="C276" t="str">
        <x:v>Equipment constraints / low availability</x:v>
      </x:c>
      <x:c r="D276" t="str">
        <x:v>Unforeseen site/structural issues &amp; rework, Equipment constraints / low availability, Resource inefficiency (materials/labor/energy)</x:v>
      </x:c>
      <x:c r="E276" t="str">
        <x:v>Equipment constraints / low availability</x:v>
      </x:c>
      <x:c r="F276" t="str">
        <x:v>Resource inefficiency (materials/labor/energy)</x:v>
      </x:c>
      <x:c r="G276" t="str">
        <x:v>Equipment constraints / low availability, Resource inefficiency (materials/labor/energy), Unforeseen site/structural issues &amp; rework</x:v>
      </x:c>
      <x:c r="H276" t="str">
        <x:v>Cost overrun mainly linked to unforeseen site/structural issues &amp; rework; schedule overrun mainly linked to equipment constraints / low availability.</x:v>
      </x:c>
    </x:row>
    <x:row r="277">
      <x:c r="A277" t="str">
        <x:v>PJT_276</x:v>
      </x:c>
      <x:c r="B277" t="str">
        <x:v>Material supply / logistics &amp; market disruption</x:v>
      </x:c>
      <x:c r="C277" t="str">
        <x:v>Weather disruption / environmental constraints</x:v>
      </x:c>
      <x:c r="D277" t="str">
        <x:v>Material supply / logistics &amp; market disruption, Weather disruption / environmental constraints, Resource inefficiency (materials/labor/energy)</x:v>
      </x:c>
      <x:c r="E277" t="str">
        <x:v>Material supply / logistics &amp; market disruption</x:v>
      </x:c>
      <x:c r="F277" t="str">
        <x:v>Resource inefficiency (materials/labor/energy)</x:v>
      </x:c>
      <x:c r="G277" t="str">
        <x:v>Material supply / logistics &amp; market disruption, Resource inefficiency (materials/labor/energy), Weather disruption / environmental constraints</x:v>
      </x:c>
      <x:c r="H277" t="str">
        <x:v>Cost overrun mainly linked to material supply / logistics &amp; market disruption; schedule overrun mainly linked to material supply / logistics &amp; market disruption.</x:v>
      </x:c>
    </x:row>
    <x:row r="278">
      <x:c r="A278" t="str">
        <x:v>PJT_277</x:v>
      </x:c>
      <x:c r="B278" t="str">
        <x:v>Resource inefficiency (materials/labor/energy)</x:v>
      </x:c>
      <x:c r="C278" t="str">
        <x:v>Planning &amp; estimation / coordination complexity</x:v>
      </x:c>
      <x:c r="D278" t="str">
        <x:v>Resource inefficiency (materials/labor/energy), Planning &amp; estimation / coordination complexity, Material supply / logistics &amp; market disruption</x:v>
      </x:c>
      <x:c r="E278" t="str">
        <x:v>Resource inefficiency (materials/labor/energy)</x:v>
      </x:c>
      <x:c r="F278" t="str">
        <x:v>Planning &amp; estimation / coordination complexity</x:v>
      </x:c>
      <x:c r="G278" t="str">
        <x:v>Resource inefficiency (materials/labor/energy), Planning &amp; estimation / coordination complexity, Material supply / logistics &amp; market disruption</x:v>
      </x:c>
      <x:c r="H278" t="str">
        <x:v>Cost overrun mainly linked to resource inefficiency (materials/labor/energy); schedule overrun mainly linked to resource inefficiency (materials/labor/energy).</x:v>
      </x:c>
    </x:row>
    <x:row r="279">
      <x:c r="A279" t="str">
        <x:v>PJT_278</x:v>
      </x:c>
      <x:c r="B279" t="str">
        <x:v>Planning &amp; estimation / coordination complexity</x:v>
      </x:c>
      <x:c r="C279" t="str">
        <x:v>Resource inefficiency (materials/labor/energy)</x:v>
      </x:c>
      <x:c r="D279" t="str">
        <x:v>Planning &amp; estimation / coordination complexity, Resource inefficiency (materials/labor/energy), Unforeseen site/structural issues &amp; rework</x:v>
      </x:c>
      <x:c r="E279" t="str">
        <x:v>Planning &amp; estimation / coordination complexity</x:v>
      </x:c>
      <x:c r="F279" t="str">
        <x:v>Resource inefficiency (materials/labor/energy)</x:v>
      </x:c>
      <x:c r="G279" t="str">
        <x:v>Planning &amp; estimation / coordination complexity, Resource inefficiency (materials/labor/energy), Unforeseen site/structural issues &amp; rework</x:v>
      </x:c>
      <x:c r="H279" t="str">
        <x:v>Cost overrun mainly linked to planning &amp; estimation / coordination complexity; schedule overrun mainly linked to planning &amp; estimation / coordination complexity.</x:v>
      </x:c>
    </x:row>
    <x:row r="280">
      <x:c r="A280" t="str">
        <x:v>PJT_279</x:v>
      </x:c>
      <x:c r="B280" t="str">
        <x:v>Equipment constraints / low availability</x:v>
      </x:c>
      <x:c r="C280" t="str">
        <x:v>Planning &amp; estimation / coordination complexity</x:v>
      </x:c>
      <x:c r="D280" t="str">
        <x:v>Equipment constraints / low availability, Planning &amp; estimation / coordination complexity, Unforeseen site/structural issues &amp; rework</x:v>
      </x:c>
      <x:c r="E280" t="str">
        <x:v>Equipment constraints / low availability</x:v>
      </x:c>
      <x:c r="F280" t="str">
        <x:v>Planning &amp; estimation / coordination complexity</x:v>
      </x:c>
      <x:c r="G280" t="str">
        <x:v>Equipment constraints / low availability, Planning &amp; estimation / coordination complexity, Unforeseen site/structural issues &amp; rework</x:v>
      </x:c>
      <x:c r="H280" t="str">
        <x:v>Cost overrun mainly linked to equipment constraints / low availability; schedule overrun mainly linked to equipment constraints / low availability.</x:v>
      </x:c>
    </x:row>
    <x:row r="281">
      <x:c r="A281" t="str">
        <x:v>PJT_280</x:v>
      </x:c>
      <x:c r="B281" t="str">
        <x:v>Weather disruption / environmental constraints</x:v>
      </x:c>
      <x:c r="C281" t="str">
        <x:v>Planning &amp; estimation / coordination complexity</x:v>
      </x:c>
      <x:c r="D281" t="str">
        <x:v>Weather disruption / environmental constraints, Planning &amp; estimation / coordination complexity, Material supply / logistics &amp; market disruption</x:v>
      </x:c>
      <x:c r="E281" t="str">
        <x:v>Weather disruption / environmental constraints</x:v>
      </x:c>
      <x:c r="F281" t="str">
        <x:v>Planning &amp; estimation / coordination complexity</x:v>
      </x:c>
      <x:c r="G281" t="str">
        <x:v>Weather disruption / environmental constraints, Planning &amp; estimation / coordination complexity, Unforeseen site/structural issues &amp; rework</x:v>
      </x:c>
      <x:c r="H281" t="str">
        <x:v>Cost overrun mainly linked to weather disruption / environmental constraints; schedule overrun mainly linked to weather disruption / environmental constraints.</x:v>
      </x:c>
    </x:row>
    <x:row r="282">
      <x:c r="A282" t="str">
        <x:v>PJT_281</x:v>
      </x:c>
      <x:c r="B282" t="str">
        <x:v>Equipment constraints / low availability</x:v>
      </x:c>
      <x:c r="C282" t="str">
        <x:v>Resource inefficiency (materials/labor/energy)</x:v>
      </x:c>
      <x:c r="D282" t="str">
        <x:v>Equipment constraints / low availability, Resource inefficiency (materials/labor/energy), Planning &amp; estimation / coordination complexity</x:v>
      </x:c>
      <x:c r="E282" t="str">
        <x:v>Equipment constraints / low availability</x:v>
      </x:c>
      <x:c r="F282" t="str">
        <x:v>Resource inefficiency (materials/labor/energy)</x:v>
      </x:c>
      <x:c r="G282" t="str">
        <x:v>Equipment constraints / low availability, Resource inefficiency (materials/labor/energy), Planning &amp; estimation / coordination complexity</x:v>
      </x:c>
      <x:c r="H282" t="str">
        <x:v>Cost overrun mainly linked to equipment constraints / low availability; schedule overrun mainly linked to equipment constraints / low availability.</x:v>
      </x:c>
    </x:row>
    <x:row r="283">
      <x:c r="A283" t="str">
        <x:v>PJT_282</x:v>
      </x:c>
      <x:c r="B283" t="str">
        <x:v>Resource inefficiency (materials/labor/energy)</x:v>
      </x:c>
      <x:c r="C283" t="str">
        <x:v>Material supply / logistics &amp; market disruption</x:v>
      </x:c>
      <x:c r="D283" t="str">
        <x:v>Resource inefficiency (materials/labor/energy), Material supply / logistics &amp; market disruption, Planning &amp; estimation / coordination complexity</x:v>
      </x:c>
      <x:c r="E283" t="str">
        <x:v>Resource inefficiency (materials/labor/energy)</x:v>
      </x:c>
      <x:c r="F283" t="str">
        <x:v>Planning &amp; estimation / coordination complexity</x:v>
      </x:c>
      <x:c r="G283" t="str">
        <x:v>Resource inefficiency (materials/labor/energy), Planning &amp; estimation / coordination complexity, Unforeseen site/structural issues &amp; rework</x:v>
      </x:c>
      <x:c r="H283" t="str">
        <x:v>Cost overrun mainly linked to resource inefficiency (materials/labor/energy); schedule overrun mainly linked to resource inefficiency (materials/labor/energy).</x:v>
      </x:c>
    </x:row>
    <x:row r="284">
      <x:c r="A284" t="str">
        <x:v>PJT_283</x:v>
      </x:c>
      <x:c r="B284" t="str">
        <x:v>Planning &amp; estimation / coordination complexity</x:v>
      </x:c>
      <x:c r="C284" t="str">
        <x:v>Resource inefficiency (materials/labor/energy)</x:v>
      </x:c>
      <x:c r="D284" t="str">
        <x:v>Planning &amp; estimation / coordination complexity, Resource inefficiency (materials/labor/energy), Equipment constraints / low availability</x:v>
      </x:c>
      <x:c r="E284" t="str">
        <x:v>Planning &amp; estimation / coordination complexity</x:v>
      </x:c>
      <x:c r="F284" t="str">
        <x:v>Resource inefficiency (materials/labor/energy)</x:v>
      </x:c>
      <x:c r="G284" t="str">
        <x:v>Planning &amp; estimation / coordination complexity, Resource inefficiency (materials/labor/energy), Equipment constraints / low availability</x:v>
      </x:c>
      <x:c r="H284" t="str">
        <x:v>Cost overrun mainly linked to planning &amp; estimation / coordination complexity; schedule overrun mainly linked to planning &amp; estimation / coordination complexity.</x:v>
      </x:c>
    </x:row>
    <x:row r="285">
      <x:c r="A285" t="str">
        <x:v>PJT_284</x:v>
      </x:c>
      <x:c r="B285" t="str">
        <x:v>Unforeseen site/structural issues &amp; rework</x:v>
      </x:c>
      <x:c r="C285" t="str">
        <x:v>Weather disruption / environmental constraints</x:v>
      </x:c>
      <x:c r="D285" t="str">
        <x:v>Unforeseen site/structural issues &amp; rework, Weather disruption / environmental constraints, Equipment constraints / low availability</x:v>
      </x:c>
      <x:c r="E285" t="str">
        <x:v>Unforeseen site/structural issues &amp; rework</x:v>
      </x:c>
      <x:c r="F285" t="str">
        <x:v>Equipment constraints / low availability</x:v>
      </x:c>
      <x:c r="G285" t="str">
        <x:v>Unforeseen site/structural issues &amp; rework, Equipment constraints / low availability, Weather disruption / environmental constraints</x:v>
      </x:c>
      <x:c r="H285" t="str">
        <x:v>Cost overrun mainly linked to unforeseen site/structural issues &amp; rework; schedule overrun mainly linked to unforeseen site/structural issues &amp; rework.</x:v>
      </x:c>
    </x:row>
    <x:row r="286">
      <x:c r="A286" t="str">
        <x:v>PJT_285</x:v>
      </x:c>
      <x:c r="B286" t="str">
        <x:v>Resource inefficiency (materials/labor/energy)</x:v>
      </x:c>
      <x:c r="C286" t="str">
        <x:v>Material supply / logistics &amp; market disruption</x:v>
      </x:c>
      <x:c r="D286" t="str">
        <x:v>Resource inefficiency (materials/labor/energy), Material supply / logistics &amp; market disruption, Unforeseen site/structural issues &amp; rework</x:v>
      </x:c>
      <x:c r="E286" t="str">
        <x:v>Resource inefficiency (materials/labor/energy)</x:v>
      </x:c>
      <x:c r="F286" t="str">
        <x:v>Unforeseen site/structural issues &amp; rework</x:v>
      </x:c>
      <x:c r="G286" t="str">
        <x:v>Resource inefficiency (materials/labor/energy), Unforeseen site/structural issues &amp; rework, Material supply / logistics &amp; market disruption</x:v>
      </x:c>
      <x:c r="H286" t="str">
        <x:v>Cost overrun mainly linked to resource inefficiency (materials/labor/energy); schedule overrun mainly linked to resource inefficiency (materials/labor/energy).</x:v>
      </x:c>
    </x:row>
    <x:row r="287">
      <x:c r="A287" t="str">
        <x:v>PJT_286</x:v>
      </x:c>
      <x:c r="B287" t="str">
        <x:v>Weather disruption / environmental constraints</x:v>
      </x:c>
      <x:c r="C287" t="str">
        <x:v>Unforeseen site/structural issues &amp; rework</x:v>
      </x:c>
      <x:c r="D287" t="str">
        <x:v>Weather disruption / environmental constraints, Unforeseen site/structural issues &amp; rework, Material supply / logistics &amp; market disruption</x:v>
      </x:c>
      <x:c r="E287" t="str">
        <x:v>Weather disruption / environmental constraints</x:v>
      </x:c>
      <x:c r="F287" t="str">
        <x:v>Unforeseen site/structural issues &amp; rework</x:v>
      </x:c>
      <x:c r="G287" t="str">
        <x:v>Weather disruption / environmental constraints, Unforeseen site/structural issues &amp; rework, Material supply / logistics &amp; market disruption</x:v>
      </x:c>
      <x:c r="H287" t="str">
        <x:v>Cost overrun mainly linked to weather disruption / environmental constraints; schedule overrun mainly linked to weather disruption / environmental constraints.</x:v>
      </x:c>
    </x:row>
    <x:row r="288">
      <x:c r="A288" t="str">
        <x:v>PJT_287</x:v>
      </x:c>
      <x:c r="B288" t="str">
        <x:v>Planning &amp; estimation / coordination complexity</x:v>
      </x:c>
      <x:c r="C288" t="str">
        <x:v>Resource inefficiency (materials/labor/energy)</x:v>
      </x:c>
      <x:c r="D288" t="str">
        <x:v>Planning &amp; estimation / coordination complexity, Resource inefficiency (materials/labor/energy), Equipment constraints / low availability</x:v>
      </x:c>
      <x:c r="E288" t="str">
        <x:v>Planning &amp; estimation / coordination complexity</x:v>
      </x:c>
      <x:c r="F288" t="str">
        <x:v>Resource inefficiency (materials/labor/energy)</x:v>
      </x:c>
      <x:c r="G288" t="str">
        <x:v>Planning &amp; estimation / coordination complexity, Resource inefficiency (materials/labor/energy), Unforeseen site/structural issues &amp; rework</x:v>
      </x:c>
      <x:c r="H288" t="str">
        <x:v>Cost overrun mainly linked to planning &amp; estimation / coordination complexity; schedule overrun mainly linked to planning &amp; estimation / coordination complexity.</x:v>
      </x:c>
    </x:row>
    <x:row r="289">
      <x:c r="A289" t="str">
        <x:v>PJT_288</x:v>
      </x:c>
      <x:c r="B289" t="str">
        <x:v>Equipment constraints / low availability</x:v>
      </x:c>
      <x:c r="C289" t="str">
        <x:v>Planning &amp; estimation / coordination complexity</x:v>
      </x:c>
      <x:c r="D289" t="str">
        <x:v>Equipment constraints / low availability, Planning &amp; estimation / coordination complexity, Resource inefficiency (materials/labor/energy)</x:v>
      </x:c>
      <x:c r="E289" t="str">
        <x:v>Equipment constraints / low availability</x:v>
      </x:c>
      <x:c r="F289" t="str">
        <x:v>Resource inefficiency (materials/labor/energy)</x:v>
      </x:c>
      <x:c r="G289" t="str">
        <x:v>Equipment constraints / low availability, Resource inefficiency (materials/labor/energy), Planning &amp; estimation / coordination complexity</x:v>
      </x:c>
      <x:c r="H289" t="str">
        <x:v>Cost overrun mainly linked to equipment constraints / low availability; schedule overrun mainly linked to equipment constraints / low availability.</x:v>
      </x:c>
    </x:row>
    <x:row r="290">
      <x:c r="A290" t="str">
        <x:v>PJT_289</x:v>
      </x:c>
      <x:c r="B290" t="str">
        <x:v>Planning &amp; estimation / coordination complexity</x:v>
      </x:c>
      <x:c r="C290" t="str">
        <x:v>Resource inefficiency (materials/labor/energy)</x:v>
      </x:c>
      <x:c r="D290" t="str">
        <x:v>Planning &amp; estimation / coordination complexity, Resource inefficiency (materials/labor/energy), Equipment constraints / low availability</x:v>
      </x:c>
      <x:c r="E290" t="str">
        <x:v>Planning &amp; estimation / coordination complexity</x:v>
      </x:c>
      <x:c r="F290" t="str">
        <x:v>Resource inefficiency (materials/labor/energy)</x:v>
      </x:c>
      <x:c r="G290" t="str">
        <x:v>Planning &amp; estimation / coordination complexity, Resource inefficiency (materials/labor/energy), Unforeseen site/structural issues &amp; rework</x:v>
      </x:c>
      <x:c r="H290" t="str">
        <x:v>Cost overrun mainly linked to planning &amp; estimation / coordination complexity; schedule overrun mainly linked to planning &amp; estimation / coordination complexity.</x:v>
      </x:c>
    </x:row>
    <x:row r="291">
      <x:c r="A291" t="str">
        <x:v>PJT_290</x:v>
      </x:c>
      <x:c r="B291" t="str">
        <x:v>Unforeseen site/structural issues &amp; rework</x:v>
      </x:c>
      <x:c r="C291" t="str">
        <x:v>Equipment constraints / low availability</x:v>
      </x:c>
      <x:c r="D291" t="str">
        <x:v>Unforeseen site/structural issues &amp; rework, Equipment constraints / low availability, Weather disruption / environmental constraints</x:v>
      </x:c>
      <x:c r="E291" t="str">
        <x:v>Equipment constraints / low availability</x:v>
      </x:c>
      <x:c r="F291" t="str">
        <x:v>Weather disruption / environmental constraints</x:v>
      </x:c>
      <x:c r="G291" t="str">
        <x:v>Equipment constraints / low availability, Weather disruption / environmental constraints, Unforeseen site/structural issues &amp; rework</x:v>
      </x:c>
      <x:c r="H291" t="str">
        <x:v>Cost overrun mainly linked to unforeseen site/structural issues &amp; rework; schedule overrun mainly linked to equipment constraints / low availability.</x:v>
      </x:c>
    </x:row>
    <x:row r="292">
      <x:c r="A292" t="str">
        <x:v>PJT_291</x:v>
      </x:c>
      <x:c r="B292" t="str">
        <x:v>Weather disruption / environmental constraints</x:v>
      </x:c>
      <x:c r="C292" t="str">
        <x:v>Unforeseen site/structural issues &amp; rework</x:v>
      </x:c>
      <x:c r="D292" t="str">
        <x:v>Weather disruption / environmental constraints, Unforeseen site/structural issues &amp; rework, Planning &amp; estimation / coordination complexity</x:v>
      </x:c>
      <x:c r="E292" t="str">
        <x:v>Weather disruption / environmental constraints</x:v>
      </x:c>
      <x:c r="F292" t="str">
        <x:v>Unforeseen site/structural issues &amp; rework</x:v>
      </x:c>
      <x:c r="G292" t="str">
        <x:v>Weather disruption / environmental constraints, Unforeseen site/structural issues &amp; rework, Planning &amp; estimation / coordination complexity</x:v>
      </x:c>
      <x:c r="H292" t="str">
        <x:v>Cost overrun mainly linked to weather disruption / environmental constraints; schedule overrun mainly linked to weather disruption / environmental constraints.</x:v>
      </x:c>
    </x:row>
    <x:row r="293">
      <x:c r="A293" t="str">
        <x:v>PJT_292</x:v>
      </x:c>
      <x:c r="B293" t="str">
        <x:v>Unforeseen site/structural issues &amp; rework</x:v>
      </x:c>
      <x:c r="C293" t="str">
        <x:v>Material supply / logistics &amp; market disruption</x:v>
      </x:c>
      <x:c r="D293" t="str">
        <x:v>Unforeseen site/structural issues &amp; rework, Material supply / logistics &amp; market disruption, Weather disruption / environmental constraints</x:v>
      </x:c>
      <x:c r="E293" t="str">
        <x:v>Unforeseen site/structural issues &amp; rework</x:v>
      </x:c>
      <x:c r="F293" t="str">
        <x:v>Material supply / logistics &amp; market disruption</x:v>
      </x:c>
      <x:c r="G293" t="str">
        <x:v>Unforeseen site/structural issues &amp; rework, Material supply / logistics &amp; market disruption, Weather disruption / environmental constraints</x:v>
      </x:c>
      <x:c r="H293" t="str">
        <x:v>Cost overrun mainly linked to unforeseen site/structural issues &amp; rework; schedule overrun mainly linked to unforeseen site/structural issues &amp; rework.</x:v>
      </x:c>
    </x:row>
    <x:row r="294">
      <x:c r="A294" t="str">
        <x:v>PJT_293</x:v>
      </x:c>
      <x:c r="B294" t="str">
        <x:v>Resource inefficiency (materials/labor/energy)</x:v>
      </x:c>
      <x:c r="C294" t="str">
        <x:v>Planning &amp; estimation / coordination complexity</x:v>
      </x:c>
      <x:c r="D294" t="str">
        <x:v>Resource inefficiency (materials/labor/energy), Planning &amp; estimation / coordination complexity, Equipment constraints / low availability</x:v>
      </x:c>
      <x:c r="E294" t="str">
        <x:v>Resource inefficiency (materials/labor/energy)</x:v>
      </x:c>
      <x:c r="F294" t="str">
        <x:v>Planning &amp; estimation / coordination complexity</x:v>
      </x:c>
      <x:c r="G294" t="str">
        <x:v>Resource inefficiency (materials/labor/energy), Planning &amp; estimation / coordination complexity, Equipment constraints / low availability</x:v>
      </x:c>
      <x:c r="H294" t="str">
        <x:v>Cost overrun mainly linked to resource inefficiency (materials/labor/energy); schedule overrun mainly linked to resource inefficiency (materials/labor/energy).</x:v>
      </x:c>
    </x:row>
    <x:row r="295">
      <x:c r="A295" t="str">
        <x:v>PJT_294</x:v>
      </x:c>
      <x:c r="B295" t="str">
        <x:v>Unforeseen site/structural issues &amp; rework</x:v>
      </x:c>
      <x:c r="C295" t="str">
        <x:v>Equipment constraints / low availability</x:v>
      </x:c>
      <x:c r="D295" t="str">
        <x:v>Unforeseen site/structural issues &amp; rework, Equipment constraints / low availability, Resource inefficiency (materials/labor/energy)</x:v>
      </x:c>
      <x:c r="E295" t="str">
        <x:v>Unforeseen site/structural issues &amp; rework</x:v>
      </x:c>
      <x:c r="F295" t="str">
        <x:v>Equipment constraints / low availability</x:v>
      </x:c>
      <x:c r="G295" t="str">
        <x:v>Unforeseen site/structural issues &amp; rework, Equipment constraints / low availability, Resource inefficiency (materials/labor/energy)</x:v>
      </x:c>
      <x:c r="H295" t="str">
        <x:v>Cost overrun mainly linked to unforeseen site/structural issues &amp; rework; schedule overrun mainly linked to unforeseen site/structural issues &amp; rework.</x:v>
      </x:c>
    </x:row>
    <x:row r="296">
      <x:c r="A296" t="str">
        <x:v>PJT_295</x:v>
      </x:c>
      <x:c r="B296" t="str">
        <x:v>Weather disruption / environmental constraints</x:v>
      </x:c>
      <x:c r="C296" t="str">
        <x:v>Unforeseen site/structural issues &amp; rework</x:v>
      </x:c>
      <x:c r="D296" t="str">
        <x:v>Weather disruption / environmental constraints, Unforeseen site/structural issues &amp; rework, Material supply / logistics &amp; market disruption</x:v>
      </x:c>
      <x:c r="E296" t="str">
        <x:v>Weather disruption / environmental constraints</x:v>
      </x:c>
      <x:c r="F296" t="str">
        <x:v>Unforeseen site/structural issues &amp; rework</x:v>
      </x:c>
      <x:c r="G296" t="str">
        <x:v>Weather disruption / environmental constraints, Unforeseen site/structural issues &amp; rework, Material supply / logistics &amp; market disruption</x:v>
      </x:c>
      <x:c r="H296" t="str">
        <x:v>Cost overrun mainly linked to weather disruption / environmental constraints; schedule overrun mainly linked to weather disruption / environmental constraints.</x:v>
      </x:c>
    </x:row>
    <x:row r="297">
      <x:c r="A297" t="str">
        <x:v>PJT_296</x:v>
      </x:c>
      <x:c r="B297" t="str">
        <x:v>Equipment constraints / low availability</x:v>
      </x:c>
      <x:c r="C297" t="str">
        <x:v>Weather disruption / environmental constraints</x:v>
      </x:c>
      <x:c r="D297" t="str">
        <x:v>Equipment constraints / low availability, Weather disruption / environmental constraints, Planning &amp; estimation / coordination complexity</x:v>
      </x:c>
      <x:c r="E297" t="str">
        <x:v>Equipment constraints / low availability</x:v>
      </x:c>
      <x:c r="F297" t="str">
        <x:v>Weather disruption / environmental constraints</x:v>
      </x:c>
      <x:c r="G297" t="str">
        <x:v>Equipment constraints / low availability, Weather disruption / environmental constraints, Material supply / logistics &amp; market disruption</x:v>
      </x:c>
      <x:c r="H297" t="str">
        <x:v>Cost overrun mainly linked to equipment constraints / low availability; schedule overrun mainly linked to equipment constraints / low availability.</x:v>
      </x:c>
    </x:row>
    <x:row r="298">
      <x:c r="A298" t="str">
        <x:v>PJT_297</x:v>
      </x:c>
      <x:c r="B298" t="str">
        <x:v>Material supply / logistics &amp; market disruption</x:v>
      </x:c>
      <x:c r="C298" t="str">
        <x:v>Planning &amp; estimation / coordination complexity</x:v>
      </x:c>
      <x:c r="D298" t="str">
        <x:v>Material supply / logistics &amp; market disruption, Planning &amp; estimation / coordination complexity, Resource inefficiency (materials/labor/energy)</x:v>
      </x:c>
      <x:c r="E298" t="str">
        <x:v>Planning &amp; estimation / coordination complexity</x:v>
      </x:c>
      <x:c r="F298" t="str">
        <x:v>Resource inefficiency (materials/labor/energy)</x:v>
      </x:c>
      <x:c r="G298" t="str">
        <x:v>Planning &amp; estimation / coordination complexity, Resource inefficiency (materials/labor/energy), Material supply / logistics &amp; market disruption</x:v>
      </x:c>
      <x:c r="H298" t="str">
        <x:v>Cost overrun mainly linked to material supply / logistics &amp; market disruption; schedule overrun mainly linked to planning &amp; estimation / coordination complexity.</x:v>
      </x:c>
    </x:row>
    <x:row r="299">
      <x:c r="A299" t="str">
        <x:v>PJT_298</x:v>
      </x:c>
      <x:c r="B299" t="str">
        <x:v>Unforeseen site/structural issues &amp; rework</x:v>
      </x:c>
      <x:c r="C299" t="str">
        <x:v>Planning &amp; estimation / coordination complexity</x:v>
      </x:c>
      <x:c r="D299" t="str">
        <x:v>Unforeseen site/structural issues &amp; rework, Planning &amp; estimation / coordination complexity, Material supply / logistics &amp; market disruption</x:v>
      </x:c>
      <x:c r="E299" t="str">
        <x:v>Unforeseen site/structural issues &amp; rework</x:v>
      </x:c>
      <x:c r="F299" t="str">
        <x:v>Planning &amp; estimation / coordination complexity</x:v>
      </x:c>
      <x:c r="G299" t="str">
        <x:v>Unforeseen site/structural issues &amp; rework, Planning &amp; estimation / coordination complexity, Weather disruption / environmental constraints</x:v>
      </x:c>
      <x:c r="H299" t="str">
        <x:v>Cost overrun mainly linked to unforeseen site/structural issues &amp; rework; schedule overrun mainly linked to unforeseen site/structural issues &amp; rework.</x:v>
      </x:c>
    </x:row>
    <x:row r="300">
      <x:c r="A300" t="str">
        <x:v>PJT_299</x:v>
      </x:c>
      <x:c r="B300" t="str">
        <x:v>Unforeseen site/structural issues &amp; rework</x:v>
      </x:c>
      <x:c r="C300" t="str">
        <x:v>Planning &amp; estimation / coordination complexity</x:v>
      </x:c>
      <x:c r="D300" t="str">
        <x:v>Unforeseen site/structural issues &amp; rework, Planning &amp; estimation / coordination complexity, Material supply / logistics &amp; market disruption</x:v>
      </x:c>
      <x:c r="E300" t="str">
        <x:v>Unforeseen site/structural issues &amp; rework</x:v>
      </x:c>
      <x:c r="F300" t="str">
        <x:v>Planning &amp; estimation / coordination complexity</x:v>
      </x:c>
      <x:c r="G300" t="str">
        <x:v>Unforeseen site/structural issues &amp; rework, Planning &amp; estimation / coordination complexity, Material supply / logistics &amp; market disruption</x:v>
      </x:c>
      <x:c r="H300" t="str">
        <x:v>Cost overrun mainly linked to unforeseen site/structural issues &amp; rework; schedule overrun mainly linked to unforeseen site/structural issues &amp; rework.</x:v>
      </x:c>
    </x:row>
    <x:row r="301">
      <x:c r="A301" t="str">
        <x:v>PJT_300</x:v>
      </x:c>
      <x:c r="B301" t="str">
        <x:v>Weather disruption / environmental constraints</x:v>
      </x:c>
      <x:c r="C301" t="str">
        <x:v>Unforeseen site/structural issues &amp; rework</x:v>
      </x:c>
      <x:c r="D301" t="str">
        <x:v>Weather disruption / environmental constraints, Unforeseen site/structural issues &amp; rework, Material supply / logistics &amp; market disruption</x:v>
      </x:c>
      <x:c r="E301" t="str">
        <x:v>Weather disruption / environmental constraints</x:v>
      </x:c>
      <x:c r="F301" t="str">
        <x:v>Unforeseen site/structural issues &amp; rework</x:v>
      </x:c>
      <x:c r="G301" t="str">
        <x:v>Weather disruption / environmental constraints, Unforeseen site/structural issues &amp; rework, Material supply / logistics &amp; market disruption</x:v>
      </x:c>
      <x:c r="H301" t="str">
        <x:v>Cost overrun mainly linked to weather disruption / environmental constraints; schedule overrun mainly linked to weather disruption / environmental constraints.</x:v>
      </x:c>
    </x:row>
    <x:row r="302">
      <x:c r="A302" t="str">
        <x:v>PJT_301</x:v>
      </x:c>
      <x:c r="B302" t="str">
        <x:v>Unforeseen site/structural issues &amp; rework</x:v>
      </x:c>
      <x:c r="C302" t="str">
        <x:v>Resource inefficiency (materials/labor/energy)</x:v>
      </x:c>
      <x:c r="D302" t="str">
        <x:v>Unforeseen site/structural issues &amp; rework, Resource inefficiency (materials/labor/energy), Planning &amp; estimation / coordination complexity</x:v>
      </x:c>
      <x:c r="E302" t="str">
        <x:v>Unforeseen site/structural issues &amp; rework</x:v>
      </x:c>
      <x:c r="F302" t="str">
        <x:v>Resource inefficiency (materials/labor/energy)</x:v>
      </x:c>
      <x:c r="G302" t="str">
        <x:v>Unforeseen site/structural issues &amp; rework, Resource inefficiency (materials/labor/energy), Planning &amp; estimation / coordination complexity</x:v>
      </x:c>
      <x:c r="H302" t="str">
        <x:v>Cost overrun mainly linked to unforeseen site/structural issues &amp; rework; schedule overrun mainly linked to unforeseen site/structural issues &amp; rework.</x:v>
      </x:c>
    </x:row>
    <x:row r="303">
      <x:c r="A303" t="str">
        <x:v>PJT_302</x:v>
      </x:c>
      <x:c r="B303" t="str">
        <x:v>Unforeseen site/structural issues &amp; rework</x:v>
      </x:c>
      <x:c r="C303" t="str">
        <x:v>Planning &amp; estimation / coordination complexity</x:v>
      </x:c>
      <x:c r="D303" t="str">
        <x:v>Unforeseen site/structural issues &amp; rework, Planning &amp; estimation / coordination complexity, Resource inefficiency (materials/labor/energy)</x:v>
      </x:c>
      <x:c r="E303" t="str">
        <x:v>Unforeseen site/structural issues &amp; rework</x:v>
      </x:c>
      <x:c r="F303" t="str">
        <x:v>Planning &amp; estimation / coordination complexity</x:v>
      </x:c>
      <x:c r="G303" t="str">
        <x:v>Unforeseen site/structural issues &amp; rework, Planning &amp; estimation / coordination complexity, Resource inefficiency (materials/labor/energy)</x:v>
      </x:c>
      <x:c r="H303" t="str">
        <x:v>Cost overrun mainly linked to unforeseen site/structural issues &amp; rework; schedule overrun mainly linked to unforeseen site/structural issues &amp; rework.</x:v>
      </x:c>
    </x:row>
    <x:row r="304">
      <x:c r="A304" t="str">
        <x:v>PJT_303</x:v>
      </x:c>
      <x:c r="B304" t="str">
        <x:v>Equipment constraints / low availability</x:v>
      </x:c>
      <x:c r="C304" t="str">
        <x:v>Weather disruption / environmental constraints</x:v>
      </x:c>
      <x:c r="D304" t="str">
        <x:v>Equipment constraints / low availability, Weather disruption / environmental constraints, Resource inefficiency (materials/labor/energy)</x:v>
      </x:c>
      <x:c r="E304" t="str">
        <x:v>Equipment constraints / low availability</x:v>
      </x:c>
      <x:c r="F304" t="str">
        <x:v>Weather disruption / environmental constraints</x:v>
      </x:c>
      <x:c r="G304" t="str">
        <x:v>Equipment constraints / low availability, Weather disruption / environmental constraints, Resource inefficiency (materials/labor/energy)</x:v>
      </x:c>
      <x:c r="H304" t="str">
        <x:v>Cost overrun mainly linked to equipment constraints / low availability; schedule overrun mainly linked to equipment constraints / low availability.</x:v>
      </x:c>
    </x:row>
    <x:row r="305">
      <x:c r="A305" t="str">
        <x:v>PJT_304</x:v>
      </x:c>
      <x:c r="B305" t="str">
        <x:v>Resource inefficiency (materials/labor/energy)</x:v>
      </x:c>
      <x:c r="C305" t="str">
        <x:v>Equipment constraints / low availability</x:v>
      </x:c>
      <x:c r="D305" t="str">
        <x:v>Resource inefficiency (materials/labor/energy), Equipment constraints / low availability, Planning &amp; estimation / coordination complexity</x:v>
      </x:c>
      <x:c r="E305" t="str">
        <x:v>Resource inefficiency (materials/labor/energy)</x:v>
      </x:c>
      <x:c r="F305" t="str">
        <x:v>Equipment constraints / low availability</x:v>
      </x:c>
      <x:c r="G305" t="str">
        <x:v>Resource inefficiency (materials/labor/energy), Equipment constraints / low availability, Planning &amp; estimation / coordination complexity</x:v>
      </x:c>
      <x:c r="H305" t="str">
        <x:v>Cost overrun mainly linked to resource inefficiency (materials/labor/energy); schedule overrun mainly linked to resource inefficiency (materials/labor/energy).</x:v>
      </x:c>
    </x:row>
    <x:row r="306">
      <x:c r="A306" t="str">
        <x:v>PJT_305</x:v>
      </x:c>
      <x:c r="B306" t="str">
        <x:v>Resource inefficiency (materials/labor/energy)</x:v>
      </x:c>
      <x:c r="C306" t="str">
        <x:v>Planning &amp; estimation / coordination complexity</x:v>
      </x:c>
      <x:c r="D306" t="str">
        <x:v>Resource inefficiency (materials/labor/energy), Planning &amp; estimation / coordination complexity, Equipment constraints / low availability</x:v>
      </x:c>
      <x:c r="E306" t="str">
        <x:v>Resource inefficiency (materials/labor/energy)</x:v>
      </x:c>
      <x:c r="F306" t="str">
        <x:v>Planning &amp; estimation / coordination complexity</x:v>
      </x:c>
      <x:c r="G306" t="str">
        <x:v>Resource inefficiency (materials/labor/energy), Planning &amp; estimation / coordination complexity, Equipment constraints / low availability</x:v>
      </x:c>
      <x:c r="H306" t="str">
        <x:v>Cost overrun mainly linked to resource inefficiency (materials/labor/energy); schedule overrun mainly linked to resource inefficiency (materials/labor/energy).</x:v>
      </x:c>
    </x:row>
    <x:row r="307">
      <x:c r="A307" t="str">
        <x:v>PJT_306</x:v>
      </x:c>
      <x:c r="B307" t="str">
        <x:v>Resource inefficiency (materials/labor/energy)</x:v>
      </x:c>
      <x:c r="C307" t="str">
        <x:v>Equipment constraints / low availability</x:v>
      </x:c>
      <x:c r="D307" t="str">
        <x:v>Resource inefficiency (materials/labor/energy), Equipment constraints / low availability, Material supply / logistics &amp; market disruption</x:v>
      </x:c>
      <x:c r="E307" t="str">
        <x:v>Equipment constraints / low availability</x:v>
      </x:c>
      <x:c r="F307" t="str">
        <x:v>Planning &amp; estimation / coordination complexity</x:v>
      </x:c>
      <x:c r="G307" t="str">
        <x:v>Equipment constraints / low availability, Planning &amp; estimation / coordination complexity, Resource inefficiency (materials/labor/energy)</x:v>
      </x:c>
      <x:c r="H307" t="str">
        <x:v>Cost overrun mainly linked to resource inefficiency (materials/labor/energy); schedule overrun mainly linked to equipment constraints / low availability.</x:v>
      </x:c>
    </x:row>
    <x:row r="308">
      <x:c r="A308" t="str">
        <x:v>PJT_307</x:v>
      </x:c>
      <x:c r="B308" t="str">
        <x:v>Resource inefficiency (materials/labor/energy)</x:v>
      </x:c>
      <x:c r="C308" t="str">
        <x:v>Planning &amp; estimation / coordination complexity</x:v>
      </x:c>
      <x:c r="D308" t="str">
        <x:v>Resource inefficiency (materials/labor/energy), Planning &amp; estimation / coordination complexity, Equipment constraints / low availability</x:v>
      </x:c>
      <x:c r="E308" t="str">
        <x:v>Resource inefficiency (materials/labor/energy)</x:v>
      </x:c>
      <x:c r="F308" t="str">
        <x:v>Planning &amp; estimation / coordination complexity</x:v>
      </x:c>
      <x:c r="G308" t="str">
        <x:v>Resource inefficiency (materials/labor/energy), Planning &amp; estimation / coordination complexity, Equipment constraints / low availability</x:v>
      </x:c>
      <x:c r="H308" t="str">
        <x:v>Cost overrun mainly linked to resource inefficiency (materials/labor/energy); schedule overrun mainly linked to resource inefficiency (materials/labor/energy).</x:v>
      </x:c>
    </x:row>
    <x:row r="309">
      <x:c r="A309" t="str">
        <x:v>PJT_308</x:v>
      </x:c>
      <x:c r="B309" t="str">
        <x:v>Resource inefficiency (materials/labor/energy)</x:v>
      </x:c>
      <x:c r="C309" t="str">
        <x:v>Material supply / logistics &amp; market disruption</x:v>
      </x:c>
      <x:c r="D309" t="str">
        <x:v>Resource inefficiency (materials/labor/energy), Material supply / logistics &amp; market disruption, Unforeseen site/structural issues &amp; rework</x:v>
      </x:c>
      <x:c r="E309" t="str">
        <x:v>Resource inefficiency (materials/labor/energy)</x:v>
      </x:c>
      <x:c r="F309" t="str">
        <x:v>Unforeseen site/structural issues &amp; rework</x:v>
      </x:c>
      <x:c r="G309" t="str">
        <x:v>Resource inefficiency (materials/labor/energy), Unforeseen site/structural issues &amp; rework, Material supply / logistics &amp; market disruption</x:v>
      </x:c>
      <x:c r="H309" t="str">
        <x:v>Cost overrun mainly linked to resource inefficiency (materials/labor/energy); schedule overrun mainly linked to resource inefficiency (materials/labor/energy).</x:v>
      </x:c>
    </x:row>
    <x:row r="310">
      <x:c r="A310" t="str">
        <x:v>PJT_309</x:v>
      </x:c>
      <x:c r="B310" t="str">
        <x:v>Resource inefficiency (materials/labor/energy)</x:v>
      </x:c>
      <x:c r="C310" t="str">
        <x:v>Equipment constraints / low availability</x:v>
      </x:c>
      <x:c r="D310" t="str">
        <x:v>Resource inefficiency (materials/labor/energy), Equipment constraints / low availability, Planning &amp; estimation / coordination complexity</x:v>
      </x:c>
      <x:c r="E310" t="str">
        <x:v>Resource inefficiency (materials/labor/energy)</x:v>
      </x:c>
      <x:c r="F310" t="str">
        <x:v>Equipment constraints / low availability</x:v>
      </x:c>
      <x:c r="G310" t="str">
        <x:v>Resource inefficiency (materials/labor/energy), Equipment constraints / low availability, Planning &amp; estimation / coordination complexity</x:v>
      </x:c>
      <x:c r="H310" t="str">
        <x:v>Cost overrun mainly linked to resource inefficiency (materials/labor/energy); schedule overrun mainly linked to resource inefficiency (materials/labor/energy).</x:v>
      </x:c>
    </x:row>
    <x:row r="311">
      <x:c r="A311" t="str">
        <x:v>PJT_310</x:v>
      </x:c>
      <x:c r="B311" t="str">
        <x:v>Resource inefficiency (materials/labor/energy)</x:v>
      </x:c>
      <x:c r="C311" t="str">
        <x:v>Planning &amp; estimation / coordination complexity</x:v>
      </x:c>
      <x:c r="D311" t="str">
        <x:v>Resource inefficiency (materials/labor/energy), Planning &amp; estimation / coordination complexity, Unforeseen site/structural issues &amp; rework</x:v>
      </x:c>
      <x:c r="E311" t="str">
        <x:v>Planning &amp; estimation / coordination complexity</x:v>
      </x:c>
      <x:c r="F311" t="str">
        <x:v>Resource inefficiency (materials/labor/energy)</x:v>
      </x:c>
      <x:c r="G311" t="str">
        <x:v>Planning &amp; estimation / coordination complexity, Resource inefficiency (materials/labor/energy), Unforeseen site/structural issues &amp; rework</x:v>
      </x:c>
      <x:c r="H311" t="str">
        <x:v>Cost overrun mainly linked to resource inefficiency (materials/labor/energy); schedule overrun mainly linked to planning &amp; estimation / coordination complexity.</x:v>
      </x:c>
    </x:row>
    <x:row r="312">
      <x:c r="A312" t="str">
        <x:v>PJT_311</x:v>
      </x:c>
      <x:c r="B312" t="str">
        <x:v>Weather disruption / environmental constraints</x:v>
      </x:c>
      <x:c r="C312" t="str">
        <x:v>Material supply / logistics &amp; market disruption</x:v>
      </x:c>
      <x:c r="D312" t="str">
        <x:v>Weather disruption / environmental constraints, Material supply / logistics &amp; market disruption, Equipment constraints / low availability</x:v>
      </x:c>
      <x:c r="E312" t="str">
        <x:v>Weather disruption / environmental constraints</x:v>
      </x:c>
      <x:c r="F312" t="str">
        <x:v>Material supply / logistics &amp; market disruption</x:v>
      </x:c>
      <x:c r="G312" t="str">
        <x:v>Weather disruption / environmental constraints, Material supply / logistics &amp; market disruption, Equipment constraints / low availability</x:v>
      </x:c>
      <x:c r="H312" t="str">
        <x:v>Cost overrun mainly linked to weather disruption / environmental constraints; schedule overrun mainly linked to weather disruption / environmental constraints.</x:v>
      </x:c>
    </x:row>
    <x:row r="313">
      <x:c r="A313" t="str">
        <x:v>PJT_312</x:v>
      </x:c>
      <x:c r="B313" t="str">
        <x:v>Resource inefficiency (materials/labor/energy)</x:v>
      </x:c>
      <x:c r="C313" t="str">
        <x:v>Planning &amp; estimation / coordination complexity</x:v>
      </x:c>
      <x:c r="D313" t="str">
        <x:v>Resource inefficiency (materials/labor/energy), Planning &amp; estimation / coordination complexity, Equipment constraints / low availability</x:v>
      </x:c>
      <x:c r="E313" t="str">
        <x:v>Resource inefficiency (materials/labor/energy)</x:v>
      </x:c>
      <x:c r="F313" t="str">
        <x:v>Equipment constraints / low availability</x:v>
      </x:c>
      <x:c r="G313" t="str">
        <x:v>Resource inefficiency (materials/labor/energy), Equipment constraints / low availability, Planning &amp; estimation / coordination complexity</x:v>
      </x:c>
      <x:c r="H313" t="str">
        <x:v>Cost overrun mainly linked to resource inefficiency (materials/labor/energy); schedule overrun mainly linked to resource inefficiency (materials/labor/energy).</x:v>
      </x:c>
    </x:row>
    <x:row r="314">
      <x:c r="A314" t="str">
        <x:v>PJT_313</x:v>
      </x:c>
      <x:c r="B314" t="str">
        <x:v>Planning &amp; estimation / coordination complexity</x:v>
      </x:c>
      <x:c r="C314" t="str">
        <x:v>Resource inefficiency (materials/labor/energy)</x:v>
      </x:c>
      <x:c r="D314" t="str">
        <x:v>Planning &amp; estimation / coordination complexity, Resource inefficiency (materials/labor/energy), Equipment constraints / low availability</x:v>
      </x:c>
      <x:c r="E314" t="str">
        <x:v>Planning &amp; estimation / coordination complexity</x:v>
      </x:c>
      <x:c r="F314" t="str">
        <x:v>Resource inefficiency (materials/labor/energy)</x:v>
      </x:c>
      <x:c r="G314" t="str">
        <x:v>Planning &amp; estimation / coordination complexity, Resource inefficiency (materials/labor/energy), Equipment constraints / low availability</x:v>
      </x:c>
      <x:c r="H314" t="str">
        <x:v>Cost overrun mainly linked to planning &amp; estimation / coordination complexity; schedule overrun mainly linked to planning &amp; estimation / coordination complexity.</x:v>
      </x:c>
    </x:row>
    <x:row r="315">
      <x:c r="A315" t="str">
        <x:v>PJT_314</x:v>
      </x:c>
      <x:c r="B315" t="str">
        <x:v>Weather disruption / environmental constraints</x:v>
      </x:c>
      <x:c r="C315" t="str">
        <x:v>Unforeseen site/structural issues &amp; rework</x:v>
      </x:c>
      <x:c r="D315" t="str">
        <x:v>Weather disruption / environmental constraints, Unforeseen site/structural issues &amp; rework, Material supply / logistics &amp; market disruption</x:v>
      </x:c>
      <x:c r="E315" t="str">
        <x:v>Weather disruption / environmental constraints</x:v>
      </x:c>
      <x:c r="F315" t="str">
        <x:v>Unforeseen site/structural issues &amp; rework</x:v>
      </x:c>
      <x:c r="G315" t="str">
        <x:v>Weather disruption / environmental constraints, Unforeseen site/structural issues &amp; rework, Material supply / logistics &amp; market disruption</x:v>
      </x:c>
      <x:c r="H315" t="str">
        <x:v>Cost overrun mainly linked to weather disruption / environmental constraints; schedule overrun mainly linked to weather disruption / environmental constraints.</x:v>
      </x:c>
    </x:row>
    <x:row r="316">
      <x:c r="A316" t="str">
        <x:v>PJT_315</x:v>
      </x:c>
      <x:c r="B316" t="str">
        <x:v>Unforeseen site/structural issues &amp; rework</x:v>
      </x:c>
      <x:c r="C316" t="str">
        <x:v>Planning &amp; estimation / coordination complexity</x:v>
      </x:c>
      <x:c r="D316" t="str">
        <x:v>Unforeseen site/structural issues &amp; rework, Planning &amp; estimation / coordination complexity, Equipment constraints / low availability</x:v>
      </x:c>
      <x:c r="E316" t="str">
        <x:v>Unforeseen site/structural issues &amp; rework</x:v>
      </x:c>
      <x:c r="F316" t="str">
        <x:v>Planning &amp; estimation / coordination complexity</x:v>
      </x:c>
      <x:c r="G316" t="str">
        <x:v>Unforeseen site/structural issues &amp; rework, Planning &amp; estimation / coordination complexity, Equipment constraints / low availability</x:v>
      </x:c>
      <x:c r="H316" t="str">
        <x:v>Cost overrun mainly linked to unforeseen site/structural issues &amp; rework; schedule overrun mainly linked to unforeseen site/structural issues &amp; rework.</x:v>
      </x:c>
    </x:row>
    <x:row r="317">
      <x:c r="A317" t="str">
        <x:v>PJT_316</x:v>
      </x:c>
      <x:c r="B317" t="str">
        <x:v>Weather disruption / environmental constraints</x:v>
      </x:c>
      <x:c r="C317" t="str">
        <x:v>Material supply / logistics &amp; market disruption</x:v>
      </x:c>
      <x:c r="D317" t="str">
        <x:v>Weather disruption / environmental constraints, Material supply / logistics &amp; market disruption, Unforeseen site/structural issues &amp; rework</x:v>
      </x:c>
      <x:c r="E317" t="str">
        <x:v>Weather disruption / environmental constraints</x:v>
      </x:c>
      <x:c r="F317" t="str">
        <x:v>Material supply / logistics &amp; market disruption</x:v>
      </x:c>
      <x:c r="G317" t="str">
        <x:v>Weather disruption / environmental constraints, Material supply / logistics &amp; market disruption, Equipment constraints / low availability</x:v>
      </x:c>
      <x:c r="H317" t="str">
        <x:v>Cost overrun mainly linked to weather disruption / environmental constraints; schedule overrun mainly linked to weather disruption / environmental constraints.</x:v>
      </x:c>
    </x:row>
    <x:row r="318">
      <x:c r="A318" t="str">
        <x:v>PJT_317</x:v>
      </x:c>
      <x:c r="B318" t="str">
        <x:v>Resource inefficiency (materials/labor/energy)</x:v>
      </x:c>
      <x:c r="C318" t="str">
        <x:v>Equipment constraints / low availability</x:v>
      </x:c>
      <x:c r="D318" t="str">
        <x:v>Resource inefficiency (materials/labor/energy), Equipment constraints / low availability, Planning &amp; estimation / coordination complexity</x:v>
      </x:c>
      <x:c r="E318" t="str">
        <x:v>Resource inefficiency (materials/labor/energy)</x:v>
      </x:c>
      <x:c r="F318" t="str">
        <x:v>Equipment constraints / low availability</x:v>
      </x:c>
      <x:c r="G318" t="str">
        <x:v>Resource inefficiency (materials/labor/energy), Equipment constraints / low availability, Planning &amp; estimation / coordination complexity</x:v>
      </x:c>
      <x:c r="H318" t="str">
        <x:v>Cost overrun mainly linked to resource inefficiency (materials/labor/energy); schedule overrun mainly linked to resource inefficiency (materials/labor/energy).</x:v>
      </x:c>
    </x:row>
    <x:row r="319">
      <x:c r="A319" t="str">
        <x:v>PJT_318</x:v>
      </x:c>
      <x:c r="B319" t="str">
        <x:v>Unforeseen site/structural issues &amp; rework</x:v>
      </x:c>
      <x:c r="C319" t="str">
        <x:v>Planning &amp; estimation / coordination complexity</x:v>
      </x:c>
      <x:c r="D319" t="str">
        <x:v>Unforeseen site/structural issues &amp; rework, Planning &amp; estimation / coordination complexity, Equipment constraints / low availability</x:v>
      </x:c>
      <x:c r="E319" t="str">
        <x:v>Unforeseen site/structural issues &amp; rework</x:v>
      </x:c>
      <x:c r="F319" t="str">
        <x:v>Planning &amp; estimation / coordination complexity</x:v>
      </x:c>
      <x:c r="G319" t="str">
        <x:v>Unforeseen site/structural issues &amp; rework, Planning &amp; estimation / coordination complexity, Equipment constraints / low availability</x:v>
      </x:c>
      <x:c r="H319" t="str">
        <x:v>Cost overrun mainly linked to unforeseen site/structural issues &amp; rework; schedule overrun mainly linked to unforeseen site/structural issues &amp; rework.</x:v>
      </x:c>
    </x:row>
    <x:row r="320">
      <x:c r="A320" t="str">
        <x:v>PJT_319</x:v>
      </x:c>
      <x:c r="B320" t="str">
        <x:v>Unforeseen site/structural issues &amp; rework</x:v>
      </x:c>
      <x:c r="C320" t="str">
        <x:v>Equipment constraints / low availability</x:v>
      </x:c>
      <x:c r="D320" t="str">
        <x:v>Unforeseen site/structural issues &amp; rework, Equipment constraints / low availability, Planning &amp; estimation / coordination complexity</x:v>
      </x:c>
      <x:c r="E320" t="str">
        <x:v>Unforeseen site/structural issues &amp; rework</x:v>
      </x:c>
      <x:c r="F320" t="str">
        <x:v>Equipment constraints / low availability</x:v>
      </x:c>
      <x:c r="G320" t="str">
        <x:v>Unforeseen site/structural issues &amp; rework, Equipment constraints / low availability, Planning &amp; estimation / coordination complexity</x:v>
      </x:c>
      <x:c r="H320" t="str">
        <x:v>Cost overrun mainly linked to unforeseen site/structural issues &amp; rework; schedule overrun mainly linked to unforeseen site/structural issues &amp; rework.</x:v>
      </x:c>
    </x:row>
    <x:row r="321">
      <x:c r="A321" t="str">
        <x:v>PJT_320</x:v>
      </x:c>
      <x:c r="B321" t="str">
        <x:v>Resource inefficiency (materials/labor/energy)</x:v>
      </x:c>
      <x:c r="C321" t="str">
        <x:v>Equipment constraints / low availability</x:v>
      </x:c>
      <x:c r="D321" t="str">
        <x:v>Resource inefficiency (materials/labor/energy), Equipment constraints / low availability, Planning &amp; estimation / coordination complexity</x:v>
      </x:c>
      <x:c r="E321" t="str">
        <x:v>Resource inefficiency (materials/labor/energy)</x:v>
      </x:c>
      <x:c r="F321" t="str">
        <x:v>Equipment constraints / low availability</x:v>
      </x:c>
      <x:c r="G321" t="str">
        <x:v>Resource inefficiency (materials/labor/energy), Equipment constraints / low availability, Planning &amp; estimation / coordination complexity</x:v>
      </x:c>
      <x:c r="H321" t="str">
        <x:v>Cost overrun mainly linked to resource inefficiency (materials/labor/energy); schedule overrun mainly linked to resource inefficiency (materials/labor/energy).</x:v>
      </x:c>
    </x:row>
    <x:row r="322">
      <x:c r="A322" t="str">
        <x:v>PJT_321</x:v>
      </x:c>
      <x:c r="B322" t="str">
        <x:v>Planning &amp; estimation / coordination complexity</x:v>
      </x:c>
      <x:c r="C322" t="str">
        <x:v>Unforeseen site/structural issues &amp; rework</x:v>
      </x:c>
      <x:c r="D322" t="str">
        <x:v>Planning &amp; estimation / coordination complexity, Unforeseen site/structural issues &amp; rework, Equipment constraints / low availability</x:v>
      </x:c>
      <x:c r="E322" t="str">
        <x:v>Planning &amp; estimation / coordination complexity</x:v>
      </x:c>
      <x:c r="F322" t="str">
        <x:v>Unforeseen site/structural issues &amp; rework</x:v>
      </x:c>
      <x:c r="G322" t="str">
        <x:v>Planning &amp; estimation / coordination complexity, Unforeseen site/structural issues &amp; rework, Equipment constraints / low availability</x:v>
      </x:c>
      <x:c r="H322" t="str">
        <x:v>Cost overrun mainly linked to planning &amp; estimation / coordination complexity; schedule overrun mainly linked to planning &amp; estimation / coordination complexity.</x:v>
      </x:c>
    </x:row>
    <x:row r="323">
      <x:c r="A323" t="str">
        <x:v>PJT_322</x:v>
      </x:c>
      <x:c r="B323" t="str">
        <x:v>Resource inefficiency (materials/labor/energy)</x:v>
      </x:c>
      <x:c r="C323" t="str">
        <x:v>Planning &amp; estimation / coordination complexity</x:v>
      </x:c>
      <x:c r="D323" t="str">
        <x:v>Resource inefficiency (materials/labor/energy), Planning &amp; estimation / coordination complexity, Material supply / logistics &amp; market disruption</x:v>
      </x:c>
      <x:c r="E323" t="str">
        <x:v>Resource inefficiency (materials/labor/energy)</x:v>
      </x:c>
      <x:c r="F323" t="str">
        <x:v>Planning &amp; estimation / coordination complexity</x:v>
      </x:c>
      <x:c r="G323" t="str">
        <x:v>Resource inefficiency (materials/labor/energy), Planning &amp; estimation / coordination complexity, Equipment constraints / low availability</x:v>
      </x:c>
      <x:c r="H323" t="str">
        <x:v>Cost overrun mainly linked to resource inefficiency (materials/labor/energy); schedule overrun mainly linked to resource inefficiency (materials/labor/energy).</x:v>
      </x:c>
    </x:row>
    <x:row r="324">
      <x:c r="A324" t="str">
        <x:v>PJT_323</x:v>
      </x:c>
      <x:c r="B324" t="str">
        <x:v>Unforeseen site/structural issues &amp; rework</x:v>
      </x:c>
      <x:c r="C324" t="str">
        <x:v>Equipment constraints / low availability</x:v>
      </x:c>
      <x:c r="D324" t="str">
        <x:v>Unforeseen site/structural issues &amp; rework, Equipment constraints / low availability, Planning &amp; estimation / coordination complexity</x:v>
      </x:c>
      <x:c r="E324" t="str">
        <x:v>Unforeseen site/structural issues &amp; rework</x:v>
      </x:c>
      <x:c r="F324" t="str">
        <x:v>Equipment constraints / low availability</x:v>
      </x:c>
      <x:c r="G324" t="str">
        <x:v>Unforeseen site/structural issues &amp; rework, Equipment constraints / low availability, Planning &amp; estimation / coordination complexity</x:v>
      </x:c>
      <x:c r="H324" t="str">
        <x:v>Cost overrun mainly linked to unforeseen site/structural issues &amp; rework; schedule overrun mainly linked to unforeseen site/structural issues &amp; rework.</x:v>
      </x:c>
    </x:row>
    <x:row r="325">
      <x:c r="A325" t="str">
        <x:v>PJT_324</x:v>
      </x:c>
      <x:c r="B325" t="str">
        <x:v>Equipment constraints / low availability</x:v>
      </x:c>
      <x:c r="C325" t="str">
        <x:v>Resource inefficiency (materials/labor/energy)</x:v>
      </x:c>
      <x:c r="D325" t="str">
        <x:v>Equipment constraints / low availability, Resource inefficiency (materials/labor/energy), Planning &amp; estimation / coordination complexity</x:v>
      </x:c>
      <x:c r="E325" t="str">
        <x:v>Resource inefficiency (materials/labor/energy)</x:v>
      </x:c>
      <x:c r="F325" t="str">
        <x:v>Equipment constraints / low availability</x:v>
      </x:c>
      <x:c r="G325" t="str">
        <x:v>Resource inefficiency (materials/labor/energy), Equipment constraints / low availability, Planning &amp; estimation / coordination complexity</x:v>
      </x:c>
      <x:c r="H325" t="str">
        <x:v>Cost overrun mainly linked to equipment constraints / low availability; schedule overrun mainly linked to resource inefficiency (materials/labor/energy).</x:v>
      </x:c>
    </x:row>
    <x:row r="326">
      <x:c r="A326" t="str">
        <x:v>PJT_325</x:v>
      </x:c>
      <x:c r="B326" t="str">
        <x:v>Unforeseen site/structural issues &amp; rework</x:v>
      </x:c>
      <x:c r="C326" t="str">
        <x:v>Weather disruption / environmental constraints</x:v>
      </x:c>
      <x:c r="D326" t="str">
        <x:v>Unforeseen site/structural issues &amp; rework, Weather disruption / environmental constraints, Planning &amp; estimation / coordination complexity</x:v>
      </x:c>
      <x:c r="E326" t="str">
        <x:v>Unforeseen site/structural issues &amp; rework</x:v>
      </x:c>
      <x:c r="F326" t="str">
        <x:v>Weather disruption / environmental constraints</x:v>
      </x:c>
      <x:c r="G326" t="str">
        <x:v>Unforeseen site/structural issues &amp; rework, Weather disruption / environmental constraints, Equipment constraints / low availability</x:v>
      </x:c>
      <x:c r="H326" t="str">
        <x:v>Cost overrun mainly linked to unforeseen site/structural issues &amp; rework; schedule overrun mainly linked to unforeseen site/structural issues &amp; rework.</x:v>
      </x:c>
    </x:row>
    <x:row r="327">
      <x:c r="A327" t="str">
        <x:v>PJT_326</x:v>
      </x:c>
      <x:c r="B327" t="str">
        <x:v>Equipment constraints / low availability</x:v>
      </x:c>
      <x:c r="C327" t="str">
        <x:v>Planning &amp; estimation / coordination complexity</x:v>
      </x:c>
      <x:c r="D327" t="str">
        <x:v>Equipment constraints / low availability, Planning &amp; estimation / coordination complexity, Material supply / logistics &amp; market disruption</x:v>
      </x:c>
      <x:c r="E327" t="str">
        <x:v>Equipment constraints / low availability</x:v>
      </x:c>
      <x:c r="F327" t="str">
        <x:v>Material supply / logistics &amp; market disruption</x:v>
      </x:c>
      <x:c r="G327" t="str">
        <x:v>Equipment constraints / low availability, Material supply / logistics &amp; market disruption, Planning &amp; estimation / coordination complexity</x:v>
      </x:c>
      <x:c r="H327" t="str">
        <x:v>Cost overrun mainly linked to equipment constraints / low availability; schedule overrun mainly linked to equipment constraints / low availability.</x:v>
      </x:c>
    </x:row>
    <x:row r="328">
      <x:c r="A328" t="str">
        <x:v>PJT_327</x:v>
      </x:c>
      <x:c r="B328" t="str">
        <x:v>Planning &amp; estimation / coordination complexity</x:v>
      </x:c>
      <x:c r="C328" t="str">
        <x:v>Weather disruption / environmental constraints</x:v>
      </x:c>
      <x:c r="D328" t="str">
        <x:v>Planning &amp; estimation / coordination complexity, Weather disruption / environmental constraints, Equipment constraints / low availability</x:v>
      </x:c>
      <x:c r="E328" t="str">
        <x:v>Planning &amp; estimation / coordination complexity</x:v>
      </x:c>
      <x:c r="F328" t="str">
        <x:v>Weather disruption / environmental constraints</x:v>
      </x:c>
      <x:c r="G328" t="str">
        <x:v>Planning &amp; estimation / coordination complexity, Weather disruption / environmental constraints, Equipment constraints / low availability</x:v>
      </x:c>
      <x:c r="H328" t="str">
        <x:v>Cost overrun mainly linked to planning &amp; estimation / coordination complexity; schedule overrun mainly linked to planning &amp; estimation / coordination complexity.</x:v>
      </x:c>
    </x:row>
    <x:row r="329">
      <x:c r="A329" t="str">
        <x:v>PJT_328</x:v>
      </x:c>
      <x:c r="B329" t="str">
        <x:v>Unforeseen site/structural issues &amp; rework</x:v>
      </x:c>
      <x:c r="C329" t="str">
        <x:v>Planning &amp; estimation / coordination complexity</x:v>
      </x:c>
      <x:c r="D329" t="str">
        <x:v>Unforeseen site/structural issues &amp; rework, Planning &amp; estimation / coordination complexity, Equipment constraints / low availability</x:v>
      </x:c>
      <x:c r="E329" t="str">
        <x:v>Unforeseen site/structural issues &amp; rework</x:v>
      </x:c>
      <x:c r="F329" t="str">
        <x:v>Planning &amp; estimation / coordination complexity</x:v>
      </x:c>
      <x:c r="G329" t="str">
        <x:v>Unforeseen site/structural issues &amp; rework, Planning &amp; estimation / coordination complexity, Equipment constraints / low availability</x:v>
      </x:c>
      <x:c r="H329" t="str">
        <x:v>Cost overrun mainly linked to unforeseen site/structural issues &amp; rework; schedule overrun mainly linked to unforeseen site/structural issues &amp; rework.</x:v>
      </x:c>
    </x:row>
    <x:row r="330">
      <x:c r="A330" t="str">
        <x:v>PJT_329</x:v>
      </x:c>
      <x:c r="B330" t="str">
        <x:v>Weather disruption / environmental constraints</x:v>
      </x:c>
      <x:c r="C330" t="str">
        <x:v>Unforeseen site/structural issues &amp; rework</x:v>
      </x:c>
      <x:c r="D330" t="str">
        <x:v>Weather disruption / environmental constraints, Unforeseen site/structural issues &amp; rework, Material supply / logistics &amp; market disruption</x:v>
      </x:c>
      <x:c r="E330" t="str">
        <x:v>Weather disruption / environmental constraints</x:v>
      </x:c>
      <x:c r="F330" t="str">
        <x:v>Unforeseen site/structural issues &amp; rework</x:v>
      </x:c>
      <x:c r="G330" t="str">
        <x:v>Weather disruption / environmental constraints, Unforeseen site/structural issues &amp; rework, Material supply / logistics &amp; market disruption</x:v>
      </x:c>
      <x:c r="H330" t="str">
        <x:v>Cost overrun mainly linked to weather disruption / environmental constraints; schedule overrun mainly linked to weather disruption / environmental constraints.</x:v>
      </x:c>
    </x:row>
    <x:row r="331">
      <x:c r="A331" t="str">
        <x:v>PJT_330</x:v>
      </x:c>
      <x:c r="B331" t="str">
        <x:v>Weather disruption / environmental constraints</x:v>
      </x:c>
      <x:c r="C331" t="str">
        <x:v>Equipment constraints / low availability</x:v>
      </x:c>
      <x:c r="D331" t="str">
        <x:v>Weather disruption / environmental constraints, Equipment constraints / low availability, Planning &amp; estimation / coordination complexity</x:v>
      </x:c>
      <x:c r="E331" t="str">
        <x:v>Weather disruption / environmental constraints</x:v>
      </x:c>
      <x:c r="F331" t="str">
        <x:v>Equipment constraints / low availability</x:v>
      </x:c>
      <x:c r="G331" t="str">
        <x:v>Weather disruption / environmental constraints, Equipment constraints / low availability, Planning &amp; estimation / coordination complexity</x:v>
      </x:c>
      <x:c r="H331" t="str">
        <x:v>Cost overrun mainly linked to weather disruption / environmental constraints; schedule overrun mainly linked to weather disruption / environmental constraints.</x:v>
      </x:c>
    </x:row>
    <x:row r="332">
      <x:c r="A332" t="str">
        <x:v>PJT_331</x:v>
      </x:c>
      <x:c r="B332" t="str">
        <x:v>Planning &amp; estimation / coordination complexity</x:v>
      </x:c>
      <x:c r="C332" t="str">
        <x:v>Material supply / logistics &amp; market disruption</x:v>
      </x:c>
      <x:c r="D332" t="str">
        <x:v>Planning &amp; estimation / coordination complexity, Material supply / logistics &amp; market disruption, Unforeseen site/structural issues &amp; rework</x:v>
      </x:c>
      <x:c r="E332" t="str">
        <x:v>Planning &amp; estimation / coordination complexity</x:v>
      </x:c>
      <x:c r="F332" t="str">
        <x:v>Unforeseen site/structural issues &amp; rework</x:v>
      </x:c>
      <x:c r="G332" t="str">
        <x:v>Planning &amp; estimation / coordination complexity, Unforeseen site/structural issues &amp; rework, Material supply / logistics &amp; market disruption</x:v>
      </x:c>
      <x:c r="H332" t="str">
        <x:v>Cost overrun mainly linked to planning &amp; estimation / coordination complexity; schedule overrun mainly linked to planning &amp; estimation / coordination complexity.</x:v>
      </x:c>
    </x:row>
    <x:row r="333">
      <x:c r="A333" t="str">
        <x:v>PJT_332</x:v>
      </x:c>
      <x:c r="B333" t="str">
        <x:v>Resource inefficiency (materials/labor/energy)</x:v>
      </x:c>
      <x:c r="C333" t="str">
        <x:v>Equipment constraints / low availability</x:v>
      </x:c>
      <x:c r="D333" t="str">
        <x:v>Resource inefficiency (materials/labor/energy), Equipment constraints / low availability, Planning &amp; estimation / coordination complexity</x:v>
      </x:c>
      <x:c r="E333" t="str">
        <x:v>Equipment constraints / low availability</x:v>
      </x:c>
      <x:c r="F333" t="str">
        <x:v>Resource inefficiency (materials/labor/energy)</x:v>
      </x:c>
      <x:c r="G333" t="str">
        <x:v>Equipment constraints / low availability, Resource inefficiency (materials/labor/energy), Planning &amp; estimation / coordination complexity</x:v>
      </x:c>
      <x:c r="H333" t="str">
        <x:v>Cost overrun mainly linked to resource inefficiency (materials/labor/energy); schedule overrun mainly linked to equipment constraints / low availability.</x:v>
      </x:c>
    </x:row>
    <x:row r="334">
      <x:c r="A334" t="str">
        <x:v>PJT_333</x:v>
      </x:c>
      <x:c r="B334" t="str">
        <x:v>Unforeseen site/structural issues &amp; rework</x:v>
      </x:c>
      <x:c r="C334" t="str">
        <x:v>Weather disruption / environmental constraints</x:v>
      </x:c>
      <x:c r="D334" t="str">
        <x:v>Unforeseen site/structural issues &amp; rework, Weather disruption / environmental constraints, Planning &amp; estimation / coordination complexity</x:v>
      </x:c>
      <x:c r="E334" t="str">
        <x:v>Unforeseen site/structural issues &amp; rework</x:v>
      </x:c>
      <x:c r="F334" t="str">
        <x:v>Planning &amp; estimation / coordination complexity</x:v>
      </x:c>
      <x:c r="G334" t="str">
        <x:v>Unforeseen site/structural issues &amp; rework, Planning &amp; estimation / coordination complexity, Weather disruption / environmental constraints</x:v>
      </x:c>
      <x:c r="H334" t="str">
        <x:v>Cost overrun mainly linked to unforeseen site/structural issues &amp; rework; schedule overrun mainly linked to unforeseen site/structural issues &amp; rework.</x:v>
      </x:c>
    </x:row>
    <x:row r="335">
      <x:c r="A335" t="str">
        <x:v>PJT_334</x:v>
      </x:c>
      <x:c r="B335" t="str">
        <x:v>Unforeseen site/structural issues &amp; rework</x:v>
      </x:c>
      <x:c r="C335" t="str">
        <x:v>Planning &amp; estimation / coordination complexity</x:v>
      </x:c>
      <x:c r="D335" t="str">
        <x:v>Unforeseen site/structural issues &amp; rework, Planning &amp; estimation / coordination complexity, Weather disruption / environmental constraints</x:v>
      </x:c>
      <x:c r="E335" t="str">
        <x:v>Unforeseen site/structural issues &amp; rework</x:v>
      </x:c>
      <x:c r="F335" t="str">
        <x:v>Planning &amp; estimation / coordination complexity</x:v>
      </x:c>
      <x:c r="G335" t="str">
        <x:v>Unforeseen site/structural issues &amp; rework, Planning &amp; estimation / coordination complexity, Weather disruption / environmental constraints</x:v>
      </x:c>
      <x:c r="H335" t="str">
        <x:v>Cost overrun mainly linked to unforeseen site/structural issues &amp; rework; schedule overrun mainly linked to unforeseen site/structural issues &amp; rework.</x:v>
      </x:c>
    </x:row>
    <x:row r="336">
      <x:c r="A336" t="str">
        <x:v>PJT_335</x:v>
      </x:c>
      <x:c r="B336" t="str">
        <x:v>Weather disruption / environmental constraints</x:v>
      </x:c>
      <x:c r="C336" t="str">
        <x:v>Unforeseen site/structural issues &amp; rework</x:v>
      </x:c>
      <x:c r="D336" t="str">
        <x:v>Weather disruption / environmental constraints, Unforeseen site/structural issues &amp; rework, Material supply / logistics &amp; market disruption</x:v>
      </x:c>
      <x:c r="E336" t="str">
        <x:v>Weather disruption / environmental constraints</x:v>
      </x:c>
      <x:c r="F336" t="str">
        <x:v>Unforeseen site/structural issues &amp; rework</x:v>
      </x:c>
      <x:c r="G336" t="str">
        <x:v>Weather disruption / environmental constraints, Unforeseen site/structural issues &amp; rework, Material supply / logistics &amp; market disruption</x:v>
      </x:c>
      <x:c r="H336" t="str">
        <x:v>Cost overrun mainly linked to weather disruption / environmental constraints; schedule overrun mainly linked to weather disruption / environmental constraints.</x:v>
      </x:c>
    </x:row>
    <x:row r="337">
      <x:c r="A337" t="str">
        <x:v>PJT_336</x:v>
      </x:c>
      <x:c r="B337" t="str">
        <x:v>Unforeseen site/structural issues &amp; rework</x:v>
      </x:c>
      <x:c r="C337" t="str">
        <x:v>Planning &amp; estimation / coordination complexity</x:v>
      </x:c>
      <x:c r="D337" t="str">
        <x:v>Unforeseen site/structural issues &amp; rework, Planning &amp; estimation / coordination complexity, Weather disruption / environmental constraints</x:v>
      </x:c>
      <x:c r="E337" t="str">
        <x:v>Unforeseen site/structural issues &amp; rework</x:v>
      </x:c>
      <x:c r="F337" t="str">
        <x:v>Planning &amp; estimation / coordination complexity</x:v>
      </x:c>
      <x:c r="G337" t="str">
        <x:v>Unforeseen site/structural issues &amp; rework, Planning &amp; estimation / coordination complexity, Weather disruption / environmental constraints</x:v>
      </x:c>
      <x:c r="H337" t="str">
        <x:v>Cost overrun mainly linked to unforeseen site/structural issues &amp; rework; schedule overrun mainly linked to unforeseen site/structural issues &amp; rework.</x:v>
      </x:c>
    </x:row>
    <x:row r="338">
      <x:c r="A338" t="str">
        <x:v>PJT_337</x:v>
      </x:c>
      <x:c r="B338" t="str">
        <x:v>Weather disruption / environmental constraints</x:v>
      </x:c>
      <x:c r="C338" t="str">
        <x:v>Unforeseen site/structural issues &amp; rework</x:v>
      </x:c>
      <x:c r="D338" t="str">
        <x:v>Weather disruption / environmental constraints, Unforeseen site/structural issues &amp; rework, Material supply / logistics &amp; market disruption</x:v>
      </x:c>
      <x:c r="E338" t="str">
        <x:v>Weather disruption / environmental constraints</x:v>
      </x:c>
      <x:c r="F338" t="str">
        <x:v>Unforeseen site/structural issues &amp; rework</x:v>
      </x:c>
      <x:c r="G338" t="str">
        <x:v>Weather disruption / environmental constraints, Unforeseen site/structural issues &amp; rework, Material supply / logistics &amp; market disruption</x:v>
      </x:c>
      <x:c r="H338" t="str">
        <x:v>Cost overrun mainly linked to weather disruption / environmental constraints; schedule overrun mainly linked to weather disruption / environmental constraints.</x:v>
      </x:c>
    </x:row>
    <x:row r="339">
      <x:c r="A339" t="str">
        <x:v>PJT_338</x:v>
      </x:c>
      <x:c r="B339" t="str">
        <x:v>Weather disruption / environmental constraints</x:v>
      </x:c>
      <x:c r="C339" t="str">
        <x:v>Material supply / logistics &amp; market disruption</x:v>
      </x:c>
      <x:c r="D339" t="str">
        <x:v>Weather disruption / environmental constraints, Material supply / logistics &amp; market disruption, Unforeseen site/structural issues &amp; rework</x:v>
      </x:c>
      <x:c r="E339" t="str">
        <x:v>Weather disruption / environmental constraints</x:v>
      </x:c>
      <x:c r="F339" t="str">
        <x:v>Material supply / logistics &amp; market disruption</x:v>
      </x:c>
      <x:c r="G339" t="str">
        <x:v>Weather disruption / environmental constraints, Material supply / logistics &amp; market disruption, Unforeseen site/structural issues &amp; rework</x:v>
      </x:c>
      <x:c r="H339" t="str">
        <x:v>Cost overrun mainly linked to weather disruption / environmental constraints; schedule overrun mainly linked to weather disruption / environmental constraints.</x:v>
      </x:c>
    </x:row>
    <x:row r="340">
      <x:c r="A340" t="str">
        <x:v>PJT_339</x:v>
      </x:c>
      <x:c r="B340" t="str">
        <x:v>Unforeseen site/structural issues &amp; rework</x:v>
      </x:c>
      <x:c r="C340" t="str">
        <x:v>Material supply / logistics &amp; market disruption</x:v>
      </x:c>
      <x:c r="D340" t="str">
        <x:v>Unforeseen site/structural issues &amp; rework, Material supply / logistics &amp; market disruption, Planning &amp; estimation / coordination complexity</x:v>
      </x:c>
      <x:c r="E340" t="str">
        <x:v>Unforeseen site/structural issues &amp; rework</x:v>
      </x:c>
      <x:c r="F340" t="str">
        <x:v>Material supply / logistics &amp; market disruption</x:v>
      </x:c>
      <x:c r="G340" t="str">
        <x:v>Unforeseen site/structural issues &amp; rework, Material supply / logistics &amp; market disruption, Planning &amp; estimation / coordination complexity</x:v>
      </x:c>
      <x:c r="H340" t="str">
        <x:v>Cost overrun mainly linked to unforeseen site/structural issues &amp; rework; schedule overrun mainly linked to unforeseen site/structural issues &amp; rework.</x:v>
      </x:c>
    </x:row>
    <x:row r="341">
      <x:c r="A341" t="str">
        <x:v>PJT_340</x:v>
      </x:c>
      <x:c r="B341" t="str">
        <x:v>Resource inefficiency (materials/labor/energy)</x:v>
      </x:c>
      <x:c r="C341" t="str">
        <x:v>Planning &amp; estimation / coordination complexity</x:v>
      </x:c>
      <x:c r="D341" t="str">
        <x:v>Resource inefficiency (materials/labor/energy), Planning &amp; estimation / coordination complexity, Equipment constraints / low availability</x:v>
      </x:c>
      <x:c r="E341" t="str">
        <x:v>Planning &amp; estimation / coordination complexity</x:v>
      </x:c>
      <x:c r="F341" t="str">
        <x:v>Resource inefficiency (materials/labor/energy)</x:v>
      </x:c>
      <x:c r="G341" t="str">
        <x:v>Planning &amp; estimation / coordination complexity, Resource inefficiency (materials/labor/energy), Unforeseen site/structural issues &amp; rework</x:v>
      </x:c>
      <x:c r="H341" t="str">
        <x:v>Cost overrun mainly linked to resource inefficiency (materials/labor/energy); schedule overrun mainly linked to planning &amp; estimation / coordination complexity.</x:v>
      </x:c>
    </x:row>
    <x:row r="342">
      <x:c r="A342" t="str">
        <x:v>PJT_341</x:v>
      </x:c>
      <x:c r="B342" t="str">
        <x:v>Unforeseen site/structural issues &amp; rework</x:v>
      </x:c>
      <x:c r="C342" t="str">
        <x:v>Planning &amp; estimation / coordination complexity</x:v>
      </x:c>
      <x:c r="D342" t="str">
        <x:v>Unforeseen site/structural issues &amp; rework, Planning &amp; estimation / coordination complexity, Equipment constraints / low availability</x:v>
      </x:c>
      <x:c r="E342" t="str">
        <x:v>Unforeseen site/structural issues &amp; rework</x:v>
      </x:c>
      <x:c r="F342" t="str">
        <x:v>Planning &amp; estimation / coordination complexity</x:v>
      </x:c>
      <x:c r="G342" t="str">
        <x:v>Unforeseen site/structural issues &amp; rework, Planning &amp; estimation / coordination complexity, Equipment constraints / low availability</x:v>
      </x:c>
      <x:c r="H342" t="str">
        <x:v>Cost overrun mainly linked to unforeseen site/structural issues &amp; rework; schedule overrun mainly linked to unforeseen site/structural issues &amp; rework.</x:v>
      </x:c>
    </x:row>
    <x:row r="343">
      <x:c r="A343" t="str">
        <x:v>PJT_342</x:v>
      </x:c>
      <x:c r="B343" t="str">
        <x:v>Unforeseen site/structural issues &amp; rework</x:v>
      </x:c>
      <x:c r="C343" t="str">
        <x:v>Equipment constraints / low availability</x:v>
      </x:c>
      <x:c r="D343" t="str">
        <x:v>Unforeseen site/structural issues &amp; rework, Equipment constraints / low availability, Weather disruption / environmental constraints</x:v>
      </x:c>
      <x:c r="E343" t="str">
        <x:v>Unforeseen site/structural issues &amp; rework</x:v>
      </x:c>
      <x:c r="F343" t="str">
        <x:v>Equipment constraints / low availability</x:v>
      </x:c>
      <x:c r="G343" t="str">
        <x:v>Unforeseen site/structural issues &amp; rework, Equipment constraints / low availability, Weather disruption / environmental constraints</x:v>
      </x:c>
      <x:c r="H343" t="str">
        <x:v>Cost overrun mainly linked to unforeseen site/structural issues &amp; rework; schedule overrun mainly linked to unforeseen site/structural issues &amp; rework.</x:v>
      </x:c>
    </x:row>
    <x:row r="344">
      <x:c r="A344" t="str">
        <x:v>PJT_343</x:v>
      </x:c>
      <x:c r="B344" t="str">
        <x:v>Unforeseen site/structural issues &amp; rework</x:v>
      </x:c>
      <x:c r="C344" t="str">
        <x:v>Planning &amp; estimation / coordination complexity</x:v>
      </x:c>
      <x:c r="D344" t="str">
        <x:v>Unforeseen site/structural issues &amp; rework, Planning &amp; estimation / coordination complexity, Equipment constraints / low availability</x:v>
      </x:c>
      <x:c r="E344" t="str">
        <x:v>Unforeseen site/structural issues &amp; rework</x:v>
      </x:c>
      <x:c r="F344" t="str">
        <x:v>Planning &amp; estimation / coordination complexity</x:v>
      </x:c>
      <x:c r="G344" t="str">
        <x:v>Unforeseen site/structural issues &amp; rework, Planning &amp; estimation / coordination complexity, Equipment constraints / low availability</x:v>
      </x:c>
      <x:c r="H344" t="str">
        <x:v>Cost overrun mainly linked to unforeseen site/structural issues &amp; rework; schedule overrun mainly linked to unforeseen site/structural issues &amp; rework.</x:v>
      </x:c>
    </x:row>
    <x:row r="345">
      <x:c r="A345" t="str">
        <x:v>PJT_344</x:v>
      </x:c>
      <x:c r="B345" t="str">
        <x:v>Unforeseen site/structural issues &amp; rework</x:v>
      </x:c>
      <x:c r="C345" t="str">
        <x:v>Planning &amp; estimation / coordination complexity</x:v>
      </x:c>
      <x:c r="D345" t="str">
        <x:v>Unforeseen site/structural issues &amp; rework, Planning &amp; estimation / coordination complexity, Equipment constraints / low availability</x:v>
      </x:c>
      <x:c r="E345" t="str">
        <x:v>Unforeseen site/structural issues &amp; rework</x:v>
      </x:c>
      <x:c r="F345" t="str">
        <x:v>Planning &amp; estimation / coordination complexity</x:v>
      </x:c>
      <x:c r="G345" t="str">
        <x:v>Unforeseen site/structural issues &amp; rework, Planning &amp; estimation / coordination complexity, Equipment constraints / low availability</x:v>
      </x:c>
      <x:c r="H345" t="str">
        <x:v>Cost overrun mainly linked to unforeseen site/structural issues &amp; rework; schedule overrun mainly linked to unforeseen site/structural issues &amp; rework.</x:v>
      </x:c>
    </x:row>
    <x:row r="346">
      <x:c r="A346" t="str">
        <x:v>PJT_345</x:v>
      </x:c>
      <x:c r="B346" t="str">
        <x:v>Resource inefficiency (materials/labor/energy)</x:v>
      </x:c>
      <x:c r="C346" t="str">
        <x:v>Equipment constraints / low availability</x:v>
      </x:c>
      <x:c r="D346" t="str">
        <x:v>Resource inefficiency (materials/labor/energy), Equipment constraints / low availability, Planning &amp; estimation / coordination complexity</x:v>
      </x:c>
      <x:c r="E346" t="str">
        <x:v>Resource inefficiency (materials/labor/energy)</x:v>
      </x:c>
      <x:c r="F346" t="str">
        <x:v>Equipment constraints / low availability</x:v>
      </x:c>
      <x:c r="G346" t="str">
        <x:v>Resource inefficiency (materials/labor/energy), Equipment constraints / low availability, Planning &amp; estimation / coordination complexity</x:v>
      </x:c>
      <x:c r="H346" t="str">
        <x:v>Cost overrun mainly linked to resource inefficiency (materials/labor/energy); schedule overrun mainly linked to resource inefficiency (materials/labor/energy).</x:v>
      </x:c>
    </x:row>
    <x:row r="347">
      <x:c r="A347" t="str">
        <x:v>PJT_346</x:v>
      </x:c>
      <x:c r="B347" t="str">
        <x:v>Resource inefficiency (materials/labor/energy)</x:v>
      </x:c>
      <x:c r="C347" t="str">
        <x:v>Material supply / logistics &amp; market disruption</x:v>
      </x:c>
      <x:c r="D347" t="str">
        <x:v>Resource inefficiency (materials/labor/energy), Material supply / logistics &amp; market disruption, Equipment constraints / low availability</x:v>
      </x:c>
      <x:c r="E347" t="str">
        <x:v>Resource inefficiency (materials/labor/energy)</x:v>
      </x:c>
      <x:c r="F347" t="str">
        <x:v>Material supply / logistics &amp; market disruption</x:v>
      </x:c>
      <x:c r="G347" t="str">
        <x:v>Resource inefficiency (materials/labor/energy), Material supply / logistics &amp; market disruption, Equipment constraints / low availability</x:v>
      </x:c>
      <x:c r="H347" t="str">
        <x:v>Cost overrun mainly linked to resource inefficiency (materials/labor/energy); schedule overrun mainly linked to resource inefficiency (materials/labor/energy).</x:v>
      </x:c>
    </x:row>
    <x:row r="348">
      <x:c r="A348" t="str">
        <x:v>PJT_347</x:v>
      </x:c>
      <x:c r="B348" t="str">
        <x:v>Resource inefficiency (materials/labor/energy)</x:v>
      </x:c>
      <x:c r="C348" t="str">
        <x:v>Equipment constraints / low availability</x:v>
      </x:c>
      <x:c r="D348" t="str">
        <x:v>Resource inefficiency (materials/labor/energy), Equipment constraints / low availability, Planning &amp; estimation / coordination complexity</x:v>
      </x:c>
      <x:c r="E348" t="str">
        <x:v>Equipment constraints / low availability</x:v>
      </x:c>
      <x:c r="F348" t="str">
        <x:v>Resource inefficiency (materials/labor/energy)</x:v>
      </x:c>
      <x:c r="G348" t="str">
        <x:v>Equipment constraints / low availability, Resource inefficiency (materials/labor/energy), Planning &amp; estimation / coordination complexity</x:v>
      </x:c>
      <x:c r="H348" t="str">
        <x:v>Cost overrun mainly linked to resource inefficiency (materials/labor/energy); schedule overrun mainly linked to equipment constraints / low availability.</x:v>
      </x:c>
    </x:row>
    <x:row r="349">
      <x:c r="A349" t="str">
        <x:v>PJT_348</x:v>
      </x:c>
      <x:c r="B349" t="str">
        <x:v>Unforeseen site/structural issues &amp; rework</x:v>
      </x:c>
      <x:c r="C349" t="str">
        <x:v>Equipment constraints / low availability</x:v>
      </x:c>
      <x:c r="D349" t="str">
        <x:v>Unforeseen site/structural issues &amp; rework, Equipment constraints / low availability, Planning &amp; estimation / coordination complexity</x:v>
      </x:c>
      <x:c r="E349" t="str">
        <x:v>Unforeseen site/structural issues &amp; rework</x:v>
      </x:c>
      <x:c r="F349" t="str">
        <x:v>Equipment constraints / low availability</x:v>
      </x:c>
      <x:c r="G349" t="str">
        <x:v>Unforeseen site/structural issues &amp; rework, Equipment constraints / low availability, Planning &amp; estimation / coordination complexity</x:v>
      </x:c>
      <x:c r="H349" t="str">
        <x:v>Cost overrun mainly linked to unforeseen site/structural issues &amp; rework; schedule overrun mainly linked to unforeseen site/structural issues &amp; rework.</x:v>
      </x:c>
    </x:row>
    <x:row r="350">
      <x:c r="A350" t="str">
        <x:v>PJT_349</x:v>
      </x:c>
      <x:c r="B350" t="str">
        <x:v>Resource inefficiency (materials/labor/energy)</x:v>
      </x:c>
      <x:c r="C350" t="str">
        <x:v>Material supply / logistics &amp; market disruption</x:v>
      </x:c>
      <x:c r="D350" t="str">
        <x:v>Resource inefficiency (materials/labor/energy), Material supply / logistics &amp; market disruption, Unforeseen site/structural issues &amp; rework</x:v>
      </x:c>
      <x:c r="E350" t="str">
        <x:v>Resource inefficiency (materials/labor/energy)</x:v>
      </x:c>
      <x:c r="F350" t="str">
        <x:v>Unforeseen site/structural issues &amp; rework</x:v>
      </x:c>
      <x:c r="G350" t="str">
        <x:v>Resource inefficiency (materials/labor/energy), Unforeseen site/structural issues &amp; rework, Material supply / logistics &amp; market disruption</x:v>
      </x:c>
      <x:c r="H350" t="str">
        <x:v>Cost overrun mainly linked to resource inefficiency (materials/labor/energy); schedule overrun mainly linked to resource inefficiency (materials/labor/energy).</x:v>
      </x:c>
    </x:row>
    <x:row r="351">
      <x:c r="A351" t="str">
        <x:v>PJT_350</x:v>
      </x:c>
      <x:c r="B351" t="str">
        <x:v>Weather disruption / environmental constraints</x:v>
      </x:c>
      <x:c r="C351" t="str">
        <x:v>Material supply / logistics &amp; market disruption</x:v>
      </x:c>
      <x:c r="D351" t="str">
        <x:v>Weather disruption / environmental constraints, Material supply / logistics &amp; market disruption, Resource inefficiency (materials/labor/energy)</x:v>
      </x:c>
      <x:c r="E351" t="str">
        <x:v>Weather disruption / environmental constraints</x:v>
      </x:c>
      <x:c r="F351" t="str">
        <x:v>Resource inefficiency (materials/labor/energy)</x:v>
      </x:c>
      <x:c r="G351" t="str">
        <x:v>Weather disruption / environmental constraints, Resource inefficiency (materials/labor/energy), Material supply / logistics &amp; market disruption</x:v>
      </x:c>
      <x:c r="H351" t="str">
        <x:v>Cost overrun mainly linked to weather disruption / environmental constraints; schedule overrun mainly linked to weather disruption / environmental constraints.</x:v>
      </x:c>
    </x:row>
    <x:row r="352">
      <x:c r="A352" t="str">
        <x:v>PJT_351</x:v>
      </x:c>
      <x:c r="B352" t="str">
        <x:v>Unforeseen site/structural issues &amp; rework</x:v>
      </x:c>
      <x:c r="C352" t="str">
        <x:v>Equipment constraints / low availability</x:v>
      </x:c>
      <x:c r="D352" t="str">
        <x:v>Unforeseen site/structural issues &amp; rework, Equipment constraints / low availability, Planning &amp; estimation / coordination complexity</x:v>
      </x:c>
      <x:c r="E352" t="str">
        <x:v>Unforeseen site/structural issues &amp; rework</x:v>
      </x:c>
      <x:c r="F352" t="str">
        <x:v>Planning &amp; estimation / coordination complexity</x:v>
      </x:c>
      <x:c r="G352" t="str">
        <x:v>Unforeseen site/structural issues &amp; rework, Planning &amp; estimation / coordination complexity, Equipment constraints / low availability</x:v>
      </x:c>
      <x:c r="H352" t="str">
        <x:v>Cost overrun mainly linked to unforeseen site/structural issues &amp; rework; schedule overrun mainly linked to unforeseen site/structural issues &amp; rework.</x:v>
      </x:c>
    </x:row>
    <x:row r="353">
      <x:c r="A353" t="str">
        <x:v>PJT_352</x:v>
      </x:c>
      <x:c r="B353" t="str">
        <x:v>Weather disruption / environmental constraints</x:v>
      </x:c>
      <x:c r="C353" t="str">
        <x:v>Unforeseen site/structural issues &amp; rework</x:v>
      </x:c>
      <x:c r="D353" t="str">
        <x:v>Weather disruption / environmental constraints, Unforeseen site/structural issues &amp; rework, Equipment constraints / low availability</x:v>
      </x:c>
      <x:c r="E353" t="str">
        <x:v>Weather disruption / environmental constraints</x:v>
      </x:c>
      <x:c r="F353" t="str">
        <x:v>Unforeseen site/structural issues &amp; rework</x:v>
      </x:c>
      <x:c r="G353" t="str">
        <x:v>Weather disruption / environmental constraints, Unforeseen site/structural issues &amp; rework, Equipment constraints / low availability</x:v>
      </x:c>
      <x:c r="H353" t="str">
        <x:v>Cost overrun mainly linked to weather disruption / environmental constraints; schedule overrun mainly linked to weather disruption / environmental constraints.</x:v>
      </x:c>
    </x:row>
    <x:row r="354">
      <x:c r="A354" t="str">
        <x:v>PJT_353</x:v>
      </x:c>
      <x:c r="B354" t="str">
        <x:v>Unforeseen site/structural issues &amp; rework</x:v>
      </x:c>
      <x:c r="C354" t="str">
        <x:v>Weather disruption / environmental constraints</x:v>
      </x:c>
      <x:c r="D354" t="str">
        <x:v>Unforeseen site/structural issues &amp; rework, Weather disruption / environmental constraints, Planning &amp; estimation / coordination complexity</x:v>
      </x:c>
      <x:c r="E354" t="str">
        <x:v>Unforeseen site/structural issues &amp; rework</x:v>
      </x:c>
      <x:c r="F354" t="str">
        <x:v>Weather disruption / environmental constraints</x:v>
      </x:c>
      <x:c r="G354" t="str">
        <x:v>Unforeseen site/structural issues &amp; rework, Weather disruption / environmental constraints, Planning &amp; estimation / coordination complexity</x:v>
      </x:c>
      <x:c r="H354" t="str">
        <x:v>Cost overrun mainly linked to unforeseen site/structural issues &amp; rework; schedule overrun mainly linked to unforeseen site/structural issues &amp; rework.</x:v>
      </x:c>
    </x:row>
    <x:row r="355">
      <x:c r="A355" t="str">
        <x:v>PJT_354</x:v>
      </x:c>
      <x:c r="B355" t="str">
        <x:v>Weather disruption / environmental constraints</x:v>
      </x:c>
      <x:c r="C355" t="str">
        <x:v>Equipment constraints / low availability</x:v>
      </x:c>
      <x:c r="D355" t="str">
        <x:v>Weather disruption / environmental constraints, Equipment constraints / low availability, Material supply / logistics &amp; market disruption</x:v>
      </x:c>
      <x:c r="E355" t="str">
        <x:v>Weather disruption / environmental constraints</x:v>
      </x:c>
      <x:c r="F355" t="str">
        <x:v>Equipment constraints / low availability</x:v>
      </x:c>
      <x:c r="G355" t="str">
        <x:v>Weather disruption / environmental constraints, Equipment constraints / low availability, Material supply / logistics &amp; market disruption</x:v>
      </x:c>
      <x:c r="H355" t="str">
        <x:v>Cost overrun mainly linked to weather disruption / environmental constraints; schedule overrun mainly linked to weather disruption / environmental constraints.</x:v>
      </x:c>
    </x:row>
    <x:row r="356">
      <x:c r="A356" t="str">
        <x:v>PJT_355</x:v>
      </x:c>
      <x:c r="B356" t="str">
        <x:v>Planning &amp; estimation / coordination complexity</x:v>
      </x:c>
      <x:c r="C356" t="str">
        <x:v>Equipment constraints / low availability</x:v>
      </x:c>
      <x:c r="D356" t="str">
        <x:v>Planning &amp; estimation / coordination complexity, Equipment constraints / low availability, Resource inefficiency (materials/labor/energy)</x:v>
      </x:c>
      <x:c r="E356" t="str">
        <x:v>Planning &amp; estimation / coordination complexity</x:v>
      </x:c>
      <x:c r="F356" t="str">
        <x:v>Equipment constraints / low availability</x:v>
      </x:c>
      <x:c r="G356" t="str">
        <x:v>Planning &amp; estimation / coordination complexity, Equipment constraints / low availability, Resource inefficiency (materials/labor/energy)</x:v>
      </x:c>
      <x:c r="H356" t="str">
        <x:v>Cost overrun mainly linked to planning &amp; estimation / coordination complexity; schedule overrun mainly linked to planning &amp; estimation / coordination complexity.</x:v>
      </x:c>
    </x:row>
    <x:row r="357">
      <x:c r="A357" t="str">
        <x:v>PJT_356</x:v>
      </x:c>
      <x:c r="B357" t="str">
        <x:v>Unforeseen site/structural issues &amp; rework</x:v>
      </x:c>
      <x:c r="C357" t="str">
        <x:v>Material supply / logistics &amp; market disruption</x:v>
      </x:c>
      <x:c r="D357" t="str">
        <x:v>Unforeseen site/structural issues &amp; rework, Material supply / logistics &amp; market disruption, Resource inefficiency (materials/labor/energy)</x:v>
      </x:c>
      <x:c r="E357" t="str">
        <x:v>Unforeseen site/structural issues &amp; rework</x:v>
      </x:c>
      <x:c r="F357" t="str">
        <x:v>Material supply / logistics &amp; market disruption</x:v>
      </x:c>
      <x:c r="G357" t="str">
        <x:v>Unforeseen site/structural issues &amp; rework, Material supply / logistics &amp; market disruption, Planning &amp; estimation / coordination complexity</x:v>
      </x:c>
      <x:c r="H357" t="str">
        <x:v>Cost overrun mainly linked to unforeseen site/structural issues &amp; rework; schedule overrun mainly linked to unforeseen site/structural issues &amp; rework.</x:v>
      </x:c>
    </x:row>
    <x:row r="358">
      <x:c r="A358" t="str">
        <x:v>PJT_357</x:v>
      </x:c>
      <x:c r="B358" t="str">
        <x:v>Unforeseen site/structural issues &amp; rework</x:v>
      </x:c>
      <x:c r="C358" t="str">
        <x:v>Planning &amp; estimation / coordination complexity</x:v>
      </x:c>
      <x:c r="D358" t="str">
        <x:v>Unforeseen site/structural issues &amp; rework, Planning &amp; estimation / coordination complexity, Resource inefficiency (materials/labor/energy)</x:v>
      </x:c>
      <x:c r="E358" t="str">
        <x:v>Unforeseen site/structural issues &amp; rework</x:v>
      </x:c>
      <x:c r="F358" t="str">
        <x:v>Planning &amp; estimation / coordination complexity</x:v>
      </x:c>
      <x:c r="G358" t="str">
        <x:v>Unforeseen site/structural issues &amp; rework, Planning &amp; estimation / coordination complexity, Resource inefficiency (materials/labor/energy)</x:v>
      </x:c>
      <x:c r="H358" t="str">
        <x:v>Cost overrun mainly linked to unforeseen site/structural issues &amp; rework; schedule overrun mainly linked to unforeseen site/structural issues &amp; rework.</x:v>
      </x:c>
    </x:row>
    <x:row r="359">
      <x:c r="A359" t="str">
        <x:v>PJT_358</x:v>
      </x:c>
      <x:c r="B359" t="str">
        <x:v>Equipment constraints / low availability</x:v>
      </x:c>
      <x:c r="C359" t="str">
        <x:v>Unforeseen site/structural issues &amp; rework</x:v>
      </x:c>
      <x:c r="D359" t="str">
        <x:v>Equipment constraints / low availability, Unforeseen site/structural issues &amp; rework, Weather disruption / environmental constraints</x:v>
      </x:c>
      <x:c r="E359" t="str">
        <x:v>Unforeseen site/structural issues &amp; rework</x:v>
      </x:c>
      <x:c r="F359" t="str">
        <x:v>Equipment constraints / low availability</x:v>
      </x:c>
      <x:c r="G359" t="str">
        <x:v>Unforeseen site/structural issues &amp; rework, Equipment constraints / low availability, Weather disruption / environmental constraints</x:v>
      </x:c>
      <x:c r="H359" t="str">
        <x:v>Cost overrun mainly linked to equipment constraints / low availability; schedule overrun mainly linked to unforeseen site/structural issues &amp; rework.</x:v>
      </x:c>
    </x:row>
    <x:row r="360">
      <x:c r="A360" t="str">
        <x:v>PJT_359</x:v>
      </x:c>
      <x:c r="B360" t="str">
        <x:v>Unforeseen site/structural issues &amp; rework</x:v>
      </x:c>
      <x:c r="C360" t="str">
        <x:v>Material supply / logistics &amp; market disruption</x:v>
      </x:c>
      <x:c r="D360" t="str">
        <x:v>Unforeseen site/structural issues &amp; rework, Material supply / logistics &amp; market disruption, Planning &amp; estimation / coordination complexity</x:v>
      </x:c>
      <x:c r="E360" t="str">
        <x:v>Unforeseen site/structural issues &amp; rework</x:v>
      </x:c>
      <x:c r="F360" t="str">
        <x:v>Planning &amp; estimation / coordination complexity</x:v>
      </x:c>
      <x:c r="G360" t="str">
        <x:v>Unforeseen site/structural issues &amp; rework, Planning &amp; estimation / coordination complexity, Material supply / logistics &amp; market disruption</x:v>
      </x:c>
      <x:c r="H360" t="str">
        <x:v>Cost overrun mainly linked to unforeseen site/structural issues &amp; rework; schedule overrun mainly linked to unforeseen site/structural issues &amp; rework.</x:v>
      </x:c>
    </x:row>
    <x:row r="361">
      <x:c r="A361" t="str">
        <x:v>PJT_360</x:v>
      </x:c>
      <x:c r="B361" t="str">
        <x:v>Resource inefficiency (materials/labor/energy)</x:v>
      </x:c>
      <x:c r="C361" t="str">
        <x:v>Planning &amp; estimation / coordination complexity</x:v>
      </x:c>
      <x:c r="D361" t="str">
        <x:v>Resource inefficiency (materials/labor/energy), Planning &amp; estimation / coordination complexity, Unforeseen site/structural issues &amp; rework</x:v>
      </x:c>
      <x:c r="E361" t="str">
        <x:v>Resource inefficiency (materials/labor/energy)</x:v>
      </x:c>
      <x:c r="F361" t="str">
        <x:v>Planning &amp; estimation / coordination complexity</x:v>
      </x:c>
      <x:c r="G361" t="str">
        <x:v>Resource inefficiency (materials/labor/energy), Planning &amp; estimation / coordination complexity, Unforeseen site/structural issues &amp; rework</x:v>
      </x:c>
      <x:c r="H361" t="str">
        <x:v>Cost overrun mainly linked to resource inefficiency (materials/labor/energy); schedule overrun mainly linked to resource inefficiency (materials/labor/energy).</x:v>
      </x:c>
    </x:row>
    <x:row r="362">
      <x:c r="A362" t="str">
        <x:v>PJT_361</x:v>
      </x:c>
      <x:c r="B362" t="str">
        <x:v>Weather disruption / environmental constraints</x:v>
      </x:c>
      <x:c r="C362" t="str">
        <x:v>Material supply / logistics &amp; market disruption</x:v>
      </x:c>
      <x:c r="D362" t="str">
        <x:v>Weather disruption / environmental constraints, Material supply / logistics &amp; market disruption, Unforeseen site/structural issues &amp; rework</x:v>
      </x:c>
      <x:c r="E362" t="str">
        <x:v>Weather disruption / environmental constraints</x:v>
      </x:c>
      <x:c r="F362" t="str">
        <x:v>Material supply / logistics &amp; market disruption</x:v>
      </x:c>
      <x:c r="G362" t="str">
        <x:v>Weather disruption / environmental constraints, Material supply / logistics &amp; market disruption, Equipment constraints / low availability</x:v>
      </x:c>
      <x:c r="H362" t="str">
        <x:v>Cost overrun mainly linked to weather disruption / environmental constraints; schedule overrun mainly linked to weather disruption / environmental constraints.</x:v>
      </x:c>
    </x:row>
    <x:row r="363">
      <x:c r="A363" t="str">
        <x:v>PJT_362</x:v>
      </x:c>
      <x:c r="B363" t="str">
        <x:v>Unforeseen site/structural issues &amp; rework</x:v>
      </x:c>
      <x:c r="C363" t="str">
        <x:v>Resource inefficiency (materials/labor/energy)</x:v>
      </x:c>
      <x:c r="D363" t="str">
        <x:v>Unforeseen site/structural issues &amp; rework, Resource inefficiency (materials/labor/energy), Material supply / logistics &amp; market disruption</x:v>
      </x:c>
      <x:c r="E363" t="str">
        <x:v>Unforeseen site/structural issues &amp; rework</x:v>
      </x:c>
      <x:c r="F363" t="str">
        <x:v>Resource inefficiency (materials/labor/energy)</x:v>
      </x:c>
      <x:c r="G363" t="str">
        <x:v>Unforeseen site/structural issues &amp; rework, Resource inefficiency (materials/labor/energy), Planning &amp; estimation / coordination complexity</x:v>
      </x:c>
      <x:c r="H363" t="str">
        <x:v>Cost overrun mainly linked to unforeseen site/structural issues &amp; rework; schedule overrun mainly linked to unforeseen site/structural issues &amp; rework.</x:v>
      </x:c>
    </x:row>
    <x:row r="364">
      <x:c r="A364" t="str">
        <x:v>PJT_363</x:v>
      </x:c>
      <x:c r="B364" t="str">
        <x:v>Equipment constraints / low availability</x:v>
      </x:c>
      <x:c r="C364" t="str">
        <x:v>Resource inefficiency (materials/labor/energy)</x:v>
      </x:c>
      <x:c r="D364" t="str">
        <x:v>Equipment constraints / low availability, Resource inefficiency (materials/labor/energy), Weather disruption / environmental constraints</x:v>
      </x:c>
      <x:c r="E364" t="str">
        <x:v>Resource inefficiency (materials/labor/energy)</x:v>
      </x:c>
      <x:c r="F364" t="str">
        <x:v>Equipment constraints / low availability</x:v>
      </x:c>
      <x:c r="G364" t="str">
        <x:v>Resource inefficiency (materials/labor/energy), Equipment constraints / low availability, Weather disruption / environmental constraints</x:v>
      </x:c>
      <x:c r="H364" t="str">
        <x:v>Cost overrun mainly linked to equipment constraints / low availability; schedule overrun mainly linked to resource inefficiency (materials/labor/energy).</x:v>
      </x:c>
    </x:row>
    <x:row r="365">
      <x:c r="A365" t="str">
        <x:v>PJT_364</x:v>
      </x:c>
      <x:c r="B365" t="str">
        <x:v>Resource inefficiency (materials/labor/energy)</x:v>
      </x:c>
      <x:c r="C365" t="str">
        <x:v>Planning &amp; estimation / coordination complexity</x:v>
      </x:c>
      <x:c r="D365" t="str">
        <x:v>Resource inefficiency (materials/labor/energy), Planning &amp; estimation / coordination complexity, Equipment constraints / low availability</x:v>
      </x:c>
      <x:c r="E365" t="str">
        <x:v>Resource inefficiency (materials/labor/energy)</x:v>
      </x:c>
      <x:c r="F365" t="str">
        <x:v>Planning &amp; estimation / coordination complexity</x:v>
      </x:c>
      <x:c r="G365" t="str">
        <x:v>Resource inefficiency (materials/labor/energy), Planning &amp; estimation / coordination complexity, Equipment constraints / low availability</x:v>
      </x:c>
      <x:c r="H365" t="str">
        <x:v>Cost overrun mainly linked to resource inefficiency (materials/labor/energy); schedule overrun mainly linked to resource inefficiency (materials/labor/energy).</x:v>
      </x:c>
    </x:row>
    <x:row r="366">
      <x:c r="A366" t="str">
        <x:v>PJT_365</x:v>
      </x:c>
      <x:c r="B366" t="str">
        <x:v>Planning &amp; estimation / coordination complexity</x:v>
      </x:c>
      <x:c r="C366" t="str">
        <x:v>Unforeseen site/structural issues &amp; rework</x:v>
      </x:c>
      <x:c r="D366" t="str">
        <x:v>Planning &amp; estimation / coordination complexity, Unforeseen site/structural issues &amp; rework, Resource inefficiency (materials/labor/energy)</x:v>
      </x:c>
      <x:c r="E366" t="str">
        <x:v>Planning &amp; estimation / coordination complexity</x:v>
      </x:c>
      <x:c r="F366" t="str">
        <x:v>Unforeseen site/structural issues &amp; rework</x:v>
      </x:c>
      <x:c r="G366" t="str">
        <x:v>Planning &amp; estimation / coordination complexity, Unforeseen site/structural issues &amp; rework, Resource inefficiency (materials/labor/energy)</x:v>
      </x:c>
      <x:c r="H366" t="str">
        <x:v>Cost overrun mainly linked to planning &amp; estimation / coordination complexity; schedule overrun mainly linked to planning &amp; estimation / coordination complexity.</x:v>
      </x:c>
    </x:row>
    <x:row r="367">
      <x:c r="A367" t="str">
        <x:v>PJT_366</x:v>
      </x:c>
      <x:c r="B367" t="str">
        <x:v>Planning &amp; estimation / coordination complexity</x:v>
      </x:c>
      <x:c r="C367" t="str">
        <x:v>Unforeseen site/structural issues &amp; rework</x:v>
      </x:c>
      <x:c r="D367" t="str">
        <x:v>Planning &amp; estimation / coordination complexity, Unforeseen site/structural issues &amp; rework, Equipment constraints / low availability</x:v>
      </x:c>
      <x:c r="E367" t="str">
        <x:v>Planning &amp; estimation / coordination complexity</x:v>
      </x:c>
      <x:c r="F367" t="str">
        <x:v>Unforeseen site/structural issues &amp; rework</x:v>
      </x:c>
      <x:c r="G367" t="str">
        <x:v>Planning &amp; estimation / coordination complexity, Unforeseen site/structural issues &amp; rework, Equipment constraints / low availability</x:v>
      </x:c>
      <x:c r="H367" t="str">
        <x:v>Cost overrun mainly linked to planning &amp; estimation / coordination complexity; schedule overrun mainly linked to planning &amp; estimation / coordination complexity.</x:v>
      </x:c>
    </x:row>
    <x:row r="368">
      <x:c r="A368" t="str">
        <x:v>PJT_367</x:v>
      </x:c>
      <x:c r="B368" t="str">
        <x:v>Planning &amp; estimation / coordination complexity</x:v>
      </x:c>
      <x:c r="C368" t="str">
        <x:v>Resource inefficiency (materials/labor/energy)</x:v>
      </x:c>
      <x:c r="D368" t="str">
        <x:v>Planning &amp; estimation / coordination complexity, Resource inefficiency (materials/labor/energy), Equipment constraints / low availability</x:v>
      </x:c>
      <x:c r="E368" t="str">
        <x:v>Planning &amp; estimation / coordination complexity</x:v>
      </x:c>
      <x:c r="F368" t="str">
        <x:v>Resource inefficiency (materials/labor/energy)</x:v>
      </x:c>
      <x:c r="G368" t="str">
        <x:v>Planning &amp; estimation / coordination complexity, Resource inefficiency (materials/labor/energy), Equipment constraints / low availability</x:v>
      </x:c>
      <x:c r="H368" t="str">
        <x:v>Cost overrun mainly linked to planning &amp; estimation / coordination complexity; schedule overrun mainly linked to planning &amp; estimation / coordination complexity.</x:v>
      </x:c>
    </x:row>
    <x:row r="369">
      <x:c r="A369" t="str">
        <x:v>PJT_368</x:v>
      </x:c>
      <x:c r="B369" t="str">
        <x:v>Resource inefficiency (materials/labor/energy)</x:v>
      </x:c>
      <x:c r="C369" t="str">
        <x:v>Material supply / logistics &amp; market disruption</x:v>
      </x:c>
      <x:c r="D369" t="str">
        <x:v>Resource inefficiency (materials/labor/energy), Material supply / logistics &amp; market disruption, Equipment constraints / low availability</x:v>
      </x:c>
      <x:c r="E369" t="str">
        <x:v>Resource inefficiency (materials/labor/energy)</x:v>
      </x:c>
      <x:c r="F369" t="str">
        <x:v>Equipment constraints / low availability</x:v>
      </x:c>
      <x:c r="G369" t="str">
        <x:v>Resource inefficiency (materials/labor/energy), Equipment constraints / low availability, Material supply / logistics &amp; market disruption</x:v>
      </x:c>
      <x:c r="H369" t="str">
        <x:v>Cost overrun mainly linked to resource inefficiency (materials/labor/energy); schedule overrun mainly linked to resource inefficiency (materials/labor/energy).</x:v>
      </x:c>
    </x:row>
    <x:row r="370">
      <x:c r="A370" t="str">
        <x:v>PJT_369</x:v>
      </x:c>
      <x:c r="B370" t="str">
        <x:v>Equipment constraints / low availability</x:v>
      </x:c>
      <x:c r="C370" t="str">
        <x:v>Weather disruption / environmental constraints</x:v>
      </x:c>
      <x:c r="D370" t="str">
        <x:v>Equipment constraints / low availability, Weather disruption / environmental constraints, Planning &amp; estimation / coordination complexity</x:v>
      </x:c>
      <x:c r="E370" t="str">
        <x:v>Weather disruption / environmental constraints</x:v>
      </x:c>
      <x:c r="F370" t="str">
        <x:v>Equipment constraints / low availability</x:v>
      </x:c>
      <x:c r="G370" t="str">
        <x:v>Weather disruption / environmental constraints, Equipment constraints / low availability, Planning &amp; estimation / coordination complexity</x:v>
      </x:c>
      <x:c r="H370" t="str">
        <x:v>Cost overrun mainly linked to equipment constraints / low availability; schedule overrun mainly linked to weather disruption / environmental constraints.</x:v>
      </x:c>
    </x:row>
    <x:row r="371">
      <x:c r="A371" t="str">
        <x:v>PJT_370</x:v>
      </x:c>
      <x:c r="B371" t="str">
        <x:v>Equipment constraints / low availability</x:v>
      </x:c>
      <x:c r="C371" t="str">
        <x:v>Resource inefficiency (materials/labor/energy)</x:v>
      </x:c>
      <x:c r="D371" t="str">
        <x:v>Equipment constraints / low availability, Resource inefficiency (materials/labor/energy), Planning &amp; estimation / coordination complexity</x:v>
      </x:c>
      <x:c r="E371" t="str">
        <x:v>Equipment constraints / low availability</x:v>
      </x:c>
      <x:c r="F371" t="str">
        <x:v>Resource inefficiency (materials/labor/energy)</x:v>
      </x:c>
      <x:c r="G371" t="str">
        <x:v>Equipment constraints / low availability, Resource inefficiency (materials/labor/energy), Planning &amp; estimation / coordination complexity</x:v>
      </x:c>
      <x:c r="H371" t="str">
        <x:v>Cost overrun mainly linked to equipment constraints / low availability; schedule overrun mainly linked to equipment constraints / low availability.</x:v>
      </x:c>
    </x:row>
    <x:row r="372">
      <x:c r="A372" t="str">
        <x:v>PJT_371</x:v>
      </x:c>
      <x:c r="B372" t="str">
        <x:v>Unforeseen site/structural issues &amp; rework</x:v>
      </x:c>
      <x:c r="C372" t="str">
        <x:v>Resource inefficiency (materials/labor/energy)</x:v>
      </x:c>
      <x:c r="D372" t="str">
        <x:v>Unforeseen site/structural issues &amp; rework, Resource inefficiency (materials/labor/energy), Equipment constraints / low availability</x:v>
      </x:c>
      <x:c r="E372" t="str">
        <x:v>Unforeseen site/structural issues &amp; rework</x:v>
      </x:c>
      <x:c r="F372" t="str">
        <x:v>Resource inefficiency (materials/labor/energy)</x:v>
      </x:c>
      <x:c r="G372" t="str">
        <x:v>Unforeseen site/structural issues &amp; rework, Resource inefficiency (materials/labor/energy), Planning &amp; estimation / coordination complexity</x:v>
      </x:c>
      <x:c r="H372" t="str">
        <x:v>Cost overrun mainly linked to unforeseen site/structural issues &amp; rework; schedule overrun mainly linked to unforeseen site/structural issues &amp; rework.</x:v>
      </x:c>
    </x:row>
    <x:row r="373">
      <x:c r="A373" t="str">
        <x:v>PJT_372</x:v>
      </x:c>
      <x:c r="B373" t="str">
        <x:v>Equipment constraints / low availability</x:v>
      </x:c>
      <x:c r="C373" t="str">
        <x:v>Resource inefficiency (materials/labor/energy)</x:v>
      </x:c>
      <x:c r="D373" t="str">
        <x:v>Equipment constraints / low availability, Resource inefficiency (materials/labor/energy), Material supply / logistics &amp; market disruption</x:v>
      </x:c>
      <x:c r="E373" t="str">
        <x:v>Resource inefficiency (materials/labor/energy)</x:v>
      </x:c>
      <x:c r="F373" t="str">
        <x:v>Equipment constraints / low availability</x:v>
      </x:c>
      <x:c r="G373" t="str">
        <x:v>Resource inefficiency (materials/labor/energy), Equipment constraints / low availability, Material supply / logistics &amp; market disruption</x:v>
      </x:c>
      <x:c r="H373" t="str">
        <x:v>Cost overrun mainly linked to equipment constraints / low availability; schedule overrun mainly linked to resource inefficiency (materials/labor/energy).</x:v>
      </x:c>
    </x:row>
    <x:row r="374">
      <x:c r="A374" t="str">
        <x:v>PJT_373</x:v>
      </x:c>
      <x:c r="B374" t="str">
        <x:v>Unforeseen site/structural issues &amp; rework</x:v>
      </x:c>
      <x:c r="C374" t="str">
        <x:v>Planning &amp; estimation / coordination complexity</x:v>
      </x:c>
      <x:c r="D374" t="str">
        <x:v>Unforeseen site/structural issues &amp; rework, Planning &amp; estimation / coordination complexity, Resource inefficiency (materials/labor/energy)</x:v>
      </x:c>
      <x:c r="E374" t="str">
        <x:v>Unforeseen site/structural issues &amp; rework</x:v>
      </x:c>
      <x:c r="F374" t="str">
        <x:v>Planning &amp; estimation / coordination complexity</x:v>
      </x:c>
      <x:c r="G374" t="str">
        <x:v>Unforeseen site/structural issues &amp; rework, Planning &amp; estimation / coordination complexity, Resource inefficiency (materials/labor/energy)</x:v>
      </x:c>
      <x:c r="H374" t="str">
        <x:v>Cost overrun mainly linked to unforeseen site/structural issues &amp; rework; schedule overrun mainly linked to unforeseen site/structural issues &amp; rework.</x:v>
      </x:c>
    </x:row>
    <x:row r="375">
      <x:c r="A375" t="str">
        <x:v>PJT_374</x:v>
      </x:c>
      <x:c r="B375" t="str">
        <x:v>Resource inefficiency (materials/labor/energy)</x:v>
      </x:c>
      <x:c r="C375" t="str">
        <x:v>Planning &amp; estimation / coordination complexity</x:v>
      </x:c>
      <x:c r="D375" t="str">
        <x:v>Resource inefficiency (materials/labor/energy), Planning &amp; estimation / coordination complexity, Material supply / logistics &amp; market disruption</x:v>
      </x:c>
      <x:c r="E375" t="str">
        <x:v>Planning &amp; estimation / coordination complexity</x:v>
      </x:c>
      <x:c r="F375" t="str">
        <x:v>Resource inefficiency (materials/labor/energy)</x:v>
      </x:c>
      <x:c r="G375" t="str">
        <x:v>Planning &amp; estimation / coordination complexity, Resource inefficiency (materials/labor/energy), Unforeseen site/structural issues &amp; rework</x:v>
      </x:c>
      <x:c r="H375" t="str">
        <x:v>Cost overrun mainly linked to resource inefficiency (materials/labor/energy); schedule overrun mainly linked to planning &amp; estimation / coordination complexity.</x:v>
      </x:c>
    </x:row>
    <x:row r="376">
      <x:c r="A376" t="str">
        <x:v>PJT_375</x:v>
      </x:c>
      <x:c r="B376" t="str">
        <x:v>Unforeseen site/structural issues &amp; rework</x:v>
      </x:c>
      <x:c r="C376" t="str">
        <x:v>Weather disruption / environmental constraints</x:v>
      </x:c>
      <x:c r="D376" t="str">
        <x:v>Unforeseen site/structural issues &amp; rework, Weather disruption / environmental constraints, Planning &amp; estimation / coordination complexity</x:v>
      </x:c>
      <x:c r="E376" t="str">
        <x:v>Unforeseen site/structural issues &amp; rework</x:v>
      </x:c>
      <x:c r="F376" t="str">
        <x:v>Weather disruption / environmental constraints</x:v>
      </x:c>
      <x:c r="G376" t="str">
        <x:v>Unforeseen site/structural issues &amp; rework, Weather disruption / environmental constraints, Planning &amp; estimation / coordination complexity</x:v>
      </x:c>
      <x:c r="H376" t="str">
        <x:v>Cost overrun mainly linked to unforeseen site/structural issues &amp; rework; schedule overrun mainly linked to unforeseen site/structural issues &amp; rework.</x:v>
      </x:c>
    </x:row>
    <x:row r="377">
      <x:c r="A377" t="str">
        <x:v>PJT_376</x:v>
      </x:c>
      <x:c r="B377" t="str">
        <x:v>Unforeseen site/structural issues &amp; rework</x:v>
      </x:c>
      <x:c r="C377" t="str">
        <x:v>Planning &amp; estimation / coordination complexity</x:v>
      </x:c>
      <x:c r="D377" t="str">
        <x:v>Unforeseen site/structural issues &amp; rework, Planning &amp; estimation / coordination complexity, Material supply / logistics &amp; market disruption</x:v>
      </x:c>
      <x:c r="E377" t="str">
        <x:v>Unforeseen site/structural issues &amp; rework</x:v>
      </x:c>
      <x:c r="F377" t="str">
        <x:v>Planning &amp; estimation / coordination complexity</x:v>
      </x:c>
      <x:c r="G377" t="str">
        <x:v>Unforeseen site/structural issues &amp; rework, Planning &amp; estimation / coordination complexity, Material supply / logistics &amp; market disruption</x:v>
      </x:c>
      <x:c r="H377" t="str">
        <x:v>Cost overrun mainly linked to unforeseen site/structural issues &amp; rework; schedule overrun mainly linked to unforeseen site/structural issues &amp; rework.</x:v>
      </x:c>
    </x:row>
    <x:row r="378">
      <x:c r="A378" t="str">
        <x:v>PJT_377</x:v>
      </x:c>
      <x:c r="B378" t="str">
        <x:v>Equipment constraints / low availability</x:v>
      </x:c>
      <x:c r="C378" t="str">
        <x:v>Resource inefficiency (materials/labor/energy)</x:v>
      </x:c>
      <x:c r="D378" t="str">
        <x:v>Equipment constraints / low availability, Resource inefficiency (materials/labor/energy), Material supply / logistics &amp; market disruption</x:v>
      </x:c>
      <x:c r="E378" t="str">
        <x:v>Equipment constraints / low availability</x:v>
      </x:c>
      <x:c r="F378" t="str">
        <x:v>Resource inefficiency (materials/labor/energy)</x:v>
      </x:c>
      <x:c r="G378" t="str">
        <x:v>Equipment constraints / low availability, Resource inefficiency (materials/labor/energy), Material supply / logistics &amp; market disruption</x:v>
      </x:c>
      <x:c r="H378" t="str">
        <x:v>Cost overrun mainly linked to equipment constraints / low availability; schedule overrun mainly linked to equipment constraints / low availability.</x:v>
      </x:c>
    </x:row>
    <x:row r="379">
      <x:c r="A379" t="str">
        <x:v>PJT_378</x:v>
      </x:c>
      <x:c r="B379" t="str">
        <x:v>Resource inefficiency (materials/labor/energy)</x:v>
      </x:c>
      <x:c r="C379" t="str">
        <x:v>Material supply / logistics &amp; market disruption</x:v>
      </x:c>
      <x:c r="D379" t="str">
        <x:v>Resource inefficiency (materials/labor/energy), Material supply / logistics &amp; market disruption, Planning &amp; estimation / coordination complexity</x:v>
      </x:c>
      <x:c r="E379" t="str">
        <x:v>Resource inefficiency (materials/labor/energy)</x:v>
      </x:c>
      <x:c r="F379" t="str">
        <x:v>Planning &amp; estimation / coordination complexity</x:v>
      </x:c>
      <x:c r="G379" t="str">
        <x:v>Resource inefficiency (materials/labor/energy), Planning &amp; estimation / coordination complexity, Material supply / logistics &amp; market disruption</x:v>
      </x:c>
      <x:c r="H379" t="str">
        <x:v>Cost overrun mainly linked to resource inefficiency (materials/labor/energy); schedule overrun mainly linked to resource inefficiency (materials/labor/energy).</x:v>
      </x:c>
    </x:row>
    <x:row r="380">
      <x:c r="A380" t="str">
        <x:v>PJT_379</x:v>
      </x:c>
      <x:c r="B380" t="str">
        <x:v>Unforeseen site/structural issues &amp; rework</x:v>
      </x:c>
      <x:c r="C380" t="str">
        <x:v>Resource inefficiency (materials/labor/energy)</x:v>
      </x:c>
      <x:c r="D380" t="str">
        <x:v>Unforeseen site/structural issues &amp; rework, Resource inefficiency (materials/labor/energy), Planning &amp; estimation / coordination complexity</x:v>
      </x:c>
      <x:c r="E380" t="str">
        <x:v>Unforeseen site/structural issues &amp; rework</x:v>
      </x:c>
      <x:c r="F380" t="str">
        <x:v>Planning &amp; estimation / coordination complexity</x:v>
      </x:c>
      <x:c r="G380" t="str">
        <x:v>Unforeseen site/structural issues &amp; rework, Planning &amp; estimation / coordination complexity, Resource inefficiency (materials/labor/energy)</x:v>
      </x:c>
      <x:c r="H380" t="str">
        <x:v>Cost overrun mainly linked to unforeseen site/structural issues &amp; rework; schedule overrun mainly linked to unforeseen site/structural issues &amp; rework.</x:v>
      </x:c>
    </x:row>
    <x:row r="381">
      <x:c r="A381" t="str">
        <x:v>PJT_380</x:v>
      </x:c>
      <x:c r="B381" t="str">
        <x:v>Resource inefficiency (materials/labor/energy)</x:v>
      </x:c>
      <x:c r="C381" t="str">
        <x:v>Planning &amp; estimation / coordination complexity</x:v>
      </x:c>
      <x:c r="D381" t="str">
        <x:v>Resource inefficiency (materials/labor/energy), Planning &amp; estimation / coordination complexity, Material supply / logistics &amp; market disruption</x:v>
      </x:c>
      <x:c r="E381" t="str">
        <x:v>Resource inefficiency (materials/labor/energy)</x:v>
      </x:c>
      <x:c r="F381" t="str">
        <x:v>Planning &amp; estimation / coordination complexity</x:v>
      </x:c>
      <x:c r="G381" t="str">
        <x:v>Resource inefficiency (materials/labor/energy), Planning &amp; estimation / coordination complexity, Material supply / logistics &amp; market disruption</x:v>
      </x:c>
      <x:c r="H381" t="str">
        <x:v>Cost overrun mainly linked to resource inefficiency (materials/labor/energy); schedule overrun mainly linked to resource inefficiency (materials/labor/energy).</x:v>
      </x:c>
    </x:row>
    <x:row r="382">
      <x:c r="A382" t="str">
        <x:v>PJT_381</x:v>
      </x:c>
      <x:c r="B382" t="str">
        <x:v>Weather disruption / environmental constraints</x:v>
      </x:c>
      <x:c r="C382" t="str">
        <x:v>Unforeseen site/structural issues &amp; rework</x:v>
      </x:c>
      <x:c r="D382" t="str">
        <x:v>Weather disruption / environmental constraints, Unforeseen site/structural issues &amp; rework, Material supply / logistics &amp; market disruption</x:v>
      </x:c>
      <x:c r="E382" t="str">
        <x:v>Weather disruption / environmental constraints</x:v>
      </x:c>
      <x:c r="F382" t="str">
        <x:v>Unforeseen site/structural issues &amp; rework</x:v>
      </x:c>
      <x:c r="G382" t="str">
        <x:v>Weather disruption / environmental constraints, Unforeseen site/structural issues &amp; rework, Material supply / logistics &amp; market disruption</x:v>
      </x:c>
      <x:c r="H382" t="str">
        <x:v>Cost overrun mainly linked to weather disruption / environmental constraints; schedule overrun mainly linked to weather disruption / environmental constraints.</x:v>
      </x:c>
    </x:row>
    <x:row r="383">
      <x:c r="A383" t="str">
        <x:v>PJT_382</x:v>
      </x:c>
      <x:c r="B383" t="str">
        <x:v>Equipment constraints / low availability</x:v>
      </x:c>
      <x:c r="C383" t="str">
        <x:v>Planning &amp; estimation / coordination complexity</x:v>
      </x:c>
      <x:c r="D383" t="str">
        <x:v>Equipment constraints / low availability, Planning &amp; estimation / coordination complexity, Resource inefficiency (materials/labor/energy)</x:v>
      </x:c>
      <x:c r="E383" t="str">
        <x:v>Equipment constraints / low availability</x:v>
      </x:c>
      <x:c r="F383" t="str">
        <x:v>Planning &amp; estimation / coordination complexity</x:v>
      </x:c>
      <x:c r="G383" t="str">
        <x:v>Equipment constraints / low availability, Planning &amp; estimation / coordination complexity, Resource inefficiency (materials/labor/energy)</x:v>
      </x:c>
      <x:c r="H383" t="str">
        <x:v>Cost overrun mainly linked to equipment constraints / low availability; schedule overrun mainly linked to equipment constraints / low availability.</x:v>
      </x:c>
    </x:row>
    <x:row r="384">
      <x:c r="A384" t="str">
        <x:v>PJT_383</x:v>
      </x:c>
      <x:c r="B384" t="str">
        <x:v>Planning &amp; estimation / coordination complexity</x:v>
      </x:c>
      <x:c r="C384" t="str">
        <x:v>Resource inefficiency (materials/labor/energy)</x:v>
      </x:c>
      <x:c r="D384" t="str">
        <x:v>Planning &amp; estimation / coordination complexity, Resource inefficiency (materials/labor/energy), Equipment constraints / low availability</x:v>
      </x:c>
      <x:c r="E384" t="str">
        <x:v>Planning &amp; estimation / coordination complexity</x:v>
      </x:c>
      <x:c r="F384" t="str">
        <x:v>Resource inefficiency (materials/labor/energy)</x:v>
      </x:c>
      <x:c r="G384" t="str">
        <x:v>Planning &amp; estimation / coordination complexity, Resource inefficiency (materials/labor/energy), Equipment constraints / low availability</x:v>
      </x:c>
      <x:c r="H384" t="str">
        <x:v>Cost overrun mainly linked to planning &amp; estimation / coordination complexity; schedule overrun mainly linked to planning &amp; estimation / coordination complexity.</x:v>
      </x:c>
    </x:row>
    <x:row r="385">
      <x:c r="A385" t="str">
        <x:v>PJT_384</x:v>
      </x:c>
      <x:c r="B385" t="str">
        <x:v>Planning &amp; estimation / coordination complexity</x:v>
      </x:c>
      <x:c r="C385" t="str">
        <x:v>Equipment constraints / low availability</x:v>
      </x:c>
      <x:c r="D385" t="str">
        <x:v>Planning &amp; estimation / coordination complexity, Equipment constraints / low availability, Resource inefficiency (materials/labor/energy)</x:v>
      </x:c>
      <x:c r="E385" t="str">
        <x:v>Resource inefficiency (materials/labor/energy)</x:v>
      </x:c>
      <x:c r="F385" t="str">
        <x:v>Equipment constraints / low availability</x:v>
      </x:c>
      <x:c r="G385" t="str">
        <x:v>Resource inefficiency (materials/labor/energy), Equipment constraints / low availability, Planning &amp; estimation / coordination complexity</x:v>
      </x:c>
      <x:c r="H385" t="str">
        <x:v>Cost overrun mainly linked to planning &amp; estimation / coordination complexity; schedule overrun mainly linked to resource inefficiency (materials/labor/energy).</x:v>
      </x:c>
    </x:row>
    <x:row r="386">
      <x:c r="A386" t="str">
        <x:v>PJT_385</x:v>
      </x:c>
      <x:c r="B386" t="str">
        <x:v>Resource inefficiency (materials/labor/energy)</x:v>
      </x:c>
      <x:c r="C386" t="str">
        <x:v>Planning &amp; estimation / coordination complexity</x:v>
      </x:c>
      <x:c r="D386" t="str">
        <x:v>Resource inefficiency (materials/labor/energy), Planning &amp; estimation / coordination complexity, Material supply / logistics &amp; market disruption</x:v>
      </x:c>
      <x:c r="E386" t="str">
        <x:v>Planning &amp; estimation / coordination complexity</x:v>
      </x:c>
      <x:c r="F386" t="str">
        <x:v>Resource inefficiency (materials/labor/energy)</x:v>
      </x:c>
      <x:c r="G386" t="str">
        <x:v>Planning &amp; estimation / coordination complexity, Resource inefficiency (materials/labor/energy), Unforeseen site/structural issues &amp; rework</x:v>
      </x:c>
      <x:c r="H386" t="str">
        <x:v>Cost overrun mainly linked to resource inefficiency (materials/labor/energy); schedule overrun mainly linked to planning &amp; estimation / coordination complexity.</x:v>
      </x:c>
    </x:row>
    <x:row r="387">
      <x:c r="A387" t="str">
        <x:v>PJT_386</x:v>
      </x:c>
      <x:c r="B387" t="str">
        <x:v>Resource inefficiency (materials/labor/energy)</x:v>
      </x:c>
      <x:c r="C387" t="str">
        <x:v>Material supply / logistics &amp; market disruption</x:v>
      </x:c>
      <x:c r="D387" t="str">
        <x:v>Resource inefficiency (materials/labor/energy), Material supply / logistics &amp; market disruption, Equipment constraints / low availability</x:v>
      </x:c>
      <x:c r="E387" t="str">
        <x:v>Resource inefficiency (materials/labor/energy)</x:v>
      </x:c>
      <x:c r="F387" t="str">
        <x:v>Material supply / logistics &amp; market disruption</x:v>
      </x:c>
      <x:c r="G387" t="str">
        <x:v>Resource inefficiency (materials/labor/energy), Material supply / logistics &amp; market disruption, Equipment constraints / low availability</x:v>
      </x:c>
      <x:c r="H387" t="str">
        <x:v>Cost overrun mainly linked to resource inefficiency (materials/labor/energy); schedule overrun mainly linked to resource inefficiency (materials/labor/energy).</x:v>
      </x:c>
    </x:row>
    <x:row r="388">
      <x:c r="A388" t="str">
        <x:v>PJT_387</x:v>
      </x:c>
      <x:c r="B388" t="str">
        <x:v>Planning &amp; estimation / coordination complexity</x:v>
      </x:c>
      <x:c r="C388" t="str">
        <x:v>Resource inefficiency (materials/labor/energy)</x:v>
      </x:c>
      <x:c r="D388" t="str">
        <x:v>Planning &amp; estimation / coordination complexity, Resource inefficiency (materials/labor/energy), Unforeseen site/structural issues &amp; rework</x:v>
      </x:c>
      <x:c r="E388" t="str">
        <x:v>Planning &amp; estimation / coordination complexity</x:v>
      </x:c>
      <x:c r="F388" t="str">
        <x:v>Unforeseen site/structural issues &amp; rework</x:v>
      </x:c>
      <x:c r="G388" t="str">
        <x:v>Planning &amp; estimation / coordination complexity, Unforeseen site/structural issues &amp; rework, Resource inefficiency (materials/labor/energy)</x:v>
      </x:c>
      <x:c r="H388" t="str">
        <x:v>Cost overrun mainly linked to planning &amp; estimation / coordination complexity; schedule overrun mainly linked to planning &amp; estimation / coordination complexity.</x:v>
      </x:c>
    </x:row>
    <x:row r="389">
      <x:c r="A389" t="str">
        <x:v>PJT_388</x:v>
      </x:c>
      <x:c r="B389" t="str">
        <x:v>Equipment constraints / low availability</x:v>
      </x:c>
      <x:c r="C389" t="str">
        <x:v>Resource inefficiency (materials/labor/energy)</x:v>
      </x:c>
      <x:c r="D389" t="str">
        <x:v>Equipment constraints / low availability, Resource inefficiency (materials/labor/energy), Material supply / logistics &amp; market disruption</x:v>
      </x:c>
      <x:c r="E389" t="str">
        <x:v>Equipment constraints / low availability</x:v>
      </x:c>
      <x:c r="F389" t="str">
        <x:v>Resource inefficiency (materials/labor/energy)</x:v>
      </x:c>
      <x:c r="G389" t="str">
        <x:v>Equipment constraints / low availability, Resource inefficiency (materials/labor/energy), Material supply / logistics &amp; market disruption</x:v>
      </x:c>
      <x:c r="H389" t="str">
        <x:v>Cost overrun mainly linked to equipment constraints / low availability; schedule overrun mainly linked to equipment constraints / low availability.</x:v>
      </x:c>
    </x:row>
    <x:row r="390">
      <x:c r="A390" t="str">
        <x:v>PJT_389</x:v>
      </x:c>
      <x:c r="B390" t="str">
        <x:v>Equipment constraints / low availability</x:v>
      </x:c>
      <x:c r="C390" t="str">
        <x:v>Resource inefficiency (materials/labor/energy)</x:v>
      </x:c>
      <x:c r="D390" t="str">
        <x:v>Equipment constraints / low availability, Resource inefficiency (materials/labor/energy), Planning &amp; estimation / coordination complexity</x:v>
      </x:c>
      <x:c r="E390" t="str">
        <x:v>Equipment constraints / low availability</x:v>
      </x:c>
      <x:c r="F390" t="str">
        <x:v>Resource inefficiency (materials/labor/energy)</x:v>
      </x:c>
      <x:c r="G390" t="str">
        <x:v>Equipment constraints / low availability, Resource inefficiency (materials/labor/energy), Material supply / logistics &amp; market disruption</x:v>
      </x:c>
      <x:c r="H390" t="str">
        <x:v>Cost overrun mainly linked to equipment constraints / low availability; schedule overrun mainly linked to equipment constraints / low availability.</x:v>
      </x:c>
    </x:row>
    <x:row r="391">
      <x:c r="A391" t="str">
        <x:v>PJT_390</x:v>
      </x:c>
      <x:c r="B391" t="str">
        <x:v>Weather disruption / environmental constraints</x:v>
      </x:c>
      <x:c r="C391" t="str">
        <x:v>Unforeseen site/structural issues &amp; rework</x:v>
      </x:c>
      <x:c r="D391" t="str">
        <x:v>Weather disruption / environmental constraints, Unforeseen site/structural issues &amp; rework, Planning &amp; estimation / coordination complexity</x:v>
      </x:c>
      <x:c r="E391" t="str">
        <x:v>Weather disruption / environmental constraints</x:v>
      </x:c>
      <x:c r="F391" t="str">
        <x:v>Unforeseen site/structural issues &amp; rework</x:v>
      </x:c>
      <x:c r="G391" t="str">
        <x:v>Weather disruption / environmental constraints, Unforeseen site/structural issues &amp; rework, Material supply / logistics &amp; market disruption</x:v>
      </x:c>
      <x:c r="H391" t="str">
        <x:v>Cost overrun mainly linked to weather disruption / environmental constraints; schedule overrun mainly linked to weather disruption / environmental constraints.</x:v>
      </x:c>
    </x:row>
    <x:row r="392">
      <x:c r="A392" t="str">
        <x:v>PJT_391</x:v>
      </x:c>
      <x:c r="B392" t="str">
        <x:v>Unforeseen site/structural issues &amp; rework</x:v>
      </x:c>
      <x:c r="C392" t="str">
        <x:v>Equipment constraints / low availability</x:v>
      </x:c>
      <x:c r="D392" t="str">
        <x:v>Unforeseen site/structural issues &amp; rework, Equipment constraints / low availability, Planning &amp; estimation / coordination complexity</x:v>
      </x:c>
      <x:c r="E392" t="str">
        <x:v>Unforeseen site/structural issues &amp; rework</x:v>
      </x:c>
      <x:c r="F392" t="str">
        <x:v>Equipment constraints / low availability</x:v>
      </x:c>
      <x:c r="G392" t="str">
        <x:v>Unforeseen site/structural issues &amp; rework, Equipment constraints / low availability, Planning &amp; estimation / coordination complexity</x:v>
      </x:c>
      <x:c r="H392" t="str">
        <x:v>Cost overrun mainly linked to unforeseen site/structural issues &amp; rework; schedule overrun mainly linked to unforeseen site/structural issues &amp; rework.</x:v>
      </x:c>
    </x:row>
    <x:row r="393">
      <x:c r="A393" t="str">
        <x:v>PJT_392</x:v>
      </x:c>
      <x:c r="B393" t="str">
        <x:v>Material supply / logistics &amp; market disruption</x:v>
      </x:c>
      <x:c r="C393" t="str">
        <x:v>Resource inefficiency (materials/labor/energy)</x:v>
      </x:c>
      <x:c r="D393" t="str">
        <x:v>Material supply / logistics &amp; market disruption, Resource inefficiency (materials/labor/energy), Equipment constraints / low availability</x:v>
      </x:c>
      <x:c r="E393" t="str">
        <x:v>Material supply / logistics &amp; market disruption</x:v>
      </x:c>
      <x:c r="F393" t="str">
        <x:v>Resource inefficiency (materials/labor/energy)</x:v>
      </x:c>
      <x:c r="G393" t="str">
        <x:v>Material supply / logistics &amp; market disruption, Resource inefficiency (materials/labor/energy), Equipment constraints / low availability</x:v>
      </x:c>
      <x:c r="H393" t="str">
        <x:v>Cost overrun mainly linked to material supply / logistics &amp; market disruption; schedule overrun mainly linked to material supply / logistics &amp; market disruption.</x:v>
      </x:c>
    </x:row>
    <x:row r="394">
      <x:c r="A394" t="str">
        <x:v>PJT_393</x:v>
      </x:c>
      <x:c r="B394" t="str">
        <x:v>Resource inefficiency (materials/labor/energy)</x:v>
      </x:c>
      <x:c r="C394" t="str">
        <x:v>Material supply / logistics &amp; market disruption</x:v>
      </x:c>
      <x:c r="D394" t="str">
        <x:v>Resource inefficiency (materials/labor/energy), Material supply / logistics &amp; market disruption, Planning &amp; estimation / coordination complexity</x:v>
      </x:c>
      <x:c r="E394" t="str">
        <x:v>Resource inefficiency (materials/labor/energy)</x:v>
      </x:c>
      <x:c r="F394" t="str">
        <x:v>Planning &amp; estimation / coordination complexity</x:v>
      </x:c>
      <x:c r="G394" t="str">
        <x:v>Resource inefficiency (materials/labor/energy), Planning &amp; estimation / coordination complexity, Material supply / logistics &amp; market disruption</x:v>
      </x:c>
      <x:c r="H394" t="str">
        <x:v>Cost overrun mainly linked to resource inefficiency (materials/labor/energy); schedule overrun mainly linked to resource inefficiency (materials/labor/energy).</x:v>
      </x:c>
    </x:row>
    <x:row r="395">
      <x:c r="A395" t="str">
        <x:v>PJT_394</x:v>
      </x:c>
      <x:c r="B395" t="str">
        <x:v>Planning &amp; estimation / coordination complexity</x:v>
      </x:c>
      <x:c r="C395" t="str">
        <x:v>Equipment constraints / low availability</x:v>
      </x:c>
      <x:c r="D395" t="str">
        <x:v>Planning &amp; estimation / coordination complexity, Equipment constraints / low availability, Weather disruption / environmental constraints</x:v>
      </x:c>
      <x:c r="E395" t="str">
        <x:v>Planning &amp; estimation / coordination complexity</x:v>
      </x:c>
      <x:c r="F395" t="str">
        <x:v>Equipment constraints / low availability</x:v>
      </x:c>
      <x:c r="G395" t="str">
        <x:v>Planning &amp; estimation / coordination complexity, Equipment constraints / low availability, Weather disruption / environmental constraints</x:v>
      </x:c>
      <x:c r="H395" t="str">
        <x:v>Cost overrun mainly linked to planning &amp; estimation / coordination complexity; schedule overrun mainly linked to planning &amp; estimation / coordination complexity.</x:v>
      </x:c>
    </x:row>
    <x:row r="396">
      <x:c r="A396" t="str">
        <x:v>PJT_395</x:v>
      </x:c>
      <x:c r="B396" t="str">
        <x:v>Weather disruption / environmental constraints</x:v>
      </x:c>
      <x:c r="C396" t="str">
        <x:v>Material supply / logistics &amp; market disruption</x:v>
      </x:c>
      <x:c r="D396" t="str">
        <x:v>Weather disruption / environmental constraints, Material supply / logistics &amp; market disruption, Equipment constraints / low availability</x:v>
      </x:c>
      <x:c r="E396" t="str">
        <x:v>Weather disruption / environmental constraints</x:v>
      </x:c>
      <x:c r="F396" t="str">
        <x:v>Material supply / logistics &amp; market disruption</x:v>
      </x:c>
      <x:c r="G396" t="str">
        <x:v>Weather disruption / environmental constraints, Material supply / logistics &amp; market disruption, Resource inefficiency (materials/labor/energy)</x:v>
      </x:c>
      <x:c r="H396" t="str">
        <x:v>Cost overrun mainly linked to weather disruption / environmental constraints; schedule overrun mainly linked to weather disruption / environmental constraints.</x:v>
      </x:c>
    </x:row>
    <x:row r="397">
      <x:c r="A397" t="str">
        <x:v>PJT_396</x:v>
      </x:c>
      <x:c r="B397" t="str">
        <x:v>Planning &amp; estimation / coordination complexity</x:v>
      </x:c>
      <x:c r="C397" t="str">
        <x:v>Resource inefficiency (materials/labor/energy)</x:v>
      </x:c>
      <x:c r="D397" t="str">
        <x:v>Planning &amp; estimation / coordination complexity, Resource inefficiency (materials/labor/energy), Equipment constraints / low availability</x:v>
      </x:c>
      <x:c r="E397" t="str">
        <x:v>Planning &amp; estimation / coordination complexity</x:v>
      </x:c>
      <x:c r="F397" t="str">
        <x:v>Resource inefficiency (materials/labor/energy)</x:v>
      </x:c>
      <x:c r="G397" t="str">
        <x:v>Planning &amp; estimation / coordination complexity, Resource inefficiency (materials/labor/energy), Equipment constraints / low availability</x:v>
      </x:c>
      <x:c r="H397" t="str">
        <x:v>Cost overrun mainly linked to planning &amp; estimation / coordination complexity; schedule overrun mainly linked to planning &amp; estimation / coordination complexity.</x:v>
      </x:c>
    </x:row>
    <x:row r="398">
      <x:c r="A398" t="str">
        <x:v>PJT_397</x:v>
      </x:c>
      <x:c r="B398" t="str">
        <x:v>Unforeseen site/structural issues &amp; rework</x:v>
      </x:c>
      <x:c r="C398" t="str">
        <x:v>Planning &amp; estimation / coordination complexity</x:v>
      </x:c>
      <x:c r="D398" t="str">
        <x:v>Unforeseen site/structural issues &amp; rework, Planning &amp; estimation / coordination complexity, Weather disruption / environmental constraints</x:v>
      </x:c>
      <x:c r="E398" t="str">
        <x:v>Unforeseen site/structural issues &amp; rework</x:v>
      </x:c>
      <x:c r="F398" t="str">
        <x:v>Planning &amp; estimation / coordination complexity</x:v>
      </x:c>
      <x:c r="G398" t="str">
        <x:v>Unforeseen site/structural issues &amp; rework, Planning &amp; estimation / coordination complexity, Weather disruption / environmental constraints</x:v>
      </x:c>
      <x:c r="H398" t="str">
        <x:v>Cost overrun mainly linked to unforeseen site/structural issues &amp; rework; schedule overrun mainly linked to unforeseen site/structural issues &amp; rework.</x:v>
      </x:c>
    </x:row>
    <x:row r="399">
      <x:c r="A399" t="str">
        <x:v>PJT_398</x:v>
      </x:c>
      <x:c r="B399" t="str">
        <x:v>Weather disruption / environmental constraints</x:v>
      </x:c>
      <x:c r="C399" t="str">
        <x:v>Equipment constraints / low availability</x:v>
      </x:c>
      <x:c r="D399" t="str">
        <x:v>Weather disruption / environmental constraints, Equipment constraints / low availability, Planning &amp; estimation / coordination complexity</x:v>
      </x:c>
      <x:c r="E399" t="str">
        <x:v>Weather disruption / environmental constraints</x:v>
      </x:c>
      <x:c r="F399" t="str">
        <x:v>Equipment constraints / low availability</x:v>
      </x:c>
      <x:c r="G399" t="str">
        <x:v>Weather disruption / environmental constraints, Equipment constraints / low availability, Material supply / logistics &amp; market disruption</x:v>
      </x:c>
      <x:c r="H399" t="str">
        <x:v>Cost overrun mainly linked to weather disruption / environmental constraints; schedule overrun mainly linked to weather disruption / environmental constraints.</x:v>
      </x:c>
    </x:row>
    <x:row r="400">
      <x:c r="A400" t="str">
        <x:v>PJT_399</x:v>
      </x:c>
      <x:c r="B400" t="str">
        <x:v>Weather disruption / environmental constraints</x:v>
      </x:c>
      <x:c r="C400" t="str">
        <x:v>Unforeseen site/structural issues &amp; rework</x:v>
      </x:c>
      <x:c r="D400" t="str">
        <x:v>Weather disruption / environmental constraints, Unforeseen site/structural issues &amp; rework, Material supply / logistics &amp; market disruption</x:v>
      </x:c>
      <x:c r="E400" t="str">
        <x:v>Weather disruption / environmental constraints</x:v>
      </x:c>
      <x:c r="F400" t="str">
        <x:v>Unforeseen site/structural issues &amp; rework</x:v>
      </x:c>
      <x:c r="G400" t="str">
        <x:v>Weather disruption / environmental constraints, Unforeseen site/structural issues &amp; rework, Material supply / logistics &amp; market disruption</x:v>
      </x:c>
      <x:c r="H400" t="str">
        <x:v>Cost overrun mainly linked to weather disruption / environmental constraints; schedule overrun mainly linked to weather disruption / environmental constraints.</x:v>
      </x:c>
    </x:row>
    <x:row r="401">
      <x:c r="A401" t="str">
        <x:v>PJT_400</x:v>
      </x:c>
      <x:c r="B401" t="str">
        <x:v>Material supply / logistics &amp; market disruption</x:v>
      </x:c>
      <x:c r="C401" t="str">
        <x:v>Weather disruption / environmental constraints</x:v>
      </x:c>
      <x:c r="D401" t="str">
        <x:v>Material supply / logistics &amp; market disruption, Weather disruption / environmental constraints, Resource inefficiency (materials/labor/energy)</x:v>
      </x:c>
      <x:c r="E401" t="str">
        <x:v>Material supply / logistics &amp; market disruption</x:v>
      </x:c>
      <x:c r="F401" t="str">
        <x:v>Weather disruption / environmental constraints</x:v>
      </x:c>
      <x:c r="G401" t="str">
        <x:v>Material supply / logistics &amp; market disruption, Weather disruption / environmental constraints, Resource inefficiency (materials/labor/energy)</x:v>
      </x:c>
      <x:c r="H401" t="str">
        <x:v>Cost overrun mainly linked to material supply / logistics &amp; market disruption; schedule overrun mainly linked to material supply / logistics &amp; market disruption.</x:v>
      </x:c>
    </x:row>
    <x:row r="402">
      <x:c r="A402" t="str">
        <x:v>PJT_401</x:v>
      </x:c>
      <x:c r="B402" t="str">
        <x:v>Equipment constraints / low availability</x:v>
      </x:c>
      <x:c r="C402" t="str">
        <x:v>Material supply / logistics &amp; market disruption</x:v>
      </x:c>
      <x:c r="D402" t="str">
        <x:v>Equipment constraints / low availability, Material supply / logistics &amp; market disruption, Resource inefficiency (materials/labor/energy)</x:v>
      </x:c>
      <x:c r="E402" t="str">
        <x:v>Equipment constraints / low availability</x:v>
      </x:c>
      <x:c r="F402" t="str">
        <x:v>Resource inefficiency (materials/labor/energy)</x:v>
      </x:c>
      <x:c r="G402" t="str">
        <x:v>Equipment constraints / low availability, Resource inefficiency (materials/labor/energy), Material supply / logistics &amp; market disruption</x:v>
      </x:c>
      <x:c r="H402" t="str">
        <x:v>Cost overrun mainly linked to equipment constraints / low availability; schedule overrun mainly linked to equipment constraints / low availability.</x:v>
      </x:c>
    </x:row>
    <x:row r="403">
      <x:c r="A403" t="str">
        <x:v>PJT_402</x:v>
      </x:c>
      <x:c r="B403" t="str">
        <x:v>Unforeseen site/structural issues &amp; rework</x:v>
      </x:c>
      <x:c r="C403" t="str">
        <x:v>Equipment constraints / low availability</x:v>
      </x:c>
      <x:c r="D403" t="str">
        <x:v>Unforeseen site/structural issues &amp; rework, Equipment constraints / low availability, Weather disruption / environmental constraints</x:v>
      </x:c>
      <x:c r="E403" t="str">
        <x:v>Unforeseen site/structural issues &amp; rework</x:v>
      </x:c>
      <x:c r="F403" t="str">
        <x:v>Equipment constraints / low availability</x:v>
      </x:c>
      <x:c r="G403" t="str">
        <x:v>Unforeseen site/structural issues &amp; rework, Equipment constraints / low availability, Weather disruption / environmental constraints</x:v>
      </x:c>
      <x:c r="H403" t="str">
        <x:v>Cost overrun mainly linked to unforeseen site/structural issues &amp; rework; schedule overrun mainly linked to unforeseen site/structural issues &amp; rework.</x:v>
      </x:c>
    </x:row>
    <x:row r="404">
      <x:c r="A404" t="str">
        <x:v>PJT_403</x:v>
      </x:c>
      <x:c r="B404" t="str">
        <x:v>Planning &amp; estimation / coordination complexity</x:v>
      </x:c>
      <x:c r="C404" t="str">
        <x:v>Resource inefficiency (materials/labor/energy)</x:v>
      </x:c>
      <x:c r="D404" t="str">
        <x:v>Planning &amp; estimation / coordination complexity, Resource inefficiency (materials/labor/energy), Material supply / logistics &amp; market disruption</x:v>
      </x:c>
      <x:c r="E404" t="str">
        <x:v>Planning &amp; estimation / coordination complexity</x:v>
      </x:c>
      <x:c r="F404" t="str">
        <x:v>Resource inefficiency (materials/labor/energy)</x:v>
      </x:c>
      <x:c r="G404" t="str">
        <x:v>Planning &amp; estimation / coordination complexity, Resource inefficiency (materials/labor/energy), Material supply / logistics &amp; market disruption</x:v>
      </x:c>
      <x:c r="H404" t="str">
        <x:v>Cost overrun mainly linked to planning &amp; estimation / coordination complexity; schedule overrun mainly linked to planning &amp; estimation / coordination complexity.</x:v>
      </x:c>
    </x:row>
    <x:row r="405">
      <x:c r="A405" t="str">
        <x:v>PJT_404</x:v>
      </x:c>
      <x:c r="B405" t="str">
        <x:v>Resource inefficiency (materials/labor/energy)</x:v>
      </x:c>
      <x:c r="C405" t="str">
        <x:v>Equipment constraints / low availability</x:v>
      </x:c>
      <x:c r="D405" t="str">
        <x:v>Resource inefficiency (materials/labor/energy), Equipment constraints / low availability, Planning &amp; estimation / coordination complexity</x:v>
      </x:c>
      <x:c r="E405" t="str">
        <x:v>Resource inefficiency (materials/labor/energy)</x:v>
      </x:c>
      <x:c r="F405" t="str">
        <x:v>Equipment constraints / low availability</x:v>
      </x:c>
      <x:c r="G405" t="str">
        <x:v>Resource inefficiency (materials/labor/energy), Equipment constraints / low availability, Planning &amp; estimation / coordination complexity</x:v>
      </x:c>
      <x:c r="H405" t="str">
        <x:v>Cost overrun mainly linked to resource inefficiency (materials/labor/energy); schedule overrun mainly linked to resource inefficiency (materials/labor/energy).</x:v>
      </x:c>
    </x:row>
    <x:row r="406">
      <x:c r="A406" t="str">
        <x:v>PJT_405</x:v>
      </x:c>
      <x:c r="B406" t="str">
        <x:v>Unforeseen site/structural issues &amp; rework</x:v>
      </x:c>
      <x:c r="C406" t="str">
        <x:v>Planning &amp; estimation / coordination complexity</x:v>
      </x:c>
      <x:c r="D406" t="str">
        <x:v>Unforeseen site/structural issues &amp; rework, Planning &amp; estimation / coordination complexity, Weather disruption / environmental constraints</x:v>
      </x:c>
      <x:c r="E406" t="str">
        <x:v>Unforeseen site/structural issues &amp; rework</x:v>
      </x:c>
      <x:c r="F406" t="str">
        <x:v>Planning &amp; estimation / coordination complexity</x:v>
      </x:c>
      <x:c r="G406" t="str">
        <x:v>Unforeseen site/structural issues &amp; rework, Planning &amp; estimation / coordination complexity, Weather disruption / environmental constraints</x:v>
      </x:c>
      <x:c r="H406" t="str">
        <x:v>Cost overrun mainly linked to unforeseen site/structural issues &amp; rework; schedule overrun mainly linked to unforeseen site/structural issues &amp; rework.</x:v>
      </x:c>
    </x:row>
    <x:row r="407">
      <x:c r="A407" t="str">
        <x:v>PJT_406</x:v>
      </x:c>
      <x:c r="B407" t="str">
        <x:v>Resource inefficiency (materials/labor/energy)</x:v>
      </x:c>
      <x:c r="C407" t="str">
        <x:v>Material supply / logistics &amp; market disruption</x:v>
      </x:c>
      <x:c r="D407" t="str">
        <x:v>Resource inefficiency (materials/labor/energy), Material supply / logistics &amp; market disruption, Planning &amp; estimation / coordination complexity</x:v>
      </x:c>
      <x:c r="E407" t="str">
        <x:v>Resource inefficiency (materials/labor/energy)</x:v>
      </x:c>
      <x:c r="F407" t="str">
        <x:v>Material supply / logistics &amp; market disruption</x:v>
      </x:c>
      <x:c r="G407" t="str">
        <x:v>Resource inefficiency (materials/labor/energy), Material supply / logistics &amp; market disruption, Planning &amp; estimation / coordination complexity</x:v>
      </x:c>
      <x:c r="H407" t="str">
        <x:v>Cost overrun mainly linked to resource inefficiency (materials/labor/energy); schedule overrun mainly linked to resource inefficiency (materials/labor/energy).</x:v>
      </x:c>
    </x:row>
    <x:row r="408">
      <x:c r="A408" t="str">
        <x:v>PJT_407</x:v>
      </x:c>
      <x:c r="B408" t="str">
        <x:v>Material supply / logistics &amp; market disruption</x:v>
      </x:c>
      <x:c r="C408" t="str">
        <x:v>Resource inefficiency (materials/labor/energy)</x:v>
      </x:c>
      <x:c r="D408" t="str">
        <x:v>Material supply / logistics &amp; market disruption, Resource inefficiency (materials/labor/energy), Planning &amp; estimation / coordination complexity</x:v>
      </x:c>
      <x:c r="E408" t="str">
        <x:v>Material supply / logistics &amp; market disruption</x:v>
      </x:c>
      <x:c r="F408" t="str">
        <x:v>Resource inefficiency (materials/labor/energy)</x:v>
      </x:c>
      <x:c r="G408" t="str">
        <x:v>Material supply / logistics &amp; market disruption, Resource inefficiency (materials/labor/energy), Planning &amp; estimation / coordination complexity</x:v>
      </x:c>
      <x:c r="H408" t="str">
        <x:v>Cost overrun mainly linked to material supply / logistics &amp; market disruption; schedule overrun mainly linked to material supply / logistics &amp; market disruption.</x:v>
      </x:c>
    </x:row>
    <x:row r="409">
      <x:c r="A409" t="str">
        <x:v>PJT_408</x:v>
      </x:c>
      <x:c r="B409" t="str">
        <x:v>Weather disruption / environmental constraints</x:v>
      </x:c>
      <x:c r="C409" t="str">
        <x:v>Unforeseen site/structural issues &amp; rework</x:v>
      </x:c>
      <x:c r="D409" t="str">
        <x:v>Weather disruption / environmental constraints, Unforeseen site/structural issues &amp; rework, Material supply / logistics &amp; market disruption</x:v>
      </x:c>
      <x:c r="E409" t="str">
        <x:v>Weather disruption / environmental constraints</x:v>
      </x:c>
      <x:c r="F409" t="str">
        <x:v>Unforeseen site/structural issues &amp; rework</x:v>
      </x:c>
      <x:c r="G409" t="str">
        <x:v>Weather disruption / environmental constraints, Unforeseen site/structural issues &amp; rework, Material supply / logistics &amp; market disruption</x:v>
      </x:c>
      <x:c r="H409" t="str">
        <x:v>Cost overrun mainly linked to weather disruption / environmental constraints; schedule overrun mainly linked to weather disruption / environmental constraints.</x:v>
      </x:c>
    </x:row>
    <x:row r="410">
      <x:c r="A410" t="str">
        <x:v>PJT_409</x:v>
      </x:c>
      <x:c r="B410" t="str">
        <x:v>Unforeseen site/structural issues &amp; rework</x:v>
      </x:c>
      <x:c r="C410" t="str">
        <x:v>Planning &amp; estimation / coordination complexity</x:v>
      </x:c>
      <x:c r="D410" t="str">
        <x:v>Unforeseen site/structural issues &amp; rework, Planning &amp; estimation / coordination complexity, Equipment constraints / low availability</x:v>
      </x:c>
      <x:c r="E410" t="str">
        <x:v>Unforeseen site/structural issues &amp; rework</x:v>
      </x:c>
      <x:c r="F410" t="str">
        <x:v>Planning &amp; estimation / coordination complexity</x:v>
      </x:c>
      <x:c r="G410" t="str">
        <x:v>Unforeseen site/structural issues &amp; rework, Planning &amp; estimation / coordination complexity, Equipment constraints / low availability</x:v>
      </x:c>
      <x:c r="H410" t="str">
        <x:v>Cost overrun mainly linked to unforeseen site/structural issues &amp; rework; schedule overrun mainly linked to unforeseen site/structural issues &amp; rework.</x:v>
      </x:c>
    </x:row>
    <x:row r="411">
      <x:c r="A411" t="str">
        <x:v>PJT_410</x:v>
      </x:c>
      <x:c r="B411" t="str">
        <x:v>Planning &amp; estimation / coordination complexity</x:v>
      </x:c>
      <x:c r="C411" t="str">
        <x:v>Resource inefficiency (materials/labor/energy)</x:v>
      </x:c>
      <x:c r="D411" t="str">
        <x:v>Planning &amp; estimation / coordination complexity, Resource inefficiency (materials/labor/energy), Material supply / logistics &amp; market disruption</x:v>
      </x:c>
      <x:c r="E411" t="str">
        <x:v>Planning &amp; estimation / coordination complexity</x:v>
      </x:c>
      <x:c r="F411" t="str">
        <x:v>Resource inefficiency (materials/labor/energy)</x:v>
      </x:c>
      <x:c r="G411" t="str">
        <x:v>Planning &amp; estimation / coordination complexity, Resource inefficiency (materials/labor/energy), Material supply / logistics &amp; market disruption</x:v>
      </x:c>
      <x:c r="H411" t="str">
        <x:v>Cost overrun mainly linked to planning &amp; estimation / coordination complexity; schedule overrun mainly linked to planning &amp; estimation / coordination complexity.</x:v>
      </x:c>
    </x:row>
    <x:row r="412">
      <x:c r="A412" t="str">
        <x:v>PJT_411</x:v>
      </x:c>
      <x:c r="B412" t="str">
        <x:v>Resource inefficiency (materials/labor/energy)</x:v>
      </x:c>
      <x:c r="C412" t="str">
        <x:v>Equipment constraints / low availability</x:v>
      </x:c>
      <x:c r="D412" t="str">
        <x:v>Resource inefficiency (materials/labor/energy), Equipment constraints / low availability, Material supply / logistics &amp; market disruption</x:v>
      </x:c>
      <x:c r="E412" t="str">
        <x:v>Resource inefficiency (materials/labor/energy)</x:v>
      </x:c>
      <x:c r="F412" t="str">
        <x:v>Equipment constraints / low availability</x:v>
      </x:c>
      <x:c r="G412" t="str">
        <x:v>Resource inefficiency (materials/labor/energy), Equipment constraints / low availability, Material supply / logistics &amp; market disruption</x:v>
      </x:c>
      <x:c r="H412" t="str">
        <x:v>Cost overrun mainly linked to resource inefficiency (materials/labor/energy); schedule overrun mainly linked to resource inefficiency (materials/labor/energy).</x:v>
      </x:c>
    </x:row>
    <x:row r="413">
      <x:c r="A413" t="str">
        <x:v>PJT_412</x:v>
      </x:c>
      <x:c r="B413" t="str">
        <x:v>Equipment constraints / low availability</x:v>
      </x:c>
      <x:c r="C413" t="str">
        <x:v>Planning &amp; estimation / coordination complexity</x:v>
      </x:c>
      <x:c r="D413" t="str">
        <x:v>Equipment constraints / low availability, Planning &amp; estimation / coordination complexity, Weather disruption / environmental constraints</x:v>
      </x:c>
      <x:c r="E413" t="str">
        <x:v>Equipment constraints / low availability</x:v>
      </x:c>
      <x:c r="F413" t="str">
        <x:v>Planning &amp; estimation / coordination complexity</x:v>
      </x:c>
      <x:c r="G413" t="str">
        <x:v>Equipment constraints / low availability, Planning &amp; estimation / coordination complexity, Weather disruption / environmental constraints</x:v>
      </x:c>
      <x:c r="H413" t="str">
        <x:v>Cost overrun mainly linked to equipment constraints / low availability; schedule overrun mainly linked to equipment constraints / low availability.</x:v>
      </x:c>
    </x:row>
    <x:row r="414">
      <x:c r="A414" t="str">
        <x:v>PJT_413</x:v>
      </x:c>
      <x:c r="B414" t="str">
        <x:v>Unforeseen site/structural issues &amp; rework</x:v>
      </x:c>
      <x:c r="C414" t="str">
        <x:v>Planning &amp; estimation / coordination complexity</x:v>
      </x:c>
      <x:c r="D414" t="str">
        <x:v>Unforeseen site/structural issues &amp; rework, Planning &amp; estimation / coordination complexity, Equipment constraints / low availability</x:v>
      </x:c>
      <x:c r="E414" t="str">
        <x:v>Unforeseen site/structural issues &amp; rework</x:v>
      </x:c>
      <x:c r="F414" t="str">
        <x:v>Planning &amp; estimation / coordination complexity</x:v>
      </x:c>
      <x:c r="G414" t="str">
        <x:v>Unforeseen site/structural issues &amp; rework, Planning &amp; estimation / coordination complexity, Equipment constraints / low availability</x:v>
      </x:c>
      <x:c r="H414" t="str">
        <x:v>Cost overrun mainly linked to unforeseen site/structural issues &amp; rework; schedule overrun mainly linked to unforeseen site/structural issues &amp; rework.</x:v>
      </x:c>
    </x:row>
    <x:row r="415">
      <x:c r="A415" t="str">
        <x:v>PJT_414</x:v>
      </x:c>
      <x:c r="B415" t="str">
        <x:v>Weather disruption / environmental constraints</x:v>
      </x:c>
      <x:c r="C415" t="str">
        <x:v>Planning &amp; estimation / coordination complexity</x:v>
      </x:c>
      <x:c r="D415" t="str">
        <x:v>Weather disruption / environmental constraints, Planning &amp; estimation / coordination complexity, Equipment constraints / low availability</x:v>
      </x:c>
      <x:c r="E415" t="str">
        <x:v>Weather disruption / environmental constraints</x:v>
      </x:c>
      <x:c r="F415" t="str">
        <x:v>Planning &amp; estimation / coordination complexity</x:v>
      </x:c>
      <x:c r="G415" t="str">
        <x:v>Weather disruption / environmental constraints, Planning &amp; estimation / coordination complexity, Equipment constraints / low availability</x:v>
      </x:c>
      <x:c r="H415" t="str">
        <x:v>Cost overrun mainly linked to weather disruption / environmental constraints; schedule overrun mainly linked to weather disruption / environmental constraints.</x:v>
      </x:c>
    </x:row>
    <x:row r="416">
      <x:c r="A416" t="str">
        <x:v>PJT_415</x:v>
      </x:c>
      <x:c r="B416" t="str">
        <x:v>Weather disruption / environmental constraints</x:v>
      </x:c>
      <x:c r="C416" t="str">
        <x:v>Equipment constraints / low availability</x:v>
      </x:c>
      <x:c r="D416" t="str">
        <x:v>Weather disruption / environmental constraints, Equipment constraints / low availability, Material supply / logistics &amp; market disruption</x:v>
      </x:c>
      <x:c r="E416" t="str">
        <x:v>Weather disruption / environmental constraints</x:v>
      </x:c>
      <x:c r="F416" t="str">
        <x:v>Equipment constraints / low availability</x:v>
      </x:c>
      <x:c r="G416" t="str">
        <x:v>Weather disruption / environmental constraints, Equipment constraints / low availability, Resource inefficiency (materials/labor/energy)</x:v>
      </x:c>
      <x:c r="H416" t="str">
        <x:v>Cost overrun mainly linked to weather disruption / environmental constraints; schedule overrun mainly linked to weather disruption / environmental constraints.</x:v>
      </x:c>
    </x:row>
    <x:row r="417">
      <x:c r="A417" t="str">
        <x:v>PJT_416</x:v>
      </x:c>
      <x:c r="B417" t="str">
        <x:v>Equipment constraints / low availability</x:v>
      </x:c>
      <x:c r="C417" t="str">
        <x:v>Resource inefficiency (materials/labor/energy)</x:v>
      </x:c>
      <x:c r="D417" t="str">
        <x:v>Equipment constraints / low availability, Resource inefficiency (materials/labor/energy), Material supply / logistics &amp; market disruption</x:v>
      </x:c>
      <x:c r="E417" t="str">
        <x:v>Equipment constraints / low availability</x:v>
      </x:c>
      <x:c r="F417" t="str">
        <x:v>Resource inefficiency (materials/labor/energy)</x:v>
      </x:c>
      <x:c r="G417" t="str">
        <x:v>Equipment constraints / low availability, Resource inefficiency (materials/labor/energy), Material supply / logistics &amp; market disruption</x:v>
      </x:c>
      <x:c r="H417" t="str">
        <x:v>Cost overrun mainly linked to equipment constraints / low availability; schedule overrun mainly linked to equipment constraints / low availability.</x:v>
      </x:c>
    </x:row>
    <x:row r="418">
      <x:c r="A418" t="str">
        <x:v>PJT_417</x:v>
      </x:c>
      <x:c r="B418" t="str">
        <x:v>Weather disruption / environmental constraints</x:v>
      </x:c>
      <x:c r="C418" t="str">
        <x:v>Unforeseen site/structural issues &amp; rework</x:v>
      </x:c>
      <x:c r="D418" t="str">
        <x:v>Weather disruption / environmental constraints, Unforeseen site/structural issues &amp; rework, Material supply / logistics &amp; market disruption</x:v>
      </x:c>
      <x:c r="E418" t="str">
        <x:v>Weather disruption / environmental constraints</x:v>
      </x:c>
      <x:c r="F418" t="str">
        <x:v>Unforeseen site/structural issues &amp; rework</x:v>
      </x:c>
      <x:c r="G418" t="str">
        <x:v>Weather disruption / environmental constraints, Unforeseen site/structural issues &amp; rework, Material supply / logistics &amp; market disruption</x:v>
      </x:c>
      <x:c r="H418" t="str">
        <x:v>Cost overrun mainly linked to weather disruption / environmental constraints; schedule overrun mainly linked to weather disruption / environmental constraints.</x:v>
      </x:c>
    </x:row>
    <x:row r="419">
      <x:c r="A419" t="str">
        <x:v>PJT_418</x:v>
      </x:c>
      <x:c r="B419" t="str">
        <x:v>Unforeseen site/structural issues &amp; rework</x:v>
      </x:c>
      <x:c r="C419" t="str">
        <x:v>Planning &amp; estimation / coordination complexity</x:v>
      </x:c>
      <x:c r="D419" t="str">
        <x:v>Unforeseen site/structural issues &amp; rework, Planning &amp; estimation / coordination complexity, Weather disruption / environmental constraints</x:v>
      </x:c>
      <x:c r="E419" t="str">
        <x:v>Unforeseen site/structural issues &amp; rework</x:v>
      </x:c>
      <x:c r="F419" t="str">
        <x:v>Planning &amp; estimation / coordination complexity</x:v>
      </x:c>
      <x:c r="G419" t="str">
        <x:v>Unforeseen site/structural issues &amp; rework, Planning &amp; estimation / coordination complexity, Weather disruption / environmental constraints</x:v>
      </x:c>
      <x:c r="H419" t="str">
        <x:v>Cost overrun mainly linked to unforeseen site/structural issues &amp; rework; schedule overrun mainly linked to unforeseen site/structural issues &amp; rework.</x:v>
      </x:c>
    </x:row>
    <x:row r="420">
      <x:c r="A420" t="str">
        <x:v>PJT_419</x:v>
      </x:c>
      <x:c r="B420" t="str">
        <x:v>Weather disruption / environmental constraints</x:v>
      </x:c>
      <x:c r="C420" t="str">
        <x:v>Material supply / logistics &amp; market disruption</x:v>
      </x:c>
      <x:c r="D420" t="str">
        <x:v>Weather disruption / environmental constraints, Material supply / logistics &amp; market disruption, Unforeseen site/structural issues &amp; rework</x:v>
      </x:c>
      <x:c r="E420" t="str">
        <x:v>Weather disruption / environmental constraints</x:v>
      </x:c>
      <x:c r="F420" t="str">
        <x:v>Material supply / logistics &amp; market disruption</x:v>
      </x:c>
      <x:c r="G420" t="str">
        <x:v>Weather disruption / environmental constraints, Material supply / logistics &amp; market disruption, Unforeseen site/structural issues &amp; rework</x:v>
      </x:c>
      <x:c r="H420" t="str">
        <x:v>Cost overrun mainly linked to weather disruption / environmental constraints; schedule overrun mainly linked to weather disruption / environmental constraints.</x:v>
      </x:c>
    </x:row>
    <x:row r="421">
      <x:c r="A421" t="str">
        <x:v>PJT_420</x:v>
      </x:c>
      <x:c r="B421" t="str">
        <x:v>Planning &amp; estimation / coordination complexity</x:v>
      </x:c>
      <x:c r="C421" t="str">
        <x:v>Material supply / logistics &amp; market disruption</x:v>
      </x:c>
      <x:c r="D421" t="str">
        <x:v>Planning &amp; estimation / coordination complexity, Material supply / logistics &amp; market disruption, Equipment constraints / low availability</x:v>
      </x:c>
      <x:c r="E421" t="str">
        <x:v>Planning &amp; estimation / coordination complexity</x:v>
      </x:c>
      <x:c r="F421" t="str">
        <x:v>Material supply / logistics &amp; market disruption</x:v>
      </x:c>
      <x:c r="G421" t="str">
        <x:v>Planning &amp; estimation / coordination complexity, Material supply / logistics &amp; market disruption, Unforeseen site/structural issues &amp; rework</x:v>
      </x:c>
      <x:c r="H421" t="str">
        <x:v>Cost overrun mainly linked to planning &amp; estimation / coordination complexity; schedule overrun mainly linked to planning &amp; estimation / coordination complexity.</x:v>
      </x:c>
    </x:row>
    <x:row r="422">
      <x:c r="A422" t="str">
        <x:v>PJT_421</x:v>
      </x:c>
      <x:c r="B422" t="str">
        <x:v>Weather disruption / environmental constraints</x:v>
      </x:c>
      <x:c r="C422" t="str">
        <x:v>Unforeseen site/structural issues &amp; rework</x:v>
      </x:c>
      <x:c r="D422" t="str">
        <x:v>Weather disruption / environmental constraints, Unforeseen site/structural issues &amp; rework, Material supply / logistics &amp; market disruption</x:v>
      </x:c>
      <x:c r="E422" t="str">
        <x:v>Weather disruption / environmental constraints</x:v>
      </x:c>
      <x:c r="F422" t="str">
        <x:v>Unforeseen site/structural issues &amp; rework</x:v>
      </x:c>
      <x:c r="G422" t="str">
        <x:v>Weather disruption / environmental constraints, Unforeseen site/structural issues &amp; rework, Material supply / logistics &amp; market disruption</x:v>
      </x:c>
      <x:c r="H422" t="str">
        <x:v>Cost overrun mainly linked to weather disruption / environmental constraints; schedule overrun mainly linked to weather disruption / environmental constraints.</x:v>
      </x:c>
    </x:row>
    <x:row r="423">
      <x:c r="A423" t="str">
        <x:v>PJT_422</x:v>
      </x:c>
      <x:c r="B423" t="str">
        <x:v>Resource inefficiency (materials/labor/energy)</x:v>
      </x:c>
      <x:c r="C423" t="str">
        <x:v>Planning &amp; estimation / coordination complexity</x:v>
      </x:c>
      <x:c r="D423" t="str">
        <x:v>Resource inefficiency (materials/labor/energy), Planning &amp; estimation / coordination complexity, Equipment constraints / low availability</x:v>
      </x:c>
      <x:c r="E423" t="str">
        <x:v>Resource inefficiency (materials/labor/energy)</x:v>
      </x:c>
      <x:c r="F423" t="str">
        <x:v>Planning &amp; estimation / coordination complexity</x:v>
      </x:c>
      <x:c r="G423" t="str">
        <x:v>Resource inefficiency (materials/labor/energy), Planning &amp; estimation / coordination complexity, Equipment constraints / low availability</x:v>
      </x:c>
      <x:c r="H423" t="str">
        <x:v>Cost overrun mainly linked to resource inefficiency (materials/labor/energy); schedule overrun mainly linked to resource inefficiency (materials/labor/energy).</x:v>
      </x:c>
    </x:row>
    <x:row r="424">
      <x:c r="A424" t="str">
        <x:v>PJT_423</x:v>
      </x:c>
      <x:c r="B424" t="str">
        <x:v>Weather disruption / environmental constraints</x:v>
      </x:c>
      <x:c r="C424" t="str">
        <x:v>Unforeseen site/structural issues &amp; rework</x:v>
      </x:c>
      <x:c r="D424" t="str">
        <x:v>Weather disruption / environmental constraints, Unforeseen site/structural issues &amp; rework, Planning &amp; estimation / coordination complexity</x:v>
      </x:c>
      <x:c r="E424" t="str">
        <x:v>Weather disruption / environmental constraints</x:v>
      </x:c>
      <x:c r="F424" t="str">
        <x:v>Material supply / logistics &amp; market disruption</x:v>
      </x:c>
      <x:c r="G424" t="str">
        <x:v>Weather disruption / environmental constraints, Material supply / logistics &amp; market disruption, Unforeseen site/structural issues &amp; rework</x:v>
      </x:c>
      <x:c r="H424" t="str">
        <x:v>Cost overrun mainly linked to weather disruption / environmental constraints; schedule overrun mainly linked to weather disruption / environmental constraints.</x:v>
      </x:c>
    </x:row>
    <x:row r="425">
      <x:c r="A425" t="str">
        <x:v>PJT_424</x:v>
      </x:c>
      <x:c r="B425" t="str">
        <x:v>Planning &amp; estimation / coordination complexity</x:v>
      </x:c>
      <x:c r="C425" t="str">
        <x:v>Equipment constraints / low availability</x:v>
      </x:c>
      <x:c r="D425" t="str">
        <x:v>Planning &amp; estimation / coordination complexity, Equipment constraints / low availability, Unforeseen site/structural issues &amp; rework</x:v>
      </x:c>
      <x:c r="E425" t="str">
        <x:v>Unforeseen site/structural issues &amp; rework</x:v>
      </x:c>
      <x:c r="F425" t="str">
        <x:v>Planning &amp; estimation / coordination complexity</x:v>
      </x:c>
      <x:c r="G425" t="str">
        <x:v>Unforeseen site/structural issues &amp; rework, Planning &amp; estimation / coordination complexity, Equipment constraints / low availability</x:v>
      </x:c>
      <x:c r="H425" t="str">
        <x:v>Cost overrun mainly linked to planning &amp; estimation / coordination complexity; schedule overrun mainly linked to unforeseen site/structural issues &amp; rework.</x:v>
      </x:c>
    </x:row>
    <x:row r="426">
      <x:c r="A426" t="str">
        <x:v>PJT_425</x:v>
      </x:c>
      <x:c r="B426" t="str">
        <x:v>Equipment constraints / low availability</x:v>
      </x:c>
      <x:c r="C426" t="str">
        <x:v>Resource inefficiency (materials/labor/energy)</x:v>
      </x:c>
      <x:c r="D426" t="str">
        <x:v>Equipment constraints / low availability, Resource inefficiency (materials/labor/energy), Planning &amp; estimation / coordination complexity</x:v>
      </x:c>
      <x:c r="E426" t="str">
        <x:v>Equipment constraints / low availability</x:v>
      </x:c>
      <x:c r="F426" t="str">
        <x:v>Resource inefficiency (materials/labor/energy)</x:v>
      </x:c>
      <x:c r="G426" t="str">
        <x:v>Equipment constraints / low availability, Resource inefficiency (materials/labor/energy), Planning &amp; estimation / coordination complexity</x:v>
      </x:c>
      <x:c r="H426" t="str">
        <x:v>Cost overrun mainly linked to equipment constraints / low availability; schedule overrun mainly linked to equipment constraints / low availability.</x:v>
      </x:c>
    </x:row>
    <x:row r="427">
      <x:c r="A427" t="str">
        <x:v>PJT_426</x:v>
      </x:c>
      <x:c r="B427" t="str">
        <x:v>Resource inefficiency (materials/labor/energy)</x:v>
      </x:c>
      <x:c r="C427" t="str">
        <x:v>Material supply / logistics &amp; market disruption</x:v>
      </x:c>
      <x:c r="D427" t="str">
        <x:v>Resource inefficiency (materials/labor/energy), Material supply / logistics &amp; market disruption, Equipment constraints / low availability</x:v>
      </x:c>
      <x:c r="E427" t="str">
        <x:v>Resource inefficiency (materials/labor/energy)</x:v>
      </x:c>
      <x:c r="F427" t="str">
        <x:v>Planning &amp; estimation / coordination complexity</x:v>
      </x:c>
      <x:c r="G427" t="str">
        <x:v>Resource inefficiency (materials/labor/energy), Planning &amp; estimation / coordination complexity, Equipment constraints / low availability</x:v>
      </x:c>
      <x:c r="H427" t="str">
        <x:v>Cost overrun mainly linked to resource inefficiency (materials/labor/energy); schedule overrun mainly linked to resource inefficiency (materials/labor/energy).</x:v>
      </x:c>
    </x:row>
    <x:row r="428">
      <x:c r="A428" t="str">
        <x:v>PJT_427</x:v>
      </x:c>
      <x:c r="B428" t="str">
        <x:v>Material supply / logistics &amp; market disruption</x:v>
      </x:c>
      <x:c r="C428" t="str">
        <x:v>Resource inefficiency (materials/labor/energy)</x:v>
      </x:c>
      <x:c r="D428" t="str">
        <x:v>Material supply / logistics &amp; market disruption, Resource inefficiency (materials/labor/energy), Weather disruption / environmental constraints</x:v>
      </x:c>
      <x:c r="E428" t="str">
        <x:v>Material supply / logistics &amp; market disruption</x:v>
      </x:c>
      <x:c r="F428" t="str">
        <x:v>Resource inefficiency (materials/labor/energy)</x:v>
      </x:c>
      <x:c r="G428" t="str">
        <x:v>Material supply / logistics &amp; market disruption, Resource inefficiency (materials/labor/energy), Weather disruption / environmental constraints</x:v>
      </x:c>
      <x:c r="H428" t="str">
        <x:v>Cost overrun mainly linked to material supply / logistics &amp; market disruption; schedule overrun mainly linked to material supply / logistics &amp; market disruption.</x:v>
      </x:c>
    </x:row>
    <x:row r="429">
      <x:c r="A429" t="str">
        <x:v>PJT_428</x:v>
      </x:c>
      <x:c r="B429" t="str">
        <x:v>Weather disruption / environmental constraints</x:v>
      </x:c>
      <x:c r="C429" t="str">
        <x:v>Equipment constraints / low availability</x:v>
      </x:c>
      <x:c r="D429" t="str">
        <x:v>Weather disruption / environmental constraints, Equipment constraints / low availability, Planning &amp; estimation / coordination complexity</x:v>
      </x:c>
      <x:c r="E429" t="str">
        <x:v>Weather disruption / environmental constraints</x:v>
      </x:c>
      <x:c r="F429" t="str">
        <x:v>Equipment constraints / low availability</x:v>
      </x:c>
      <x:c r="G429" t="str">
        <x:v>Weather disruption / environmental constraints, Equipment constraints / low availability, Planning &amp; estimation / coordination complexity</x:v>
      </x:c>
      <x:c r="H429" t="str">
        <x:v>Cost overrun mainly linked to weather disruption / environmental constraints; schedule overrun mainly linked to weather disruption / environmental constraints.</x:v>
      </x:c>
    </x:row>
    <x:row r="430">
      <x:c r="A430" t="str">
        <x:v>PJT_429</x:v>
      </x:c>
      <x:c r="B430" t="str">
        <x:v>Resource inefficiency (materials/labor/energy)</x:v>
      </x:c>
      <x:c r="C430" t="str">
        <x:v>Material supply / logistics &amp; market disruption</x:v>
      </x:c>
      <x:c r="D430" t="str">
        <x:v>Resource inefficiency (materials/labor/energy), Material supply / logistics &amp; market disruption, Planning &amp; estimation / coordination complexity</x:v>
      </x:c>
      <x:c r="E430" t="str">
        <x:v>Resource inefficiency (materials/labor/energy)</x:v>
      </x:c>
      <x:c r="F430" t="str">
        <x:v>Planning &amp; estimation / coordination complexity</x:v>
      </x:c>
      <x:c r="G430" t="str">
        <x:v>Resource inefficiency (materials/labor/energy), Planning &amp; estimation / coordination complexity, Material supply / logistics &amp; market disruption</x:v>
      </x:c>
      <x:c r="H430" t="str">
        <x:v>Cost overrun mainly linked to resource inefficiency (materials/labor/energy); schedule overrun mainly linked to resource inefficiency (materials/labor/energy).</x:v>
      </x:c>
    </x:row>
    <x:row r="431">
      <x:c r="A431" t="str">
        <x:v>PJT_430</x:v>
      </x:c>
      <x:c r="B431" t="str">
        <x:v>Resource inefficiency (materials/labor/energy)</x:v>
      </x:c>
      <x:c r="C431" t="str">
        <x:v>Equipment constraints / low availability</x:v>
      </x:c>
      <x:c r="D431" t="str">
        <x:v>Resource inefficiency (materials/labor/energy), Equipment constraints / low availability, Planning &amp; estimation / coordination complexity</x:v>
      </x:c>
      <x:c r="E431" t="str">
        <x:v>Resource inefficiency (materials/labor/energy)</x:v>
      </x:c>
      <x:c r="F431" t="str">
        <x:v>Equipment constraints / low availability</x:v>
      </x:c>
      <x:c r="G431" t="str">
        <x:v>Resource inefficiency (materials/labor/energy), Equipment constraints / low availability, Planning &amp; estimation / coordination complexity</x:v>
      </x:c>
      <x:c r="H431" t="str">
        <x:v>Cost overrun mainly linked to resource inefficiency (materials/labor/energy); schedule overrun mainly linked to resource inefficiency (materials/labor/energy).</x:v>
      </x:c>
    </x:row>
    <x:row r="432">
      <x:c r="A432" t="str">
        <x:v>PJT_431</x:v>
      </x:c>
      <x:c r="B432" t="str">
        <x:v>Unforeseen site/structural issues &amp; rework</x:v>
      </x:c>
      <x:c r="C432" t="str">
        <x:v>Planning &amp; estimation / coordination complexity</x:v>
      </x:c>
      <x:c r="D432" t="str">
        <x:v>Unforeseen site/structural issues &amp; rework, Planning &amp; estimation / coordination complexity, Weather disruption / environmental constraints</x:v>
      </x:c>
      <x:c r="E432" t="str">
        <x:v>Unforeseen site/structural issues &amp; rework</x:v>
      </x:c>
      <x:c r="F432" t="str">
        <x:v>Planning &amp; estimation / coordination complexity</x:v>
      </x:c>
      <x:c r="G432" t="str">
        <x:v>Unforeseen site/structural issues &amp; rework, Planning &amp; estimation / coordination complexity, Weather disruption / environmental constraints</x:v>
      </x:c>
      <x:c r="H432" t="str">
        <x:v>Cost overrun mainly linked to unforeseen site/structural issues &amp; rework; schedule overrun mainly linked to unforeseen site/structural issues &amp; rework.</x:v>
      </x:c>
    </x:row>
    <x:row r="433">
      <x:c r="A433" t="str">
        <x:v>PJT_432</x:v>
      </x:c>
      <x:c r="B433" t="str">
        <x:v>Equipment constraints / low availability</x:v>
      </x:c>
      <x:c r="C433" t="str">
        <x:v>Planning &amp; estimation / coordination complexity</x:v>
      </x:c>
      <x:c r="D433" t="str">
        <x:v>Equipment constraints / low availability, Planning &amp; estimation / coordination complexity, Material supply / logistics &amp; market disruption</x:v>
      </x:c>
      <x:c r="E433" t="str">
        <x:v>Equipment constraints / low availability</x:v>
      </x:c>
      <x:c r="F433" t="str">
        <x:v>Weather disruption / environmental constraints</x:v>
      </x:c>
      <x:c r="G433" t="str">
        <x:v>Equipment constraints / low availability, Weather disruption / environmental constraints, Material supply / logistics &amp; market disruption</x:v>
      </x:c>
      <x:c r="H433" t="str">
        <x:v>Cost overrun mainly linked to equipment constraints / low availability; schedule overrun mainly linked to equipment constraints / low availability.</x:v>
      </x:c>
    </x:row>
    <x:row r="434">
      <x:c r="A434" t="str">
        <x:v>PJT_433</x:v>
      </x:c>
      <x:c r="B434" t="str">
        <x:v>Resource inefficiency (materials/labor/energy)</x:v>
      </x:c>
      <x:c r="C434" t="str">
        <x:v>Equipment constraints / low availability</x:v>
      </x:c>
      <x:c r="D434" t="str">
        <x:v>Resource inefficiency (materials/labor/energy), Equipment constraints / low availability, Planning &amp; estimation / coordination complexity</x:v>
      </x:c>
      <x:c r="E434" t="str">
        <x:v>Resource inefficiency (materials/labor/energy)</x:v>
      </x:c>
      <x:c r="F434" t="str">
        <x:v>Equipment constraints / low availability</x:v>
      </x:c>
      <x:c r="G434" t="str">
        <x:v>Resource inefficiency (materials/labor/energy), Equipment constraints / low availability, Planning &amp; estimation / coordination complexity</x:v>
      </x:c>
      <x:c r="H434" t="str">
        <x:v>Cost overrun mainly linked to resource inefficiency (materials/labor/energy); schedule overrun mainly linked to resource inefficiency (materials/labor/energy).</x:v>
      </x:c>
    </x:row>
    <x:row r="435">
      <x:c r="A435" t="str">
        <x:v>PJT_434</x:v>
      </x:c>
      <x:c r="B435" t="str">
        <x:v>Weather disruption / environmental constraints</x:v>
      </x:c>
      <x:c r="C435" t="str">
        <x:v>Material supply / logistics &amp; market disruption</x:v>
      </x:c>
      <x:c r="D435" t="str">
        <x:v>Weather disruption / environmental constraints, Material supply / logistics &amp; market disruption, Equipment constraints / low availability</x:v>
      </x:c>
      <x:c r="E435" t="str">
        <x:v>Weather disruption / environmental constraints</x:v>
      </x:c>
      <x:c r="F435" t="str">
        <x:v>Material supply / logistics &amp; market disruption</x:v>
      </x:c>
      <x:c r="G435" t="str">
        <x:v>Weather disruption / environmental constraints, Material supply / logistics &amp; market disruption, Equipment constraints / low availability</x:v>
      </x:c>
      <x:c r="H435" t="str">
        <x:v>Cost overrun mainly linked to weather disruption / environmental constraints; schedule overrun mainly linked to weather disruption / environmental constraints.</x:v>
      </x:c>
    </x:row>
    <x:row r="436">
      <x:c r="A436" t="str">
        <x:v>PJT_435</x:v>
      </x:c>
      <x:c r="B436" t="str">
        <x:v>Equipment constraints / low availability</x:v>
      </x:c>
      <x:c r="C436" t="str">
        <x:v>Resource inefficiency (materials/labor/energy)</x:v>
      </x:c>
      <x:c r="D436" t="str">
        <x:v>Equipment constraints / low availability, Resource inefficiency (materials/labor/energy), Planning &amp; estimation / coordination complexity</x:v>
      </x:c>
      <x:c r="E436" t="str">
        <x:v>Equipment constraints / low availability</x:v>
      </x:c>
      <x:c r="F436" t="str">
        <x:v>Resource inefficiency (materials/labor/energy)</x:v>
      </x:c>
      <x:c r="G436" t="str">
        <x:v>Equipment constraints / low availability, Resource inefficiency (materials/labor/energy), Planning &amp; estimation / coordination complexity</x:v>
      </x:c>
      <x:c r="H436" t="str">
        <x:v>Cost overrun mainly linked to equipment constraints / low availability; schedule overrun mainly linked to equipment constraints / low availability.</x:v>
      </x:c>
    </x:row>
    <x:row r="437">
      <x:c r="A437" t="str">
        <x:v>PJT_436</x:v>
      </x:c>
      <x:c r="B437" t="str">
        <x:v>Weather disruption / environmental constraints</x:v>
      </x:c>
      <x:c r="C437" t="str">
        <x:v>Unforeseen site/structural issues &amp; rework</x:v>
      </x:c>
      <x:c r="D437" t="str">
        <x:v>Weather disruption / environmental constraints, Unforeseen site/structural issues &amp; rework, Equipment constraints / low availability</x:v>
      </x:c>
      <x:c r="E437" t="str">
        <x:v>Weather disruption / environmental constraints</x:v>
      </x:c>
      <x:c r="F437" t="str">
        <x:v>Equipment constraints / low availability</x:v>
      </x:c>
      <x:c r="G437" t="str">
        <x:v>Weather disruption / environmental constraints, Equipment constraints / low availability, Unforeseen site/structural issues &amp; rework</x:v>
      </x:c>
      <x:c r="H437" t="str">
        <x:v>Cost overrun mainly linked to weather disruption / environmental constraints; schedule overrun mainly linked to weather disruption / environmental constraints.</x:v>
      </x:c>
    </x:row>
    <x:row r="438">
      <x:c r="A438" t="str">
        <x:v>PJT_437</x:v>
      </x:c>
      <x:c r="B438" t="str">
        <x:v>Resource inefficiency (materials/labor/energy)</x:v>
      </x:c>
      <x:c r="C438" t="str">
        <x:v>Planning &amp; estimation / coordination complexity</x:v>
      </x:c>
      <x:c r="D438" t="str">
        <x:v>Resource inefficiency (materials/labor/energy), Planning &amp; estimation / coordination complexity, Equipment constraints / low availability</x:v>
      </x:c>
      <x:c r="E438" t="str">
        <x:v>Planning &amp; estimation / coordination complexity</x:v>
      </x:c>
      <x:c r="F438" t="str">
        <x:v>Resource inefficiency (materials/labor/energy)</x:v>
      </x:c>
      <x:c r="G438" t="str">
        <x:v>Planning &amp; estimation / coordination complexity, Resource inefficiency (materials/labor/energy), Equipment constraints / low availability</x:v>
      </x:c>
      <x:c r="H438" t="str">
        <x:v>Cost overrun mainly linked to resource inefficiency (materials/labor/energy); schedule overrun mainly linked to planning &amp; estimation / coordination complexity.</x:v>
      </x:c>
    </x:row>
    <x:row r="439">
      <x:c r="A439" t="str">
        <x:v>PJT_438</x:v>
      </x:c>
      <x:c r="B439" t="str">
        <x:v>Weather disruption / environmental constraints</x:v>
      </x:c>
      <x:c r="C439" t="str">
        <x:v>Equipment constraints / low availability</x:v>
      </x:c>
      <x:c r="D439" t="str">
        <x:v>Weather disruption / environmental constraints, Equipment constraints / low availability, Material supply / logistics &amp; market disruption</x:v>
      </x:c>
      <x:c r="E439" t="str">
        <x:v>Weather disruption / environmental constraints</x:v>
      </x:c>
      <x:c r="F439" t="str">
        <x:v>Material supply / logistics &amp; market disruption</x:v>
      </x:c>
      <x:c r="G439" t="str">
        <x:v>Weather disruption / environmental constraints, Material supply / logistics &amp; market disruption, Equipment constraints / low availability</x:v>
      </x:c>
      <x:c r="H439" t="str">
        <x:v>Cost overrun mainly linked to weather disruption / environmental constraints; schedule overrun mainly linked to weather disruption / environmental constraints.</x:v>
      </x:c>
    </x:row>
    <x:row r="440">
      <x:c r="A440" t="str">
        <x:v>PJT_439</x:v>
      </x:c>
      <x:c r="B440" t="str">
        <x:v>Resource inefficiency (materials/labor/energy)</x:v>
      </x:c>
      <x:c r="C440" t="str">
        <x:v>Equipment constraints / low availability</x:v>
      </x:c>
      <x:c r="D440" t="str">
        <x:v>Resource inefficiency (materials/labor/energy), Equipment constraints / low availability, Material supply / logistics &amp; market disruption</x:v>
      </x:c>
      <x:c r="E440" t="str">
        <x:v>Resource inefficiency (materials/labor/energy)</x:v>
      </x:c>
      <x:c r="F440" t="str">
        <x:v>Equipment constraints / low availability</x:v>
      </x:c>
      <x:c r="G440" t="str">
        <x:v>Resource inefficiency (materials/labor/energy), Equipment constraints / low availability, Planning &amp; estimation / coordination complexity</x:v>
      </x:c>
      <x:c r="H440" t="str">
        <x:v>Cost overrun mainly linked to resource inefficiency (materials/labor/energy); schedule overrun mainly linked to resource inefficiency (materials/labor/energy).</x:v>
      </x:c>
    </x:row>
    <x:row r="441">
      <x:c r="A441" t="str">
        <x:v>PJT_440</x:v>
      </x:c>
      <x:c r="B441" t="str">
        <x:v>Resource inefficiency (materials/labor/energy)</x:v>
      </x:c>
      <x:c r="C441" t="str">
        <x:v>Material supply / logistics &amp; market disruption</x:v>
      </x:c>
      <x:c r="D441" t="str">
        <x:v>Resource inefficiency (materials/labor/energy), Material supply / logistics &amp; market disruption, Planning &amp; estimation / coordination complexity</x:v>
      </x:c>
      <x:c r="E441" t="str">
        <x:v>Resource inefficiency (materials/labor/energy)</x:v>
      </x:c>
      <x:c r="F441" t="str">
        <x:v>Planning &amp; estimation / coordination complexity</x:v>
      </x:c>
      <x:c r="G441" t="str">
        <x:v>Resource inefficiency (materials/labor/energy), Planning &amp; estimation / coordination complexity, Material supply / logistics &amp; market disruption</x:v>
      </x:c>
      <x:c r="H441" t="str">
        <x:v>Cost overrun mainly linked to resource inefficiency (materials/labor/energy); schedule overrun mainly linked to resource inefficiency (materials/labor/energy).</x:v>
      </x:c>
    </x:row>
    <x:row r="442">
      <x:c r="A442" t="str">
        <x:v>PJT_441</x:v>
      </x:c>
      <x:c r="B442" t="str">
        <x:v>Unforeseen site/structural issues &amp; rework</x:v>
      </x:c>
      <x:c r="C442" t="str">
        <x:v>Resource inefficiency (materials/labor/energy)</x:v>
      </x:c>
      <x:c r="D442" t="str">
        <x:v>Unforeseen site/structural issues &amp; rework, Resource inefficiency (materials/labor/energy), Material supply / logistics &amp; market disruption</x:v>
      </x:c>
      <x:c r="E442" t="str">
        <x:v>Unforeseen site/structural issues &amp; rework</x:v>
      </x:c>
      <x:c r="F442" t="str">
        <x:v>Resource inefficiency (materials/labor/energy)</x:v>
      </x:c>
      <x:c r="G442" t="str">
        <x:v>Unforeseen site/structural issues &amp; rework, Resource inefficiency (materials/labor/energy), Planning &amp; estimation / coordination complexity</x:v>
      </x:c>
      <x:c r="H442" t="str">
        <x:v>Cost overrun mainly linked to unforeseen site/structural issues &amp; rework; schedule overrun mainly linked to unforeseen site/structural issues &amp; rework.</x:v>
      </x:c>
    </x:row>
    <x:row r="443">
      <x:c r="A443" t="str">
        <x:v>PJT_442</x:v>
      </x:c>
      <x:c r="B443" t="str">
        <x:v>Unforeseen site/structural issues &amp; rework</x:v>
      </x:c>
      <x:c r="C443" t="str">
        <x:v>Planning &amp; estimation / coordination complexity</x:v>
      </x:c>
      <x:c r="D443" t="str">
        <x:v>Unforeseen site/structural issues &amp; rework, Planning &amp; estimation / coordination complexity, Equipment constraints / low availability</x:v>
      </x:c>
      <x:c r="E443" t="str">
        <x:v>Unforeseen site/structural issues &amp; rework</x:v>
      </x:c>
      <x:c r="F443" t="str">
        <x:v>Planning &amp; estimation / coordination complexity</x:v>
      </x:c>
      <x:c r="G443" t="str">
        <x:v>Unforeseen site/structural issues &amp; rework, Planning &amp; estimation / coordination complexity, Resource inefficiency (materials/labor/energy)</x:v>
      </x:c>
      <x:c r="H443" t="str">
        <x:v>Cost overrun mainly linked to unforeseen site/structural issues &amp; rework; schedule overrun mainly linked to unforeseen site/structural issues &amp; rework.</x:v>
      </x:c>
    </x:row>
    <x:row r="444">
      <x:c r="A444" t="str">
        <x:v>PJT_443</x:v>
      </x:c>
      <x:c r="B444" t="str">
        <x:v>Material supply / logistics &amp; market disruption</x:v>
      </x:c>
      <x:c r="C444" t="str">
        <x:v>Resource inefficiency (materials/labor/energy)</x:v>
      </x:c>
      <x:c r="D444" t="str">
        <x:v>Material supply / logistics &amp; market disruption, Resource inefficiency (materials/labor/energy), Weather disruption / environmental constraints</x:v>
      </x:c>
      <x:c r="E444" t="str">
        <x:v>Material supply / logistics &amp; market disruption</x:v>
      </x:c>
      <x:c r="F444" t="str">
        <x:v>Resource inefficiency (materials/labor/energy)</x:v>
      </x:c>
      <x:c r="G444" t="str">
        <x:v>Material supply / logistics &amp; market disruption, Resource inefficiency (materials/labor/energy), Weather disruption / environmental constraints</x:v>
      </x:c>
      <x:c r="H444" t="str">
        <x:v>Cost overrun mainly linked to material supply / logistics &amp; market disruption; schedule overrun mainly linked to material supply / logistics &amp; market disruption.</x:v>
      </x:c>
    </x:row>
    <x:row r="445">
      <x:c r="A445" t="str">
        <x:v>PJT_444</x:v>
      </x:c>
      <x:c r="B445" t="str">
        <x:v>Weather disruption / environmental constraints</x:v>
      </x:c>
      <x:c r="C445" t="str">
        <x:v>Equipment constraints / low availability</x:v>
      </x:c>
      <x:c r="D445" t="str">
        <x:v>Weather disruption / environmental constraints, Equipment constraints / low availability, Planning &amp; estimation / coordination complexity</x:v>
      </x:c>
      <x:c r="E445" t="str">
        <x:v>Weather disruption / environmental constraints</x:v>
      </x:c>
      <x:c r="F445" t="str">
        <x:v>Equipment constraints / low availability</x:v>
      </x:c>
      <x:c r="G445" t="str">
        <x:v>Weather disruption / environmental constraints, Equipment constraints / low availability, Planning &amp; estimation / coordination complexity</x:v>
      </x:c>
      <x:c r="H445" t="str">
        <x:v>Cost overrun mainly linked to weather disruption / environmental constraints; schedule overrun mainly linked to weather disruption / environmental constraints.</x:v>
      </x:c>
    </x:row>
    <x:row r="446">
      <x:c r="A446" t="str">
        <x:v>PJT_445</x:v>
      </x:c>
      <x:c r="B446" t="str">
        <x:v>Planning &amp; estimation / coordination complexity</x:v>
      </x:c>
      <x:c r="C446" t="str">
        <x:v>Resource inefficiency (materials/labor/energy)</x:v>
      </x:c>
      <x:c r="D446" t="str">
        <x:v>Planning &amp; estimation / coordination complexity, Resource inefficiency (materials/labor/energy), Unforeseen site/structural issues &amp; rework</x:v>
      </x:c>
      <x:c r="E446" t="str">
        <x:v>Planning &amp; estimation / coordination complexity</x:v>
      </x:c>
      <x:c r="F446" t="str">
        <x:v>Unforeseen site/structural issues &amp; rework</x:v>
      </x:c>
      <x:c r="G446" t="str">
        <x:v>Planning &amp; estimation / coordination complexity, Unforeseen site/structural issues &amp; rework, Resource inefficiency (materials/labor/energy)</x:v>
      </x:c>
      <x:c r="H446" t="str">
        <x:v>Cost overrun mainly linked to planning &amp; estimation / coordination complexity; schedule overrun mainly linked to planning &amp; estimation / coordination complexity.</x:v>
      </x:c>
    </x:row>
    <x:row r="447">
      <x:c r="A447" t="str">
        <x:v>PJT_446</x:v>
      </x:c>
      <x:c r="B447" t="str">
        <x:v>Weather disruption / environmental constraints</x:v>
      </x:c>
      <x:c r="C447" t="str">
        <x:v>Unforeseen site/structural issues &amp; rework</x:v>
      </x:c>
      <x:c r="D447" t="str">
        <x:v>Weather disruption / environmental constraints, Unforeseen site/structural issues &amp; rework, Material supply / logistics &amp; market disruption</x:v>
      </x:c>
      <x:c r="E447" t="str">
        <x:v>Weather disruption / environmental constraints</x:v>
      </x:c>
      <x:c r="F447" t="str">
        <x:v>Unforeseen site/structural issues &amp; rework</x:v>
      </x:c>
      <x:c r="G447" t="str">
        <x:v>Weather disruption / environmental constraints, Unforeseen site/structural issues &amp; rework, Material supply / logistics &amp; market disruption</x:v>
      </x:c>
      <x:c r="H447" t="str">
        <x:v>Cost overrun mainly linked to weather disruption / environmental constraints; schedule overrun mainly linked to weather disruption / environmental constraints.</x:v>
      </x:c>
    </x:row>
    <x:row r="448">
      <x:c r="A448" t="str">
        <x:v>PJT_447</x:v>
      </x:c>
      <x:c r="B448" t="str">
        <x:v>Planning &amp; estimation / coordination complexity</x:v>
      </x:c>
      <x:c r="C448" t="str">
        <x:v>Resource inefficiency (materials/labor/energy)</x:v>
      </x:c>
      <x:c r="D448" t="str">
        <x:v>Planning &amp; estimation / coordination complexity, Resource inefficiency (materials/labor/energy), Unforeseen site/structural issues &amp; rework</x:v>
      </x:c>
      <x:c r="E448" t="str">
        <x:v>Planning &amp; estimation / coordination complexity</x:v>
      </x:c>
      <x:c r="F448" t="str">
        <x:v>Unforeseen site/structural issues &amp; rework</x:v>
      </x:c>
      <x:c r="G448" t="str">
        <x:v>Planning &amp; estimation / coordination complexity, Unforeseen site/structural issues &amp; rework, Resource inefficiency (materials/labor/energy)</x:v>
      </x:c>
      <x:c r="H448" t="str">
        <x:v>Cost overrun mainly linked to planning &amp; estimation / coordination complexity; schedule overrun mainly linked to planning &amp; estimation / coordination complexity.</x:v>
      </x:c>
    </x:row>
    <x:row r="449">
      <x:c r="A449" t="str">
        <x:v>PJT_448</x:v>
      </x:c>
      <x:c r="B449" t="str">
        <x:v>Planning &amp; estimation / coordination complexity</x:v>
      </x:c>
      <x:c r="C449" t="str">
        <x:v>Equipment constraints / low availability</x:v>
      </x:c>
      <x:c r="D449" t="str">
        <x:v>Planning &amp; estimation / coordination complexity, Equipment constraints / low availability, Weather disruption / environmental constraints</x:v>
      </x:c>
      <x:c r="E449" t="str">
        <x:v>Planning &amp; estimation / coordination complexity</x:v>
      </x:c>
      <x:c r="F449" t="str">
        <x:v>Weather disruption / environmental constraints</x:v>
      </x:c>
      <x:c r="G449" t="str">
        <x:v>Planning &amp; estimation / coordination complexity, Weather disruption / environmental constraints, Equipment constraints / low availability</x:v>
      </x:c>
      <x:c r="H449" t="str">
        <x:v>Cost overrun mainly linked to planning &amp; estimation / coordination complexity; schedule overrun mainly linked to planning &amp; estimation / coordination complexity.</x:v>
      </x:c>
    </x:row>
    <x:row r="450">
      <x:c r="A450" t="str">
        <x:v>PJT_449</x:v>
      </x:c>
      <x:c r="B450" t="str">
        <x:v>Equipment constraints / low availability</x:v>
      </x:c>
      <x:c r="C450" t="str">
        <x:v>Material supply / logistics &amp; market disruption</x:v>
      </x:c>
      <x:c r="D450" t="str">
        <x:v>Equipment constraints / low availability, Material supply / logistics &amp; market disruption, Planning &amp; estimation / coordination complexity</x:v>
      </x:c>
      <x:c r="E450" t="str">
        <x:v>Equipment constraints / low availability</x:v>
      </x:c>
      <x:c r="F450" t="str">
        <x:v>Material supply / logistics &amp; market disruption</x:v>
      </x:c>
      <x:c r="G450" t="str">
        <x:v>Equipment constraints / low availability, Material supply / logistics &amp; market disruption, Resource inefficiency (materials/labor/energy)</x:v>
      </x:c>
      <x:c r="H450" t="str">
        <x:v>Cost overrun mainly linked to equipment constraints / low availability; schedule overrun mainly linked to equipment constraints / low availability.</x:v>
      </x:c>
    </x:row>
    <x:row r="451">
      <x:c r="A451" t="str">
        <x:v>PJT_450</x:v>
      </x:c>
      <x:c r="B451" t="str">
        <x:v>Unforeseen site/structural issues &amp; rework</x:v>
      </x:c>
      <x:c r="C451" t="str">
        <x:v>Resource inefficiency (materials/labor/energy)</x:v>
      </x:c>
      <x:c r="D451" t="str">
        <x:v>Unforeseen site/structural issues &amp; rework, Resource inefficiency (materials/labor/energy), Planning &amp; estimation / coordination complexity</x:v>
      </x:c>
      <x:c r="E451" t="str">
        <x:v>Unforeseen site/structural issues &amp; rework</x:v>
      </x:c>
      <x:c r="F451" t="str">
        <x:v>Resource inefficiency (materials/labor/energy)</x:v>
      </x:c>
      <x:c r="G451" t="str">
        <x:v>Unforeseen site/structural issues &amp; rework, Resource inefficiency (materials/labor/energy), Planning &amp; estimation / coordination complexity</x:v>
      </x:c>
      <x:c r="H451" t="str">
        <x:v>Cost overrun mainly linked to unforeseen site/structural issues &amp; rework; schedule overrun mainly linked to unforeseen site/structural issues &amp; rework.</x:v>
      </x:c>
    </x:row>
    <x:row r="452">
      <x:c r="A452" t="str">
        <x:v>PJT_451</x:v>
      </x:c>
      <x:c r="B452" t="str">
        <x:v>Equipment constraints / low availability</x:v>
      </x:c>
      <x:c r="C452" t="str">
        <x:v>Planning &amp; estimation / coordination complexity</x:v>
      </x:c>
      <x:c r="D452" t="str">
        <x:v>Equipment constraints / low availability, Planning &amp; estimation / coordination complexity, Weather disruption / environmental constraints</x:v>
      </x:c>
      <x:c r="E452" t="str">
        <x:v>Equipment constraints / low availability</x:v>
      </x:c>
      <x:c r="F452" t="str">
        <x:v>Planning &amp; estimation / coordination complexity</x:v>
      </x:c>
      <x:c r="G452" t="str">
        <x:v>Equipment constraints / low availability, Planning &amp; estimation / coordination complexity, Weather disruption / environmental constraints</x:v>
      </x:c>
      <x:c r="H452" t="str">
        <x:v>Cost overrun mainly linked to equipment constraints / low availability; schedule overrun mainly linked to equipment constraints / low availability.</x:v>
      </x:c>
    </x:row>
    <x:row r="453">
      <x:c r="A453" t="str">
        <x:v>PJT_452</x:v>
      </x:c>
      <x:c r="B453" t="str">
        <x:v>Planning &amp; estimation / coordination complexity</x:v>
      </x:c>
      <x:c r="C453" t="str">
        <x:v>Resource inefficiency (materials/labor/energy)</x:v>
      </x:c>
      <x:c r="D453" t="str">
        <x:v>Planning &amp; estimation / coordination complexity, Resource inefficiency (materials/labor/energy), Equipment constraints / low availability</x:v>
      </x:c>
      <x:c r="E453" t="str">
        <x:v>Planning &amp; estimation / coordination complexity</x:v>
      </x:c>
      <x:c r="F453" t="str">
        <x:v>Resource inefficiency (materials/labor/energy)</x:v>
      </x:c>
      <x:c r="G453" t="str">
        <x:v>Planning &amp; estimation / coordination complexity, Resource inefficiency (materials/labor/energy), Equipment constraints / low availability</x:v>
      </x:c>
      <x:c r="H453" t="str">
        <x:v>Cost overrun mainly linked to planning &amp; estimation / coordination complexity; schedule overrun mainly linked to planning &amp; estimation / coordination complexity.</x:v>
      </x:c>
    </x:row>
    <x:row r="454">
      <x:c r="A454" t="str">
        <x:v>PJT_453</x:v>
      </x:c>
      <x:c r="B454" t="str">
        <x:v>Material supply / logistics &amp; market disruption</x:v>
      </x:c>
      <x:c r="C454" t="str">
        <x:v>Weather disruption / environmental constraints</x:v>
      </x:c>
      <x:c r="D454" t="str">
        <x:v>Material supply / logistics &amp; market disruption, Weather disruption / environmental constraints, Resource inefficiency (materials/labor/energy)</x:v>
      </x:c>
      <x:c r="E454" t="str">
        <x:v>Material supply / logistics &amp; market disruption</x:v>
      </x:c>
      <x:c r="F454" t="str">
        <x:v>Weather disruption / environmental constraints</x:v>
      </x:c>
      <x:c r="G454" t="str">
        <x:v>Material supply / logistics &amp; market disruption, Weather disruption / environmental constraints, Resource inefficiency (materials/labor/energy)</x:v>
      </x:c>
      <x:c r="H454" t="str">
        <x:v>Cost overrun mainly linked to material supply / logistics &amp; market disruption; schedule overrun mainly linked to material supply / logistics &amp; market disruption.</x:v>
      </x:c>
    </x:row>
    <x:row r="455">
      <x:c r="A455" t="str">
        <x:v>PJT_454</x:v>
      </x:c>
      <x:c r="B455" t="str">
        <x:v>Unforeseen site/structural issues &amp; rework</x:v>
      </x:c>
      <x:c r="C455" t="str">
        <x:v>Equipment constraints / low availability</x:v>
      </x:c>
      <x:c r="D455" t="str">
        <x:v>Unforeseen site/structural issues &amp; rework, Equipment constraints / low availability, Planning &amp; estimation / coordination complexity</x:v>
      </x:c>
      <x:c r="E455" t="str">
        <x:v>Unforeseen site/structural issues &amp; rework</x:v>
      </x:c>
      <x:c r="F455" t="str">
        <x:v>Planning &amp; estimation / coordination complexity</x:v>
      </x:c>
      <x:c r="G455" t="str">
        <x:v>Unforeseen site/structural issues &amp; rework, Planning &amp; estimation / coordination complexity, Equipment constraints / low availability</x:v>
      </x:c>
      <x:c r="H455" t="str">
        <x:v>Cost overrun mainly linked to unforeseen site/structural issues &amp; rework; schedule overrun mainly linked to unforeseen site/structural issues &amp; rework.</x:v>
      </x:c>
    </x:row>
    <x:row r="456">
      <x:c r="A456" t="str">
        <x:v>PJT_455</x:v>
      </x:c>
      <x:c r="B456" t="str">
        <x:v>Resource inefficiency (materials/labor/energy)</x:v>
      </x:c>
      <x:c r="C456" t="str">
        <x:v>Planning &amp; estimation / coordination complexity</x:v>
      </x:c>
      <x:c r="D456" t="str">
        <x:v>Resource inefficiency (materials/labor/energy), Planning &amp; estimation / coordination complexity, Material supply / logistics &amp; market disruption</x:v>
      </x:c>
      <x:c r="E456" t="str">
        <x:v>Resource inefficiency (materials/labor/energy)</x:v>
      </x:c>
      <x:c r="F456" t="str">
        <x:v>Planning &amp; estimation / coordination complexity</x:v>
      </x:c>
      <x:c r="G456" t="str">
        <x:v>Resource inefficiency (materials/labor/energy), Planning &amp; estimation / coordination complexity, Material supply / logistics &amp; market disruption</x:v>
      </x:c>
      <x:c r="H456" t="str">
        <x:v>Cost overrun mainly linked to resource inefficiency (materials/labor/energy); schedule overrun mainly linked to resource inefficiency (materials/labor/energy).</x:v>
      </x:c>
    </x:row>
    <x:row r="457">
      <x:c r="A457" t="str">
        <x:v>PJT_456</x:v>
      </x:c>
      <x:c r="B457" t="str">
        <x:v>Resource inefficiency (materials/labor/energy)</x:v>
      </x:c>
      <x:c r="C457" t="str">
        <x:v>Equipment constraints / low availability</x:v>
      </x:c>
      <x:c r="D457" t="str">
        <x:v>Resource inefficiency (materials/labor/energy), Equipment constraints / low availability, Planning &amp; estimation / coordination complexity</x:v>
      </x:c>
      <x:c r="E457" t="str">
        <x:v>Resource inefficiency (materials/labor/energy)</x:v>
      </x:c>
      <x:c r="F457" t="str">
        <x:v>Planning &amp; estimation / coordination complexity</x:v>
      </x:c>
      <x:c r="G457" t="str">
        <x:v>Resource inefficiency (materials/labor/energy), Planning &amp; estimation / coordination complexity, Equipment constraints / low availability</x:v>
      </x:c>
      <x:c r="H457" t="str">
        <x:v>Cost overrun mainly linked to resource inefficiency (materials/labor/energy); schedule overrun mainly linked to resource inefficiency (materials/labor/energy).</x:v>
      </x:c>
    </x:row>
    <x:row r="458">
      <x:c r="A458" t="str">
        <x:v>PJT_457</x:v>
      </x:c>
      <x:c r="B458" t="str">
        <x:v>Weather disruption / environmental constraints</x:v>
      </x:c>
      <x:c r="C458" t="str">
        <x:v>Unforeseen site/structural issues &amp; rework</x:v>
      </x:c>
      <x:c r="D458" t="str">
        <x:v>Weather disruption / environmental constraints, Unforeseen site/structural issues &amp; rework, Material supply / logistics &amp; market disruption</x:v>
      </x:c>
      <x:c r="E458" t="str">
        <x:v>Weather disruption / environmental constraints</x:v>
      </x:c>
      <x:c r="F458" t="str">
        <x:v>Material supply / logistics &amp; market disruption</x:v>
      </x:c>
      <x:c r="G458" t="str">
        <x:v>Weather disruption / environmental constraints, Material supply / logistics &amp; market disruption, Equipment constraints / low availability</x:v>
      </x:c>
      <x:c r="H458" t="str">
        <x:v>Cost overrun mainly linked to weather disruption / environmental constraints; schedule overrun mainly linked to weather disruption / environmental constraints.</x:v>
      </x:c>
    </x:row>
    <x:row r="459">
      <x:c r="A459" t="str">
        <x:v>PJT_458</x:v>
      </x:c>
      <x:c r="B459" t="str">
        <x:v>Planning &amp; estimation / coordination complexity</x:v>
      </x:c>
      <x:c r="C459" t="str">
        <x:v>Unforeseen site/structural issues &amp; rework</x:v>
      </x:c>
      <x:c r="D459" t="str">
        <x:v>Planning &amp; estimation / coordination complexity, Unforeseen site/structural issues &amp; rework, Resource inefficiency (materials/labor/energy)</x:v>
      </x:c>
      <x:c r="E459" t="str">
        <x:v>Unforeseen site/structural issues &amp; rework</x:v>
      </x:c>
      <x:c r="F459" t="str">
        <x:v>Planning &amp; estimation / coordination complexity</x:v>
      </x:c>
      <x:c r="G459" t="str">
        <x:v>Unforeseen site/structural issues &amp; rework, Planning &amp; estimation / coordination complexity, Resource inefficiency (materials/labor/energy)</x:v>
      </x:c>
      <x:c r="H459" t="str">
        <x:v>Cost overrun mainly linked to planning &amp; estimation / coordination complexity; schedule overrun mainly linked to unforeseen site/structural issues &amp; rework.</x:v>
      </x:c>
    </x:row>
    <x:row r="460">
      <x:c r="A460" t="str">
        <x:v>PJT_459</x:v>
      </x:c>
      <x:c r="B460" t="str">
        <x:v>Resource inefficiency (materials/labor/energy)</x:v>
      </x:c>
      <x:c r="C460" t="str">
        <x:v>Planning &amp; estimation / coordination complexity</x:v>
      </x:c>
      <x:c r="D460" t="str">
        <x:v>Resource inefficiency (materials/labor/energy), Planning &amp; estimation / coordination complexity, Material supply / logistics &amp; market disruption</x:v>
      </x:c>
      <x:c r="E460" t="str">
        <x:v>Resource inefficiency (materials/labor/energy)</x:v>
      </x:c>
      <x:c r="F460" t="str">
        <x:v>Planning &amp; estimation / coordination complexity</x:v>
      </x:c>
      <x:c r="G460" t="str">
        <x:v>Resource inefficiency (materials/labor/energy), Planning &amp; estimation / coordination complexity, Equipment constraints / low availability</x:v>
      </x:c>
      <x:c r="H460" t="str">
        <x:v>Cost overrun mainly linked to resource inefficiency (materials/labor/energy); schedule overrun mainly linked to resource inefficiency (materials/labor/energy).</x:v>
      </x:c>
    </x:row>
    <x:row r="461">
      <x:c r="A461" t="str">
        <x:v>PJT_460</x:v>
      </x:c>
      <x:c r="B461" t="str">
        <x:v>Unforeseen site/structural issues &amp; rework</x:v>
      </x:c>
      <x:c r="C461" t="str">
        <x:v>Material supply / logistics &amp; market disruption</x:v>
      </x:c>
      <x:c r="D461" t="str">
        <x:v>Unforeseen site/structural issues &amp; rework, Material supply / logistics &amp; market disruption, Resource inefficiency (materials/labor/energy)</x:v>
      </x:c>
      <x:c r="E461" t="str">
        <x:v>Unforeseen site/structural issues &amp; rework</x:v>
      </x:c>
      <x:c r="F461" t="str">
        <x:v>Material supply / logistics &amp; market disruption</x:v>
      </x:c>
      <x:c r="G461" t="str">
        <x:v>Unforeseen site/structural issues &amp; rework, Material supply / logistics &amp; market disruption, Planning &amp; estimation / coordination complexity</x:v>
      </x:c>
      <x:c r="H461" t="str">
        <x:v>Cost overrun mainly linked to unforeseen site/structural issues &amp; rework; schedule overrun mainly linked to unforeseen site/structural issues &amp; rework.</x:v>
      </x:c>
    </x:row>
    <x:row r="462">
      <x:c r="A462" t="str">
        <x:v>PJT_461</x:v>
      </x:c>
      <x:c r="B462" t="str">
        <x:v>Material supply / logistics &amp; market disruption</x:v>
      </x:c>
      <x:c r="C462" t="str">
        <x:v>Resource inefficiency (materials/labor/energy)</x:v>
      </x:c>
      <x:c r="D462" t="str">
        <x:v>Material supply / logistics &amp; market disruption, Resource inefficiency (materials/labor/energy), Unforeseen site/structural issues &amp; rework</x:v>
      </x:c>
      <x:c r="E462" t="str">
        <x:v>Material supply / logistics &amp; market disruption</x:v>
      </x:c>
      <x:c r="F462" t="str">
        <x:v>Resource inefficiency (materials/labor/energy)</x:v>
      </x:c>
      <x:c r="G462" t="str">
        <x:v>Material supply / logistics &amp; market disruption, Resource inefficiency (materials/labor/energy), Unforeseen site/structural issues &amp; rework</x:v>
      </x:c>
      <x:c r="H462" t="str">
        <x:v>Cost overrun mainly linked to material supply / logistics &amp; market disruption; schedule overrun mainly linked to material supply / logistics &amp; market disruption.</x:v>
      </x:c>
    </x:row>
    <x:row r="463">
      <x:c r="A463" t="str">
        <x:v>PJT_462</x:v>
      </x:c>
      <x:c r="B463" t="str">
        <x:v>Unforeseen site/structural issues &amp; rework</x:v>
      </x:c>
      <x:c r="C463" t="str">
        <x:v>Weather disruption / environmental constraints</x:v>
      </x:c>
      <x:c r="D463" t="str">
        <x:v>Unforeseen site/structural issues &amp; rework, Weather disruption / environmental constraints, Planning &amp; estimation / coordination complexity</x:v>
      </x:c>
      <x:c r="E463" t="str">
        <x:v>Unforeseen site/structural issues &amp; rework</x:v>
      </x:c>
      <x:c r="F463" t="str">
        <x:v>Weather disruption / environmental constraints</x:v>
      </x:c>
      <x:c r="G463" t="str">
        <x:v>Unforeseen site/structural issues &amp; rework, Weather disruption / environmental constraints, Planning &amp; estimation / coordination complexity</x:v>
      </x:c>
      <x:c r="H463" t="str">
        <x:v>Cost overrun mainly linked to unforeseen site/structural issues &amp; rework; schedule overrun mainly linked to unforeseen site/structural issues &amp; rework.</x:v>
      </x:c>
    </x:row>
    <x:row r="464">
      <x:c r="A464" t="str">
        <x:v>PJT_463</x:v>
      </x:c>
      <x:c r="B464" t="str">
        <x:v>Unforeseen site/structural issues &amp; rework</x:v>
      </x:c>
      <x:c r="C464" t="str">
        <x:v>Material supply / logistics &amp; market disruption</x:v>
      </x:c>
      <x:c r="D464" t="str">
        <x:v>Unforeseen site/structural issues &amp; rework, Material supply / logistics &amp; market disruption, Planning &amp; estimation / coordination complexity</x:v>
      </x:c>
      <x:c r="E464" t="str">
        <x:v>Unforeseen site/structural issues &amp; rework</x:v>
      </x:c>
      <x:c r="F464" t="str">
        <x:v>Planning &amp; estimation / coordination complexity</x:v>
      </x:c>
      <x:c r="G464" t="str">
        <x:v>Unforeseen site/structural issues &amp; rework, Planning &amp; estimation / coordination complexity, Material supply / logistics &amp; market disruption</x:v>
      </x:c>
      <x:c r="H464" t="str">
        <x:v>Cost overrun mainly linked to unforeseen site/structural issues &amp; rework; schedule overrun mainly linked to unforeseen site/structural issues &amp; rework.</x:v>
      </x:c>
    </x:row>
    <x:row r="465">
      <x:c r="A465" t="str">
        <x:v>PJT_464</x:v>
      </x:c>
      <x:c r="B465" t="str">
        <x:v>Planning &amp; estimation / coordination complexity</x:v>
      </x:c>
      <x:c r="C465" t="str">
        <x:v>Resource inefficiency (materials/labor/energy)</x:v>
      </x:c>
      <x:c r="D465" t="str">
        <x:v>Planning &amp; estimation / coordination complexity, Resource inefficiency (materials/labor/energy), Equipment constraints / low availability</x:v>
      </x:c>
      <x:c r="E465" t="str">
        <x:v>Planning &amp; estimation / coordination complexity</x:v>
      </x:c>
      <x:c r="F465" t="str">
        <x:v>Resource inefficiency (materials/labor/energy)</x:v>
      </x:c>
      <x:c r="G465" t="str">
        <x:v>Planning &amp; estimation / coordination complexity, Resource inefficiency (materials/labor/energy), Equipment constraints / low availability</x:v>
      </x:c>
      <x:c r="H465" t="str">
        <x:v>Cost overrun mainly linked to planning &amp; estimation / coordination complexity; schedule overrun mainly linked to planning &amp; estimation / coordination complexity.</x:v>
      </x:c>
    </x:row>
    <x:row r="466">
      <x:c r="A466" t="str">
        <x:v>PJT_465</x:v>
      </x:c>
      <x:c r="B466" t="str">
        <x:v>Unforeseen site/structural issues &amp; rework</x:v>
      </x:c>
      <x:c r="C466" t="str">
        <x:v>Planning &amp; estimation / coordination complexity</x:v>
      </x:c>
      <x:c r="D466" t="str">
        <x:v>Unforeseen site/structural issues &amp; rework, Planning &amp; estimation / coordination complexity, Equipment constraints / low availability</x:v>
      </x:c>
      <x:c r="E466" t="str">
        <x:v>Unforeseen site/structural issues &amp; rework</x:v>
      </x:c>
      <x:c r="F466" t="str">
        <x:v>Planning &amp; estimation / coordination complexity</x:v>
      </x:c>
      <x:c r="G466" t="str">
        <x:v>Unforeseen site/structural issues &amp; rework, Planning &amp; estimation / coordination complexity, Equipment constraints / low availability</x:v>
      </x:c>
      <x:c r="H466" t="str">
        <x:v>Cost overrun mainly linked to unforeseen site/structural issues &amp; rework; schedule overrun mainly linked to unforeseen site/structural issues &amp; rework.</x:v>
      </x:c>
    </x:row>
    <x:row r="467">
      <x:c r="A467" t="str">
        <x:v>PJT_466</x:v>
      </x:c>
      <x:c r="B467" t="str">
        <x:v>Weather disruption / environmental constraints</x:v>
      </x:c>
      <x:c r="C467" t="str">
        <x:v>Material supply / logistics &amp; market disruption</x:v>
      </x:c>
      <x:c r="D467" t="str">
        <x:v>Weather disruption / environmental constraints, Material supply / logistics &amp; market disruption, Resource inefficiency (materials/labor/energy)</x:v>
      </x:c>
      <x:c r="E467" t="str">
        <x:v>Weather disruption / environmental constraints</x:v>
      </x:c>
      <x:c r="F467" t="str">
        <x:v>Material supply / logistics &amp; market disruption</x:v>
      </x:c>
      <x:c r="G467" t="str">
        <x:v>Weather disruption / environmental constraints, Material supply / logistics &amp; market disruption, Resource inefficiency (materials/labor/energy)</x:v>
      </x:c>
      <x:c r="H467" t="str">
        <x:v>Cost overrun mainly linked to weather disruption / environmental constraints; schedule overrun mainly linked to weather disruption / environmental constraints.</x:v>
      </x:c>
    </x:row>
    <x:row r="468">
      <x:c r="A468" t="str">
        <x:v>PJT_467</x:v>
      </x:c>
      <x:c r="B468" t="str">
        <x:v>Resource inefficiency (materials/labor/energy)</x:v>
      </x:c>
      <x:c r="C468" t="str">
        <x:v>Material supply / logistics &amp; market disruption</x:v>
      </x:c>
      <x:c r="D468" t="str">
        <x:v>Resource inefficiency (materials/labor/energy), Material supply / logistics &amp; market disruption, Weather disruption / environmental constraints</x:v>
      </x:c>
      <x:c r="E468" t="str">
        <x:v>Resource inefficiency (materials/labor/energy)</x:v>
      </x:c>
      <x:c r="F468" t="str">
        <x:v>Weather disruption / environmental constraints</x:v>
      </x:c>
      <x:c r="G468" t="str">
        <x:v>Resource inefficiency (materials/labor/energy), Weather disruption / environmental constraints, Material supply / logistics &amp; market disruption</x:v>
      </x:c>
      <x:c r="H468" t="str">
        <x:v>Cost overrun mainly linked to resource inefficiency (materials/labor/energy); schedule overrun mainly linked to resource inefficiency (materials/labor/energy).</x:v>
      </x:c>
    </x:row>
    <x:row r="469">
      <x:c r="A469" t="str">
        <x:v>PJT_468</x:v>
      </x:c>
      <x:c r="B469" t="str">
        <x:v>Unforeseen site/structural issues &amp; rework</x:v>
      </x:c>
      <x:c r="C469" t="str">
        <x:v>Resource inefficiency (materials/labor/energy)</x:v>
      </x:c>
      <x:c r="D469" t="str">
        <x:v>Unforeseen site/structural issues &amp; rework, Resource inefficiency (materials/labor/energy), Material supply / logistics &amp; market disruption</x:v>
      </x:c>
      <x:c r="E469" t="str">
        <x:v>Unforeseen site/structural issues &amp; rework</x:v>
      </x:c>
      <x:c r="F469" t="str">
        <x:v>Material supply / logistics &amp; market disruption</x:v>
      </x:c>
      <x:c r="G469" t="str">
        <x:v>Unforeseen site/structural issues &amp; rework, Material supply / logistics &amp; market disruption, Resource inefficiency (materials/labor/energy)</x:v>
      </x:c>
      <x:c r="H469" t="str">
        <x:v>Cost overrun mainly linked to unforeseen site/structural issues &amp; rework; schedule overrun mainly linked to unforeseen site/structural issues &amp; rework.</x:v>
      </x:c>
    </x:row>
    <x:row r="470">
      <x:c r="A470" t="str">
        <x:v>PJT_469</x:v>
      </x:c>
      <x:c r="B470" t="str">
        <x:v>Unforeseen site/structural issues &amp; rework</x:v>
      </x:c>
      <x:c r="C470" t="str">
        <x:v>Weather disruption / environmental constraints</x:v>
      </x:c>
      <x:c r="D470" t="str">
        <x:v>Unforeseen site/structural issues &amp; rework, Weather disruption / environmental constraints, Material supply / logistics &amp; market disruption</x:v>
      </x:c>
      <x:c r="E470" t="str">
        <x:v>Unforeseen site/structural issues &amp; rework</x:v>
      </x:c>
      <x:c r="F470" t="str">
        <x:v>Weather disruption / environmental constraints</x:v>
      </x:c>
      <x:c r="G470" t="str">
        <x:v>Unforeseen site/structural issues &amp; rework, Weather disruption / environmental constraints, Planning &amp; estimation / coordination complexity</x:v>
      </x:c>
      <x:c r="H470" t="str">
        <x:v>Cost overrun mainly linked to unforeseen site/structural issues &amp; rework; schedule overrun mainly linked to unforeseen site/structural issues &amp; rework.</x:v>
      </x:c>
    </x:row>
    <x:row r="471">
      <x:c r="A471" t="str">
        <x:v>PJT_470</x:v>
      </x:c>
      <x:c r="B471" t="str">
        <x:v>Equipment constraints / low availability</x:v>
      </x:c>
      <x:c r="C471" t="str">
        <x:v>Unforeseen site/structural issues &amp; rework</x:v>
      </x:c>
      <x:c r="D471" t="str">
        <x:v>Equipment constraints / low availability, Unforeseen site/structural issues &amp; rework, Planning &amp; estimation / coordination complexity</x:v>
      </x:c>
      <x:c r="E471" t="str">
        <x:v>Equipment constraints / low availability</x:v>
      </x:c>
      <x:c r="F471" t="str">
        <x:v>Unforeseen site/structural issues &amp; rework</x:v>
      </x:c>
      <x:c r="G471" t="str">
        <x:v>Equipment constraints / low availability, Unforeseen site/structural issues &amp; rework, Planning &amp; estimation / coordination complexity</x:v>
      </x:c>
      <x:c r="H471" t="str">
        <x:v>Cost overrun mainly linked to equipment constraints / low availability; schedule overrun mainly linked to equipment constraints / low availability.</x:v>
      </x:c>
    </x:row>
    <x:row r="472">
      <x:c r="A472" t="str">
        <x:v>PJT_471</x:v>
      </x:c>
      <x:c r="B472" t="str">
        <x:v>Material supply / logistics &amp; market disruption</x:v>
      </x:c>
      <x:c r="C472" t="str">
        <x:v>Resource inefficiency (materials/labor/energy)</x:v>
      </x:c>
      <x:c r="D472" t="str">
        <x:v>Material supply / logistics &amp; market disruption, Resource inefficiency (materials/labor/energy), Planning &amp; estimation / coordination complexity</x:v>
      </x:c>
      <x:c r="E472" t="str">
        <x:v>Material supply / logistics &amp; market disruption</x:v>
      </x:c>
      <x:c r="F472" t="str">
        <x:v>Resource inefficiency (materials/labor/energy)</x:v>
      </x:c>
      <x:c r="G472" t="str">
        <x:v>Material supply / logistics &amp; market disruption, Resource inefficiency (materials/labor/energy), Weather disruption / environmental constraints</x:v>
      </x:c>
      <x:c r="H472" t="str">
        <x:v>Cost overrun mainly linked to material supply / logistics &amp; market disruption; schedule overrun mainly linked to material supply / logistics &amp; market disruption.</x:v>
      </x:c>
    </x:row>
    <x:row r="473">
      <x:c r="A473" t="str">
        <x:v>PJT_472</x:v>
      </x:c>
      <x:c r="B473" t="str">
        <x:v>Planning &amp; estimation / coordination complexity</x:v>
      </x:c>
      <x:c r="C473" t="str">
        <x:v>Resource inefficiency (materials/labor/energy)</x:v>
      </x:c>
      <x:c r="D473" t="str">
        <x:v>Planning &amp; estimation / coordination complexity, Resource inefficiency (materials/labor/energy), Equipment constraints / low availability</x:v>
      </x:c>
      <x:c r="E473" t="str">
        <x:v>Planning &amp; estimation / coordination complexity</x:v>
      </x:c>
      <x:c r="F473" t="str">
        <x:v>Resource inefficiency (materials/labor/energy)</x:v>
      </x:c>
      <x:c r="G473" t="str">
        <x:v>Planning &amp; estimation / coordination complexity, Resource inefficiency (materials/labor/energy), Equipment constraints / low availability</x:v>
      </x:c>
      <x:c r="H473" t="str">
        <x:v>Cost overrun mainly linked to planning &amp; estimation / coordination complexity; schedule overrun mainly linked to planning &amp; estimation / coordination complexity.</x:v>
      </x:c>
    </x:row>
    <x:row r="474">
      <x:c r="A474" t="str">
        <x:v>PJT_473</x:v>
      </x:c>
      <x:c r="B474" t="str">
        <x:v>Planning &amp; estimation / coordination complexity</x:v>
      </x:c>
      <x:c r="C474" t="str">
        <x:v>Weather disruption / environmental constraints</x:v>
      </x:c>
      <x:c r="D474" t="str">
        <x:v>Planning &amp; estimation / coordination complexity, Weather disruption / environmental constraints, Equipment constraints / low availability</x:v>
      </x:c>
      <x:c r="E474" t="str">
        <x:v>Planning &amp; estimation / coordination complexity</x:v>
      </x:c>
      <x:c r="F474" t="str">
        <x:v>Weather disruption / environmental constraints</x:v>
      </x:c>
      <x:c r="G474" t="str">
        <x:v>Planning &amp; estimation / coordination complexity, Weather disruption / environmental constraints, Unforeseen site/structural issues &amp; rework</x:v>
      </x:c>
      <x:c r="H474" t="str">
        <x:v>Cost overrun mainly linked to planning &amp; estimation / coordination complexity; schedule overrun mainly linked to planning &amp; estimation / coordination complexity.</x:v>
      </x:c>
    </x:row>
    <x:row r="475">
      <x:c r="A475" t="str">
        <x:v>PJT_474</x:v>
      </x:c>
      <x:c r="B475" t="str">
        <x:v>Planning &amp; estimation / coordination complexity</x:v>
      </x:c>
      <x:c r="C475" t="str">
        <x:v>Resource inefficiency (materials/labor/energy)</x:v>
      </x:c>
      <x:c r="D475" t="str">
        <x:v>Planning &amp; estimation / coordination complexity, Resource inefficiency (materials/labor/energy), Material supply / logistics &amp; market disruption</x:v>
      </x:c>
      <x:c r="E475" t="str">
        <x:v>Planning &amp; estimation / coordination complexity</x:v>
      </x:c>
      <x:c r="F475" t="str">
        <x:v>Resource inefficiency (materials/labor/energy)</x:v>
      </x:c>
      <x:c r="G475" t="str">
        <x:v>Planning &amp; estimation / coordination complexity, Resource inefficiency (materials/labor/energy), Unforeseen site/structural issues &amp; rework</x:v>
      </x:c>
      <x:c r="H475" t="str">
        <x:v>Cost overrun mainly linked to planning &amp; estimation / coordination complexity; schedule overrun mainly linked to planning &amp; estimation / coordination complexity.</x:v>
      </x:c>
    </x:row>
    <x:row r="476">
      <x:c r="A476" t="str">
        <x:v>PJT_475</x:v>
      </x:c>
      <x:c r="B476" t="str">
        <x:v>Planning &amp; estimation / coordination complexity</x:v>
      </x:c>
      <x:c r="C476" t="str">
        <x:v>Equipment constraints / low availability</x:v>
      </x:c>
      <x:c r="D476" t="str">
        <x:v>Planning &amp; estimation / coordination complexity, Equipment constraints / low availability, Unforeseen site/structural issues &amp; rework</x:v>
      </x:c>
      <x:c r="E476" t="str">
        <x:v>Planning &amp; estimation / coordination complexity</x:v>
      </x:c>
      <x:c r="F476" t="str">
        <x:v>Unforeseen site/structural issues &amp; rework</x:v>
      </x:c>
      <x:c r="G476" t="str">
        <x:v>Planning &amp; estimation / coordination complexity, Unforeseen site/structural issues &amp; rework, Equipment constraints / low availability</x:v>
      </x:c>
      <x:c r="H476" t="str">
        <x:v>Cost overrun mainly linked to planning &amp; estimation / coordination complexity; schedule overrun mainly linked to planning &amp; estimation / coordination complexity.</x:v>
      </x:c>
    </x:row>
    <x:row r="477">
      <x:c r="A477" t="str">
        <x:v>PJT_476</x:v>
      </x:c>
      <x:c r="B477" t="str">
        <x:v>Planning &amp; estimation / coordination complexity</x:v>
      </x:c>
      <x:c r="C477" t="str">
        <x:v>Resource inefficiency (materials/labor/energy)</x:v>
      </x:c>
      <x:c r="D477" t="str">
        <x:v>Planning &amp; estimation / coordination complexity, Resource inefficiency (materials/labor/energy), Unforeseen site/structural issues &amp; rework</x:v>
      </x:c>
      <x:c r="E477" t="str">
        <x:v>Planning &amp; estimation / coordination complexity</x:v>
      </x:c>
      <x:c r="F477" t="str">
        <x:v>Unforeseen site/structural issues &amp; rework</x:v>
      </x:c>
      <x:c r="G477" t="str">
        <x:v>Planning &amp; estimation / coordination complexity, Unforeseen site/structural issues &amp; rework, Resource inefficiency (materials/labor/energy)</x:v>
      </x:c>
      <x:c r="H477" t="str">
        <x:v>Cost overrun mainly linked to planning &amp; estimation / coordination complexity; schedule overrun mainly linked to planning &amp; estimation / coordination complexity.</x:v>
      </x:c>
    </x:row>
    <x:row r="478">
      <x:c r="A478" t="str">
        <x:v>PJT_477</x:v>
      </x:c>
      <x:c r="B478" t="str">
        <x:v>Unforeseen site/structural issues &amp; rework</x:v>
      </x:c>
      <x:c r="C478" t="str">
        <x:v>Planning &amp; estimation / coordination complexity</x:v>
      </x:c>
      <x:c r="D478" t="str">
        <x:v>Unforeseen site/structural issues &amp; rework, Planning &amp; estimation / coordination complexity, Weather disruption / environmental constraints</x:v>
      </x:c>
      <x:c r="E478" t="str">
        <x:v>Unforeseen site/structural issues &amp; rework</x:v>
      </x:c>
      <x:c r="F478" t="str">
        <x:v>Planning &amp; estimation / coordination complexity</x:v>
      </x:c>
      <x:c r="G478" t="str">
        <x:v>Unforeseen site/structural issues &amp; rework, Planning &amp; estimation / coordination complexity, Weather disruption / environmental constraints</x:v>
      </x:c>
      <x:c r="H478" t="str">
        <x:v>Cost overrun mainly linked to unforeseen site/structural issues &amp; rework; schedule overrun mainly linked to unforeseen site/structural issues &amp; rework.</x:v>
      </x:c>
    </x:row>
    <x:row r="479">
      <x:c r="A479" t="str">
        <x:v>PJT_478</x:v>
      </x:c>
      <x:c r="B479" t="str">
        <x:v>Weather disruption / environmental constraints</x:v>
      </x:c>
      <x:c r="C479" t="str">
        <x:v>Planning &amp; estimation / coordination complexity</x:v>
      </x:c>
      <x:c r="D479" t="str">
        <x:v>Weather disruption / environmental constraints, Planning &amp; estimation / coordination complexity, Equipment constraints / low availability</x:v>
      </x:c>
      <x:c r="E479" t="str">
        <x:v>Weather disruption / environmental constraints</x:v>
      </x:c>
      <x:c r="F479" t="str">
        <x:v>Equipment constraints / low availability</x:v>
      </x:c>
      <x:c r="G479" t="str">
        <x:v>Weather disruption / environmental constraints, Equipment constraints / low availability, Planning &amp; estimation / coordination complexity</x:v>
      </x:c>
      <x:c r="H479" t="str">
        <x:v>Cost overrun mainly linked to weather disruption / environmental constraints; schedule overrun mainly linked to weather disruption / environmental constraints.</x:v>
      </x:c>
    </x:row>
    <x:row r="480">
      <x:c r="A480" t="str">
        <x:v>PJT_479</x:v>
      </x:c>
      <x:c r="B480" t="str">
        <x:v>Resource inefficiency (materials/labor/energy)</x:v>
      </x:c>
      <x:c r="C480" t="str">
        <x:v>Planning &amp; estimation / coordination complexity</x:v>
      </x:c>
      <x:c r="D480" t="str">
        <x:v>Resource inefficiency (materials/labor/energy), Planning &amp; estimation / coordination complexity, Material supply / logistics &amp; market disruption</x:v>
      </x:c>
      <x:c r="E480" t="str">
        <x:v>Planning &amp; estimation / coordination complexity</x:v>
      </x:c>
      <x:c r="F480" t="str">
        <x:v>Resource inefficiency (materials/labor/energy)</x:v>
      </x:c>
      <x:c r="G480" t="str">
        <x:v>Planning &amp; estimation / coordination complexity, Resource inefficiency (materials/labor/energy), Material supply / logistics &amp; market disruption</x:v>
      </x:c>
      <x:c r="H480" t="str">
        <x:v>Cost overrun mainly linked to resource inefficiency (materials/labor/energy); schedule overrun mainly linked to planning &amp; estimation / coordination complexity.</x:v>
      </x:c>
    </x:row>
    <x:row r="481">
      <x:c r="A481" t="str">
        <x:v>PJT_480</x:v>
      </x:c>
      <x:c r="B481" t="str">
        <x:v>Resource inefficiency (materials/labor/energy)</x:v>
      </x:c>
      <x:c r="C481" t="str">
        <x:v>Equipment constraints / low availability</x:v>
      </x:c>
      <x:c r="D481" t="str">
        <x:v>Resource inefficiency (materials/labor/energy), Equipment constraints / low availability, Material supply / logistics &amp; market disruption</x:v>
      </x:c>
      <x:c r="E481" t="str">
        <x:v>Resource inefficiency (materials/labor/energy)</x:v>
      </x:c>
      <x:c r="F481" t="str">
        <x:v>Equipment constraints / low availability</x:v>
      </x:c>
      <x:c r="G481" t="str">
        <x:v>Resource inefficiency (materials/labor/energy), Equipment constraints / low availability, Planning &amp; estimation / coordination complexity</x:v>
      </x:c>
      <x:c r="H481" t="str">
        <x:v>Cost overrun mainly linked to resource inefficiency (materials/labor/energy); schedule overrun mainly linked to resource inefficiency (materials/labor/energy).</x:v>
      </x:c>
    </x:row>
    <x:row r="482">
      <x:c r="A482" t="str">
        <x:v>PJT_481</x:v>
      </x:c>
      <x:c r="B482" t="str">
        <x:v>Equipment constraints / low availability</x:v>
      </x:c>
      <x:c r="C482" t="str">
        <x:v>Material supply / logistics &amp; market disruption</x:v>
      </x:c>
      <x:c r="D482" t="str">
        <x:v>Equipment constraints / low availability, Material supply / logistics &amp; market disruption, Resource inefficiency (materials/labor/energy)</x:v>
      </x:c>
      <x:c r="E482" t="str">
        <x:v>Equipment constraints / low availability</x:v>
      </x:c>
      <x:c r="F482" t="str">
        <x:v>Material supply / logistics &amp; market disruption</x:v>
      </x:c>
      <x:c r="G482" t="str">
        <x:v>Equipment constraints / low availability, Material supply / logistics &amp; market disruption, Resource inefficiency (materials/labor/energy)</x:v>
      </x:c>
      <x:c r="H482" t="str">
        <x:v>Cost overrun mainly linked to equipment constraints / low availability; schedule overrun mainly linked to equipment constraints / low availability.</x:v>
      </x:c>
    </x:row>
    <x:row r="483">
      <x:c r="A483" t="str">
        <x:v>PJT_482</x:v>
      </x:c>
      <x:c r="B483" t="str">
        <x:v>Planning &amp; estimation / coordination complexity</x:v>
      </x:c>
      <x:c r="C483" t="str">
        <x:v>Equipment constraints / low availability</x:v>
      </x:c>
      <x:c r="D483" t="str">
        <x:v>Planning &amp; estimation / coordination complexity, Equipment constraints / low availability, Resource inefficiency (materials/labor/energy)</x:v>
      </x:c>
      <x:c r="E483" t="str">
        <x:v>Resource inefficiency (materials/labor/energy)</x:v>
      </x:c>
      <x:c r="F483" t="str">
        <x:v>Equipment constraints / low availability</x:v>
      </x:c>
      <x:c r="G483" t="str">
        <x:v>Resource inefficiency (materials/labor/energy), Equipment constraints / low availability, Planning &amp; estimation / coordination complexity</x:v>
      </x:c>
      <x:c r="H483" t="str">
        <x:v>Cost overrun mainly linked to planning &amp; estimation / coordination complexity; schedule overrun mainly linked to resource inefficiency (materials/labor/energy).</x:v>
      </x:c>
    </x:row>
    <x:row r="484">
      <x:c r="A484" t="str">
        <x:v>PJT_483</x:v>
      </x:c>
      <x:c r="B484" t="str">
        <x:v>Weather disruption / environmental constraints</x:v>
      </x:c>
      <x:c r="C484" t="str">
        <x:v>Equipment constraints / low availability</x:v>
      </x:c>
      <x:c r="D484" t="str">
        <x:v>Weather disruption / environmental constraints, Equipment constraints / low availability, Material supply / logistics &amp; market disruption</x:v>
      </x:c>
      <x:c r="E484" t="str">
        <x:v>Weather disruption / environmental constraints</x:v>
      </x:c>
      <x:c r="F484" t="str">
        <x:v>Material supply / logistics &amp; market disruption</x:v>
      </x:c>
      <x:c r="G484" t="str">
        <x:v>Weather disruption / environmental constraints, Material supply / logistics &amp; market disruption, Equipment constraints / low availability</x:v>
      </x:c>
      <x:c r="H484" t="str">
        <x:v>Cost overrun mainly linked to weather disruption / environmental constraints; schedule overrun mainly linked to weather disruption / environmental constraints.</x:v>
      </x:c>
    </x:row>
    <x:row r="485">
      <x:c r="A485" t="str">
        <x:v>PJT_484</x:v>
      </x:c>
      <x:c r="B485" t="str">
        <x:v>Unforeseen site/structural issues &amp; rework</x:v>
      </x:c>
      <x:c r="C485" t="str">
        <x:v>Equipment constraints / low availability</x:v>
      </x:c>
      <x:c r="D485" t="str">
        <x:v>Unforeseen site/structural issues &amp; rework, Equipment constraints / low availability, Resource inefficiency (materials/labor/energy)</x:v>
      </x:c>
      <x:c r="E485" t="str">
        <x:v>Equipment constraints / low availability</x:v>
      </x:c>
      <x:c r="F485" t="str">
        <x:v>Unforeseen site/structural issues &amp; rework</x:v>
      </x:c>
      <x:c r="G485" t="str">
        <x:v>Equipment constraints / low availability, Unforeseen site/structural issues &amp; rework, Resource inefficiency (materials/labor/energy)</x:v>
      </x:c>
      <x:c r="H485" t="str">
        <x:v>Cost overrun mainly linked to unforeseen site/structural issues &amp; rework; schedule overrun mainly linked to equipment constraints / low availability.</x:v>
      </x:c>
    </x:row>
    <x:row r="486">
      <x:c r="A486" t="str">
        <x:v>PJT_485</x:v>
      </x:c>
      <x:c r="B486" t="str">
        <x:v>Resource inefficiency (materials/labor/energy)</x:v>
      </x:c>
      <x:c r="C486" t="str">
        <x:v>Unforeseen site/structural issues &amp; rework</x:v>
      </x:c>
      <x:c r="D486" t="str">
        <x:v>Resource inefficiency (materials/labor/energy), Unforeseen site/structural issues &amp; rework, Planning &amp; estimation / coordination complexity</x:v>
      </x:c>
      <x:c r="E486" t="str">
        <x:v>Resource inefficiency (materials/labor/energy)</x:v>
      </x:c>
      <x:c r="F486" t="str">
        <x:v>Unforeseen site/structural issues &amp; rework</x:v>
      </x:c>
      <x:c r="G486" t="str">
        <x:v>Resource inefficiency (materials/labor/energy), Unforeseen site/structural issues &amp; rework, Planning &amp; estimation / coordination complexity</x:v>
      </x:c>
      <x:c r="H486" t="str">
        <x:v>Cost overrun mainly linked to resource inefficiency (materials/labor/energy); schedule overrun mainly linked to resource inefficiency (materials/labor/energy).</x:v>
      </x:c>
    </x:row>
    <x:row r="487">
      <x:c r="A487" t="str">
        <x:v>PJT_486</x:v>
      </x:c>
      <x:c r="B487" t="str">
        <x:v>Planning &amp; estimation / coordination complexity</x:v>
      </x:c>
      <x:c r="C487" t="str">
        <x:v>Resource inefficiency (materials/labor/energy)</x:v>
      </x:c>
      <x:c r="D487" t="str">
        <x:v>Planning &amp; estimation / coordination complexity, Resource inefficiency (materials/labor/energy), Material supply / logistics &amp; market disruption</x:v>
      </x:c>
      <x:c r="E487" t="str">
        <x:v>Planning &amp; estimation / coordination complexity</x:v>
      </x:c>
      <x:c r="F487" t="str">
        <x:v>Resource inefficiency (materials/labor/energy)</x:v>
      </x:c>
      <x:c r="G487" t="str">
        <x:v>Planning &amp; estimation / coordination complexity, Resource inefficiency (materials/labor/energy), Unforeseen site/structural issues &amp; rework</x:v>
      </x:c>
      <x:c r="H487" t="str">
        <x:v>Cost overrun mainly linked to planning &amp; estimation / coordination complexity; schedule overrun mainly linked to planning &amp; estimation / coordination complexity.</x:v>
      </x:c>
    </x:row>
    <x:row r="488">
      <x:c r="A488" t="str">
        <x:v>PJT_487</x:v>
      </x:c>
      <x:c r="B488" t="str">
        <x:v>Resource inefficiency (materials/labor/energy)</x:v>
      </x:c>
      <x:c r="C488" t="str">
        <x:v>Material supply / logistics &amp; market disruption</x:v>
      </x:c>
      <x:c r="D488" t="str">
        <x:v>Resource inefficiency (materials/labor/energy), Material supply / logistics &amp; market disruption, Planning &amp; estimation / coordination complexity</x:v>
      </x:c>
      <x:c r="E488" t="str">
        <x:v>Resource inefficiency (materials/labor/energy)</x:v>
      </x:c>
      <x:c r="F488" t="str">
        <x:v>Planning &amp; estimation / coordination complexity</x:v>
      </x:c>
      <x:c r="G488" t="str">
        <x:v>Resource inefficiency (materials/labor/energy), Planning &amp; estimation / coordination complexity, Equipment constraints / low availability</x:v>
      </x:c>
      <x:c r="H488" t="str">
        <x:v>Cost overrun mainly linked to resource inefficiency (materials/labor/energy); schedule overrun mainly linked to resource inefficiency (materials/labor/energy).</x:v>
      </x:c>
    </x:row>
    <x:row r="489">
      <x:c r="A489" t="str">
        <x:v>PJT_488</x:v>
      </x:c>
      <x:c r="B489" t="str">
        <x:v>Resource inefficiency (materials/labor/energy)</x:v>
      </x:c>
      <x:c r="C489" t="str">
        <x:v>Equipment constraints / low availability</x:v>
      </x:c>
      <x:c r="D489" t="str">
        <x:v>Resource inefficiency (materials/labor/energy), Equipment constraints / low availability, Planning &amp; estimation / coordination complexity</x:v>
      </x:c>
      <x:c r="E489" t="str">
        <x:v>Equipment constraints / low availability</x:v>
      </x:c>
      <x:c r="F489" t="str">
        <x:v>Resource inefficiency (materials/labor/energy)</x:v>
      </x:c>
      <x:c r="G489" t="str">
        <x:v>Equipment constraints / low availability, Resource inefficiency (materials/labor/energy), Planning &amp; estimation / coordination complexity</x:v>
      </x:c>
      <x:c r="H489" t="str">
        <x:v>Cost overrun mainly linked to resource inefficiency (materials/labor/energy); schedule overrun mainly linked to equipment constraints / low availability.</x:v>
      </x:c>
    </x:row>
    <x:row r="490">
      <x:c r="A490" t="str">
        <x:v>PJT_489</x:v>
      </x:c>
      <x:c r="B490" t="str">
        <x:v>Resource inefficiency (materials/labor/energy)</x:v>
      </x:c>
      <x:c r="C490" t="str">
        <x:v>Material supply / logistics &amp; market disruption</x:v>
      </x:c>
      <x:c r="D490" t="str">
        <x:v>Resource inefficiency (materials/labor/energy), Material supply / logistics &amp; market disruption, Equipment constraints / low availability</x:v>
      </x:c>
      <x:c r="E490" t="str">
        <x:v>Resource inefficiency (materials/labor/energy)</x:v>
      </x:c>
      <x:c r="F490" t="str">
        <x:v>Material supply / logistics &amp; market disruption</x:v>
      </x:c>
      <x:c r="G490" t="str">
        <x:v>Resource inefficiency (materials/labor/energy), Material supply / logistics &amp; market disruption, Equipment constraints / low availability</x:v>
      </x:c>
      <x:c r="H490" t="str">
        <x:v>Cost overrun mainly linked to resource inefficiency (materials/labor/energy); schedule overrun mainly linked to resource inefficiency (materials/labor/energy).</x:v>
      </x:c>
    </x:row>
    <x:row r="491">
      <x:c r="A491" t="str">
        <x:v>PJT_490</x:v>
      </x:c>
      <x:c r="B491" t="str">
        <x:v>Unforeseen site/structural issues &amp; rework</x:v>
      </x:c>
      <x:c r="C491" t="str">
        <x:v>Weather disruption / environmental constraints</x:v>
      </x:c>
      <x:c r="D491" t="str">
        <x:v>Unforeseen site/structural issues &amp; rework, Weather disruption / environmental constraints, Planning &amp; estimation / coordination complexity</x:v>
      </x:c>
      <x:c r="E491" t="str">
        <x:v>Unforeseen site/structural issues &amp; rework</x:v>
      </x:c>
      <x:c r="F491" t="str">
        <x:v>Weather disruption / environmental constraints</x:v>
      </x:c>
      <x:c r="G491" t="str">
        <x:v>Unforeseen site/structural issues &amp; rework, Weather disruption / environmental constraints, Planning &amp; estimation / coordination complexity</x:v>
      </x:c>
      <x:c r="H491" t="str">
        <x:v>Cost overrun mainly linked to unforeseen site/structural issues &amp; rework; schedule overrun mainly linked to unforeseen site/structural issues &amp; rework.</x:v>
      </x:c>
    </x:row>
    <x:row r="492">
      <x:c r="A492" t="str">
        <x:v>PJT_491</x:v>
      </x:c>
      <x:c r="B492" t="str">
        <x:v>Weather disruption / environmental constraints</x:v>
      </x:c>
      <x:c r="C492" t="str">
        <x:v>Unforeseen site/structural issues &amp; rework</x:v>
      </x:c>
      <x:c r="D492" t="str">
        <x:v>Weather disruption / environmental constraints, Unforeseen site/structural issues &amp; rework, Equipment constraints / low availability</x:v>
      </x:c>
      <x:c r="E492" t="str">
        <x:v>Weather disruption / environmental constraints</x:v>
      </x:c>
      <x:c r="F492" t="str">
        <x:v>Unforeseen site/structural issues &amp; rework</x:v>
      </x:c>
      <x:c r="G492" t="str">
        <x:v>Weather disruption / environmental constraints, Unforeseen site/structural issues &amp; rework, Material supply / logistics &amp; market disruption</x:v>
      </x:c>
      <x:c r="H492" t="str">
        <x:v>Cost overrun mainly linked to weather disruption / environmental constraints; schedule overrun mainly linked to weather disruption / environmental constraints.</x:v>
      </x:c>
    </x:row>
    <x:row r="493">
      <x:c r="A493" t="str">
        <x:v>PJT_492</x:v>
      </x:c>
      <x:c r="B493" t="str">
        <x:v>Unforeseen site/structural issues &amp; rework</x:v>
      </x:c>
      <x:c r="C493" t="str">
        <x:v>Planning &amp; estimation / coordination complexity</x:v>
      </x:c>
      <x:c r="D493" t="str">
        <x:v>Unforeseen site/structural issues &amp; rework, Planning &amp; estimation / coordination complexity, Resource inefficiency (materials/labor/energy)</x:v>
      </x:c>
      <x:c r="E493" t="str">
        <x:v>Unforeseen site/structural issues &amp; rework</x:v>
      </x:c>
      <x:c r="F493" t="str">
        <x:v>Planning &amp; estimation / coordination complexity</x:v>
      </x:c>
      <x:c r="G493" t="str">
        <x:v>Unforeseen site/structural issues &amp; rework, Planning &amp; estimation / coordination complexity, Resource inefficiency (materials/labor/energy)</x:v>
      </x:c>
      <x:c r="H493" t="str">
        <x:v>Cost overrun mainly linked to unforeseen site/structural issues &amp; rework; schedule overrun mainly linked to unforeseen site/structural issues &amp; rework.</x:v>
      </x:c>
    </x:row>
    <x:row r="494">
      <x:c r="A494" t="str">
        <x:v>PJT_493</x:v>
      </x:c>
      <x:c r="B494" t="str">
        <x:v>Unforeseen site/structural issues &amp; rework</x:v>
      </x:c>
      <x:c r="C494" t="str">
        <x:v>Equipment constraints / low availability</x:v>
      </x:c>
      <x:c r="D494" t="str">
        <x:v>Unforeseen site/structural issues &amp; rework, Equipment constraints / low availability, Planning &amp; estimation / coordination complexity</x:v>
      </x:c>
      <x:c r="E494" t="str">
        <x:v>Unforeseen site/structural issues &amp; rework</x:v>
      </x:c>
      <x:c r="F494" t="str">
        <x:v>Equipment constraints / low availability</x:v>
      </x:c>
      <x:c r="G494" t="str">
        <x:v>Unforeseen site/structural issues &amp; rework, Equipment constraints / low availability, Planning &amp; estimation / coordination complexity</x:v>
      </x:c>
      <x:c r="H494" t="str">
        <x:v>Cost overrun mainly linked to unforeseen site/structural issues &amp; rework; schedule overrun mainly linked to unforeseen site/structural issues &amp; rework.</x:v>
      </x:c>
    </x:row>
    <x:row r="495">
      <x:c r="A495" t="str">
        <x:v>PJT_494</x:v>
      </x:c>
      <x:c r="B495" t="str">
        <x:v>Resource inefficiency (materials/labor/energy)</x:v>
      </x:c>
      <x:c r="C495" t="str">
        <x:v>Material supply / logistics &amp; market disruption</x:v>
      </x:c>
      <x:c r="D495" t="str">
        <x:v>Resource inefficiency (materials/labor/energy), Material supply / logistics &amp; market disruption, Planning &amp; estimation / coordination complexity</x:v>
      </x:c>
      <x:c r="E495" t="str">
        <x:v>Resource inefficiency (materials/labor/energy)</x:v>
      </x:c>
      <x:c r="F495" t="str">
        <x:v>Material supply / logistics &amp; market disruption</x:v>
      </x:c>
      <x:c r="G495" t="str">
        <x:v>Resource inefficiency (materials/labor/energy), Material supply / logistics &amp; market disruption, Planning &amp; estimation / coordination complexity</x:v>
      </x:c>
      <x:c r="H495" t="str">
        <x:v>Cost overrun mainly linked to resource inefficiency (materials/labor/energy); schedule overrun mainly linked to resource inefficiency (materials/labor/energy).</x:v>
      </x:c>
    </x:row>
    <x:row r="496">
      <x:c r="A496" t="str">
        <x:v>PJT_495</x:v>
      </x:c>
      <x:c r="B496" t="str">
        <x:v>Planning &amp; estimation / coordination complexity</x:v>
      </x:c>
      <x:c r="C496" t="str">
        <x:v>Unforeseen site/structural issues &amp; rework</x:v>
      </x:c>
      <x:c r="D496" t="str">
        <x:v>Planning &amp; estimation / coordination complexity, Unforeseen site/structural issues &amp; rework, Resource inefficiency (materials/labor/energy)</x:v>
      </x:c>
      <x:c r="E496" t="str">
        <x:v>Planning &amp; estimation / coordination complexity</x:v>
      </x:c>
      <x:c r="F496" t="str">
        <x:v>Unforeseen site/structural issues &amp; rework</x:v>
      </x:c>
      <x:c r="G496" t="str">
        <x:v>Planning &amp; estimation / coordination complexity, Unforeseen site/structural issues &amp; rework, Resource inefficiency (materials/labor/energy)</x:v>
      </x:c>
      <x:c r="H496" t="str">
        <x:v>Cost overrun mainly linked to planning &amp; estimation / coordination complexity; schedule overrun mainly linked to planning &amp; estimation / coordination complexity.</x:v>
      </x:c>
    </x:row>
    <x:row r="497">
      <x:c r="A497" t="str">
        <x:v>PJT_496</x:v>
      </x:c>
      <x:c r="B497" t="str">
        <x:v>Planning &amp; estimation / coordination complexity</x:v>
      </x:c>
      <x:c r="C497" t="str">
        <x:v>Material supply / logistics &amp; market disruption</x:v>
      </x:c>
      <x:c r="D497" t="str">
        <x:v>Planning &amp; estimation / coordination complexity, Material supply / logistics &amp; market disruption, Equipment constraints / low availability</x:v>
      </x:c>
      <x:c r="E497" t="str">
        <x:v>Planning &amp; estimation / coordination complexity</x:v>
      </x:c>
      <x:c r="F497" t="str">
        <x:v>Material supply / logistics &amp; market disruption</x:v>
      </x:c>
      <x:c r="G497" t="str">
        <x:v>Planning &amp; estimation / coordination complexity, Material supply / logistics &amp; market disruption, Equipment constraints / low availability</x:v>
      </x:c>
      <x:c r="H497" t="str">
        <x:v>Cost overrun mainly linked to planning &amp; estimation / coordination complexity; schedule overrun mainly linked to planning &amp; estimation / coordination complexity.</x:v>
      </x:c>
    </x:row>
    <x:row r="498">
      <x:c r="A498" t="str">
        <x:v>PJT_497</x:v>
      </x:c>
      <x:c r="B498" t="str">
        <x:v>Unforeseen site/structural issues &amp; rework</x:v>
      </x:c>
      <x:c r="C498" t="str">
        <x:v>Planning &amp; estimation / coordination complexity</x:v>
      </x:c>
      <x:c r="D498" t="str">
        <x:v>Unforeseen site/structural issues &amp; rework, Planning &amp; estimation / coordination complexity, Equipment constraints / low availability</x:v>
      </x:c>
      <x:c r="E498" t="str">
        <x:v>Unforeseen site/structural issues &amp; rework</x:v>
      </x:c>
      <x:c r="F498" t="str">
        <x:v>Planning &amp; estimation / coordination complexity</x:v>
      </x:c>
      <x:c r="G498" t="str">
        <x:v>Unforeseen site/structural issues &amp; rework, Planning &amp; estimation / coordination complexity, Equipment constraints / low availability</x:v>
      </x:c>
      <x:c r="H498" t="str">
        <x:v>Cost overrun mainly linked to unforeseen site/structural issues &amp; rework; schedule overrun mainly linked to unforeseen site/structural issues &amp; rework.</x:v>
      </x:c>
    </x:row>
    <x:row r="499">
      <x:c r="A499" t="str">
        <x:v>PJT_498</x:v>
      </x:c>
      <x:c r="B499" t="str">
        <x:v>Resource inefficiency (materials/labor/energy)</x:v>
      </x:c>
      <x:c r="C499" t="str">
        <x:v>Planning &amp; estimation / coordination complexity</x:v>
      </x:c>
      <x:c r="D499" t="str">
        <x:v>Resource inefficiency (materials/labor/energy), Planning &amp; estimation / coordination complexity, Equipment constraints / low availability</x:v>
      </x:c>
      <x:c r="E499" t="str">
        <x:v>Resource inefficiency (materials/labor/energy)</x:v>
      </x:c>
      <x:c r="F499" t="str">
        <x:v>Planning &amp; estimation / coordination complexity</x:v>
      </x:c>
      <x:c r="G499" t="str">
        <x:v>Resource inefficiency (materials/labor/energy), Planning &amp; estimation / coordination complexity, Equipment constraints / low availability</x:v>
      </x:c>
      <x:c r="H499" t="str">
        <x:v>Cost overrun mainly linked to resource inefficiency (materials/labor/energy); schedule overrun mainly linked to resource inefficiency (materials/labor/energy).</x:v>
      </x:c>
    </x:row>
    <x:row r="500">
      <x:c r="A500" t="str">
        <x:v>PJT_499</x:v>
      </x:c>
      <x:c r="B500" t="str">
        <x:v>Planning &amp; estimation / coordination complexity</x:v>
      </x:c>
      <x:c r="C500" t="str">
        <x:v>Resource inefficiency (materials/labor/energy)</x:v>
      </x:c>
      <x:c r="D500" t="str">
        <x:v>Planning &amp; estimation / coordination complexity, Resource inefficiency (materials/labor/energy), Material supply / logistics &amp; market disruption</x:v>
      </x:c>
      <x:c r="E500" t="str">
        <x:v>Planning &amp; estimation / coordination complexity</x:v>
      </x:c>
      <x:c r="F500" t="str">
        <x:v>Unforeseen site/structural issues &amp; rework</x:v>
      </x:c>
      <x:c r="G500" t="str">
        <x:v>Planning &amp; estimation / coordination complexity, Unforeseen site/structural issues &amp; rework, Resource inefficiency (materials/labor/energy)</x:v>
      </x:c>
      <x:c r="H500" t="str">
        <x:v>Cost overrun mainly linked to planning &amp; estimation / coordination complexity; schedule overrun mainly linked to planning &amp; estimation / coordination complexity.</x:v>
      </x:c>
    </x:row>
    <x:row r="501">
      <x:c r="A501" t="str">
        <x:v>PJT_500</x:v>
      </x:c>
      <x:c r="B501" t="str">
        <x:v>Resource inefficiency (materials/labor/energy)</x:v>
      </x:c>
      <x:c r="C501" t="str">
        <x:v>Planning &amp; estimation / coordination complexity</x:v>
      </x:c>
      <x:c r="D501" t="str">
        <x:v>Resource inefficiency (materials/labor/energy), Planning &amp; estimation / coordination complexity, Equipment constraints / low availability</x:v>
      </x:c>
      <x:c r="E501" t="str">
        <x:v>Resource inefficiency (materials/labor/energy)</x:v>
      </x:c>
      <x:c r="F501" t="str">
        <x:v>Planning &amp; estimation / coordination complexity</x:v>
      </x:c>
      <x:c r="G501" t="str">
        <x:v>Resource inefficiency (materials/labor/energy), Planning &amp; estimation / coordination complexity, Equipment constraints / low availability</x:v>
      </x:c>
      <x:c r="H501" t="str">
        <x:v>Cost overrun mainly linked to resource inefficiency (materials/labor/energy); schedule overrun mainly linked to resource inefficiency (materials/labor/energy).</x:v>
      </x:c>
    </x:row>
    <x:row r="502">
      <x:c r="A502" t="str">
        <x:v>PJT_501</x:v>
      </x:c>
      <x:c r="B502" t="str">
        <x:v>Weather disruption / environmental constraints</x:v>
      </x:c>
      <x:c r="C502" t="str">
        <x:v>Unforeseen site/structural issues &amp; rework</x:v>
      </x:c>
      <x:c r="D502" t="str">
        <x:v>Weather disruption / environmental constraints, Unforeseen site/structural issues &amp; rework, Material supply / logistics &amp; market disruption</x:v>
      </x:c>
      <x:c r="E502" t="str">
        <x:v>Weather disruption / environmental constraints</x:v>
      </x:c>
      <x:c r="F502" t="str">
        <x:v>Unforeseen site/structural issues &amp; rework</x:v>
      </x:c>
      <x:c r="G502" t="str">
        <x:v>Weather disruption / environmental constraints, Unforeseen site/structural issues &amp; rework, Material supply / logistics &amp; market disruption</x:v>
      </x:c>
      <x:c r="H502" t="str">
        <x:v>Cost overrun mainly linked to weather disruption / environmental constraints; schedule overrun mainly linked to weather disruption / environmental constraints.</x:v>
      </x:c>
    </x:row>
    <x:row r="503">
      <x:c r="A503" t="str">
        <x:v>PJT_502</x:v>
      </x:c>
      <x:c r="B503" t="str">
        <x:v>Planning &amp; estimation / coordination complexity</x:v>
      </x:c>
      <x:c r="C503" t="str">
        <x:v>Equipment constraints / low availability</x:v>
      </x:c>
      <x:c r="D503" t="str">
        <x:v>Planning &amp; estimation / coordination complexity, Equipment constraints / low availability, Resource inefficiency (materials/labor/energy)</x:v>
      </x:c>
      <x:c r="E503" t="str">
        <x:v>Planning &amp; estimation / coordination complexity</x:v>
      </x:c>
      <x:c r="F503" t="str">
        <x:v>Equipment constraints / low availability</x:v>
      </x:c>
      <x:c r="G503" t="str">
        <x:v>Planning &amp; estimation / coordination complexity, Equipment constraints / low availability, Unforeseen site/structural issues &amp; rework</x:v>
      </x:c>
      <x:c r="H503" t="str">
        <x:v>Cost overrun mainly linked to planning &amp; estimation / coordination complexity; schedule overrun mainly linked to planning &amp; estimation / coordination complexity.</x:v>
      </x:c>
    </x:row>
    <x:row r="504">
      <x:c r="A504" t="str">
        <x:v>PJT_503</x:v>
      </x:c>
      <x:c r="B504" t="str">
        <x:v>Resource inefficiency (materials/labor/energy)</x:v>
      </x:c>
      <x:c r="C504" t="str">
        <x:v>Material supply / logistics &amp; market disruption</x:v>
      </x:c>
      <x:c r="D504" t="str">
        <x:v>Resource inefficiency (materials/labor/energy), Material supply / logistics &amp; market disruption, Planning &amp; estimation / coordination complexity</x:v>
      </x:c>
      <x:c r="E504" t="str">
        <x:v>Resource inefficiency (materials/labor/energy)</x:v>
      </x:c>
      <x:c r="F504" t="str">
        <x:v>Material supply / logistics &amp; market disruption</x:v>
      </x:c>
      <x:c r="G504" t="str">
        <x:v>Resource inefficiency (materials/labor/energy), Material supply / logistics &amp; market disruption, Equipment constraints / low availability</x:v>
      </x:c>
      <x:c r="H504" t="str">
        <x:v>Cost overrun mainly linked to resource inefficiency (materials/labor/energy); schedule overrun mainly linked to resource inefficiency (materials/labor/energy).</x:v>
      </x:c>
    </x:row>
    <x:row r="505">
      <x:c r="A505" t="str">
        <x:v>PJT_504</x:v>
      </x:c>
      <x:c r="B505" t="str">
        <x:v>Planning &amp; estimation / coordination complexity</x:v>
      </x:c>
      <x:c r="C505" t="str">
        <x:v>Resource inefficiency (materials/labor/energy)</x:v>
      </x:c>
      <x:c r="D505" t="str">
        <x:v>Planning &amp; estimation / coordination complexity, Resource inefficiency (materials/labor/energy), Equipment constraints / low availability</x:v>
      </x:c>
      <x:c r="E505" t="str">
        <x:v>Planning &amp; estimation / coordination complexity</x:v>
      </x:c>
      <x:c r="F505" t="str">
        <x:v>Resource inefficiency (materials/labor/energy)</x:v>
      </x:c>
      <x:c r="G505" t="str">
        <x:v>Planning &amp; estimation / coordination complexity, Resource inefficiency (materials/labor/energy), Equipment constraints / low availability</x:v>
      </x:c>
      <x:c r="H505" t="str">
        <x:v>Cost overrun mainly linked to planning &amp; estimation / coordination complexity; schedule overrun mainly linked to planning &amp; estimation / coordination complexity.</x:v>
      </x:c>
    </x:row>
    <x:row r="506">
      <x:c r="A506" t="str">
        <x:v>PJT_505</x:v>
      </x:c>
      <x:c r="B506" t="str">
        <x:v>Unforeseen site/structural issues &amp; rework</x:v>
      </x:c>
      <x:c r="C506" t="str">
        <x:v>Planning &amp; estimation / coordination complexity</x:v>
      </x:c>
      <x:c r="D506" t="str">
        <x:v>Unforeseen site/structural issues &amp; rework, Planning &amp; estimation / coordination complexity, Resource inefficiency (materials/labor/energy)</x:v>
      </x:c>
      <x:c r="E506" t="str">
        <x:v>Unforeseen site/structural issues &amp; rework</x:v>
      </x:c>
      <x:c r="F506" t="str">
        <x:v>Planning &amp; estimation / coordination complexity</x:v>
      </x:c>
      <x:c r="G506" t="str">
        <x:v>Unforeseen site/structural issues &amp; rework, Planning &amp; estimation / coordination complexity, Resource inefficiency (materials/labor/energy)</x:v>
      </x:c>
      <x:c r="H506" t="str">
        <x:v>Cost overrun mainly linked to unforeseen site/structural issues &amp; rework; schedule overrun mainly linked to unforeseen site/structural issues &amp; rework.</x:v>
      </x:c>
    </x:row>
    <x:row r="507">
      <x:c r="A507" t="str">
        <x:v>PJT_506</x:v>
      </x:c>
      <x:c r="B507" t="str">
        <x:v>Resource inefficiency (materials/labor/energy)</x:v>
      </x:c>
      <x:c r="C507" t="str">
        <x:v>Material supply / logistics &amp; market disruption</x:v>
      </x:c>
      <x:c r="D507" t="str">
        <x:v>Resource inefficiency (materials/labor/energy), Material supply / logistics &amp; market disruption, Planning &amp; estimation / coordination complexity</x:v>
      </x:c>
      <x:c r="E507" t="str">
        <x:v>Resource inefficiency (materials/labor/energy)</x:v>
      </x:c>
      <x:c r="F507" t="str">
        <x:v>Material supply / logistics &amp; market disruption</x:v>
      </x:c>
      <x:c r="G507" t="str">
        <x:v>Resource inefficiency (materials/labor/energy), Material supply / logistics &amp; market disruption, Planning &amp; estimation / coordination complexity</x:v>
      </x:c>
      <x:c r="H507" t="str">
        <x:v>Cost overrun mainly linked to resource inefficiency (materials/labor/energy); schedule overrun mainly linked to resource inefficiency (materials/labor/energy).</x:v>
      </x:c>
    </x:row>
    <x:row r="508">
      <x:c r="A508" t="str">
        <x:v>PJT_507</x:v>
      </x:c>
      <x:c r="B508" t="str">
        <x:v>Planning &amp; estimation / coordination complexity</x:v>
      </x:c>
      <x:c r="C508" t="str">
        <x:v>Unforeseen site/structural issues &amp; rework</x:v>
      </x:c>
      <x:c r="D508" t="str">
        <x:v>Planning &amp; estimation / coordination complexity, Unforeseen site/structural issues &amp; rework, Resource inefficiency (materials/labor/energy)</x:v>
      </x:c>
      <x:c r="E508" t="str">
        <x:v>Planning &amp; estimation / coordination complexity</x:v>
      </x:c>
      <x:c r="F508" t="str">
        <x:v>Unforeseen site/structural issues &amp; rework</x:v>
      </x:c>
      <x:c r="G508" t="str">
        <x:v>Planning &amp; estimation / coordination complexity, Unforeseen site/structural issues &amp; rework, Resource inefficiency (materials/labor/energy)</x:v>
      </x:c>
      <x:c r="H508" t="str">
        <x:v>Cost overrun mainly linked to planning &amp; estimation / coordination complexity; schedule overrun mainly linked to planning &amp; estimation / coordination complexity.</x:v>
      </x:c>
    </x:row>
    <x:row r="509">
      <x:c r="A509" t="str">
        <x:v>PJT_508</x:v>
      </x:c>
      <x:c r="B509" t="str">
        <x:v>Material supply / logistics &amp; market disruption</x:v>
      </x:c>
      <x:c r="C509" t="str">
        <x:v>Resource inefficiency (materials/labor/energy)</x:v>
      </x:c>
      <x:c r="D509" t="str">
        <x:v>Material supply / logistics &amp; market disruption, Resource inefficiency (materials/labor/energy), Weather disruption / environmental constraints</x:v>
      </x:c>
      <x:c r="E509" t="str">
        <x:v>Material supply / logistics &amp; market disruption</x:v>
      </x:c>
      <x:c r="F509" t="str">
        <x:v>Resource inefficiency (materials/labor/energy)</x:v>
      </x:c>
      <x:c r="G509" t="str">
        <x:v>Material supply / logistics &amp; market disruption, Resource inefficiency (materials/labor/energy), Weather disruption / environmental constraints</x:v>
      </x:c>
      <x:c r="H509" t="str">
        <x:v>Cost overrun mainly linked to material supply / logistics &amp; market disruption; schedule overrun mainly linked to material supply / logistics &amp; market disruption.</x:v>
      </x:c>
    </x:row>
    <x:row r="510">
      <x:c r="A510" t="str">
        <x:v>PJT_509</x:v>
      </x:c>
      <x:c r="B510" t="str">
        <x:v>Equipment constraints / low availability</x:v>
      </x:c>
      <x:c r="C510" t="str">
        <x:v>Resource inefficiency (materials/labor/energy)</x:v>
      </x:c>
      <x:c r="D510" t="str">
        <x:v>Equipment constraints / low availability, Resource inefficiency (materials/labor/energy), Planning &amp; estimation / coordination complexity</x:v>
      </x:c>
      <x:c r="E510" t="str">
        <x:v>Equipment constraints / low availability</x:v>
      </x:c>
      <x:c r="F510" t="str">
        <x:v>Resource inefficiency (materials/labor/energy)</x:v>
      </x:c>
      <x:c r="G510" t="str">
        <x:v>Equipment constraints / low availability, Resource inefficiency (materials/labor/energy), Material supply / logistics &amp; market disruption</x:v>
      </x:c>
      <x:c r="H510" t="str">
        <x:v>Cost overrun mainly linked to equipment constraints / low availability; schedule overrun mainly linked to equipment constraints / low availability.</x:v>
      </x:c>
    </x:row>
    <x:row r="511">
      <x:c r="A511" t="str">
        <x:v>PJT_510</x:v>
      </x:c>
      <x:c r="B511" t="str">
        <x:v>Equipment constraints / low availability</x:v>
      </x:c>
      <x:c r="C511" t="str">
        <x:v>Resource inefficiency (materials/labor/energy)</x:v>
      </x:c>
      <x:c r="D511" t="str">
        <x:v>Equipment constraints / low availability, Resource inefficiency (materials/labor/energy), Material supply / logistics &amp; market disruption</x:v>
      </x:c>
      <x:c r="E511" t="str">
        <x:v>Equipment constraints / low availability</x:v>
      </x:c>
      <x:c r="F511" t="str">
        <x:v>Resource inefficiency (materials/labor/energy)</x:v>
      </x:c>
      <x:c r="G511" t="str">
        <x:v>Equipment constraints / low availability, Resource inefficiency (materials/labor/energy), Material supply / logistics &amp; market disruption</x:v>
      </x:c>
      <x:c r="H511" t="str">
        <x:v>Cost overrun mainly linked to equipment constraints / low availability; schedule overrun mainly linked to equipment constraints / low availability.</x:v>
      </x:c>
    </x:row>
    <x:row r="512">
      <x:c r="A512" t="str">
        <x:v>PJT_511</x:v>
      </x:c>
      <x:c r="B512" t="str">
        <x:v>Unforeseen site/structural issues &amp; rework</x:v>
      </x:c>
      <x:c r="C512" t="str">
        <x:v>Planning &amp; estimation / coordination complexity</x:v>
      </x:c>
      <x:c r="D512" t="str">
        <x:v>Unforeseen site/structural issues &amp; rework, Planning &amp; estimation / coordination complexity, Resource inefficiency (materials/labor/energy)</x:v>
      </x:c>
      <x:c r="E512" t="str">
        <x:v>Unforeseen site/structural issues &amp; rework</x:v>
      </x:c>
      <x:c r="F512" t="str">
        <x:v>Planning &amp; estimation / coordination complexity</x:v>
      </x:c>
      <x:c r="G512" t="str">
        <x:v>Unforeseen site/structural issues &amp; rework, Planning &amp; estimation / coordination complexity, Resource inefficiency (materials/labor/energy)</x:v>
      </x:c>
      <x:c r="H512" t="str">
        <x:v>Cost overrun mainly linked to unforeseen site/structural issues &amp; rework; schedule overrun mainly linked to unforeseen site/structural issues &amp; rework.</x:v>
      </x:c>
    </x:row>
    <x:row r="513">
      <x:c r="A513" t="str">
        <x:v>PJT_512</x:v>
      </x:c>
      <x:c r="B513" t="str">
        <x:v>Planning &amp; estimation / coordination complexity</x:v>
      </x:c>
      <x:c r="C513" t="str">
        <x:v>Resource inefficiency (materials/labor/energy)</x:v>
      </x:c>
      <x:c r="D513" t="str">
        <x:v>Planning &amp; estimation / coordination complexity, Resource inefficiency (materials/labor/energy), Unforeseen site/structural issues &amp; rework</x:v>
      </x:c>
      <x:c r="E513" t="str">
        <x:v>Planning &amp; estimation / coordination complexity</x:v>
      </x:c>
      <x:c r="F513" t="str">
        <x:v>Unforeseen site/structural issues &amp; rework</x:v>
      </x:c>
      <x:c r="G513" t="str">
        <x:v>Planning &amp; estimation / coordination complexity, Unforeseen site/structural issues &amp; rework, Resource inefficiency (materials/labor/energy)</x:v>
      </x:c>
      <x:c r="H513" t="str">
        <x:v>Cost overrun mainly linked to planning &amp; estimation / coordination complexity; schedule overrun mainly linked to planning &amp; estimation / coordination complexity.</x:v>
      </x:c>
    </x:row>
    <x:row r="514">
      <x:c r="A514" t="str">
        <x:v>PJT_513</x:v>
      </x:c>
      <x:c r="B514" t="str">
        <x:v>Resource inefficiency (materials/labor/energy)</x:v>
      </x:c>
      <x:c r="C514" t="str">
        <x:v>Material supply / logistics &amp; market disruption</x:v>
      </x:c>
      <x:c r="D514" t="str">
        <x:v>Resource inefficiency (materials/labor/energy), Material supply / logistics &amp; market disruption, Planning &amp; estimation / coordination complexity</x:v>
      </x:c>
      <x:c r="E514" t="str">
        <x:v>Resource inefficiency (materials/labor/energy)</x:v>
      </x:c>
      <x:c r="F514" t="str">
        <x:v>Material supply / logistics &amp; market disruption</x:v>
      </x:c>
      <x:c r="G514" t="str">
        <x:v>Resource inefficiency (materials/labor/energy), Material supply / logistics &amp; market disruption, Planning &amp; estimation / coordination complexity</x:v>
      </x:c>
      <x:c r="H514" t="str">
        <x:v>Cost overrun mainly linked to resource inefficiency (materials/labor/energy); schedule overrun mainly linked to resource inefficiency (materials/labor/energy).</x:v>
      </x:c>
    </x:row>
    <x:row r="515">
      <x:c r="A515" t="str">
        <x:v>PJT_514</x:v>
      </x:c>
      <x:c r="B515" t="str">
        <x:v>Material supply / logistics &amp; market disruption</x:v>
      </x:c>
      <x:c r="C515" t="str">
        <x:v>Weather disruption / environmental constraints</x:v>
      </x:c>
      <x:c r="D515" t="str">
        <x:v>Material supply / logistics &amp; market disruption, Weather disruption / environmental constraints, Resource inefficiency (materials/labor/energy)</x:v>
      </x:c>
      <x:c r="E515" t="str">
        <x:v>Material supply / logistics &amp; market disruption</x:v>
      </x:c>
      <x:c r="F515" t="str">
        <x:v>Weather disruption / environmental constraints</x:v>
      </x:c>
      <x:c r="G515" t="str">
        <x:v>Material supply / logistics &amp; market disruption, Weather disruption / environmental constraints, Resource inefficiency (materials/labor/energy)</x:v>
      </x:c>
      <x:c r="H515" t="str">
        <x:v>Cost overrun mainly linked to material supply / logistics &amp; market disruption; schedule overrun mainly linked to material supply / logistics &amp; market disruption.</x:v>
      </x:c>
    </x:row>
    <x:row r="516">
      <x:c r="A516" t="str">
        <x:v>PJT_515</x:v>
      </x:c>
      <x:c r="B516" t="str">
        <x:v>Unforeseen site/structural issues &amp; rework</x:v>
      </x:c>
      <x:c r="C516" t="str">
        <x:v>Weather disruption / environmental constraints</x:v>
      </x:c>
      <x:c r="D516" t="str">
        <x:v>Unforeseen site/structural issues &amp; rework, Weather disruption / environmental constraints, Material supply / logistics &amp; market disruption</x:v>
      </x:c>
      <x:c r="E516" t="str">
        <x:v>Unforeseen site/structural issues &amp; rework</x:v>
      </x:c>
      <x:c r="F516" t="str">
        <x:v>Weather disruption / environmental constraints</x:v>
      </x:c>
      <x:c r="G516" t="str">
        <x:v>Unforeseen site/structural issues &amp; rework, Weather disruption / environmental constraints, Material supply / logistics &amp; market disruption</x:v>
      </x:c>
      <x:c r="H516" t="str">
        <x:v>Cost overrun mainly linked to unforeseen site/structural issues &amp; rework; schedule overrun mainly linked to unforeseen site/structural issues &amp; rework.</x:v>
      </x:c>
    </x:row>
    <x:row r="517">
      <x:c r="A517" t="str">
        <x:v>PJT_516</x:v>
      </x:c>
      <x:c r="B517" t="str">
        <x:v>Resource inefficiency (materials/labor/energy)</x:v>
      </x:c>
      <x:c r="C517" t="str">
        <x:v>Unforeseen site/structural issues &amp; rework</x:v>
      </x:c>
      <x:c r="D517" t="str">
        <x:v>Resource inefficiency (materials/labor/energy), Unforeseen site/structural issues &amp; rework, Material supply / logistics &amp; market disruption</x:v>
      </x:c>
      <x:c r="E517" t="str">
        <x:v>Resource inefficiency (materials/labor/energy)</x:v>
      </x:c>
      <x:c r="F517" t="str">
        <x:v>Unforeseen site/structural issues &amp; rework</x:v>
      </x:c>
      <x:c r="G517" t="str">
        <x:v>Resource inefficiency (materials/labor/energy), Unforeseen site/structural issues &amp; rework, Planning &amp; estimation / coordination complexity</x:v>
      </x:c>
      <x:c r="H517" t="str">
        <x:v>Cost overrun mainly linked to resource inefficiency (materials/labor/energy); schedule overrun mainly linked to resource inefficiency (materials/labor/energy).</x:v>
      </x:c>
    </x:row>
    <x:row r="518">
      <x:c r="A518" t="str">
        <x:v>PJT_517</x:v>
      </x:c>
      <x:c r="B518" t="str">
        <x:v>Unforeseen site/structural issues &amp; rework</x:v>
      </x:c>
      <x:c r="C518" t="str">
        <x:v>Planning &amp; estimation / coordination complexity</x:v>
      </x:c>
      <x:c r="D518" t="str">
        <x:v>Unforeseen site/structural issues &amp; rework, Planning &amp; estimation / coordination complexity, Equipment constraints / low availability</x:v>
      </x:c>
      <x:c r="E518" t="str">
        <x:v>Unforeseen site/structural issues &amp; rework</x:v>
      </x:c>
      <x:c r="F518" t="str">
        <x:v>Planning &amp; estimation / coordination complexity</x:v>
      </x:c>
      <x:c r="G518" t="str">
        <x:v>Unforeseen site/structural issues &amp; rework, Planning &amp; estimation / coordination complexity, Equipment constraints / low availability</x:v>
      </x:c>
      <x:c r="H518" t="str">
        <x:v>Cost overrun mainly linked to unforeseen site/structural issues &amp; rework; schedule overrun mainly linked to unforeseen site/structural issues &amp; rework.</x:v>
      </x:c>
    </x:row>
    <x:row r="519">
      <x:c r="A519" t="str">
        <x:v>PJT_518</x:v>
      </x:c>
      <x:c r="B519" t="str">
        <x:v>Material supply / logistics &amp; market disruption</x:v>
      </x:c>
      <x:c r="C519" t="str">
        <x:v>Planning &amp; estimation / coordination complexity</x:v>
      </x:c>
      <x:c r="D519" t="str">
        <x:v>Material supply / logistics &amp; market disruption, Planning &amp; estimation / coordination complexity, Unforeseen site/structural issues &amp; rework</x:v>
      </x:c>
      <x:c r="E519" t="str">
        <x:v>Planning &amp; estimation / coordination complexity</x:v>
      </x:c>
      <x:c r="F519" t="str">
        <x:v>Material supply / logistics &amp; market disruption</x:v>
      </x:c>
      <x:c r="G519" t="str">
        <x:v>Planning &amp; estimation / coordination complexity, Material supply / logistics &amp; market disruption, Unforeseen site/structural issues &amp; rework</x:v>
      </x:c>
      <x:c r="H519" t="str">
        <x:v>Cost overrun mainly linked to material supply / logistics &amp; market disruption; schedule overrun mainly linked to planning &amp; estimation / coordination complexity.</x:v>
      </x:c>
    </x:row>
    <x:row r="520">
      <x:c r="A520" t="str">
        <x:v>PJT_519</x:v>
      </x:c>
      <x:c r="B520" t="str">
        <x:v>Unforeseen site/structural issues &amp; rework</x:v>
      </x:c>
      <x:c r="C520" t="str">
        <x:v>Resource inefficiency (materials/labor/energy)</x:v>
      </x:c>
      <x:c r="D520" t="str">
        <x:v>Unforeseen site/structural issues &amp; rework, Resource inefficiency (materials/labor/energy), Equipment constraints / low availability</x:v>
      </x:c>
      <x:c r="E520" t="str">
        <x:v>Unforeseen site/structural issues &amp; rework</x:v>
      </x:c>
      <x:c r="F520" t="str">
        <x:v>Resource inefficiency (materials/labor/energy)</x:v>
      </x:c>
      <x:c r="G520" t="str">
        <x:v>Unforeseen site/structural issues &amp; rework, Resource inefficiency (materials/labor/energy), Equipment constraints / low availability</x:v>
      </x:c>
      <x:c r="H520" t="str">
        <x:v>Cost overrun mainly linked to unforeseen site/structural issues &amp; rework; schedule overrun mainly linked to unforeseen site/structural issues &amp; rework.</x:v>
      </x:c>
    </x:row>
    <x:row r="521">
      <x:c r="A521" t="str">
        <x:v>PJT_520</x:v>
      </x:c>
      <x:c r="B521" t="str">
        <x:v>Unforeseen site/structural issues &amp; rework</x:v>
      </x:c>
      <x:c r="C521" t="str">
        <x:v>Planning &amp; estimation / coordination complexity</x:v>
      </x:c>
      <x:c r="D521" t="str">
        <x:v>Unforeseen site/structural issues &amp; rework, Planning &amp; estimation / coordination complexity, Resource inefficiency (materials/labor/energy)</x:v>
      </x:c>
      <x:c r="E521" t="str">
        <x:v>Unforeseen site/structural issues &amp; rework</x:v>
      </x:c>
      <x:c r="F521" t="str">
        <x:v>Planning &amp; estimation / coordination complexity</x:v>
      </x:c>
      <x:c r="G521" t="str">
        <x:v>Unforeseen site/structural issues &amp; rework, Planning &amp; estimation / coordination complexity, Resource inefficiency (materials/labor/energy)</x:v>
      </x:c>
      <x:c r="H521" t="str">
        <x:v>Cost overrun mainly linked to unforeseen site/structural issues &amp; rework; schedule overrun mainly linked to unforeseen site/structural issues &amp; rework.</x:v>
      </x:c>
    </x:row>
    <x:row r="522">
      <x:c r="A522" t="str">
        <x:v>PJT_521</x:v>
      </x:c>
      <x:c r="B522" t="str">
        <x:v>Unforeseen site/structural issues &amp; rework</x:v>
      </x:c>
      <x:c r="C522" t="str">
        <x:v>Weather disruption / environmental constraints</x:v>
      </x:c>
      <x:c r="D522" t="str">
        <x:v>Unforeseen site/structural issues &amp; rework, Weather disruption / environmental constraints, Resource inefficiency (materials/labor/energy)</x:v>
      </x:c>
      <x:c r="E522" t="str">
        <x:v>Unforeseen site/structural issues &amp; rework</x:v>
      </x:c>
      <x:c r="F522" t="str">
        <x:v>Planning &amp; estimation / coordination complexity</x:v>
      </x:c>
      <x:c r="G522" t="str">
        <x:v>Unforeseen site/structural issues &amp; rework, Planning &amp; estimation / coordination complexity, Weather disruption / environmental constraints</x:v>
      </x:c>
      <x:c r="H522" t="str">
        <x:v>Cost overrun mainly linked to unforeseen site/structural issues &amp; rework; schedule overrun mainly linked to unforeseen site/structural issues &amp; rework.</x:v>
      </x:c>
    </x:row>
    <x:row r="523">
      <x:c r="A523" t="str">
        <x:v>PJT_522</x:v>
      </x:c>
      <x:c r="B523" t="str">
        <x:v>Planning &amp; estimation / coordination complexity</x:v>
      </x:c>
      <x:c r="C523" t="str">
        <x:v>Unforeseen site/structural issues &amp; rework</x:v>
      </x:c>
      <x:c r="D523" t="str">
        <x:v>Planning &amp; estimation / coordination complexity, Unforeseen site/structural issues &amp; rework, Equipment constraints / low availability</x:v>
      </x:c>
      <x:c r="E523" t="str">
        <x:v>Planning &amp; estimation / coordination complexity</x:v>
      </x:c>
      <x:c r="F523" t="str">
        <x:v>Unforeseen site/structural issues &amp; rework</x:v>
      </x:c>
      <x:c r="G523" t="str">
        <x:v>Planning &amp; estimation / coordination complexity, Unforeseen site/structural issues &amp; rework, Equipment constraints / low availability</x:v>
      </x:c>
      <x:c r="H523" t="str">
        <x:v>Cost overrun mainly linked to planning &amp; estimation / coordination complexity; schedule overrun mainly linked to planning &amp; estimation / coordination complexity.</x:v>
      </x:c>
    </x:row>
    <x:row r="524">
      <x:c r="A524" t="str">
        <x:v>PJT_523</x:v>
      </x:c>
      <x:c r="B524" t="str">
        <x:v>Material supply / logistics &amp; market disruption</x:v>
      </x:c>
      <x:c r="C524" t="str">
        <x:v>Resource inefficiency (materials/labor/energy)</x:v>
      </x:c>
      <x:c r="D524" t="str">
        <x:v>Material supply / logistics &amp; market disruption, Resource inefficiency (materials/labor/energy), Weather disruption / environmental constraints</x:v>
      </x:c>
      <x:c r="E524" t="str">
        <x:v>Material supply / logistics &amp; market disruption</x:v>
      </x:c>
      <x:c r="F524" t="str">
        <x:v>Resource inefficiency (materials/labor/energy)</x:v>
      </x:c>
      <x:c r="G524" t="str">
        <x:v>Material supply / logistics &amp; market disruption, Resource inefficiency (materials/labor/energy), Weather disruption / environmental constraints</x:v>
      </x:c>
      <x:c r="H524" t="str">
        <x:v>Cost overrun mainly linked to material supply / logistics &amp; market disruption; schedule overrun mainly linked to material supply / logistics &amp; market disruption.</x:v>
      </x:c>
    </x:row>
    <x:row r="525">
      <x:c r="A525" t="str">
        <x:v>PJT_524</x:v>
      </x:c>
      <x:c r="B525" t="str">
        <x:v>Equipment constraints / low availability</x:v>
      </x:c>
      <x:c r="C525" t="str">
        <x:v>Planning &amp; estimation / coordination complexity</x:v>
      </x:c>
      <x:c r="D525" t="str">
        <x:v>Equipment constraints / low availability, Planning &amp; estimation / coordination complexity, Resource inefficiency (materials/labor/energy)</x:v>
      </x:c>
      <x:c r="E525" t="str">
        <x:v>Equipment constraints / low availability</x:v>
      </x:c>
      <x:c r="F525" t="str">
        <x:v>Resource inefficiency (materials/labor/energy)</x:v>
      </x:c>
      <x:c r="G525" t="str">
        <x:v>Equipment constraints / low availability, Resource inefficiency (materials/labor/energy), Planning &amp; estimation / coordination complexity</x:v>
      </x:c>
      <x:c r="H525" t="str">
        <x:v>Cost overrun mainly linked to equipment constraints / low availability; schedule overrun mainly linked to equipment constraints / low availability.</x:v>
      </x:c>
    </x:row>
    <x:row r="526">
      <x:c r="A526" t="str">
        <x:v>PJT_525</x:v>
      </x:c>
      <x:c r="B526" t="str">
        <x:v>Weather disruption / environmental constraints</x:v>
      </x:c>
      <x:c r="C526" t="str">
        <x:v>Unforeseen site/structural issues &amp; rework</x:v>
      </x:c>
      <x:c r="D526" t="str">
        <x:v>Weather disruption / environmental constraints, Unforeseen site/structural issues &amp; rework, Equipment constraints / low availability</x:v>
      </x:c>
      <x:c r="E526" t="str">
        <x:v>Weather disruption / environmental constraints</x:v>
      </x:c>
      <x:c r="F526" t="str">
        <x:v>Unforeseen site/structural issues &amp; rework</x:v>
      </x:c>
      <x:c r="G526" t="str">
        <x:v>Weather disruption / environmental constraints, Unforeseen site/structural issues &amp; rework, Equipment constraints / low availability</x:v>
      </x:c>
      <x:c r="H526" t="str">
        <x:v>Cost overrun mainly linked to weather disruption / environmental constraints; schedule overrun mainly linked to weather disruption / environmental constraints.</x:v>
      </x:c>
    </x:row>
    <x:row r="527">
      <x:c r="A527" t="str">
        <x:v>PJT_526</x:v>
      </x:c>
      <x:c r="B527" t="str">
        <x:v>Unforeseen site/structural issues &amp; rework</x:v>
      </x:c>
      <x:c r="C527" t="str">
        <x:v>Weather disruption / environmental constraints</x:v>
      </x:c>
      <x:c r="D527" t="str">
        <x:v>Unforeseen site/structural issues &amp; rework, Weather disruption / environmental constraints, Planning &amp; estimation / coordination complexity</x:v>
      </x:c>
      <x:c r="E527" t="str">
        <x:v>Unforeseen site/structural issues &amp; rework</x:v>
      </x:c>
      <x:c r="F527" t="str">
        <x:v>Planning &amp; estimation / coordination complexity</x:v>
      </x:c>
      <x:c r="G527" t="str">
        <x:v>Unforeseen site/structural issues &amp; rework, Planning &amp; estimation / coordination complexity, Weather disruption / environmental constraints</x:v>
      </x:c>
      <x:c r="H527" t="str">
        <x:v>Cost overrun mainly linked to unforeseen site/structural issues &amp; rework; schedule overrun mainly linked to unforeseen site/structural issues &amp; rework.</x:v>
      </x:c>
    </x:row>
    <x:row r="528">
      <x:c r="A528" t="str">
        <x:v>PJT_527</x:v>
      </x:c>
      <x:c r="B528" t="str">
        <x:v>Resource inefficiency (materials/labor/energy)</x:v>
      </x:c>
      <x:c r="C528" t="str">
        <x:v>Planning &amp; estimation / coordination complexity</x:v>
      </x:c>
      <x:c r="D528" t="str">
        <x:v>Resource inefficiency (materials/labor/energy), Planning &amp; estimation / coordination complexity, Equipment constraints / low availability</x:v>
      </x:c>
      <x:c r="E528" t="str">
        <x:v>Resource inefficiency (materials/labor/energy)</x:v>
      </x:c>
      <x:c r="F528" t="str">
        <x:v>Planning &amp; estimation / coordination complexity</x:v>
      </x:c>
      <x:c r="G528" t="str">
        <x:v>Resource inefficiency (materials/labor/energy), Planning &amp; estimation / coordination complexity, Equipment constraints / low availability</x:v>
      </x:c>
      <x:c r="H528" t="str">
        <x:v>Cost overrun mainly linked to resource inefficiency (materials/labor/energy); schedule overrun mainly linked to resource inefficiency (materials/labor/energy).</x:v>
      </x:c>
    </x:row>
    <x:row r="529">
      <x:c r="A529" t="str">
        <x:v>PJT_528</x:v>
      </x:c>
      <x:c r="B529" t="str">
        <x:v>Weather disruption / environmental constraints</x:v>
      </x:c>
      <x:c r="C529" t="str">
        <x:v>Equipment constraints / low availability</x:v>
      </x:c>
      <x:c r="D529" t="str">
        <x:v>Weather disruption / environmental constraints, Equipment constraints / low availability, Material supply / logistics &amp; market disruption</x:v>
      </x:c>
      <x:c r="E529" t="str">
        <x:v>Weather disruption / environmental constraints</x:v>
      </x:c>
      <x:c r="F529" t="str">
        <x:v>Equipment constraints / low availability</x:v>
      </x:c>
      <x:c r="G529" t="str">
        <x:v>Weather disruption / environmental constraints, Equipment constraints / low availability, Material supply / logistics &amp; market disruption</x:v>
      </x:c>
      <x:c r="H529" t="str">
        <x:v>Cost overrun mainly linked to weather disruption / environmental constraints; schedule overrun mainly linked to weather disruption / environmental constraints.</x:v>
      </x:c>
    </x:row>
    <x:row r="530">
      <x:c r="A530" t="str">
        <x:v>PJT_529</x:v>
      </x:c>
      <x:c r="B530" t="str">
        <x:v>Planning &amp; estimation / coordination complexity</x:v>
      </x:c>
      <x:c r="C530" t="str">
        <x:v>Equipment constraints / low availability</x:v>
      </x:c>
      <x:c r="D530" t="str">
        <x:v>Planning &amp; estimation / coordination complexity, Equipment constraints / low availability, Weather disruption / environmental constraints</x:v>
      </x:c>
      <x:c r="E530" t="str">
        <x:v>Planning &amp; estimation / coordination complexity</x:v>
      </x:c>
      <x:c r="F530" t="str">
        <x:v>Equipment constraints / low availability</x:v>
      </x:c>
      <x:c r="G530" t="str">
        <x:v>Planning &amp; estimation / coordination complexity, Equipment constraints / low availability, Resource inefficiency (materials/labor/energy)</x:v>
      </x:c>
      <x:c r="H530" t="str">
        <x:v>Cost overrun mainly linked to planning &amp; estimation / coordination complexity; schedule overrun mainly linked to planning &amp; estimation / coordination complexity.</x:v>
      </x:c>
    </x:row>
    <x:row r="531">
      <x:c r="A531" t="str">
        <x:v>PJT_530</x:v>
      </x:c>
      <x:c r="B531" t="str">
        <x:v>Unforeseen site/structural issues &amp; rework</x:v>
      </x:c>
      <x:c r="C531" t="str">
        <x:v>Material supply / logistics &amp; market disruption</x:v>
      </x:c>
      <x:c r="D531" t="str">
        <x:v>Unforeseen site/structural issues &amp; rework, Material supply / logistics &amp; market disruption, Resource inefficiency (materials/labor/energy)</x:v>
      </x:c>
      <x:c r="E531" t="str">
        <x:v>Unforeseen site/structural issues &amp; rework</x:v>
      </x:c>
      <x:c r="F531" t="str">
        <x:v>Material supply / logistics &amp; market disruption</x:v>
      </x:c>
      <x:c r="G531" t="str">
        <x:v>Unforeseen site/structural issues &amp; rework, Material supply / logistics &amp; market disruption, Resource inefficiency (materials/labor/energy)</x:v>
      </x:c>
      <x:c r="H531" t="str">
        <x:v>Cost overrun mainly linked to unforeseen site/structural issues &amp; rework; schedule overrun mainly linked to unforeseen site/structural issues &amp; rework.</x:v>
      </x:c>
    </x:row>
    <x:row r="532">
      <x:c r="A532" t="str">
        <x:v>PJT_531</x:v>
      </x:c>
      <x:c r="B532" t="str">
        <x:v>Resource inefficiency (materials/labor/energy)</x:v>
      </x:c>
      <x:c r="C532" t="str">
        <x:v>Planning &amp; estimation / coordination complexity</x:v>
      </x:c>
      <x:c r="D532" t="str">
        <x:v>Resource inefficiency (materials/labor/energy), Planning &amp; estimation / coordination complexity, Unforeseen site/structural issues &amp; rework</x:v>
      </x:c>
      <x:c r="E532" t="str">
        <x:v>Planning &amp; estimation / coordination complexity</x:v>
      </x:c>
      <x:c r="F532" t="str">
        <x:v>Resource inefficiency (materials/labor/energy)</x:v>
      </x:c>
      <x:c r="G532" t="str">
        <x:v>Planning &amp; estimation / coordination complexity, Resource inefficiency (materials/labor/energy), Unforeseen site/structural issues &amp; rework</x:v>
      </x:c>
      <x:c r="H532" t="str">
        <x:v>Cost overrun mainly linked to resource inefficiency (materials/labor/energy); schedule overrun mainly linked to planning &amp; estimation / coordination complexity.</x:v>
      </x:c>
    </x:row>
    <x:row r="533">
      <x:c r="A533" t="str">
        <x:v>PJT_532</x:v>
      </x:c>
      <x:c r="B533" t="str">
        <x:v>Resource inefficiency (materials/labor/energy)</x:v>
      </x:c>
      <x:c r="C533" t="str">
        <x:v>Planning &amp; estimation / coordination complexity</x:v>
      </x:c>
      <x:c r="D533" t="str">
        <x:v>Resource inefficiency (materials/labor/energy), Planning &amp; estimation / coordination complexity, Equipment constraints / low availability</x:v>
      </x:c>
      <x:c r="E533" t="str">
        <x:v>Resource inefficiency (materials/labor/energy)</x:v>
      </x:c>
      <x:c r="F533" t="str">
        <x:v>Planning &amp; estimation / coordination complexity</x:v>
      </x:c>
      <x:c r="G533" t="str">
        <x:v>Resource inefficiency (materials/labor/energy), Planning &amp; estimation / coordination complexity, Equipment constraints / low availability</x:v>
      </x:c>
      <x:c r="H533" t="str">
        <x:v>Cost overrun mainly linked to resource inefficiency (materials/labor/energy); schedule overrun mainly linked to resource inefficiency (materials/labor/energy).</x:v>
      </x:c>
    </x:row>
    <x:row r="534">
      <x:c r="A534" t="str">
        <x:v>PJT_533</x:v>
      </x:c>
      <x:c r="B534" t="str">
        <x:v>Planning &amp; estimation / coordination complexity</x:v>
      </x:c>
      <x:c r="C534" t="str">
        <x:v>Unforeseen site/structural issues &amp; rework</x:v>
      </x:c>
      <x:c r="D534" t="str">
        <x:v>Planning &amp; estimation / coordination complexity, Unforeseen site/structural issues &amp; rework, Equipment constraints / low availability</x:v>
      </x:c>
      <x:c r="E534" t="str">
        <x:v>Planning &amp; estimation / coordination complexity</x:v>
      </x:c>
      <x:c r="F534" t="str">
        <x:v>Unforeseen site/structural issues &amp; rework</x:v>
      </x:c>
      <x:c r="G534" t="str">
        <x:v>Planning &amp; estimation / coordination complexity, Unforeseen site/structural issues &amp; rework, Weather disruption / environmental constraints</x:v>
      </x:c>
      <x:c r="H534" t="str">
        <x:v>Cost overrun mainly linked to planning &amp; estimation / coordination complexity; schedule overrun mainly linked to planning &amp; estimation / coordination complexity.</x:v>
      </x:c>
    </x:row>
    <x:row r="535">
      <x:c r="A535" t="str">
        <x:v>PJT_534</x:v>
      </x:c>
      <x:c r="B535" t="str">
        <x:v>Resource inefficiency (materials/labor/energy)</x:v>
      </x:c>
      <x:c r="C535" t="str">
        <x:v>Unforeseen site/structural issues &amp; rework</x:v>
      </x:c>
      <x:c r="D535" t="str">
        <x:v>Resource inefficiency (materials/labor/energy), Unforeseen site/structural issues &amp; rework, Equipment constraints / low availability</x:v>
      </x:c>
      <x:c r="E535" t="str">
        <x:v>Resource inefficiency (materials/labor/energy)</x:v>
      </x:c>
      <x:c r="F535" t="str">
        <x:v>Unforeseen site/structural issues &amp; rework</x:v>
      </x:c>
      <x:c r="G535" t="str">
        <x:v>Resource inefficiency (materials/labor/energy), Unforeseen site/structural issues &amp; rework, Equipment constraints / low availability</x:v>
      </x:c>
      <x:c r="H535" t="str">
        <x:v>Cost overrun mainly linked to resource inefficiency (materials/labor/energy); schedule overrun mainly linked to resource inefficiency (materials/labor/energy).</x:v>
      </x:c>
    </x:row>
    <x:row r="536">
      <x:c r="A536" t="str">
        <x:v>PJT_535</x:v>
      </x:c>
      <x:c r="B536" t="str">
        <x:v>Equipment constraints / low availability</x:v>
      </x:c>
      <x:c r="C536" t="str">
        <x:v>Resource inefficiency (materials/labor/energy)</x:v>
      </x:c>
      <x:c r="D536" t="str">
        <x:v>Equipment constraints / low availability, Resource inefficiency (materials/labor/energy), Planning &amp; estimation / coordination complexity</x:v>
      </x:c>
      <x:c r="E536" t="str">
        <x:v>Equipment constraints / low availability</x:v>
      </x:c>
      <x:c r="F536" t="str">
        <x:v>Resource inefficiency (materials/labor/energy)</x:v>
      </x:c>
      <x:c r="G536" t="str">
        <x:v>Equipment constraints / low availability, Resource inefficiency (materials/labor/energy), Material supply / logistics &amp; market disruption</x:v>
      </x:c>
      <x:c r="H536" t="str">
        <x:v>Cost overrun mainly linked to equipment constraints / low availability; schedule overrun mainly linked to equipment constraints / low availability.</x:v>
      </x:c>
    </x:row>
    <x:row r="537">
      <x:c r="A537" t="str">
        <x:v>PJT_536</x:v>
      </x:c>
      <x:c r="B537" t="str">
        <x:v>Planning &amp; estimation / coordination complexity</x:v>
      </x:c>
      <x:c r="C537" t="str">
        <x:v>Unforeseen site/structural issues &amp; rework</x:v>
      </x:c>
      <x:c r="D537" t="str">
        <x:v>Planning &amp; estimation / coordination complexity, Unforeseen site/structural issues &amp; rework, Equipment constraints / low availability</x:v>
      </x:c>
      <x:c r="E537" t="str">
        <x:v>Planning &amp; estimation / coordination complexity</x:v>
      </x:c>
      <x:c r="F537" t="str">
        <x:v>Unforeseen site/structural issues &amp; rework</x:v>
      </x:c>
      <x:c r="G537" t="str">
        <x:v>Planning &amp; estimation / coordination complexity, Unforeseen site/structural issues &amp; rework, Equipment constraints / low availability</x:v>
      </x:c>
      <x:c r="H537" t="str">
        <x:v>Cost overrun mainly linked to planning &amp; estimation / coordination complexity; schedule overrun mainly linked to planning &amp; estimation / coordination complexity.</x:v>
      </x:c>
    </x:row>
    <x:row r="538">
      <x:c r="A538" t="str">
        <x:v>PJT_537</x:v>
      </x:c>
      <x:c r="B538" t="str">
        <x:v>Resource inefficiency (materials/labor/energy)</x:v>
      </x:c>
      <x:c r="C538" t="str">
        <x:v>Planning &amp; estimation / coordination complexity</x:v>
      </x:c>
      <x:c r="D538" t="str">
        <x:v>Resource inefficiency (materials/labor/energy), Planning &amp; estimation / coordination complexity, Unforeseen site/structural issues &amp; rework</x:v>
      </x:c>
      <x:c r="E538" t="str">
        <x:v>Planning &amp; estimation / coordination complexity</x:v>
      </x:c>
      <x:c r="F538" t="str">
        <x:v>Resource inefficiency (materials/labor/energy)</x:v>
      </x:c>
      <x:c r="G538" t="str">
        <x:v>Planning &amp; estimation / coordination complexity, Resource inefficiency (materials/labor/energy), Unforeseen site/structural issues &amp; rework</x:v>
      </x:c>
      <x:c r="H538" t="str">
        <x:v>Cost overrun mainly linked to resource inefficiency (materials/labor/energy); schedule overrun mainly linked to planning &amp; estimation / coordination complexity.</x:v>
      </x:c>
    </x:row>
    <x:row r="539">
      <x:c r="A539" t="str">
        <x:v>PJT_538</x:v>
      </x:c>
      <x:c r="B539" t="str">
        <x:v>Weather disruption / environmental constraints</x:v>
      </x:c>
      <x:c r="C539" t="str">
        <x:v>Unforeseen site/structural issues &amp; rework</x:v>
      </x:c>
      <x:c r="D539" t="str">
        <x:v>Weather disruption / environmental constraints, Unforeseen site/structural issues &amp; rework, Material supply / logistics &amp; market disruption</x:v>
      </x:c>
      <x:c r="E539" t="str">
        <x:v>Weather disruption / environmental constraints</x:v>
      </x:c>
      <x:c r="F539" t="str">
        <x:v>Material supply / logistics &amp; market disruption</x:v>
      </x:c>
      <x:c r="G539" t="str">
        <x:v>Weather disruption / environmental constraints, Material supply / logistics &amp; market disruption, Unforeseen site/structural issues &amp; rework</x:v>
      </x:c>
      <x:c r="H539" t="str">
        <x:v>Cost overrun mainly linked to weather disruption / environmental constraints; schedule overrun mainly linked to weather disruption / environmental constraints.</x:v>
      </x:c>
    </x:row>
    <x:row r="540">
      <x:c r="A540" t="str">
        <x:v>PJT_539</x:v>
      </x:c>
      <x:c r="B540" t="str">
        <x:v>Weather disruption / environmental constraints</x:v>
      </x:c>
      <x:c r="C540" t="str">
        <x:v>Equipment constraints / low availability</x:v>
      </x:c>
      <x:c r="D540" t="str">
        <x:v>Weather disruption / environmental constraints, Equipment constraints / low availability, Material supply / logistics &amp; market disruption</x:v>
      </x:c>
      <x:c r="E540" t="str">
        <x:v>Weather disruption / environmental constraints</x:v>
      </x:c>
      <x:c r="F540" t="str">
        <x:v>Equipment constraints / low availability</x:v>
      </x:c>
      <x:c r="G540" t="str">
        <x:v>Weather disruption / environmental constraints, Equipment constraints / low availability, Material supply / logistics &amp; market disruption</x:v>
      </x:c>
      <x:c r="H540" t="str">
        <x:v>Cost overrun mainly linked to weather disruption / environmental constraints; schedule overrun mainly linked to weather disruption / environmental constraints.</x:v>
      </x:c>
    </x:row>
    <x:row r="541">
      <x:c r="A541" t="str">
        <x:v>PJT_540</x:v>
      </x:c>
      <x:c r="B541" t="str">
        <x:v>Unforeseen site/structural issues &amp; rework</x:v>
      </x:c>
      <x:c r="C541" t="str">
        <x:v>Weather disruption / environmental constraints</x:v>
      </x:c>
      <x:c r="D541" t="str">
        <x:v>Unforeseen site/structural issues &amp; rework, Weather disruption / environmental constraints, Planning &amp; estimation / coordination complexity</x:v>
      </x:c>
      <x:c r="E541" t="str">
        <x:v>Unforeseen site/structural issues &amp; rework</x:v>
      </x:c>
      <x:c r="F541" t="str">
        <x:v>Weather disruption / environmental constraints</x:v>
      </x:c>
      <x:c r="G541" t="str">
        <x:v>Unforeseen site/structural issues &amp; rework, Weather disruption / environmental constraints, Planning &amp; estimation / coordination complexity</x:v>
      </x:c>
      <x:c r="H541" t="str">
        <x:v>Cost overrun mainly linked to unforeseen site/structural issues &amp; rework; schedule overrun mainly linked to unforeseen site/structural issues &amp; rework.</x:v>
      </x:c>
    </x:row>
    <x:row r="542">
      <x:c r="A542" t="str">
        <x:v>PJT_541</x:v>
      </x:c>
      <x:c r="B542" t="str">
        <x:v>Resource inefficiency (materials/labor/energy)</x:v>
      </x:c>
      <x:c r="C542" t="str">
        <x:v>Equipment constraints / low availability</x:v>
      </x:c>
      <x:c r="D542" t="str">
        <x:v>Resource inefficiency (materials/labor/energy), Equipment constraints / low availability, Material supply / logistics &amp; market disruption</x:v>
      </x:c>
      <x:c r="E542" t="str">
        <x:v>Resource inefficiency (materials/labor/energy)</x:v>
      </x:c>
      <x:c r="F542" t="str">
        <x:v>Equipment constraints / low availability</x:v>
      </x:c>
      <x:c r="G542" t="str">
        <x:v>Resource inefficiency (materials/labor/energy), Equipment constraints / low availability, Material supply / logistics &amp; market disruption</x:v>
      </x:c>
      <x:c r="H542" t="str">
        <x:v>Cost overrun mainly linked to resource inefficiency (materials/labor/energy); schedule overrun mainly linked to resource inefficiency (materials/labor/energy).</x:v>
      </x:c>
    </x:row>
    <x:row r="543">
      <x:c r="A543" t="str">
        <x:v>PJT_542</x:v>
      </x:c>
      <x:c r="B543" t="str">
        <x:v>Unforeseen site/structural issues &amp; rework</x:v>
      </x:c>
      <x:c r="C543" t="str">
        <x:v>Equipment constraints / low availability</x:v>
      </x:c>
      <x:c r="D543" t="str">
        <x:v>Unforeseen site/structural issues &amp; rework, Equipment constraints / low availability, Planning &amp; estimation / coordination complexity</x:v>
      </x:c>
      <x:c r="E543" t="str">
        <x:v>Unforeseen site/structural issues &amp; rework</x:v>
      </x:c>
      <x:c r="F543" t="str">
        <x:v>Planning &amp; estimation / coordination complexity</x:v>
      </x:c>
      <x:c r="G543" t="str">
        <x:v>Unforeseen site/structural issues &amp; rework, Planning &amp; estimation / coordination complexity, Equipment constraints / low availability</x:v>
      </x:c>
      <x:c r="H543" t="str">
        <x:v>Cost overrun mainly linked to unforeseen site/structural issues &amp; rework; schedule overrun mainly linked to unforeseen site/structural issues &amp; rework.</x:v>
      </x:c>
    </x:row>
    <x:row r="544">
      <x:c r="A544" t="str">
        <x:v>PJT_543</x:v>
      </x:c>
      <x:c r="B544" t="str">
        <x:v>Resource inefficiency (materials/labor/energy)</x:v>
      </x:c>
      <x:c r="C544" t="str">
        <x:v>Planning &amp; estimation / coordination complexity</x:v>
      </x:c>
      <x:c r="D544" t="str">
        <x:v>Resource inefficiency (materials/labor/energy), Planning &amp; estimation / coordination complexity, Material supply / logistics &amp; market disruption</x:v>
      </x:c>
      <x:c r="E544" t="str">
        <x:v>Resource inefficiency (materials/labor/energy)</x:v>
      </x:c>
      <x:c r="F544" t="str">
        <x:v>Planning &amp; estimation / coordination complexity</x:v>
      </x:c>
      <x:c r="G544" t="str">
        <x:v>Resource inefficiency (materials/labor/energy), Planning &amp; estimation / coordination complexity, Equipment constraints / low availability</x:v>
      </x:c>
      <x:c r="H544" t="str">
        <x:v>Cost overrun mainly linked to resource inefficiency (materials/labor/energy); schedule overrun mainly linked to resource inefficiency (materials/labor/energy).</x:v>
      </x:c>
    </x:row>
    <x:row r="545">
      <x:c r="A545" t="str">
        <x:v>PJT_544</x:v>
      </x:c>
      <x:c r="B545" t="str">
        <x:v>Resource inefficiency (materials/labor/energy)</x:v>
      </x:c>
      <x:c r="C545" t="str">
        <x:v>Unforeseen site/structural issues &amp; rework</x:v>
      </x:c>
      <x:c r="D545" t="str">
        <x:v>Resource inefficiency (materials/labor/energy), Unforeseen site/structural issues &amp; rework, Material supply / logistics &amp; market disruption</x:v>
      </x:c>
      <x:c r="E545" t="str">
        <x:v>Resource inefficiency (materials/labor/energy)</x:v>
      </x:c>
      <x:c r="F545" t="str">
        <x:v>Unforeseen site/structural issues &amp; rework</x:v>
      </x:c>
      <x:c r="G545" t="str">
        <x:v>Resource inefficiency (materials/labor/energy), Unforeseen site/structural issues &amp; rework, Planning &amp; estimation / coordination complexity</x:v>
      </x:c>
      <x:c r="H545" t="str">
        <x:v>Cost overrun mainly linked to resource inefficiency (materials/labor/energy); schedule overrun mainly linked to resource inefficiency (materials/labor/energy).</x:v>
      </x:c>
    </x:row>
    <x:row r="546">
      <x:c r="A546" t="str">
        <x:v>PJT_545</x:v>
      </x:c>
      <x:c r="B546" t="str">
        <x:v>Resource inefficiency (materials/labor/energy)</x:v>
      </x:c>
      <x:c r="C546" t="str">
        <x:v>Planning &amp; estimation / coordination complexity</x:v>
      </x:c>
      <x:c r="D546" t="str">
        <x:v>Resource inefficiency (materials/labor/energy), Planning &amp; estimation / coordination complexity, Equipment constraints / low availability</x:v>
      </x:c>
      <x:c r="E546" t="str">
        <x:v>Planning &amp; estimation / coordination complexity</x:v>
      </x:c>
      <x:c r="F546" t="str">
        <x:v>Resource inefficiency (materials/labor/energy)</x:v>
      </x:c>
      <x:c r="G546" t="str">
        <x:v>Planning &amp; estimation / coordination complexity, Resource inefficiency (materials/labor/energy), Equipment constraints / low availability</x:v>
      </x:c>
      <x:c r="H546" t="str">
        <x:v>Cost overrun mainly linked to resource inefficiency (materials/labor/energy); schedule overrun mainly linked to planning &amp; estimation / coordination complexity.</x:v>
      </x:c>
    </x:row>
    <x:row r="547">
      <x:c r="A547" t="str">
        <x:v>PJT_546</x:v>
      </x:c>
      <x:c r="B547" t="str">
        <x:v>Equipment constraints / low availability</x:v>
      </x:c>
      <x:c r="C547" t="str">
        <x:v>Resource inefficiency (materials/labor/energy)</x:v>
      </x:c>
      <x:c r="D547" t="str">
        <x:v>Equipment constraints / low availability, Resource inefficiency (materials/labor/energy), Planning &amp; estimation / coordination complexity</x:v>
      </x:c>
      <x:c r="E547" t="str">
        <x:v>Equipment constraints / low availability</x:v>
      </x:c>
      <x:c r="F547" t="str">
        <x:v>Resource inefficiency (materials/labor/energy)</x:v>
      </x:c>
      <x:c r="G547" t="str">
        <x:v>Equipment constraints / low availability, Resource inefficiency (materials/labor/energy), Planning &amp; estimation / coordination complexity</x:v>
      </x:c>
      <x:c r="H547" t="str">
        <x:v>Cost overrun mainly linked to equipment constraints / low availability; schedule overrun mainly linked to equipment constraints / low availability.</x:v>
      </x:c>
    </x:row>
    <x:row r="548">
      <x:c r="A548" t="str">
        <x:v>PJT_547</x:v>
      </x:c>
      <x:c r="B548" t="str">
        <x:v>Unforeseen site/structural issues &amp; rework</x:v>
      </x:c>
      <x:c r="C548" t="str">
        <x:v>Weather disruption / environmental constraints</x:v>
      </x:c>
      <x:c r="D548" t="str">
        <x:v>Unforeseen site/structural issues &amp; rework, Weather disruption / environmental constraints, Planning &amp; estimation / coordination complexity</x:v>
      </x:c>
      <x:c r="E548" t="str">
        <x:v>Unforeseen site/structural issues &amp; rework</x:v>
      </x:c>
      <x:c r="F548" t="str">
        <x:v>Weather disruption / environmental constraints</x:v>
      </x:c>
      <x:c r="G548" t="str">
        <x:v>Unforeseen site/structural issues &amp; rework, Weather disruption / environmental constraints, Planning &amp; estimation / coordination complexity</x:v>
      </x:c>
      <x:c r="H548" t="str">
        <x:v>Cost overrun mainly linked to unforeseen site/structural issues &amp; rework; schedule overrun mainly linked to unforeseen site/structural issues &amp; rework.</x:v>
      </x:c>
    </x:row>
    <x:row r="549">
      <x:c r="A549" t="str">
        <x:v>PJT_548</x:v>
      </x:c>
      <x:c r="B549" t="str">
        <x:v>Resource inefficiency (materials/labor/energy)</x:v>
      </x:c>
      <x:c r="C549" t="str">
        <x:v>Material supply / logistics &amp; market disruption</x:v>
      </x:c>
      <x:c r="D549" t="str">
        <x:v>Resource inefficiency (materials/labor/energy), Material supply / logistics &amp; market disruption, Equipment constraints / low availability</x:v>
      </x:c>
      <x:c r="E549" t="str">
        <x:v>Resource inefficiency (materials/labor/energy)</x:v>
      </x:c>
      <x:c r="F549" t="str">
        <x:v>Material supply / logistics &amp; market disruption</x:v>
      </x:c>
      <x:c r="G549" t="str">
        <x:v>Resource inefficiency (materials/labor/energy), Material supply / logistics &amp; market disruption, Equipment constraints / low availability</x:v>
      </x:c>
      <x:c r="H549" t="str">
        <x:v>Cost overrun mainly linked to resource inefficiency (materials/labor/energy); schedule overrun mainly linked to resource inefficiency (materials/labor/energy).</x:v>
      </x:c>
    </x:row>
    <x:row r="550">
      <x:c r="A550" t="str">
        <x:v>PJT_549</x:v>
      </x:c>
      <x:c r="B550" t="str">
        <x:v>Unforeseen site/structural issues &amp; rework</x:v>
      </x:c>
      <x:c r="C550" t="str">
        <x:v>Weather disruption / environmental constraints</x:v>
      </x:c>
      <x:c r="D550" t="str">
        <x:v>Unforeseen site/structural issues &amp; rework, Weather disruption / environmental constraints, Planning &amp; estimation / coordination complexity</x:v>
      </x:c>
      <x:c r="E550" t="str">
        <x:v>Unforeseen site/structural issues &amp; rework</x:v>
      </x:c>
      <x:c r="F550" t="str">
        <x:v>Planning &amp; estimation / coordination complexity</x:v>
      </x:c>
      <x:c r="G550" t="str">
        <x:v>Unforeseen site/structural issues &amp; rework, Planning &amp; estimation / coordination complexity, Weather disruption / environmental constraints</x:v>
      </x:c>
      <x:c r="H550" t="str">
        <x:v>Cost overrun mainly linked to unforeseen site/structural issues &amp; rework; schedule overrun mainly linked to unforeseen site/structural issues &amp; rework.</x:v>
      </x:c>
    </x:row>
    <x:row r="551">
      <x:c r="A551" t="str">
        <x:v>PJT_550</x:v>
      </x:c>
      <x:c r="B551" t="str">
        <x:v>Resource inefficiency (materials/labor/energy)</x:v>
      </x:c>
      <x:c r="C551" t="str">
        <x:v>Material supply / logistics &amp; market disruption</x:v>
      </x:c>
      <x:c r="D551" t="str">
        <x:v>Resource inefficiency (materials/labor/energy), Material supply / logistics &amp; market disruption, Planning &amp; estimation / coordination complexity</x:v>
      </x:c>
      <x:c r="E551" t="str">
        <x:v>Resource inefficiency (materials/labor/energy)</x:v>
      </x:c>
      <x:c r="F551" t="str">
        <x:v>Material supply / logistics &amp; market disruption</x:v>
      </x:c>
      <x:c r="G551" t="str">
        <x:v>Resource inefficiency (materials/labor/energy), Material supply / logistics &amp; market disruption, Planning &amp; estimation / coordination complexity</x:v>
      </x:c>
      <x:c r="H551" t="str">
        <x:v>Cost overrun mainly linked to resource inefficiency (materials/labor/energy); schedule overrun mainly linked to resource inefficiency (materials/labor/energy).</x:v>
      </x:c>
    </x:row>
    <x:row r="552">
      <x:c r="A552" t="str">
        <x:v>PJT_551</x:v>
      </x:c>
      <x:c r="B552" t="str">
        <x:v>Resource inefficiency (materials/labor/energy)</x:v>
      </x:c>
      <x:c r="C552" t="str">
        <x:v>Material supply / logistics &amp; market disruption</x:v>
      </x:c>
      <x:c r="D552" t="str">
        <x:v>Resource inefficiency (materials/labor/energy), Material supply / logistics &amp; market disruption, Planning &amp; estimation / coordination complexity</x:v>
      </x:c>
      <x:c r="E552" t="str">
        <x:v>Resource inefficiency (materials/labor/energy)</x:v>
      </x:c>
      <x:c r="F552" t="str">
        <x:v>Material supply / logistics &amp; market disruption</x:v>
      </x:c>
      <x:c r="G552" t="str">
        <x:v>Resource inefficiency (materials/labor/energy), Material supply / logistics &amp; market disruption, Planning &amp; estimation / coordination complexity</x:v>
      </x:c>
      <x:c r="H552" t="str">
        <x:v>Cost overrun mainly linked to resource inefficiency (materials/labor/energy); schedule overrun mainly linked to resource inefficiency (materials/labor/energy).</x:v>
      </x:c>
    </x:row>
    <x:row r="553">
      <x:c r="A553" t="str">
        <x:v>PJT_552</x:v>
      </x:c>
      <x:c r="B553" t="str">
        <x:v>Resource inefficiency (materials/labor/energy)</x:v>
      </x:c>
      <x:c r="C553" t="str">
        <x:v>Equipment constraints / low availability</x:v>
      </x:c>
      <x:c r="D553" t="str">
        <x:v>Resource inefficiency (materials/labor/energy), Equipment constraints / low availability, Planning &amp; estimation / coordination complexity</x:v>
      </x:c>
      <x:c r="E553" t="str">
        <x:v>Resource inefficiency (materials/labor/energy)</x:v>
      </x:c>
      <x:c r="F553" t="str">
        <x:v>Equipment constraints / low availability</x:v>
      </x:c>
      <x:c r="G553" t="str">
        <x:v>Resource inefficiency (materials/labor/energy), Equipment constraints / low availability, Planning &amp; estimation / coordination complexity</x:v>
      </x:c>
      <x:c r="H553" t="str">
        <x:v>Cost overrun mainly linked to resource inefficiency (materials/labor/energy); schedule overrun mainly linked to resource inefficiency (materials/labor/energy).</x:v>
      </x:c>
    </x:row>
    <x:row r="554">
      <x:c r="A554" t="str">
        <x:v>PJT_553</x:v>
      </x:c>
      <x:c r="B554" t="str">
        <x:v>Weather disruption / environmental constraints</x:v>
      </x:c>
      <x:c r="C554" t="str">
        <x:v>Unforeseen site/structural issues &amp; rework</x:v>
      </x:c>
      <x:c r="D554" t="str">
        <x:v>Weather disruption / environmental constraints, Unforeseen site/structural issues &amp; rework, Material supply / logistics &amp; market disruption</x:v>
      </x:c>
      <x:c r="E554" t="str">
        <x:v>Weather disruption / environmental constraints</x:v>
      </x:c>
      <x:c r="F554" t="str">
        <x:v>Unforeseen site/structural issues &amp; rework</x:v>
      </x:c>
      <x:c r="G554" t="str">
        <x:v>Weather disruption / environmental constraints, Unforeseen site/structural issues &amp; rework, Material supply / logistics &amp; market disruption</x:v>
      </x:c>
      <x:c r="H554" t="str">
        <x:v>Cost overrun mainly linked to weather disruption / environmental constraints; schedule overrun mainly linked to weather disruption / environmental constraints.</x:v>
      </x:c>
    </x:row>
    <x:row r="555">
      <x:c r="A555" t="str">
        <x:v>PJT_554</x:v>
      </x:c>
      <x:c r="B555" t="str">
        <x:v>Equipment constraints / low availability</x:v>
      </x:c>
      <x:c r="C555" t="str">
        <x:v>Resource inefficiency (materials/labor/energy)</x:v>
      </x:c>
      <x:c r="D555" t="str">
        <x:v>Equipment constraints / low availability, Resource inefficiency (materials/labor/energy), Planning &amp; estimation / coordination complexity</x:v>
      </x:c>
      <x:c r="E555" t="str">
        <x:v>Equipment constraints / low availability</x:v>
      </x:c>
      <x:c r="F555" t="str">
        <x:v>Resource inefficiency (materials/labor/energy)</x:v>
      </x:c>
      <x:c r="G555" t="str">
        <x:v>Equipment constraints / low availability, Resource inefficiency (materials/labor/energy), Planning &amp; estimation / coordination complexity</x:v>
      </x:c>
      <x:c r="H555" t="str">
        <x:v>Cost overrun mainly linked to equipment constraints / low availability; schedule overrun mainly linked to equipment constraints / low availability.</x:v>
      </x:c>
    </x:row>
    <x:row r="556">
      <x:c r="A556" t="str">
        <x:v>PJT_555</x:v>
      </x:c>
      <x:c r="B556" t="str">
        <x:v>Resource inefficiency (materials/labor/energy)</x:v>
      </x:c>
      <x:c r="C556" t="str">
        <x:v>Equipment constraints / low availability</x:v>
      </x:c>
      <x:c r="D556" t="str">
        <x:v>Resource inefficiency (materials/labor/energy), Equipment constraints / low availability, Planning &amp; estimation / coordination complexity</x:v>
      </x:c>
      <x:c r="E556" t="str">
        <x:v>Resource inefficiency (materials/labor/energy)</x:v>
      </x:c>
      <x:c r="F556" t="str">
        <x:v>Equipment constraints / low availability</x:v>
      </x:c>
      <x:c r="G556" t="str">
        <x:v>Resource inefficiency (materials/labor/energy), Equipment constraints / low availability, Planning &amp; estimation / coordination complexity</x:v>
      </x:c>
      <x:c r="H556" t="str">
        <x:v>Cost overrun mainly linked to resource inefficiency (materials/labor/energy); schedule overrun mainly linked to resource inefficiency (materials/labor/energy).</x:v>
      </x:c>
    </x:row>
    <x:row r="557">
      <x:c r="A557" t="str">
        <x:v>PJT_556</x:v>
      </x:c>
      <x:c r="B557" t="str">
        <x:v>Resource inefficiency (materials/labor/energy)</x:v>
      </x:c>
      <x:c r="C557" t="str">
        <x:v>Equipment constraints / low availability</x:v>
      </x:c>
      <x:c r="D557" t="str">
        <x:v>Resource inefficiency (materials/labor/energy), Equipment constraints / low availability, Planning &amp; estimation / coordination complexity</x:v>
      </x:c>
      <x:c r="E557" t="str">
        <x:v>Resource inefficiency (materials/labor/energy)</x:v>
      </x:c>
      <x:c r="F557" t="str">
        <x:v>Equipment constraints / low availability</x:v>
      </x:c>
      <x:c r="G557" t="str">
        <x:v>Resource inefficiency (materials/labor/energy), Equipment constraints / low availability, Planning &amp; estimation / coordination complexity</x:v>
      </x:c>
      <x:c r="H557" t="str">
        <x:v>Cost overrun mainly linked to resource inefficiency (materials/labor/energy); schedule overrun mainly linked to resource inefficiency (materials/labor/energy).</x:v>
      </x:c>
    </x:row>
    <x:row r="558">
      <x:c r="A558" t="str">
        <x:v>PJT_557</x:v>
      </x:c>
      <x:c r="B558" t="str">
        <x:v>Planning &amp; estimation / coordination complexity</x:v>
      </x:c>
      <x:c r="C558" t="str">
        <x:v>Equipment constraints / low availability</x:v>
      </x:c>
      <x:c r="D558" t="str">
        <x:v>Planning &amp; estimation / coordination complexity, Equipment constraints / low availability, Resource inefficiency (materials/labor/energy)</x:v>
      </x:c>
      <x:c r="E558" t="str">
        <x:v>Planning &amp; estimation / coordination complexity</x:v>
      </x:c>
      <x:c r="F558" t="str">
        <x:v>Equipment constraints / low availability</x:v>
      </x:c>
      <x:c r="G558" t="str">
        <x:v>Planning &amp; estimation / coordination complexity, Equipment constraints / low availability, Resource inefficiency (materials/labor/energy)</x:v>
      </x:c>
      <x:c r="H558" t="str">
        <x:v>Cost overrun mainly linked to planning &amp; estimation / coordination complexity; schedule overrun mainly linked to planning &amp; estimation / coordination complexity.</x:v>
      </x:c>
    </x:row>
    <x:row r="559">
      <x:c r="A559" t="str">
        <x:v>PJT_558</x:v>
      </x:c>
      <x:c r="B559" t="str">
        <x:v>Resource inefficiency (materials/labor/energy)</x:v>
      </x:c>
      <x:c r="C559" t="str">
        <x:v>Material supply / logistics &amp; market disruption</x:v>
      </x:c>
      <x:c r="D559" t="str">
        <x:v>Resource inefficiency (materials/labor/energy), Material supply / logistics &amp; market disruption, Unforeseen site/structural issues &amp; rework</x:v>
      </x:c>
      <x:c r="E559" t="str">
        <x:v>Resource inefficiency (materials/labor/energy)</x:v>
      </x:c>
      <x:c r="F559" t="str">
        <x:v>Unforeseen site/structural issues &amp; rework</x:v>
      </x:c>
      <x:c r="G559" t="str">
        <x:v>Resource inefficiency (materials/labor/energy), Unforeseen site/structural issues &amp; rework, Material supply / logistics &amp; market disruption</x:v>
      </x:c>
      <x:c r="H559" t="str">
        <x:v>Cost overrun mainly linked to resource inefficiency (materials/labor/energy); schedule overrun mainly linked to resource inefficiency (materials/labor/energy).</x:v>
      </x:c>
    </x:row>
    <x:row r="560">
      <x:c r="A560" t="str">
        <x:v>PJT_559</x:v>
      </x:c>
      <x:c r="B560" t="str">
        <x:v>Resource inefficiency (materials/labor/energy)</x:v>
      </x:c>
      <x:c r="C560" t="str">
        <x:v>Planning &amp; estimation / coordination complexity</x:v>
      </x:c>
      <x:c r="D560" t="str">
        <x:v>Resource inefficiency (materials/labor/energy), Planning &amp; estimation / coordination complexity, Equipment constraints / low availability</x:v>
      </x:c>
      <x:c r="E560" t="str">
        <x:v>Resource inefficiency (materials/labor/energy)</x:v>
      </x:c>
      <x:c r="F560" t="str">
        <x:v>Planning &amp; estimation / coordination complexity</x:v>
      </x:c>
      <x:c r="G560" t="str">
        <x:v>Resource inefficiency (materials/labor/energy), Planning &amp; estimation / coordination complexity, Equipment constraints / low availability</x:v>
      </x:c>
      <x:c r="H560" t="str">
        <x:v>Cost overrun mainly linked to resource inefficiency (materials/labor/energy); schedule overrun mainly linked to resource inefficiency (materials/labor/energy).</x:v>
      </x:c>
    </x:row>
    <x:row r="561">
      <x:c r="A561" t="str">
        <x:v>PJT_560</x:v>
      </x:c>
      <x:c r="B561" t="str">
        <x:v>Planning &amp; estimation / coordination complexity</x:v>
      </x:c>
      <x:c r="C561" t="str">
        <x:v>Equipment constraints / low availability</x:v>
      </x:c>
      <x:c r="D561" t="str">
        <x:v>Planning &amp; estimation / coordination complexity, Equipment constraints / low availability, Resource inefficiency (materials/labor/energy)</x:v>
      </x:c>
      <x:c r="E561" t="str">
        <x:v>Planning &amp; estimation / coordination complexity</x:v>
      </x:c>
      <x:c r="F561" t="str">
        <x:v>Resource inefficiency (materials/labor/energy)</x:v>
      </x:c>
      <x:c r="G561" t="str">
        <x:v>Planning &amp; estimation / coordination complexity, Resource inefficiency (materials/labor/energy), Equipment constraints / low availability</x:v>
      </x:c>
      <x:c r="H561" t="str">
        <x:v>Cost overrun mainly linked to planning &amp; estimation / coordination complexity; schedule overrun mainly linked to planning &amp; estimation / coordination complexity.</x:v>
      </x:c>
    </x:row>
    <x:row r="562">
      <x:c r="A562" t="str">
        <x:v>PJT_561</x:v>
      </x:c>
      <x:c r="B562" t="str">
        <x:v>Planning &amp; estimation / coordination complexity</x:v>
      </x:c>
      <x:c r="C562" t="str">
        <x:v>Equipment constraints / low availability</x:v>
      </x:c>
      <x:c r="D562" t="str">
        <x:v>Planning &amp; estimation / coordination complexity, Equipment constraints / low availability, Unforeseen site/structural issues &amp; rework</x:v>
      </x:c>
      <x:c r="E562" t="str">
        <x:v>Planning &amp; estimation / coordination complexity</x:v>
      </x:c>
      <x:c r="F562" t="str">
        <x:v>Unforeseen site/structural issues &amp; rework</x:v>
      </x:c>
      <x:c r="G562" t="str">
        <x:v>Planning &amp; estimation / coordination complexity, Unforeseen site/structural issues &amp; rework, Equipment constraints / low availability</x:v>
      </x:c>
      <x:c r="H562" t="str">
        <x:v>Cost overrun mainly linked to planning &amp; estimation / coordination complexity; schedule overrun mainly linked to planning &amp; estimation / coordination complexity.</x:v>
      </x:c>
    </x:row>
    <x:row r="563">
      <x:c r="A563" t="str">
        <x:v>PJT_562</x:v>
      </x:c>
      <x:c r="B563" t="str">
        <x:v>Resource inefficiency (materials/labor/energy)</x:v>
      </x:c>
      <x:c r="C563" t="str">
        <x:v>Material supply / logistics &amp; market disruption</x:v>
      </x:c>
      <x:c r="D563" t="str">
        <x:v>Resource inefficiency (materials/labor/energy), Material supply / logistics &amp; market disruption, Planning &amp; estimation / coordination complexity</x:v>
      </x:c>
      <x:c r="E563" t="str">
        <x:v>Resource inefficiency (materials/labor/energy)</x:v>
      </x:c>
      <x:c r="F563" t="str">
        <x:v>Planning &amp; estimation / coordination complexity</x:v>
      </x:c>
      <x:c r="G563" t="str">
        <x:v>Resource inefficiency (materials/labor/energy), Planning &amp; estimation / coordination complexity, Unforeseen site/structural issues &amp; rework</x:v>
      </x:c>
      <x:c r="H563" t="str">
        <x:v>Cost overrun mainly linked to resource inefficiency (materials/labor/energy); schedule overrun mainly linked to resource inefficiency (materials/labor/energy).</x:v>
      </x:c>
    </x:row>
    <x:row r="564">
      <x:c r="A564" t="str">
        <x:v>PJT_563</x:v>
      </x:c>
      <x:c r="B564" t="str">
        <x:v>Material supply / logistics &amp; market disruption</x:v>
      </x:c>
      <x:c r="C564" t="str">
        <x:v>Resource inefficiency (materials/labor/energy)</x:v>
      </x:c>
      <x:c r="D564" t="str">
        <x:v>Material supply / logistics &amp; market disruption, Resource inefficiency (materials/labor/energy), Unforeseen site/structural issues &amp; rework</x:v>
      </x:c>
      <x:c r="E564" t="str">
        <x:v>Material supply / logistics &amp; market disruption</x:v>
      </x:c>
      <x:c r="F564" t="str">
        <x:v>Resource inefficiency (materials/labor/energy)</x:v>
      </x:c>
      <x:c r="G564" t="str">
        <x:v>Material supply / logistics &amp; market disruption, Resource inefficiency (materials/labor/energy), Weather disruption / environmental constraints</x:v>
      </x:c>
      <x:c r="H564" t="str">
        <x:v>Cost overrun mainly linked to material supply / logistics &amp; market disruption; schedule overrun mainly linked to material supply / logistics &amp; market disruption.</x:v>
      </x:c>
    </x:row>
    <x:row r="565">
      <x:c r="A565" t="str">
        <x:v>PJT_564</x:v>
      </x:c>
      <x:c r="B565" t="str">
        <x:v>Resource inefficiency (materials/labor/energy)</x:v>
      </x:c>
      <x:c r="C565" t="str">
        <x:v>Material supply / logistics &amp; market disruption</x:v>
      </x:c>
      <x:c r="D565" t="str">
        <x:v>Resource inefficiency (materials/labor/energy), Material supply / logistics &amp; market disruption, Equipment constraints / low availability</x:v>
      </x:c>
      <x:c r="E565" t="str">
        <x:v>Resource inefficiency (materials/labor/energy)</x:v>
      </x:c>
      <x:c r="F565" t="str">
        <x:v>Material supply / logistics &amp; market disruption</x:v>
      </x:c>
      <x:c r="G565" t="str">
        <x:v>Resource inefficiency (materials/labor/energy), Material supply / logistics &amp; market disruption, Equipment constraints / low availability</x:v>
      </x:c>
      <x:c r="H565" t="str">
        <x:v>Cost overrun mainly linked to resource inefficiency (materials/labor/energy); schedule overrun mainly linked to resource inefficiency (materials/labor/energy).</x:v>
      </x:c>
    </x:row>
    <x:row r="566">
      <x:c r="A566" t="str">
        <x:v>PJT_565</x:v>
      </x:c>
      <x:c r="B566" t="str">
        <x:v>Unforeseen site/structural issues &amp; rework</x:v>
      </x:c>
      <x:c r="C566" t="str">
        <x:v>Planning &amp; estimation / coordination complexity</x:v>
      </x:c>
      <x:c r="D566" t="str">
        <x:v>Unforeseen site/structural issues &amp; rework, Planning &amp; estimation / coordination complexity, Weather disruption / environmental constraints</x:v>
      </x:c>
      <x:c r="E566" t="str">
        <x:v>Unforeseen site/structural issues &amp; rework</x:v>
      </x:c>
      <x:c r="F566" t="str">
        <x:v>Planning &amp; estimation / coordination complexity</x:v>
      </x:c>
      <x:c r="G566" t="str">
        <x:v>Unforeseen site/structural issues &amp; rework, Planning &amp; estimation / coordination complexity, Weather disruption / environmental constraints</x:v>
      </x:c>
      <x:c r="H566" t="str">
        <x:v>Cost overrun mainly linked to unforeseen site/structural issues &amp; rework; schedule overrun mainly linked to unforeseen site/structural issues &amp; rework.</x:v>
      </x:c>
    </x:row>
    <x:row r="567">
      <x:c r="A567" t="str">
        <x:v>PJT_566</x:v>
      </x:c>
      <x:c r="B567" t="str">
        <x:v>Unforeseen site/structural issues &amp; rework</x:v>
      </x:c>
      <x:c r="C567" t="str">
        <x:v>Resource inefficiency (materials/labor/energy)</x:v>
      </x:c>
      <x:c r="D567" t="str">
        <x:v>Unforeseen site/structural issues &amp; rework, Resource inefficiency (materials/labor/energy), Planning &amp; estimation / coordination complexity</x:v>
      </x:c>
      <x:c r="E567" t="str">
        <x:v>Unforeseen site/structural issues &amp; rework</x:v>
      </x:c>
      <x:c r="F567" t="str">
        <x:v>Planning &amp; estimation / coordination complexity</x:v>
      </x:c>
      <x:c r="G567" t="str">
        <x:v>Unforeseen site/structural issues &amp; rework, Planning &amp; estimation / coordination complexity, Resource inefficiency (materials/labor/energy)</x:v>
      </x:c>
      <x:c r="H567" t="str">
        <x:v>Cost overrun mainly linked to unforeseen site/structural issues &amp; rework; schedule overrun mainly linked to unforeseen site/structural issues &amp; rework.</x:v>
      </x:c>
    </x:row>
    <x:row r="568">
      <x:c r="A568" t="str">
        <x:v>PJT_567</x:v>
      </x:c>
      <x:c r="B568" t="str">
        <x:v>Unforeseen site/structural issues &amp; rework</x:v>
      </x:c>
      <x:c r="C568" t="str">
        <x:v>Planning &amp; estimation / coordination complexity</x:v>
      </x:c>
      <x:c r="D568" t="str">
        <x:v>Unforeseen site/structural issues &amp; rework, Planning &amp; estimation / coordination complexity, Equipment constraints / low availability</x:v>
      </x:c>
      <x:c r="E568" t="str">
        <x:v>Unforeseen site/structural issues &amp; rework</x:v>
      </x:c>
      <x:c r="F568" t="str">
        <x:v>Planning &amp; estimation / coordination complexity</x:v>
      </x:c>
      <x:c r="G568" t="str">
        <x:v>Unforeseen site/structural issues &amp; rework, Planning &amp; estimation / coordination complexity, Equipment constraints / low availability</x:v>
      </x:c>
      <x:c r="H568" t="str">
        <x:v>Cost overrun mainly linked to unforeseen site/structural issues &amp; rework; schedule overrun mainly linked to unforeseen site/structural issues &amp; rework.</x:v>
      </x:c>
    </x:row>
    <x:row r="569">
      <x:c r="A569" t="str">
        <x:v>PJT_568</x:v>
      </x:c>
      <x:c r="B569" t="str">
        <x:v>Resource inefficiency (materials/labor/energy)</x:v>
      </x:c>
      <x:c r="C569" t="str">
        <x:v>Equipment constraints / low availability</x:v>
      </x:c>
      <x:c r="D569" t="str">
        <x:v>Resource inefficiency (materials/labor/energy), Equipment constraints / low availability, Planning &amp; estimation / coordination complexity</x:v>
      </x:c>
      <x:c r="E569" t="str">
        <x:v>Resource inefficiency (materials/labor/energy)</x:v>
      </x:c>
      <x:c r="F569" t="str">
        <x:v>Equipment constraints / low availability</x:v>
      </x:c>
      <x:c r="G569" t="str">
        <x:v>Resource inefficiency (materials/labor/energy), Equipment constraints / low availability, Planning &amp; estimation / coordination complexity</x:v>
      </x:c>
      <x:c r="H569" t="str">
        <x:v>Cost overrun mainly linked to resource inefficiency (materials/labor/energy); schedule overrun mainly linked to resource inefficiency (materials/labor/energy).</x:v>
      </x:c>
    </x:row>
    <x:row r="570">
      <x:c r="A570" t="str">
        <x:v>PJT_569</x:v>
      </x:c>
      <x:c r="B570" t="str">
        <x:v>Material supply / logistics &amp; market disruption</x:v>
      </x:c>
      <x:c r="C570" t="str">
        <x:v>Resource inefficiency (materials/labor/energy)</x:v>
      </x:c>
      <x:c r="D570" t="str">
        <x:v>Material supply / logistics &amp; market disruption, Resource inefficiency (materials/labor/energy), Weather disruption / environmental constraints</x:v>
      </x:c>
      <x:c r="E570" t="str">
        <x:v>Resource inefficiency (materials/labor/energy)</x:v>
      </x:c>
      <x:c r="F570" t="str">
        <x:v>Weather disruption / environmental constraints</x:v>
      </x:c>
      <x:c r="G570" t="str">
        <x:v>Resource inefficiency (materials/labor/energy), Weather disruption / environmental constraints, Material supply / logistics &amp; market disruption</x:v>
      </x:c>
      <x:c r="H570" t="str">
        <x:v>Cost overrun mainly linked to material supply / logistics &amp; market disruption; schedule overrun mainly linked to resource inefficiency (materials/labor/energy).</x:v>
      </x:c>
    </x:row>
    <x:row r="571">
      <x:c r="A571" t="str">
        <x:v>PJT_570</x:v>
      </x:c>
      <x:c r="B571" t="str">
        <x:v>Equipment constraints / low availability</x:v>
      </x:c>
      <x:c r="C571" t="str">
        <x:v>Resource inefficiency (materials/labor/energy)</x:v>
      </x:c>
      <x:c r="D571" t="str">
        <x:v>Equipment constraints / low availability, Resource inefficiency (materials/labor/energy), Material supply / logistics &amp; market disruption</x:v>
      </x:c>
      <x:c r="E571" t="str">
        <x:v>Equipment constraints / low availability</x:v>
      </x:c>
      <x:c r="F571" t="str">
        <x:v>Resource inefficiency (materials/labor/energy)</x:v>
      </x:c>
      <x:c r="G571" t="str">
        <x:v>Equipment constraints / low availability, Resource inefficiency (materials/labor/energy), Material supply / logistics &amp; market disruption</x:v>
      </x:c>
      <x:c r="H571" t="str">
        <x:v>Cost overrun mainly linked to equipment constraints / low availability; schedule overrun mainly linked to equipment constraints / low availability.</x:v>
      </x:c>
    </x:row>
    <x:row r="572">
      <x:c r="A572" t="str">
        <x:v>PJT_571</x:v>
      </x:c>
      <x:c r="B572" t="str">
        <x:v>Equipment constraints / low availability</x:v>
      </x:c>
      <x:c r="C572" t="str">
        <x:v>Unforeseen site/structural issues &amp; rework</x:v>
      </x:c>
      <x:c r="D572" t="str">
        <x:v>Equipment constraints / low availability, Unforeseen site/structural issues &amp; rework, Planning &amp; estimation / coordination complexity</x:v>
      </x:c>
      <x:c r="E572" t="str">
        <x:v>Equipment constraints / low availability</x:v>
      </x:c>
      <x:c r="F572" t="str">
        <x:v>Unforeseen site/structural issues &amp; rework</x:v>
      </x:c>
      <x:c r="G572" t="str">
        <x:v>Equipment constraints / low availability, Unforeseen site/structural issues &amp; rework, Planning &amp; estimation / coordination complexity</x:v>
      </x:c>
      <x:c r="H572" t="str">
        <x:v>Cost overrun mainly linked to equipment constraints / low availability; schedule overrun mainly linked to equipment constraints / low availability.</x:v>
      </x:c>
    </x:row>
    <x:row r="573">
      <x:c r="A573" t="str">
        <x:v>PJT_572</x:v>
      </x:c>
      <x:c r="B573" t="str">
        <x:v>Equipment constraints / low availability</x:v>
      </x:c>
      <x:c r="C573" t="str">
        <x:v>Planning &amp; estimation / coordination complexity</x:v>
      </x:c>
      <x:c r="D573" t="str">
        <x:v>Equipment constraints / low availability, Planning &amp; estimation / coordination complexity, Resource inefficiency (materials/labor/energy)</x:v>
      </x:c>
      <x:c r="E573" t="str">
        <x:v>Equipment constraints / low availability</x:v>
      </x:c>
      <x:c r="F573" t="str">
        <x:v>Resource inefficiency (materials/labor/energy)</x:v>
      </x:c>
      <x:c r="G573" t="str">
        <x:v>Equipment constraints / low availability, Resource inefficiency (materials/labor/energy), Planning &amp; estimation / coordination complexity</x:v>
      </x:c>
      <x:c r="H573" t="str">
        <x:v>Cost overrun mainly linked to equipment constraints / low availability; schedule overrun mainly linked to equipment constraints / low availability.</x:v>
      </x:c>
    </x:row>
    <x:row r="574">
      <x:c r="A574" t="str">
        <x:v>PJT_573</x:v>
      </x:c>
      <x:c r="B574" t="str">
        <x:v>Weather disruption / environmental constraints</x:v>
      </x:c>
      <x:c r="C574" t="str">
        <x:v>Unforeseen site/structural issues &amp; rework</x:v>
      </x:c>
      <x:c r="D574" t="str">
        <x:v>Weather disruption / environmental constraints, Unforeseen site/structural issues &amp; rework, Material supply / logistics &amp; market disruption</x:v>
      </x:c>
      <x:c r="E574" t="str">
        <x:v>Weather disruption / environmental constraints</x:v>
      </x:c>
      <x:c r="F574" t="str">
        <x:v>Material supply / logistics &amp; market disruption</x:v>
      </x:c>
      <x:c r="G574" t="str">
        <x:v>Weather disruption / environmental constraints, Material supply / logistics &amp; market disruption, Equipment constraints / low availability</x:v>
      </x:c>
      <x:c r="H574" t="str">
        <x:v>Cost overrun mainly linked to weather disruption / environmental constraints; schedule overrun mainly linked to weather disruption / environmental constraints.</x:v>
      </x:c>
    </x:row>
    <x:row r="575">
      <x:c r="A575" t="str">
        <x:v>PJT_574</x:v>
      </x:c>
      <x:c r="B575" t="str">
        <x:v>Weather disruption / environmental constraints</x:v>
      </x:c>
      <x:c r="C575" t="str">
        <x:v>Equipment constraints / low availability</x:v>
      </x:c>
      <x:c r="D575" t="str">
        <x:v>Weather disruption / environmental constraints, Equipment constraints / low availability, Material supply / logistics &amp; market disruption</x:v>
      </x:c>
      <x:c r="E575" t="str">
        <x:v>Weather disruption / environmental constraints</x:v>
      </x:c>
      <x:c r="F575" t="str">
        <x:v>Equipment constraints / low availability</x:v>
      </x:c>
      <x:c r="G575" t="str">
        <x:v>Weather disruption / environmental constraints, Equipment constraints / low availability, Material supply / logistics &amp; market disruption</x:v>
      </x:c>
      <x:c r="H575" t="str">
        <x:v>Cost overrun mainly linked to weather disruption / environmental constraints; schedule overrun mainly linked to weather disruption / environmental constraints.</x:v>
      </x:c>
    </x:row>
    <x:row r="576">
      <x:c r="A576" t="str">
        <x:v>PJT_575</x:v>
      </x:c>
      <x:c r="B576" t="str">
        <x:v>Unforeseen site/structural issues &amp; rework</x:v>
      </x:c>
      <x:c r="C576" t="str">
        <x:v>Equipment constraints / low availability</x:v>
      </x:c>
      <x:c r="D576" t="str">
        <x:v>Unforeseen site/structural issues &amp; rework, Equipment constraints / low availability, Planning &amp; estimation / coordination complexity</x:v>
      </x:c>
      <x:c r="E576" t="str">
        <x:v>Unforeseen site/structural issues &amp; rework</x:v>
      </x:c>
      <x:c r="F576" t="str">
        <x:v>Planning &amp; estimation / coordination complexity</x:v>
      </x:c>
      <x:c r="G576" t="str">
        <x:v>Unforeseen site/structural issues &amp; rework, Planning &amp; estimation / coordination complexity, Equipment constraints / low availability</x:v>
      </x:c>
      <x:c r="H576" t="str">
        <x:v>Cost overrun mainly linked to unforeseen site/structural issues &amp; rework; schedule overrun mainly linked to unforeseen site/structural issues &amp; rework.</x:v>
      </x:c>
    </x:row>
    <x:row r="577">
      <x:c r="A577" t="str">
        <x:v>PJT_576</x:v>
      </x:c>
      <x:c r="B577" t="str">
        <x:v>Weather disruption / environmental constraints</x:v>
      </x:c>
      <x:c r="C577" t="str">
        <x:v>Unforeseen site/structural issues &amp; rework</x:v>
      </x:c>
      <x:c r="D577" t="str">
        <x:v>Weather disruption / environmental constraints, Unforeseen site/structural issues &amp; rework, Material supply / logistics &amp; market disruption</x:v>
      </x:c>
      <x:c r="E577" t="str">
        <x:v>Weather disruption / environmental constraints</x:v>
      </x:c>
      <x:c r="F577" t="str">
        <x:v>Material supply / logistics &amp; market disruption</x:v>
      </x:c>
      <x:c r="G577" t="str">
        <x:v>Weather disruption / environmental constraints, Material supply / logistics &amp; market disruption, Unforeseen site/structural issues &amp; rework</x:v>
      </x:c>
      <x:c r="H577" t="str">
        <x:v>Cost overrun mainly linked to weather disruption / environmental constraints; schedule overrun mainly linked to weather disruption / environmental constraints.</x:v>
      </x:c>
    </x:row>
    <x:row r="578">
      <x:c r="A578" t="str">
        <x:v>PJT_577</x:v>
      </x:c>
      <x:c r="B578" t="str">
        <x:v>Resource inefficiency (materials/labor/energy)</x:v>
      </x:c>
      <x:c r="C578" t="str">
        <x:v>Equipment constraints / low availability</x:v>
      </x:c>
      <x:c r="D578" t="str">
        <x:v>Resource inefficiency (materials/labor/energy), Equipment constraints / low availability, Planning &amp; estimation / coordination complexity</x:v>
      </x:c>
      <x:c r="E578" t="str">
        <x:v>Resource inefficiency (materials/labor/energy)</x:v>
      </x:c>
      <x:c r="F578" t="str">
        <x:v>Equipment constraints / low availability</x:v>
      </x:c>
      <x:c r="G578" t="str">
        <x:v>Resource inefficiency (materials/labor/energy), Equipment constraints / low availability, Planning &amp; estimation / coordination complexity</x:v>
      </x:c>
      <x:c r="H578" t="str">
        <x:v>Cost overrun mainly linked to resource inefficiency (materials/labor/energy); schedule overrun mainly linked to resource inefficiency (materials/labor/energy).</x:v>
      </x:c>
    </x:row>
    <x:row r="579">
      <x:c r="A579" t="str">
        <x:v>PJT_578</x:v>
      </x:c>
      <x:c r="B579" t="str">
        <x:v>Planning &amp; estimation / coordination complexity</x:v>
      </x:c>
      <x:c r="C579" t="str">
        <x:v>Resource inefficiency (materials/labor/energy)</x:v>
      </x:c>
      <x:c r="D579" t="str">
        <x:v>Planning &amp; estimation / coordination complexity, Resource inefficiency (materials/labor/energy), Equipment constraints / low availability</x:v>
      </x:c>
      <x:c r="E579" t="str">
        <x:v>Planning &amp; estimation / coordination complexity</x:v>
      </x:c>
      <x:c r="F579" t="str">
        <x:v>Resource inefficiency (materials/labor/energy)</x:v>
      </x:c>
      <x:c r="G579" t="str">
        <x:v>Planning &amp; estimation / coordination complexity, Resource inefficiency (materials/labor/energy), Equipment constraints / low availability</x:v>
      </x:c>
      <x:c r="H579" t="str">
        <x:v>Cost overrun mainly linked to planning &amp; estimation / coordination complexity; schedule overrun mainly linked to planning &amp; estimation / coordination complexity.</x:v>
      </x:c>
    </x:row>
    <x:row r="580">
      <x:c r="A580" t="str">
        <x:v>PJT_579</x:v>
      </x:c>
      <x:c r="B580" t="str">
        <x:v>Unforeseen site/structural issues &amp; rework</x:v>
      </x:c>
      <x:c r="C580" t="str">
        <x:v>Weather disruption / environmental constraints</x:v>
      </x:c>
      <x:c r="D580" t="str">
        <x:v>Unforeseen site/structural issues &amp; rework, Weather disruption / environmental constraints, Material supply / logistics &amp; market disruption</x:v>
      </x:c>
      <x:c r="E580" t="str">
        <x:v>Unforeseen site/structural issues &amp; rework</x:v>
      </x:c>
      <x:c r="F580" t="str">
        <x:v>Weather disruption / environmental constraints</x:v>
      </x:c>
      <x:c r="G580" t="str">
        <x:v>Unforeseen site/structural issues &amp; rework, Weather disruption / environmental constraints, Planning &amp; estimation / coordination complexity</x:v>
      </x:c>
      <x:c r="H580" t="str">
        <x:v>Cost overrun mainly linked to unforeseen site/structural issues &amp; rework; schedule overrun mainly linked to unforeseen site/structural issues &amp; rework.</x:v>
      </x:c>
    </x:row>
    <x:row r="581">
      <x:c r="A581" t="str">
        <x:v>PJT_580</x:v>
      </x:c>
      <x:c r="B581" t="str">
        <x:v>Resource inefficiency (materials/labor/energy)</x:v>
      </x:c>
      <x:c r="C581" t="str">
        <x:v>Planning &amp; estimation / coordination complexity</x:v>
      </x:c>
      <x:c r="D581" t="str">
        <x:v>Resource inefficiency (materials/labor/energy), Planning &amp; estimation / coordination complexity, Unforeseen site/structural issues &amp; rework</x:v>
      </x:c>
      <x:c r="E581" t="str">
        <x:v>Resource inefficiency (materials/labor/energy)</x:v>
      </x:c>
      <x:c r="F581" t="str">
        <x:v>Planning &amp; estimation / coordination complexity</x:v>
      </x:c>
      <x:c r="G581" t="str">
        <x:v>Resource inefficiency (materials/labor/energy), Planning &amp; estimation / coordination complexity, Unforeseen site/structural issues &amp; rework</x:v>
      </x:c>
      <x:c r="H581" t="str">
        <x:v>Cost overrun mainly linked to resource inefficiency (materials/labor/energy); schedule overrun mainly linked to resource inefficiency (materials/labor/energy).</x:v>
      </x:c>
    </x:row>
    <x:row r="582">
      <x:c r="A582" t="str">
        <x:v>PJT_581</x:v>
      </x:c>
      <x:c r="B582" t="str">
        <x:v>Equipment constraints / low availability</x:v>
      </x:c>
      <x:c r="C582" t="str">
        <x:v>Resource inefficiency (materials/labor/energy)</x:v>
      </x:c>
      <x:c r="D582" t="str">
        <x:v>Equipment constraints / low availability, Resource inefficiency (materials/labor/energy), Material supply / logistics &amp; market disruption</x:v>
      </x:c>
      <x:c r="E582" t="str">
        <x:v>Equipment constraints / low availability</x:v>
      </x:c>
      <x:c r="F582" t="str">
        <x:v>Resource inefficiency (materials/labor/energy)</x:v>
      </x:c>
      <x:c r="G582" t="str">
        <x:v>Equipment constraints / low availability, Resource inefficiency (materials/labor/energy), Material supply / logistics &amp; market disruption</x:v>
      </x:c>
      <x:c r="H582" t="str">
        <x:v>Cost overrun mainly linked to equipment constraints / low availability; schedule overrun mainly linked to equipment constraints / low availability.</x:v>
      </x:c>
    </x:row>
    <x:row r="583">
      <x:c r="A583" t="str">
        <x:v>PJT_582</x:v>
      </x:c>
      <x:c r="B583" t="str">
        <x:v>Resource inefficiency (materials/labor/energy)</x:v>
      </x:c>
      <x:c r="C583" t="str">
        <x:v>Planning &amp; estimation / coordination complexity</x:v>
      </x:c>
      <x:c r="D583" t="str">
        <x:v>Resource inefficiency (materials/labor/energy), Planning &amp; estimation / coordination complexity, Material supply / logistics &amp; market disruption</x:v>
      </x:c>
      <x:c r="E583" t="str">
        <x:v>Planning &amp; estimation / coordination complexity</x:v>
      </x:c>
      <x:c r="F583" t="str">
        <x:v>Resource inefficiency (materials/labor/energy)</x:v>
      </x:c>
      <x:c r="G583" t="str">
        <x:v>Planning &amp; estimation / coordination complexity, Resource inefficiency (materials/labor/energy), Equipment constraints / low availability</x:v>
      </x:c>
      <x:c r="H583" t="str">
        <x:v>Cost overrun mainly linked to resource inefficiency (materials/labor/energy); schedule overrun mainly linked to planning &amp; estimation / coordination complexity.</x:v>
      </x:c>
    </x:row>
    <x:row r="584">
      <x:c r="A584" t="str">
        <x:v>PJT_583</x:v>
      </x:c>
      <x:c r="B584" t="str">
        <x:v>Resource inefficiency (materials/labor/energy)</x:v>
      </x:c>
      <x:c r="C584" t="str">
        <x:v>Planning &amp; estimation / coordination complexity</x:v>
      </x:c>
      <x:c r="D584" t="str">
        <x:v>Resource inefficiency (materials/labor/energy), Planning &amp; estimation / coordination complexity, Equipment constraints / low availability</x:v>
      </x:c>
      <x:c r="E584" t="str">
        <x:v>Resource inefficiency (materials/labor/energy)</x:v>
      </x:c>
      <x:c r="F584" t="str">
        <x:v>Planning &amp; estimation / coordination complexity</x:v>
      </x:c>
      <x:c r="G584" t="str">
        <x:v>Resource inefficiency (materials/labor/energy), Planning &amp; estimation / coordination complexity, Equipment constraints / low availability</x:v>
      </x:c>
      <x:c r="H584" t="str">
        <x:v>Cost overrun mainly linked to resource inefficiency (materials/labor/energy); schedule overrun mainly linked to resource inefficiency (materials/labor/energy).</x:v>
      </x:c>
    </x:row>
    <x:row r="585">
      <x:c r="A585" t="str">
        <x:v>PJT_584</x:v>
      </x:c>
      <x:c r="B585" t="str">
        <x:v>Unforeseen site/structural issues &amp; rework</x:v>
      </x:c>
      <x:c r="C585" t="str">
        <x:v>Planning &amp; estimation / coordination complexity</x:v>
      </x:c>
      <x:c r="D585" t="str">
        <x:v>Unforeseen site/structural issues &amp; rework, Planning &amp; estimation / coordination complexity, Equipment constraints / low availability</x:v>
      </x:c>
      <x:c r="E585" t="str">
        <x:v>Unforeseen site/structural issues &amp; rework</x:v>
      </x:c>
      <x:c r="F585" t="str">
        <x:v>Planning &amp; estimation / coordination complexity</x:v>
      </x:c>
      <x:c r="G585" t="str">
        <x:v>Unforeseen site/structural issues &amp; rework, Planning &amp; estimation / coordination complexity, Equipment constraints / low availability</x:v>
      </x:c>
      <x:c r="H585" t="str">
        <x:v>Cost overrun mainly linked to unforeseen site/structural issues &amp; rework; schedule overrun mainly linked to unforeseen site/structural issues &amp; rework.</x:v>
      </x:c>
    </x:row>
    <x:row r="586">
      <x:c r="A586" t="str">
        <x:v>PJT_585</x:v>
      </x:c>
      <x:c r="B586" t="str">
        <x:v>Resource inefficiency (materials/labor/energy)</x:v>
      </x:c>
      <x:c r="C586" t="str">
        <x:v>Unforeseen site/structural issues &amp; rework</x:v>
      </x:c>
      <x:c r="D586" t="str">
        <x:v>Resource inefficiency (materials/labor/energy), Unforeseen site/structural issues &amp; rework, Material supply / logistics &amp; market disruption</x:v>
      </x:c>
      <x:c r="E586" t="str">
        <x:v>Resource inefficiency (materials/labor/energy)</x:v>
      </x:c>
      <x:c r="F586" t="str">
        <x:v>Unforeseen site/structural issues &amp; rework</x:v>
      </x:c>
      <x:c r="G586" t="str">
        <x:v>Resource inefficiency (materials/labor/energy), Unforeseen site/structural issues &amp; rework, Material supply / logistics &amp; market disruption</x:v>
      </x:c>
      <x:c r="H586" t="str">
        <x:v>Cost overrun mainly linked to resource inefficiency (materials/labor/energy); schedule overrun mainly linked to resource inefficiency (materials/labor/energy).</x:v>
      </x:c>
    </x:row>
    <x:row r="587">
      <x:c r="A587" t="str">
        <x:v>PJT_586</x:v>
      </x:c>
      <x:c r="B587" t="str">
        <x:v>Planning &amp; estimation / coordination complexity</x:v>
      </x:c>
      <x:c r="C587" t="str">
        <x:v>Unforeseen site/structural issues &amp; rework</x:v>
      </x:c>
      <x:c r="D587" t="str">
        <x:v>Planning &amp; estimation / coordination complexity, Unforeseen site/structural issues &amp; rework, Material supply / logistics &amp; market disruption</x:v>
      </x:c>
      <x:c r="E587" t="str">
        <x:v>Planning &amp; estimation / coordination complexity</x:v>
      </x:c>
      <x:c r="F587" t="str">
        <x:v>Unforeseen site/structural issues &amp; rework</x:v>
      </x:c>
      <x:c r="G587" t="str">
        <x:v>Planning &amp; estimation / coordination complexity, Unforeseen site/structural issues &amp; rework, Resource inefficiency (materials/labor/energy)</x:v>
      </x:c>
      <x:c r="H587" t="str">
        <x:v>Cost overrun mainly linked to planning &amp; estimation / coordination complexity; schedule overrun mainly linked to planning &amp; estimation / coordination complexity.</x:v>
      </x:c>
    </x:row>
    <x:row r="588">
      <x:c r="A588" t="str">
        <x:v>PJT_587</x:v>
      </x:c>
      <x:c r="B588" t="str">
        <x:v>Planning &amp; estimation / coordination complexity</x:v>
      </x:c>
      <x:c r="C588" t="str">
        <x:v>Unforeseen site/structural issues &amp; rework</x:v>
      </x:c>
      <x:c r="D588" t="str">
        <x:v>Planning &amp; estimation / coordination complexity, Unforeseen site/structural issues &amp; rework, Equipment constraints / low availability</x:v>
      </x:c>
      <x:c r="E588" t="str">
        <x:v>Planning &amp; estimation / coordination complexity</x:v>
      </x:c>
      <x:c r="F588" t="str">
        <x:v>Unforeseen site/structural issues &amp; rework</x:v>
      </x:c>
      <x:c r="G588" t="str">
        <x:v>Planning &amp; estimation / coordination complexity, Unforeseen site/structural issues &amp; rework, Equipment constraints / low availability</x:v>
      </x:c>
      <x:c r="H588" t="str">
        <x:v>Cost overrun mainly linked to planning &amp; estimation / coordination complexity; schedule overrun mainly linked to planning &amp; estimation / coordination complexity.</x:v>
      </x:c>
    </x:row>
    <x:row r="589">
      <x:c r="A589" t="str">
        <x:v>PJT_588</x:v>
      </x:c>
      <x:c r="B589" t="str">
        <x:v>Unforeseen site/structural issues &amp; rework</x:v>
      </x:c>
      <x:c r="C589" t="str">
        <x:v>Planning &amp; estimation / coordination complexity</x:v>
      </x:c>
      <x:c r="D589" t="str">
        <x:v>Unforeseen site/structural issues &amp; rework, Planning &amp; estimation / coordination complexity, Equipment constraints / low availability</x:v>
      </x:c>
      <x:c r="E589" t="str">
        <x:v>Unforeseen site/structural issues &amp; rework</x:v>
      </x:c>
      <x:c r="F589" t="str">
        <x:v>Planning &amp; estimation / coordination complexity</x:v>
      </x:c>
      <x:c r="G589" t="str">
        <x:v>Unforeseen site/structural issues &amp; rework, Planning &amp; estimation / coordination complexity, Equipment constraints / low availability</x:v>
      </x:c>
      <x:c r="H589" t="str">
        <x:v>Cost overrun mainly linked to unforeseen site/structural issues &amp; rework; schedule overrun mainly linked to unforeseen site/structural issues &amp; rework.</x:v>
      </x:c>
    </x:row>
    <x:row r="590">
      <x:c r="A590" t="str">
        <x:v>PJT_589</x:v>
      </x:c>
      <x:c r="B590" t="str">
        <x:v>Planning &amp; estimation / coordination complexity</x:v>
      </x:c>
      <x:c r="C590" t="str">
        <x:v>Resource inefficiency (materials/labor/energy)</x:v>
      </x:c>
      <x:c r="D590" t="str">
        <x:v>Planning &amp; estimation / coordination complexity, Resource inefficiency (materials/labor/energy), Equipment constraints / low availability</x:v>
      </x:c>
      <x:c r="E590" t="str">
        <x:v>Planning &amp; estimation / coordination complexity</x:v>
      </x:c>
      <x:c r="F590" t="str">
        <x:v>Resource inefficiency (materials/labor/energy)</x:v>
      </x:c>
      <x:c r="G590" t="str">
        <x:v>Planning &amp; estimation / coordination complexity, Resource inefficiency (materials/labor/energy), Equipment constraints / low availability</x:v>
      </x:c>
      <x:c r="H590" t="str">
        <x:v>Cost overrun mainly linked to planning &amp; estimation / coordination complexity; schedule overrun mainly linked to planning &amp; estimation / coordination complexity.</x:v>
      </x:c>
    </x:row>
    <x:row r="591">
      <x:c r="A591" t="str">
        <x:v>PJT_590</x:v>
      </x:c>
      <x:c r="B591" t="str">
        <x:v>Resource inefficiency (materials/labor/energy)</x:v>
      </x:c>
      <x:c r="C591" t="str">
        <x:v>Material supply / logistics &amp; market disruption</x:v>
      </x:c>
      <x:c r="D591" t="str">
        <x:v>Resource inefficiency (materials/labor/energy), Material supply / logistics &amp; market disruption, Equipment constraints / low availability</x:v>
      </x:c>
      <x:c r="E591" t="str">
        <x:v>Resource inefficiency (materials/labor/energy)</x:v>
      </x:c>
      <x:c r="F591" t="str">
        <x:v>Material supply / logistics &amp; market disruption</x:v>
      </x:c>
      <x:c r="G591" t="str">
        <x:v>Resource inefficiency (materials/labor/energy), Material supply / logistics &amp; market disruption, Equipment constraints / low availability</x:v>
      </x:c>
      <x:c r="H591" t="str">
        <x:v>Cost overrun mainly linked to resource inefficiency (materials/labor/energy); schedule overrun mainly linked to resource inefficiency (materials/labor/energy).</x:v>
      </x:c>
    </x:row>
    <x:row r="592">
      <x:c r="A592" t="str">
        <x:v>PJT_591</x:v>
      </x:c>
      <x:c r="B592" t="str">
        <x:v>Unforeseen site/structural issues &amp; rework</x:v>
      </x:c>
      <x:c r="C592" t="str">
        <x:v>Planning &amp; estimation / coordination complexity</x:v>
      </x:c>
      <x:c r="D592" t="str">
        <x:v>Unforeseen site/structural issues &amp; rework, Planning &amp; estimation / coordination complexity, Equipment constraints / low availability</x:v>
      </x:c>
      <x:c r="E592" t="str">
        <x:v>Unforeseen site/structural issues &amp; rework</x:v>
      </x:c>
      <x:c r="F592" t="str">
        <x:v>Planning &amp; estimation / coordination complexity</x:v>
      </x:c>
      <x:c r="G592" t="str">
        <x:v>Unforeseen site/structural issues &amp; rework, Planning &amp; estimation / coordination complexity, Equipment constraints / low availability</x:v>
      </x:c>
      <x:c r="H592" t="str">
        <x:v>Cost overrun mainly linked to unforeseen site/structural issues &amp; rework; schedule overrun mainly linked to unforeseen site/structural issues &amp; rework.</x:v>
      </x:c>
    </x:row>
    <x:row r="593">
      <x:c r="A593" t="str">
        <x:v>PJT_592</x:v>
      </x:c>
      <x:c r="B593" t="str">
        <x:v>Material supply / logistics &amp; market disruption</x:v>
      </x:c>
      <x:c r="C593" t="str">
        <x:v>Resource inefficiency (materials/labor/energy)</x:v>
      </x:c>
      <x:c r="D593" t="str">
        <x:v>Material supply / logistics &amp; market disruption, Resource inefficiency (materials/labor/energy), Equipment constraints / low availability</x:v>
      </x:c>
      <x:c r="E593" t="str">
        <x:v>Resource inefficiency (materials/labor/energy)</x:v>
      </x:c>
      <x:c r="F593" t="str">
        <x:v>Material supply / logistics &amp; market disruption</x:v>
      </x:c>
      <x:c r="G593" t="str">
        <x:v>Resource inefficiency (materials/labor/energy), Material supply / logistics &amp; market disruption, Equipment constraints / low availability</x:v>
      </x:c>
      <x:c r="H593" t="str">
        <x:v>Cost overrun mainly linked to material supply / logistics &amp; market disruption; schedule overrun mainly linked to resource inefficiency (materials/labor/energy).</x:v>
      </x:c>
    </x:row>
    <x:row r="594">
      <x:c r="A594" t="str">
        <x:v>PJT_593</x:v>
      </x:c>
      <x:c r="B594" t="str">
        <x:v>Resource inefficiency (materials/labor/energy)</x:v>
      </x:c>
      <x:c r="C594" t="str">
        <x:v>Material supply / logistics &amp; market disruption</x:v>
      </x:c>
      <x:c r="D594" t="str">
        <x:v>Resource inefficiency (materials/labor/energy), Material supply / logistics &amp; market disruption, Planning &amp; estimation / coordination complexity</x:v>
      </x:c>
      <x:c r="E594" t="str">
        <x:v>Resource inefficiency (materials/labor/energy)</x:v>
      </x:c>
      <x:c r="F594" t="str">
        <x:v>Planning &amp; estimation / coordination complexity</x:v>
      </x:c>
      <x:c r="G594" t="str">
        <x:v>Resource inefficiency (materials/labor/energy), Planning &amp; estimation / coordination complexity, Unforeseen site/structural issues &amp; rework</x:v>
      </x:c>
      <x:c r="H594" t="str">
        <x:v>Cost overrun mainly linked to resource inefficiency (materials/labor/energy); schedule overrun mainly linked to resource inefficiency (materials/labor/energy).</x:v>
      </x:c>
    </x:row>
    <x:row r="595">
      <x:c r="A595" t="str">
        <x:v>PJT_594</x:v>
      </x:c>
      <x:c r="B595" t="str">
        <x:v>Unforeseen site/structural issues &amp; rework</x:v>
      </x:c>
      <x:c r="C595" t="str">
        <x:v>Planning &amp; estimation / coordination complexity</x:v>
      </x:c>
      <x:c r="D595" t="str">
        <x:v>Unforeseen site/structural issues &amp; rework, Planning &amp; estimation / coordination complexity, Equipment constraints / low availability</x:v>
      </x:c>
      <x:c r="E595" t="str">
        <x:v>Unforeseen site/structural issues &amp; rework</x:v>
      </x:c>
      <x:c r="F595" t="str">
        <x:v>Planning &amp; estimation / coordination complexity</x:v>
      </x:c>
      <x:c r="G595" t="str">
        <x:v>Unforeseen site/structural issues &amp; rework, Planning &amp; estimation / coordination complexity, Equipment constraints / low availability</x:v>
      </x:c>
      <x:c r="H595" t="str">
        <x:v>Cost overrun mainly linked to unforeseen site/structural issues &amp; rework; schedule overrun mainly linked to unforeseen site/structural issues &amp; rework.</x:v>
      </x:c>
    </x:row>
    <x:row r="596">
      <x:c r="A596" t="str">
        <x:v>PJT_595</x:v>
      </x:c>
      <x:c r="B596" t="str">
        <x:v>Unforeseen site/structural issues &amp; rework</x:v>
      </x:c>
      <x:c r="C596" t="str">
        <x:v>Planning &amp; estimation / coordination complexity</x:v>
      </x:c>
      <x:c r="D596" t="str">
        <x:v>Unforeseen site/structural issues &amp; rework, Planning &amp; estimation / coordination complexity, Equipment constraints / low availability</x:v>
      </x:c>
      <x:c r="E596" t="str">
        <x:v>Unforeseen site/structural issues &amp; rework</x:v>
      </x:c>
      <x:c r="F596" t="str">
        <x:v>Planning &amp; estimation / coordination complexity</x:v>
      </x:c>
      <x:c r="G596" t="str">
        <x:v>Unforeseen site/structural issues &amp; rework, Planning &amp; estimation / coordination complexity, Equipment constraints / low availability</x:v>
      </x:c>
      <x:c r="H596" t="str">
        <x:v>Cost overrun mainly linked to unforeseen site/structural issues &amp; rework; schedule overrun mainly linked to unforeseen site/structural issues &amp; rework.</x:v>
      </x:c>
    </x:row>
    <x:row r="597">
      <x:c r="A597" t="str">
        <x:v>PJT_596</x:v>
      </x:c>
      <x:c r="B597" t="str">
        <x:v>Unforeseen site/structural issues &amp; rework</x:v>
      </x:c>
      <x:c r="C597" t="str">
        <x:v>Weather disruption / environmental constraints</x:v>
      </x:c>
      <x:c r="D597" t="str">
        <x:v>Unforeseen site/structural issues &amp; rework, Weather disruption / environmental constraints, Equipment constraints / low availability</x:v>
      </x:c>
      <x:c r="E597" t="str">
        <x:v>Weather disruption / environmental constraints</x:v>
      </x:c>
      <x:c r="F597" t="str">
        <x:v>Unforeseen site/structural issues &amp; rework</x:v>
      </x:c>
      <x:c r="G597" t="str">
        <x:v>Weather disruption / environmental constraints, Unforeseen site/structural issues &amp; rework, Equipment constraints / low availability</x:v>
      </x:c>
      <x:c r="H597" t="str">
        <x:v>Cost overrun mainly linked to unforeseen site/structural issues &amp; rework; schedule overrun mainly linked to weather disruption / environmental constraints.</x:v>
      </x:c>
    </x:row>
    <x:row r="598">
      <x:c r="A598" t="str">
        <x:v>PJT_597</x:v>
      </x:c>
      <x:c r="B598" t="str">
        <x:v>Weather disruption / environmental constraints</x:v>
      </x:c>
      <x:c r="C598" t="str">
        <x:v>Material supply / logistics &amp; market disruption</x:v>
      </x:c>
      <x:c r="D598" t="str">
        <x:v>Weather disruption / environmental constraints, Material supply / logistics &amp; market disruption, Unforeseen site/structural issues &amp; rework</x:v>
      </x:c>
      <x:c r="E598" t="str">
        <x:v>Weather disruption / environmental constraints</x:v>
      </x:c>
      <x:c r="F598" t="str">
        <x:v>Material supply / logistics &amp; market disruption</x:v>
      </x:c>
      <x:c r="G598" t="str">
        <x:v>Weather disruption / environmental constraints, Material supply / logistics &amp; market disruption, Unforeseen site/structural issues &amp; rework</x:v>
      </x:c>
      <x:c r="H598" t="str">
        <x:v>Cost overrun mainly linked to weather disruption / environmental constraints; schedule overrun mainly linked to weather disruption / environmental constraints.</x:v>
      </x:c>
    </x:row>
    <x:row r="599">
      <x:c r="A599" t="str">
        <x:v>PJT_598</x:v>
      </x:c>
      <x:c r="B599" t="str">
        <x:v>Unforeseen site/structural issues &amp; rework</x:v>
      </x:c>
      <x:c r="C599" t="str">
        <x:v>Planning &amp; estimation / coordination complexity</x:v>
      </x:c>
      <x:c r="D599" t="str">
        <x:v>Unforeseen site/structural issues &amp; rework, Planning &amp; estimation / coordination complexity, Resource inefficiency (materials/labor/energy)</x:v>
      </x:c>
      <x:c r="E599" t="str">
        <x:v>Unforeseen site/structural issues &amp; rework</x:v>
      </x:c>
      <x:c r="F599" t="str">
        <x:v>Planning &amp; estimation / coordination complexity</x:v>
      </x:c>
      <x:c r="G599" t="str">
        <x:v>Unforeseen site/structural issues &amp; rework, Planning &amp; estimation / coordination complexity, Equipment constraints / low availability</x:v>
      </x:c>
      <x:c r="H599" t="str">
        <x:v>Cost overrun mainly linked to unforeseen site/structural issues &amp; rework; schedule overrun mainly linked to unforeseen site/structural issues &amp; rework.</x:v>
      </x:c>
    </x:row>
    <x:row r="600">
      <x:c r="A600" t="str">
        <x:v>PJT_599</x:v>
      </x:c>
      <x:c r="B600" t="str">
        <x:v>Resource inefficiency (materials/labor/energy)</x:v>
      </x:c>
      <x:c r="C600" t="str">
        <x:v>Equipment constraints / low availability</x:v>
      </x:c>
      <x:c r="D600" t="str">
        <x:v>Resource inefficiency (materials/labor/energy), Equipment constraints / low availability, Material supply / logistics &amp; market disruption</x:v>
      </x:c>
      <x:c r="E600" t="str">
        <x:v>Resource inefficiency (materials/labor/energy)</x:v>
      </x:c>
      <x:c r="F600" t="str">
        <x:v>Equipment constraints / low availability</x:v>
      </x:c>
      <x:c r="G600" t="str">
        <x:v>Resource inefficiency (materials/labor/energy), Equipment constraints / low availability, Material supply / logistics &amp; market disruption</x:v>
      </x:c>
      <x:c r="H600" t="str">
        <x:v>Cost overrun mainly linked to resource inefficiency (materials/labor/energy); schedule overrun mainly linked to resource inefficiency (materials/labor/energy).</x:v>
      </x:c>
    </x:row>
    <x:row r="601">
      <x:c r="A601" t="str">
        <x:v>PJT_600</x:v>
      </x:c>
      <x:c r="B601" t="str">
        <x:v>Weather disruption / environmental constraints</x:v>
      </x:c>
      <x:c r="C601" t="str">
        <x:v>Unforeseen site/structural issues &amp; rework</x:v>
      </x:c>
      <x:c r="D601" t="str">
        <x:v>Weather disruption / environmental constraints, Unforeseen site/structural issues &amp; rework, Material supply / logistics &amp; market disruption</x:v>
      </x:c>
      <x:c r="E601" t="str">
        <x:v>Weather disruption / environmental constraints</x:v>
      </x:c>
      <x:c r="F601" t="str">
        <x:v>Unforeseen site/structural issues &amp; rework</x:v>
      </x:c>
      <x:c r="G601" t="str">
        <x:v>Weather disruption / environmental constraints, Unforeseen site/structural issues &amp; rework, Material supply / logistics &amp; market disruption</x:v>
      </x:c>
      <x:c r="H601" t="str">
        <x:v>Cost overrun mainly linked to weather disruption / environmental constraints; schedule overrun mainly linked to weather disruption / environmental constraints.</x:v>
      </x:c>
    </x:row>
    <x:row r="602">
      <x:c r="A602" t="str">
        <x:v>PJT_601</x:v>
      </x:c>
      <x:c r="B602" t="str">
        <x:v>Resource inefficiency (materials/labor/energy)</x:v>
      </x:c>
      <x:c r="C602" t="str">
        <x:v>Equipment constraints / low availability</x:v>
      </x:c>
      <x:c r="D602" t="str">
        <x:v>Resource inefficiency (materials/labor/energy), Equipment constraints / low availability, Planning &amp; estimation / coordination complexity</x:v>
      </x:c>
      <x:c r="E602" t="str">
        <x:v>Resource inefficiency (materials/labor/energy)</x:v>
      </x:c>
      <x:c r="F602" t="str">
        <x:v>Equipment constraints / low availability</x:v>
      </x:c>
      <x:c r="G602" t="str">
        <x:v>Resource inefficiency (materials/labor/energy), Equipment constraints / low availability, Planning &amp; estimation / coordination complexity</x:v>
      </x:c>
      <x:c r="H602" t="str">
        <x:v>Cost overrun mainly linked to resource inefficiency (materials/labor/energy); schedule overrun mainly linked to resource inefficiency (materials/labor/energy).</x:v>
      </x:c>
    </x:row>
    <x:row r="603">
      <x:c r="A603" t="str">
        <x:v>PJT_602</x:v>
      </x:c>
      <x:c r="B603" t="str">
        <x:v>Planning &amp; estimation / coordination complexity</x:v>
      </x:c>
      <x:c r="C603" t="str">
        <x:v>Equipment constraints / low availability</x:v>
      </x:c>
      <x:c r="D603" t="str">
        <x:v>Planning &amp; estimation / coordination complexity, Equipment constraints / low availability, Resource inefficiency (materials/labor/energy)</x:v>
      </x:c>
      <x:c r="E603" t="str">
        <x:v>Planning &amp; estimation / coordination complexity</x:v>
      </x:c>
      <x:c r="F603" t="str">
        <x:v>Equipment constraints / low availability</x:v>
      </x:c>
      <x:c r="G603" t="str">
        <x:v>Planning &amp; estimation / coordination complexity, Equipment constraints / low availability, Unforeseen site/structural issues &amp; rework</x:v>
      </x:c>
      <x:c r="H603" t="str">
        <x:v>Cost overrun mainly linked to planning &amp; estimation / coordination complexity; schedule overrun mainly linked to planning &amp; estimation / coordination complexity.</x:v>
      </x:c>
    </x:row>
    <x:row r="604">
      <x:c r="A604" t="str">
        <x:v>PJT_603</x:v>
      </x:c>
      <x:c r="B604" t="str">
        <x:v>Unforeseen site/structural issues &amp; rework</x:v>
      </x:c>
      <x:c r="C604" t="str">
        <x:v>Planning &amp; estimation / coordination complexity</x:v>
      </x:c>
      <x:c r="D604" t="str">
        <x:v>Unforeseen site/structural issues &amp; rework, Planning &amp; estimation / coordination complexity, Weather disruption / environmental constraints</x:v>
      </x:c>
      <x:c r="E604" t="str">
        <x:v>Unforeseen site/structural issues &amp; rework</x:v>
      </x:c>
      <x:c r="F604" t="str">
        <x:v>Planning &amp; estimation / coordination complexity</x:v>
      </x:c>
      <x:c r="G604" t="str">
        <x:v>Unforeseen site/structural issues &amp; rework, Planning &amp; estimation / coordination complexity, Equipment constraints / low availability</x:v>
      </x:c>
      <x:c r="H604" t="str">
        <x:v>Cost overrun mainly linked to unforeseen site/structural issues &amp; rework; schedule overrun mainly linked to unforeseen site/structural issues &amp; rework.</x:v>
      </x:c>
    </x:row>
    <x:row r="605">
      <x:c r="A605" t="str">
        <x:v>PJT_604</x:v>
      </x:c>
      <x:c r="B605" t="str">
        <x:v>Equipment constraints / low availability</x:v>
      </x:c>
      <x:c r="C605" t="str">
        <x:v>Unforeseen site/structural issues &amp; rework</x:v>
      </x:c>
      <x:c r="D605" t="str">
        <x:v>Equipment constraints / low availability, Unforeseen site/structural issues &amp; rework, Planning &amp; estimation / coordination complexity</x:v>
      </x:c>
      <x:c r="E605" t="str">
        <x:v>Equipment constraints / low availability</x:v>
      </x:c>
      <x:c r="F605" t="str">
        <x:v>Unforeseen site/structural issues &amp; rework</x:v>
      </x:c>
      <x:c r="G605" t="str">
        <x:v>Equipment constraints / low availability, Unforeseen site/structural issues &amp; rework, Planning &amp; estimation / coordination complexity</x:v>
      </x:c>
      <x:c r="H605" t="str">
        <x:v>Cost overrun mainly linked to equipment constraints / low availability; schedule overrun mainly linked to equipment constraints / low availability.</x:v>
      </x:c>
    </x:row>
    <x:row r="606">
      <x:c r="A606" t="str">
        <x:v>PJT_605</x:v>
      </x:c>
      <x:c r="B606" t="str">
        <x:v>Resource inefficiency (materials/labor/energy)</x:v>
      </x:c>
      <x:c r="C606" t="str">
        <x:v>Planning &amp; estimation / coordination complexity</x:v>
      </x:c>
      <x:c r="D606" t="str">
        <x:v>Resource inefficiency (materials/labor/energy), Planning &amp; estimation / coordination complexity, Equipment constraints / low availability</x:v>
      </x:c>
      <x:c r="E606" t="str">
        <x:v>Resource inefficiency (materials/labor/energy)</x:v>
      </x:c>
      <x:c r="F606" t="str">
        <x:v>Planning &amp; estimation / coordination complexity</x:v>
      </x:c>
      <x:c r="G606" t="str">
        <x:v>Resource inefficiency (materials/labor/energy), Planning &amp; estimation / coordination complexity, Unforeseen site/structural issues &amp; rework</x:v>
      </x:c>
      <x:c r="H606" t="str">
        <x:v>Cost overrun mainly linked to resource inefficiency (materials/labor/energy); schedule overrun mainly linked to resource inefficiency (materials/labor/energy).</x:v>
      </x:c>
    </x:row>
    <x:row r="607">
      <x:c r="A607" t="str">
        <x:v>PJT_606</x:v>
      </x:c>
      <x:c r="B607" t="str">
        <x:v>Equipment constraints / low availability</x:v>
      </x:c>
      <x:c r="C607" t="str">
        <x:v>Resource inefficiency (materials/labor/energy)</x:v>
      </x:c>
      <x:c r="D607" t="str">
        <x:v>Equipment constraints / low availability, Resource inefficiency (materials/labor/energy), Planning &amp; estimation / coordination complexity</x:v>
      </x:c>
      <x:c r="E607" t="str">
        <x:v>Equipment constraints / low availability</x:v>
      </x:c>
      <x:c r="F607" t="str">
        <x:v>Resource inefficiency (materials/labor/energy)</x:v>
      </x:c>
      <x:c r="G607" t="str">
        <x:v>Equipment constraints / low availability, Resource inefficiency (materials/labor/energy), Planning &amp; estimation / coordination complexity</x:v>
      </x:c>
      <x:c r="H607" t="str">
        <x:v>Cost overrun mainly linked to equipment constraints / low availability; schedule overrun mainly linked to equipment constraints / low availability.</x:v>
      </x:c>
    </x:row>
    <x:row r="608">
      <x:c r="A608" t="str">
        <x:v>PJT_607</x:v>
      </x:c>
      <x:c r="B608" t="str">
        <x:v>Unforeseen site/structural issues &amp; rework</x:v>
      </x:c>
      <x:c r="C608" t="str">
        <x:v>Weather disruption / environmental constraints</x:v>
      </x:c>
      <x:c r="D608" t="str">
        <x:v>Unforeseen site/structural issues &amp; rework, Weather disruption / environmental constraints, Planning &amp; estimation / coordination complexity</x:v>
      </x:c>
      <x:c r="E608" t="str">
        <x:v>Weather disruption / environmental constraints</x:v>
      </x:c>
      <x:c r="F608" t="str">
        <x:v>Unforeseen site/structural issues &amp; rework</x:v>
      </x:c>
      <x:c r="G608" t="str">
        <x:v>Weather disruption / environmental constraints, Unforeseen site/structural issues &amp; rework, Planning &amp; estimation / coordination complexity</x:v>
      </x:c>
      <x:c r="H608" t="str">
        <x:v>Cost overrun mainly linked to unforeseen site/structural issues &amp; rework; schedule overrun mainly linked to weather disruption / environmental constraints.</x:v>
      </x:c>
    </x:row>
    <x:row r="609">
      <x:c r="A609" t="str">
        <x:v>PJT_608</x:v>
      </x:c>
      <x:c r="B609" t="str">
        <x:v>Resource inefficiency (materials/labor/energy)</x:v>
      </x:c>
      <x:c r="C609" t="str">
        <x:v>Material supply / logistics &amp; market disruption</x:v>
      </x:c>
      <x:c r="D609" t="str">
        <x:v>Resource inefficiency (materials/labor/energy), Material supply / logistics &amp; market disruption, Planning &amp; estimation / coordination complexity</x:v>
      </x:c>
      <x:c r="E609" t="str">
        <x:v>Resource inefficiency (materials/labor/energy)</x:v>
      </x:c>
      <x:c r="F609" t="str">
        <x:v>Material supply / logistics &amp; market disruption</x:v>
      </x:c>
      <x:c r="G609" t="str">
        <x:v>Resource inefficiency (materials/labor/energy), Material supply / logistics &amp; market disruption, Planning &amp; estimation / coordination complexity</x:v>
      </x:c>
      <x:c r="H609" t="str">
        <x:v>Cost overrun mainly linked to resource inefficiency (materials/labor/energy); schedule overrun mainly linked to resource inefficiency (materials/labor/energy).</x:v>
      </x:c>
    </x:row>
    <x:row r="610">
      <x:c r="A610" t="str">
        <x:v>PJT_609</x:v>
      </x:c>
      <x:c r="B610" t="str">
        <x:v>Material supply / logistics &amp; market disruption</x:v>
      </x:c>
      <x:c r="C610" t="str">
        <x:v>Resource inefficiency (materials/labor/energy)</x:v>
      </x:c>
      <x:c r="D610" t="str">
        <x:v>Material supply / logistics &amp; market disruption, Resource inefficiency (materials/labor/energy), Weather disruption / environmental constraints</x:v>
      </x:c>
      <x:c r="E610" t="str">
        <x:v>Material supply / logistics &amp; market disruption</x:v>
      </x:c>
      <x:c r="F610" t="str">
        <x:v>Resource inefficiency (materials/labor/energy)</x:v>
      </x:c>
      <x:c r="G610" t="str">
        <x:v>Material supply / logistics &amp; market disruption, Resource inefficiency (materials/labor/energy), Weather disruption / environmental constraints</x:v>
      </x:c>
      <x:c r="H610" t="str">
        <x:v>Cost overrun mainly linked to material supply / logistics &amp; market disruption; schedule overrun mainly linked to material supply / logistics &amp; market disruption.</x:v>
      </x:c>
    </x:row>
    <x:row r="611">
      <x:c r="A611" t="str">
        <x:v>PJT_610</x:v>
      </x:c>
      <x:c r="B611" t="str">
        <x:v>Unforeseen site/structural issues &amp; rework</x:v>
      </x:c>
      <x:c r="C611" t="str">
        <x:v>Planning &amp; estimation / coordination complexity</x:v>
      </x:c>
      <x:c r="D611" t="str">
        <x:v>Unforeseen site/structural issues &amp; rework, Planning &amp; estimation / coordination complexity, Weather disruption / environmental constraints</x:v>
      </x:c>
      <x:c r="E611" t="str">
        <x:v>Unforeseen site/structural issues &amp; rework</x:v>
      </x:c>
      <x:c r="F611" t="str">
        <x:v>Planning &amp; estimation / coordination complexity</x:v>
      </x:c>
      <x:c r="G611" t="str">
        <x:v>Unforeseen site/structural issues &amp; rework, Planning &amp; estimation / coordination complexity, Weather disruption / environmental constraints</x:v>
      </x:c>
      <x:c r="H611" t="str">
        <x:v>Cost overrun mainly linked to unforeseen site/structural issues &amp; rework; schedule overrun mainly linked to unforeseen site/structural issues &amp; rework.</x:v>
      </x:c>
    </x:row>
    <x:row r="612">
      <x:c r="A612" t="str">
        <x:v>PJT_611</x:v>
      </x:c>
      <x:c r="B612" t="str">
        <x:v>Resource inefficiency (materials/labor/energy)</x:v>
      </x:c>
      <x:c r="C612" t="str">
        <x:v>Equipment constraints / low availability</x:v>
      </x:c>
      <x:c r="D612" t="str">
        <x:v>Resource inefficiency (materials/labor/energy), Equipment constraints / low availability, Planning &amp; estimation / coordination complexity</x:v>
      </x:c>
      <x:c r="E612" t="str">
        <x:v>Equipment constraints / low availability</x:v>
      </x:c>
      <x:c r="F612" t="str">
        <x:v>Resource inefficiency (materials/labor/energy)</x:v>
      </x:c>
      <x:c r="G612" t="str">
        <x:v>Equipment constraints / low availability, Resource inefficiency (materials/labor/energy), Planning &amp; estimation / coordination complexity</x:v>
      </x:c>
      <x:c r="H612" t="str">
        <x:v>Cost overrun mainly linked to resource inefficiency (materials/labor/energy); schedule overrun mainly linked to equipment constraints / low availability.</x:v>
      </x:c>
    </x:row>
    <x:row r="613">
      <x:c r="A613" t="str">
        <x:v>PJT_612</x:v>
      </x:c>
      <x:c r="B613" t="str">
        <x:v>Unforeseen site/structural issues &amp; rework</x:v>
      </x:c>
      <x:c r="C613" t="str">
        <x:v>Weather disruption / environmental constraints</x:v>
      </x:c>
      <x:c r="D613" t="str">
        <x:v>Unforeseen site/structural issues &amp; rework, Weather disruption / environmental constraints, Equipment constraints / low availability</x:v>
      </x:c>
      <x:c r="E613" t="str">
        <x:v>Unforeseen site/structural issues &amp; rework</x:v>
      </x:c>
      <x:c r="F613" t="str">
        <x:v>Weather disruption / environmental constraints</x:v>
      </x:c>
      <x:c r="G613" t="str">
        <x:v>Unforeseen site/structural issues &amp; rework, Weather disruption / environmental constraints, Material supply / logistics &amp; market disruption</x:v>
      </x:c>
      <x:c r="H613" t="str">
        <x:v>Cost overrun mainly linked to unforeseen site/structural issues &amp; rework; schedule overrun mainly linked to unforeseen site/structural issues &amp; rework.</x:v>
      </x:c>
    </x:row>
    <x:row r="614">
      <x:c r="A614" t="str">
        <x:v>PJT_613</x:v>
      </x:c>
      <x:c r="B614" t="str">
        <x:v>Resource inefficiency (materials/labor/energy)</x:v>
      </x:c>
      <x:c r="C614" t="str">
        <x:v>Material supply / logistics &amp; market disruption</x:v>
      </x:c>
      <x:c r="D614" t="str">
        <x:v>Resource inefficiency (materials/labor/energy), Material supply / logistics &amp; market disruption, Equipment constraints / low availability</x:v>
      </x:c>
      <x:c r="E614" t="str">
        <x:v>Resource inefficiency (materials/labor/energy)</x:v>
      </x:c>
      <x:c r="F614" t="str">
        <x:v>Material supply / logistics &amp; market disruption</x:v>
      </x:c>
      <x:c r="G614" t="str">
        <x:v>Resource inefficiency (materials/labor/energy), Material supply / logistics &amp; market disruption, Equipment constraints / low availability</x:v>
      </x:c>
      <x:c r="H614" t="str">
        <x:v>Cost overrun mainly linked to resource inefficiency (materials/labor/energy); schedule overrun mainly linked to resource inefficiency (materials/labor/energy).</x:v>
      </x:c>
    </x:row>
    <x:row r="615">
      <x:c r="A615" t="str">
        <x:v>PJT_614</x:v>
      </x:c>
      <x:c r="B615" t="str">
        <x:v>Planning &amp; estimation / coordination complexity</x:v>
      </x:c>
      <x:c r="C615" t="str">
        <x:v>Resource inefficiency (materials/labor/energy)</x:v>
      </x:c>
      <x:c r="D615" t="str">
        <x:v>Planning &amp; estimation / coordination complexity, Resource inefficiency (materials/labor/energy), Equipment constraints / low availability</x:v>
      </x:c>
      <x:c r="E615" t="str">
        <x:v>Planning &amp; estimation / coordination complexity</x:v>
      </x:c>
      <x:c r="F615" t="str">
        <x:v>Resource inefficiency (materials/labor/energy)</x:v>
      </x:c>
      <x:c r="G615" t="str">
        <x:v>Planning &amp; estimation / coordination complexity, Resource inefficiency (materials/labor/energy), Equipment constraints / low availability</x:v>
      </x:c>
      <x:c r="H615" t="str">
        <x:v>Cost overrun mainly linked to planning &amp; estimation / coordination complexity; schedule overrun mainly linked to planning &amp; estimation / coordination complexity.</x:v>
      </x:c>
    </x:row>
    <x:row r="616">
      <x:c r="A616" t="str">
        <x:v>PJT_615</x:v>
      </x:c>
      <x:c r="B616" t="str">
        <x:v>Equipment constraints / low availability</x:v>
      </x:c>
      <x:c r="C616" t="str">
        <x:v>Resource inefficiency (materials/labor/energy)</x:v>
      </x:c>
      <x:c r="D616" t="str">
        <x:v>Equipment constraints / low availability, Resource inefficiency (materials/labor/energy), Planning &amp; estimation / coordination complexity</x:v>
      </x:c>
      <x:c r="E616" t="str">
        <x:v>Resource inefficiency (materials/labor/energy)</x:v>
      </x:c>
      <x:c r="F616" t="str">
        <x:v>Equipment constraints / low availability</x:v>
      </x:c>
      <x:c r="G616" t="str">
        <x:v>Resource inefficiency (materials/labor/energy), Equipment constraints / low availability, Planning &amp; estimation / coordination complexity</x:v>
      </x:c>
      <x:c r="H616" t="str">
        <x:v>Cost overrun mainly linked to equipment constraints / low availability; schedule overrun mainly linked to resource inefficiency (materials/labor/energy).</x:v>
      </x:c>
    </x:row>
    <x:row r="617">
      <x:c r="A617" t="str">
        <x:v>PJT_616</x:v>
      </x:c>
      <x:c r="B617" t="str">
        <x:v>Planning &amp; estimation / coordination complexity</x:v>
      </x:c>
      <x:c r="C617" t="str">
        <x:v>Resource inefficiency (materials/labor/energy)</x:v>
      </x:c>
      <x:c r="D617" t="str">
        <x:v>Planning &amp; estimation / coordination complexity, Resource inefficiency (materials/labor/energy), Equipment constraints / low availability</x:v>
      </x:c>
      <x:c r="E617" t="str">
        <x:v>Planning &amp; estimation / coordination complexity</x:v>
      </x:c>
      <x:c r="F617" t="str">
        <x:v>Resource inefficiency (materials/labor/energy)</x:v>
      </x:c>
      <x:c r="G617" t="str">
        <x:v>Planning &amp; estimation / coordination complexity, Resource inefficiency (materials/labor/energy), Unforeseen site/structural issues &amp; rework</x:v>
      </x:c>
      <x:c r="H617" t="str">
        <x:v>Cost overrun mainly linked to planning &amp; estimation / coordination complexity; schedule overrun mainly linked to planning &amp; estimation / coordination complexity.</x:v>
      </x:c>
    </x:row>
    <x:row r="618">
      <x:c r="A618" t="str">
        <x:v>PJT_617</x:v>
      </x:c>
      <x:c r="B618" t="str">
        <x:v>Weather disruption / environmental constraints</x:v>
      </x:c>
      <x:c r="C618" t="str">
        <x:v>Unforeseen site/structural issues &amp; rework</x:v>
      </x:c>
      <x:c r="D618" t="str">
        <x:v>Weather disruption / environmental constraints, Unforeseen site/structural issues &amp; rework, Material supply / logistics &amp; market disruption</x:v>
      </x:c>
      <x:c r="E618" t="str">
        <x:v>Weather disruption / environmental constraints</x:v>
      </x:c>
      <x:c r="F618" t="str">
        <x:v>Unforeseen site/structural issues &amp; rework</x:v>
      </x:c>
      <x:c r="G618" t="str">
        <x:v>Weather disruption / environmental constraints, Unforeseen site/structural issues &amp; rework, Material supply / logistics &amp; market disruption</x:v>
      </x:c>
      <x:c r="H618" t="str">
        <x:v>Cost overrun mainly linked to weather disruption / environmental constraints; schedule overrun mainly linked to weather disruption / environmental constraints.</x:v>
      </x:c>
    </x:row>
    <x:row r="619">
      <x:c r="A619" t="str">
        <x:v>PJT_618</x:v>
      </x:c>
      <x:c r="B619" t="str">
        <x:v>Unforeseen site/structural issues &amp; rework</x:v>
      </x:c>
      <x:c r="C619" t="str">
        <x:v>Planning &amp; estimation / coordination complexity</x:v>
      </x:c>
      <x:c r="D619" t="str">
        <x:v>Unforeseen site/structural issues &amp; rework, Planning &amp; estimation / coordination complexity, Weather disruption / environmental constraints</x:v>
      </x:c>
      <x:c r="E619" t="str">
        <x:v>Unforeseen site/structural issues &amp; rework</x:v>
      </x:c>
      <x:c r="F619" t="str">
        <x:v>Planning &amp; estimation / coordination complexity</x:v>
      </x:c>
      <x:c r="G619" t="str">
        <x:v>Unforeseen site/structural issues &amp; rework, Planning &amp; estimation / coordination complexity, Weather disruption / environmental constraints</x:v>
      </x:c>
      <x:c r="H619" t="str">
        <x:v>Cost overrun mainly linked to unforeseen site/structural issues &amp; rework; schedule overrun mainly linked to unforeseen site/structural issues &amp; rework.</x:v>
      </x:c>
    </x:row>
    <x:row r="620">
      <x:c r="A620" t="str">
        <x:v>PJT_619</x:v>
      </x:c>
      <x:c r="B620" t="str">
        <x:v>Resource inefficiency (materials/labor/energy)</x:v>
      </x:c>
      <x:c r="C620" t="str">
        <x:v>Material supply / logistics &amp; market disruption</x:v>
      </x:c>
      <x:c r="D620" t="str">
        <x:v>Resource inefficiency (materials/labor/energy), Material supply / logistics &amp; market disruption, Planning &amp; estimation / coordination complexity</x:v>
      </x:c>
      <x:c r="E620" t="str">
        <x:v>Resource inefficiency (materials/labor/energy)</x:v>
      </x:c>
      <x:c r="F620" t="str">
        <x:v>Material supply / logistics &amp; market disruption</x:v>
      </x:c>
      <x:c r="G620" t="str">
        <x:v>Resource inefficiency (materials/labor/energy), Material supply / logistics &amp; market disruption, Planning &amp; estimation / coordination complexity</x:v>
      </x:c>
      <x:c r="H620" t="str">
        <x:v>Cost overrun mainly linked to resource inefficiency (materials/labor/energy); schedule overrun mainly linked to resource inefficiency (materials/labor/energy).</x:v>
      </x:c>
    </x:row>
    <x:row r="621">
      <x:c r="A621" t="str">
        <x:v>PJT_620</x:v>
      </x:c>
      <x:c r="B621" t="str">
        <x:v>Unforeseen site/structural issues &amp; rework</x:v>
      </x:c>
      <x:c r="C621" t="str">
        <x:v>Planning &amp; estimation / coordination complexity</x:v>
      </x:c>
      <x:c r="D621" t="str">
        <x:v>Unforeseen site/structural issues &amp; rework, Planning &amp; estimation / coordination complexity, Weather disruption / environmental constraints</x:v>
      </x:c>
      <x:c r="E621" t="str">
        <x:v>Unforeseen site/structural issues &amp; rework</x:v>
      </x:c>
      <x:c r="F621" t="str">
        <x:v>Planning &amp; estimation / coordination complexity</x:v>
      </x:c>
      <x:c r="G621" t="str">
        <x:v>Unforeseen site/structural issues &amp; rework, Planning &amp; estimation / coordination complexity, Resource inefficiency (materials/labor/energy)</x:v>
      </x:c>
      <x:c r="H621" t="str">
        <x:v>Cost overrun mainly linked to unforeseen site/structural issues &amp; rework; schedule overrun mainly linked to unforeseen site/structural issues &amp; rework.</x:v>
      </x:c>
    </x:row>
    <x:row r="622">
      <x:c r="A622" t="str">
        <x:v>PJT_621</x:v>
      </x:c>
      <x:c r="B622" t="str">
        <x:v>Weather disruption / environmental constraints</x:v>
      </x:c>
      <x:c r="C622" t="str">
        <x:v>Unforeseen site/structural issues &amp; rework</x:v>
      </x:c>
      <x:c r="D622" t="str">
        <x:v>Weather disruption / environmental constraints, Unforeseen site/structural issues &amp; rework, Equipment constraints / low availability</x:v>
      </x:c>
      <x:c r="E622" t="str">
        <x:v>Weather disruption / environmental constraints</x:v>
      </x:c>
      <x:c r="F622" t="str">
        <x:v>Material supply / logistics &amp; market disruption</x:v>
      </x:c>
      <x:c r="G622" t="str">
        <x:v>Weather disruption / environmental constraints, Material supply / logistics &amp; market disruption, Equipment constraints / low availability</x:v>
      </x:c>
      <x:c r="H622" t="str">
        <x:v>Cost overrun mainly linked to weather disruption / environmental constraints; schedule overrun mainly linked to weather disruption / environmental constraints.</x:v>
      </x:c>
    </x:row>
    <x:row r="623">
      <x:c r="A623" t="str">
        <x:v>PJT_622</x:v>
      </x:c>
      <x:c r="B623" t="str">
        <x:v>Weather disruption / environmental constraints</x:v>
      </x:c>
      <x:c r="C623" t="str">
        <x:v>Equipment constraints / low availability</x:v>
      </x:c>
      <x:c r="D623" t="str">
        <x:v>Weather disruption / environmental constraints, Equipment constraints / low availability, Unforeseen site/structural issues &amp; rework</x:v>
      </x:c>
      <x:c r="E623" t="str">
        <x:v>Weather disruption / environmental constraints</x:v>
      </x:c>
      <x:c r="F623" t="str">
        <x:v>Equipment constraints / low availability</x:v>
      </x:c>
      <x:c r="G623" t="str">
        <x:v>Weather disruption / environmental constraints, Equipment constraints / low availability, Unforeseen site/structural issues &amp; rework</x:v>
      </x:c>
      <x:c r="H623" t="str">
        <x:v>Cost overrun mainly linked to weather disruption / environmental constraints; schedule overrun mainly linked to weather disruption / environmental constraints.</x:v>
      </x:c>
    </x:row>
    <x:row r="624">
      <x:c r="A624" t="str">
        <x:v>PJT_623</x:v>
      </x:c>
      <x:c r="B624" t="str">
        <x:v>Equipment constraints / low availability</x:v>
      </x:c>
      <x:c r="C624" t="str">
        <x:v>Planning &amp; estimation / coordination complexity</x:v>
      </x:c>
      <x:c r="D624" t="str">
        <x:v>Equipment constraints / low availability, Planning &amp; estimation / coordination complexity, Resource inefficiency (materials/labor/energy)</x:v>
      </x:c>
      <x:c r="E624" t="str">
        <x:v>Planning &amp; estimation / coordination complexity</x:v>
      </x:c>
      <x:c r="F624" t="str">
        <x:v>Equipment constraints / low availability</x:v>
      </x:c>
      <x:c r="G624" t="str">
        <x:v>Planning &amp; estimation / coordination complexity, Equipment constraints / low availability, Resource inefficiency (materials/labor/energy)</x:v>
      </x:c>
      <x:c r="H624" t="str">
        <x:v>Cost overrun mainly linked to equipment constraints / low availability; schedule overrun mainly linked to planning &amp; estimation / coordination complexity.</x:v>
      </x:c>
    </x:row>
    <x:row r="625">
      <x:c r="A625" t="str">
        <x:v>PJT_624</x:v>
      </x:c>
      <x:c r="B625" t="str">
        <x:v>Equipment constraints / low availability</x:v>
      </x:c>
      <x:c r="C625" t="str">
        <x:v>Resource inefficiency (materials/labor/energy)</x:v>
      </x:c>
      <x:c r="D625" t="str">
        <x:v>Equipment constraints / low availability, Resource inefficiency (materials/labor/energy), Planning &amp; estimation / coordination complexity</x:v>
      </x:c>
      <x:c r="E625" t="str">
        <x:v>Equipment constraints / low availability</x:v>
      </x:c>
      <x:c r="F625" t="str">
        <x:v>Resource inefficiency (materials/labor/energy)</x:v>
      </x:c>
      <x:c r="G625" t="str">
        <x:v>Equipment constraints / low availability, Resource inefficiency (materials/labor/energy), Planning &amp; estimation / coordination complexity</x:v>
      </x:c>
      <x:c r="H625" t="str">
        <x:v>Cost overrun mainly linked to equipment constraints / low availability; schedule overrun mainly linked to equipment constraints / low availability.</x:v>
      </x:c>
    </x:row>
    <x:row r="626">
      <x:c r="A626" t="str">
        <x:v>PJT_625</x:v>
      </x:c>
      <x:c r="B626" t="str">
        <x:v>Planning &amp; estimation / coordination complexity</x:v>
      </x:c>
      <x:c r="C626" t="str">
        <x:v>Unforeseen site/structural issues &amp; rework</x:v>
      </x:c>
      <x:c r="D626" t="str">
        <x:v>Planning &amp; estimation / coordination complexity, Unforeseen site/structural issues &amp; rework, Resource inefficiency (materials/labor/energy)</x:v>
      </x:c>
      <x:c r="E626" t="str">
        <x:v>Planning &amp; estimation / coordination complexity</x:v>
      </x:c>
      <x:c r="F626" t="str">
        <x:v>Unforeseen site/structural issues &amp; rework</x:v>
      </x:c>
      <x:c r="G626" t="str">
        <x:v>Planning &amp; estimation / coordination complexity, Unforeseen site/structural issues &amp; rework, Resource inefficiency (materials/labor/energy)</x:v>
      </x:c>
      <x:c r="H626" t="str">
        <x:v>Cost overrun mainly linked to planning &amp; estimation / coordination complexity; schedule overrun mainly linked to planning &amp; estimation / coordination complexity.</x:v>
      </x:c>
    </x:row>
    <x:row r="627">
      <x:c r="A627" t="str">
        <x:v>PJT_626</x:v>
      </x:c>
      <x:c r="B627" t="str">
        <x:v>Resource inefficiency (materials/labor/energy)</x:v>
      </x:c>
      <x:c r="C627" t="str">
        <x:v>Equipment constraints / low availability</x:v>
      </x:c>
      <x:c r="D627" t="str">
        <x:v>Resource inefficiency (materials/labor/energy), Equipment constraints / low availability, Planning &amp; estimation / coordination complexity</x:v>
      </x:c>
      <x:c r="E627" t="str">
        <x:v>Resource inefficiency (materials/labor/energy)</x:v>
      </x:c>
      <x:c r="F627" t="str">
        <x:v>Equipment constraints / low availability</x:v>
      </x:c>
      <x:c r="G627" t="str">
        <x:v>Resource inefficiency (materials/labor/energy), Equipment constraints / low availability, Planning &amp; estimation / coordination complexity</x:v>
      </x:c>
      <x:c r="H627" t="str">
        <x:v>Cost overrun mainly linked to resource inefficiency (materials/labor/energy); schedule overrun mainly linked to resource inefficiency (materials/labor/energy).</x:v>
      </x:c>
    </x:row>
    <x:row r="628">
      <x:c r="A628" t="str">
        <x:v>PJT_627</x:v>
      </x:c>
      <x:c r="B628" t="str">
        <x:v>Equipment constraints / low availability</x:v>
      </x:c>
      <x:c r="C628" t="str">
        <x:v>Weather disruption / environmental constraints</x:v>
      </x:c>
      <x:c r="D628" t="str">
        <x:v>Equipment constraints / low availability, Weather disruption / environmental constraints, Planning &amp; estimation / coordination complexity</x:v>
      </x:c>
      <x:c r="E628" t="str">
        <x:v>Equipment constraints / low availability</x:v>
      </x:c>
      <x:c r="F628" t="str">
        <x:v>Resource inefficiency (materials/labor/energy)</x:v>
      </x:c>
      <x:c r="G628" t="str">
        <x:v>Equipment constraints / low availability, Resource inefficiency (materials/labor/energy), Weather disruption / environmental constraints</x:v>
      </x:c>
      <x:c r="H628" t="str">
        <x:v>Cost overrun mainly linked to equipment constraints / low availability; schedule overrun mainly linked to equipment constraints / low availability.</x:v>
      </x:c>
    </x:row>
    <x:row r="629">
      <x:c r="A629" t="str">
        <x:v>PJT_628</x:v>
      </x:c>
      <x:c r="B629" t="str">
        <x:v>Resource inefficiency (materials/labor/energy)</x:v>
      </x:c>
      <x:c r="C629" t="str">
        <x:v>Material supply / logistics &amp; market disruption</x:v>
      </x:c>
      <x:c r="D629" t="str">
        <x:v>Resource inefficiency (materials/labor/energy), Material supply / logistics &amp; market disruption, Unforeseen site/structural issues &amp; rework</x:v>
      </x:c>
      <x:c r="E629" t="str">
        <x:v>Resource inefficiency (materials/labor/energy)</x:v>
      </x:c>
      <x:c r="F629" t="str">
        <x:v>Unforeseen site/structural issues &amp; rework</x:v>
      </x:c>
      <x:c r="G629" t="str">
        <x:v>Resource inefficiency (materials/labor/energy), Unforeseen site/structural issues &amp; rework, Material supply / logistics &amp; market disruption</x:v>
      </x:c>
      <x:c r="H629" t="str">
        <x:v>Cost overrun mainly linked to resource inefficiency (materials/labor/energy); schedule overrun mainly linked to resource inefficiency (materials/labor/energy).</x:v>
      </x:c>
    </x:row>
    <x:row r="630">
      <x:c r="A630" t="str">
        <x:v>PJT_629</x:v>
      </x:c>
      <x:c r="B630" t="str">
        <x:v>Planning &amp; estimation / coordination complexity</x:v>
      </x:c>
      <x:c r="C630" t="str">
        <x:v>Equipment constraints / low availability</x:v>
      </x:c>
      <x:c r="D630" t="str">
        <x:v>Planning &amp; estimation / coordination complexity, Equipment constraints / low availability, Resource inefficiency (materials/labor/energy)</x:v>
      </x:c>
      <x:c r="E630" t="str">
        <x:v>Planning &amp; estimation / coordination complexity</x:v>
      </x:c>
      <x:c r="F630" t="str">
        <x:v>Equipment constraints / low availability</x:v>
      </x:c>
      <x:c r="G630" t="str">
        <x:v>Planning &amp; estimation / coordination complexity, Equipment constraints / low availability, Resource inefficiency (materials/labor/energy)</x:v>
      </x:c>
      <x:c r="H630" t="str">
        <x:v>Cost overrun mainly linked to planning &amp; estimation / coordination complexity; schedule overrun mainly linked to planning &amp; estimation / coordination complexity.</x:v>
      </x:c>
    </x:row>
    <x:row r="631">
      <x:c r="A631" t="str">
        <x:v>PJT_630</x:v>
      </x:c>
      <x:c r="B631" t="str">
        <x:v>Resource inefficiency (materials/labor/energy)</x:v>
      </x:c>
      <x:c r="C631" t="str">
        <x:v>Equipment constraints / low availability</x:v>
      </x:c>
      <x:c r="D631" t="str">
        <x:v>Resource inefficiency (materials/labor/energy), Equipment constraints / low availability, Planning &amp; estimation / coordination complexity</x:v>
      </x:c>
      <x:c r="E631" t="str">
        <x:v>Resource inefficiency (materials/labor/energy)</x:v>
      </x:c>
      <x:c r="F631" t="str">
        <x:v>Equipment constraints / low availability</x:v>
      </x:c>
      <x:c r="G631" t="str">
        <x:v>Resource inefficiency (materials/labor/energy), Equipment constraints / low availability, Planning &amp; estimation / coordination complexity</x:v>
      </x:c>
      <x:c r="H631" t="str">
        <x:v>Cost overrun mainly linked to resource inefficiency (materials/labor/energy); schedule overrun mainly linked to resource inefficiency (materials/labor/energy).</x:v>
      </x:c>
    </x:row>
    <x:row r="632">
      <x:c r="A632" t="str">
        <x:v>PJT_631</x:v>
      </x:c>
      <x:c r="B632" t="str">
        <x:v>Weather disruption / environmental constraints</x:v>
      </x:c>
      <x:c r="C632" t="str">
        <x:v>Unforeseen site/structural issues &amp; rework</x:v>
      </x:c>
      <x:c r="D632" t="str">
        <x:v>Weather disruption / environmental constraints, Unforeseen site/structural issues &amp; rework, Material supply / logistics &amp; market disruption</x:v>
      </x:c>
      <x:c r="E632" t="str">
        <x:v>Weather disruption / environmental constraints</x:v>
      </x:c>
      <x:c r="F632" t="str">
        <x:v>Unforeseen site/structural issues &amp; rework</x:v>
      </x:c>
      <x:c r="G632" t="str">
        <x:v>Weather disruption / environmental constraints, Unforeseen site/structural issues &amp; rework, Material supply / logistics &amp; market disruption</x:v>
      </x:c>
      <x:c r="H632" t="str">
        <x:v>Cost overrun mainly linked to weather disruption / environmental constraints; schedule overrun mainly linked to weather disruption / environmental constraints.</x:v>
      </x:c>
    </x:row>
    <x:row r="633">
      <x:c r="A633" t="str">
        <x:v>PJT_632</x:v>
      </x:c>
      <x:c r="B633" t="str">
        <x:v>Unforeseen site/structural issues &amp; rework</x:v>
      </x:c>
      <x:c r="C633" t="str">
        <x:v>Weather disruption / environmental constraints</x:v>
      </x:c>
      <x:c r="D633" t="str">
        <x:v>Unforeseen site/structural issues &amp; rework, Weather disruption / environmental constraints, Planning &amp; estimation / coordination complexity</x:v>
      </x:c>
      <x:c r="E633" t="str">
        <x:v>Unforeseen site/structural issues &amp; rework</x:v>
      </x:c>
      <x:c r="F633" t="str">
        <x:v>Weather disruption / environmental constraints</x:v>
      </x:c>
      <x:c r="G633" t="str">
        <x:v>Unforeseen site/structural issues &amp; rework, Weather disruption / environmental constraints, Planning &amp; estimation / coordination complexity</x:v>
      </x:c>
      <x:c r="H633" t="str">
        <x:v>Cost overrun mainly linked to unforeseen site/structural issues &amp; rework; schedule overrun mainly linked to unforeseen site/structural issues &amp; rework.</x:v>
      </x:c>
    </x:row>
    <x:row r="634">
      <x:c r="A634" t="str">
        <x:v>PJT_633</x:v>
      </x:c>
      <x:c r="B634" t="str">
        <x:v>Equipment constraints / low availability</x:v>
      </x:c>
      <x:c r="C634" t="str">
        <x:v>Resource inefficiency (materials/labor/energy)</x:v>
      </x:c>
      <x:c r="D634" t="str">
        <x:v>Equipment constraints / low availability, Resource inefficiency (materials/labor/energy), Material supply / logistics &amp; market disruption</x:v>
      </x:c>
      <x:c r="E634" t="str">
        <x:v>Equipment constraints / low availability</x:v>
      </x:c>
      <x:c r="F634" t="str">
        <x:v>Resource inefficiency (materials/labor/energy)</x:v>
      </x:c>
      <x:c r="G634" t="str">
        <x:v>Equipment constraints / low availability, Resource inefficiency (materials/labor/energy), Material supply / logistics &amp; market disruption</x:v>
      </x:c>
      <x:c r="H634" t="str">
        <x:v>Cost overrun mainly linked to equipment constraints / low availability; schedule overrun mainly linked to equipment constraints / low availability.</x:v>
      </x:c>
    </x:row>
    <x:row r="635">
      <x:c r="A635" t="str">
        <x:v>PJT_634</x:v>
      </x:c>
      <x:c r="B635" t="str">
        <x:v>Resource inefficiency (materials/labor/energy)</x:v>
      </x:c>
      <x:c r="C635" t="str">
        <x:v>Material supply / logistics &amp; market disruption</x:v>
      </x:c>
      <x:c r="D635" t="str">
        <x:v>Resource inefficiency (materials/labor/energy), Material supply / logistics &amp; market disruption, Planning &amp; estimation / coordination complexity</x:v>
      </x:c>
      <x:c r="E635" t="str">
        <x:v>Resource inefficiency (materials/labor/energy)</x:v>
      </x:c>
      <x:c r="F635" t="str">
        <x:v>Material supply / logistics &amp; market disruption</x:v>
      </x:c>
      <x:c r="G635" t="str">
        <x:v>Resource inefficiency (materials/labor/energy), Material supply / logistics &amp; market disruption, Planning &amp; estimation / coordination complexity</x:v>
      </x:c>
      <x:c r="H635" t="str">
        <x:v>Cost overrun mainly linked to resource inefficiency (materials/labor/energy); schedule overrun mainly linked to resource inefficiency (materials/labor/energy).</x:v>
      </x:c>
    </x:row>
    <x:row r="636">
      <x:c r="A636" t="str">
        <x:v>PJT_635</x:v>
      </x:c>
      <x:c r="B636" t="str">
        <x:v>Resource inefficiency (materials/labor/energy)</x:v>
      </x:c>
      <x:c r="C636" t="str">
        <x:v>Planning &amp; estimation / coordination complexity</x:v>
      </x:c>
      <x:c r="D636" t="str">
        <x:v>Resource inefficiency (materials/labor/energy), Planning &amp; estimation / coordination complexity, Material supply / logistics &amp; market disruption</x:v>
      </x:c>
      <x:c r="E636" t="str">
        <x:v>Planning &amp; estimation / coordination complexity</x:v>
      </x:c>
      <x:c r="F636" t="str">
        <x:v>Resource inefficiency (materials/labor/energy)</x:v>
      </x:c>
      <x:c r="G636" t="str">
        <x:v>Planning &amp; estimation / coordination complexity, Resource inefficiency (materials/labor/energy), Unforeseen site/structural issues &amp; rework</x:v>
      </x:c>
      <x:c r="H636" t="str">
        <x:v>Cost overrun mainly linked to resource inefficiency (materials/labor/energy); schedule overrun mainly linked to planning &amp; estimation / coordination complexity.</x:v>
      </x:c>
    </x:row>
    <x:row r="637">
      <x:c r="A637" t="str">
        <x:v>PJT_636</x:v>
      </x:c>
      <x:c r="B637" t="str">
        <x:v>Resource inefficiency (materials/labor/energy)</x:v>
      </x:c>
      <x:c r="C637" t="str">
        <x:v>Planning &amp; estimation / coordination complexity</x:v>
      </x:c>
      <x:c r="D637" t="str">
        <x:v>Resource inefficiency (materials/labor/energy), Planning &amp; estimation / coordination complexity, Equipment constraints / low availability</x:v>
      </x:c>
      <x:c r="E637" t="str">
        <x:v>Resource inefficiency (materials/labor/energy)</x:v>
      </x:c>
      <x:c r="F637" t="str">
        <x:v>Planning &amp; estimation / coordination complexity</x:v>
      </x:c>
      <x:c r="G637" t="str">
        <x:v>Resource inefficiency (materials/labor/energy), Planning &amp; estimation / coordination complexity, Equipment constraints / low availability</x:v>
      </x:c>
      <x:c r="H637" t="str">
        <x:v>Cost overrun mainly linked to resource inefficiency (materials/labor/energy); schedule overrun mainly linked to resource inefficiency (materials/labor/energy).</x:v>
      </x:c>
    </x:row>
    <x:row r="638">
      <x:c r="A638" t="str">
        <x:v>PJT_637</x:v>
      </x:c>
      <x:c r="B638" t="str">
        <x:v>Planning &amp; estimation / coordination complexity</x:v>
      </x:c>
      <x:c r="C638" t="str">
        <x:v>Material supply / logistics &amp; market disruption</x:v>
      </x:c>
      <x:c r="D638" t="str">
        <x:v>Planning &amp; estimation / coordination complexity, Material supply / logistics &amp; market disruption, Unforeseen site/structural issues &amp; rework</x:v>
      </x:c>
      <x:c r="E638" t="str">
        <x:v>Planning &amp; estimation / coordination complexity</x:v>
      </x:c>
      <x:c r="F638" t="str">
        <x:v>Unforeseen site/structural issues &amp; rework</x:v>
      </x:c>
      <x:c r="G638" t="str">
        <x:v>Planning &amp; estimation / coordination complexity, Unforeseen site/structural issues &amp; rework, Material supply / logistics &amp; market disruption</x:v>
      </x:c>
      <x:c r="H638" t="str">
        <x:v>Cost overrun mainly linked to planning &amp; estimation / coordination complexity; schedule overrun mainly linked to planning &amp; estimation / coordination complexity.</x:v>
      </x:c>
    </x:row>
    <x:row r="639">
      <x:c r="A639" t="str">
        <x:v>PJT_638</x:v>
      </x:c>
      <x:c r="B639" t="str">
        <x:v>Resource inefficiency (materials/labor/energy)</x:v>
      </x:c>
      <x:c r="C639" t="str">
        <x:v>Planning &amp; estimation / coordination complexity</x:v>
      </x:c>
      <x:c r="D639" t="str">
        <x:v>Resource inefficiency (materials/labor/energy), Planning &amp; estimation / coordination complexity, Unforeseen site/structural issues &amp; rework</x:v>
      </x:c>
      <x:c r="E639" t="str">
        <x:v>Resource inefficiency (materials/labor/energy)</x:v>
      </x:c>
      <x:c r="F639" t="str">
        <x:v>Planning &amp; estimation / coordination complexity</x:v>
      </x:c>
      <x:c r="G639" t="str">
        <x:v>Resource inefficiency (materials/labor/energy), Planning &amp; estimation / coordination complexity, Unforeseen site/structural issues &amp; rework</x:v>
      </x:c>
      <x:c r="H639" t="str">
        <x:v>Cost overrun mainly linked to resource inefficiency (materials/labor/energy); schedule overrun mainly linked to resource inefficiency (materials/labor/energy).</x:v>
      </x:c>
    </x:row>
    <x:row r="640">
      <x:c r="A640" t="str">
        <x:v>PJT_639</x:v>
      </x:c>
      <x:c r="B640" t="str">
        <x:v>Equipment constraints / low availability</x:v>
      </x:c>
      <x:c r="C640" t="str">
        <x:v>Planning &amp; estimation / coordination complexity</x:v>
      </x:c>
      <x:c r="D640" t="str">
        <x:v>Equipment constraints / low availability, Planning &amp; estimation / coordination complexity, Resource inefficiency (materials/labor/energy)</x:v>
      </x:c>
      <x:c r="E640" t="str">
        <x:v>Equipment constraints / low availability</x:v>
      </x:c>
      <x:c r="F640" t="str">
        <x:v>Resource inefficiency (materials/labor/energy)</x:v>
      </x:c>
      <x:c r="G640" t="str">
        <x:v>Equipment constraints / low availability, Resource inefficiency (materials/labor/energy), Planning &amp; estimation / coordination complexity</x:v>
      </x:c>
      <x:c r="H640" t="str">
        <x:v>Cost overrun mainly linked to equipment constraints / low availability; schedule overrun mainly linked to equipment constraints / low availability.</x:v>
      </x:c>
    </x:row>
    <x:row r="641">
      <x:c r="A641" t="str">
        <x:v>PJT_640</x:v>
      </x:c>
      <x:c r="B641" t="str">
        <x:v>Unforeseen site/structural issues &amp; rework</x:v>
      </x:c>
      <x:c r="C641" t="str">
        <x:v>Planning &amp; estimation / coordination complexity</x:v>
      </x:c>
      <x:c r="D641" t="str">
        <x:v>Unforeseen site/structural issues &amp; rework, Planning &amp; estimation / coordination complexity, Weather disruption / environmental constraints</x:v>
      </x:c>
      <x:c r="E641" t="str">
        <x:v>Unforeseen site/structural issues &amp; rework</x:v>
      </x:c>
      <x:c r="F641" t="str">
        <x:v>Planning &amp; estimation / coordination complexity</x:v>
      </x:c>
      <x:c r="G641" t="str">
        <x:v>Unforeseen site/structural issues &amp; rework, Planning &amp; estimation / coordination complexity, Weather disruption / environmental constraints</x:v>
      </x:c>
      <x:c r="H641" t="str">
        <x:v>Cost overrun mainly linked to unforeseen site/structural issues &amp; rework; schedule overrun mainly linked to unforeseen site/structural issues &amp; rework.</x:v>
      </x:c>
    </x:row>
    <x:row r="642">
      <x:c r="A642" t="str">
        <x:v>PJT_641</x:v>
      </x:c>
      <x:c r="B642" t="str">
        <x:v>Equipment constraints / low availability</x:v>
      </x:c>
      <x:c r="C642" t="str">
        <x:v>Resource inefficiency (materials/labor/energy)</x:v>
      </x:c>
      <x:c r="D642" t="str">
        <x:v>Equipment constraints / low availability, Resource inefficiency (materials/labor/energy), Planning &amp; estimation / coordination complexity</x:v>
      </x:c>
      <x:c r="E642" t="str">
        <x:v>Equipment constraints / low availability</x:v>
      </x:c>
      <x:c r="F642" t="str">
        <x:v>Resource inefficiency (materials/labor/energy)</x:v>
      </x:c>
      <x:c r="G642" t="str">
        <x:v>Equipment constraints / low availability, Resource inefficiency (materials/labor/energy), Planning &amp; estimation / coordination complexity</x:v>
      </x:c>
      <x:c r="H642" t="str">
        <x:v>Cost overrun mainly linked to equipment constraints / low availability; schedule overrun mainly linked to equipment constraints / low availability.</x:v>
      </x:c>
    </x:row>
    <x:row r="643">
      <x:c r="A643" t="str">
        <x:v>PJT_642</x:v>
      </x:c>
      <x:c r="B643" t="str">
        <x:v>Resource inefficiency (materials/labor/energy)</x:v>
      </x:c>
      <x:c r="C643" t="str">
        <x:v>Planning &amp; estimation / coordination complexity</x:v>
      </x:c>
      <x:c r="D643" t="str">
        <x:v>Resource inefficiency (materials/labor/energy), Planning &amp; estimation / coordination complexity, Equipment constraints / low availability</x:v>
      </x:c>
      <x:c r="E643" t="str">
        <x:v>Resource inefficiency (materials/labor/energy)</x:v>
      </x:c>
      <x:c r="F643" t="str">
        <x:v>Planning &amp; estimation / coordination complexity</x:v>
      </x:c>
      <x:c r="G643" t="str">
        <x:v>Resource inefficiency (materials/labor/energy), Planning &amp; estimation / coordination complexity, Equipment constraints / low availability</x:v>
      </x:c>
      <x:c r="H643" t="str">
        <x:v>Cost overrun mainly linked to resource inefficiency (materials/labor/energy); schedule overrun mainly linked to resource inefficiency (materials/labor/energy).</x:v>
      </x:c>
    </x:row>
    <x:row r="644">
      <x:c r="A644" t="str">
        <x:v>PJT_643</x:v>
      </x:c>
      <x:c r="B644" t="str">
        <x:v>Resource inefficiency (materials/labor/energy)</x:v>
      </x:c>
      <x:c r="C644" t="str">
        <x:v>Material supply / logistics &amp; market disruption</x:v>
      </x:c>
      <x:c r="D644" t="str">
        <x:v>Resource inefficiency (materials/labor/energy), Material supply / logistics &amp; market disruption, Equipment constraints / low availability</x:v>
      </x:c>
      <x:c r="E644" t="str">
        <x:v>Resource inefficiency (materials/labor/energy)</x:v>
      </x:c>
      <x:c r="F644" t="str">
        <x:v>Material supply / logistics &amp; market disruption</x:v>
      </x:c>
      <x:c r="G644" t="str">
        <x:v>Resource inefficiency (materials/labor/energy), Material supply / logistics &amp; market disruption, Equipment constraints / low availability</x:v>
      </x:c>
      <x:c r="H644" t="str">
        <x:v>Cost overrun mainly linked to resource inefficiency (materials/labor/energy); schedule overrun mainly linked to resource inefficiency (materials/labor/energy).</x:v>
      </x:c>
    </x:row>
    <x:row r="645">
      <x:c r="A645" t="str">
        <x:v>PJT_644</x:v>
      </x:c>
      <x:c r="B645" t="str">
        <x:v>Planning &amp; estimation / coordination complexity</x:v>
      </x:c>
      <x:c r="C645" t="str">
        <x:v>Equipment constraints / low availability</x:v>
      </x:c>
      <x:c r="D645" t="str">
        <x:v>Planning &amp; estimation / coordination complexity, Equipment constraints / low availability, Resource inefficiency (materials/labor/energy)</x:v>
      </x:c>
      <x:c r="E645" t="str">
        <x:v>Planning &amp; estimation / coordination complexity</x:v>
      </x:c>
      <x:c r="F645" t="str">
        <x:v>Equipment constraints / low availability</x:v>
      </x:c>
      <x:c r="G645" t="str">
        <x:v>Planning &amp; estimation / coordination complexity, Equipment constraints / low availability, Resource inefficiency (materials/labor/energy)</x:v>
      </x:c>
      <x:c r="H645" t="str">
        <x:v>Cost overrun mainly linked to planning &amp; estimation / coordination complexity; schedule overrun mainly linked to planning &amp; estimation / coordination complexity.</x:v>
      </x:c>
    </x:row>
    <x:row r="646">
      <x:c r="A646" t="str">
        <x:v>PJT_645</x:v>
      </x:c>
      <x:c r="B646" t="str">
        <x:v>Equipment constraints / low availability</x:v>
      </x:c>
      <x:c r="C646" t="str">
        <x:v>Weather disruption / environmental constraints</x:v>
      </x:c>
      <x:c r="D646" t="str">
        <x:v>Equipment constraints / low availability, Weather disruption / environmental constraints, Planning &amp; estimation / coordination complexity</x:v>
      </x:c>
      <x:c r="E646" t="str">
        <x:v>Equipment constraints / low availability</x:v>
      </x:c>
      <x:c r="F646" t="str">
        <x:v>Weather disruption / environmental constraints</x:v>
      </x:c>
      <x:c r="G646" t="str">
        <x:v>Equipment constraints / low availability, Weather disruption / environmental constraints, Planning &amp; estimation / coordination complexity</x:v>
      </x:c>
      <x:c r="H646" t="str">
        <x:v>Cost overrun mainly linked to equipment constraints / low availability; schedule overrun mainly linked to equipment constraints / low availability.</x:v>
      </x:c>
    </x:row>
    <x:row r="647">
      <x:c r="A647" t="str">
        <x:v>PJT_646</x:v>
      </x:c>
      <x:c r="B647" t="str">
        <x:v>Resource inefficiency (materials/labor/energy)</x:v>
      </x:c>
      <x:c r="C647" t="str">
        <x:v>Equipment constraints / low availability</x:v>
      </x:c>
      <x:c r="D647" t="str">
        <x:v>Resource inefficiency (materials/labor/energy), Equipment constraints / low availability, Planning &amp; estimation / coordination complexity</x:v>
      </x:c>
      <x:c r="E647" t="str">
        <x:v>Resource inefficiency (materials/labor/energy)</x:v>
      </x:c>
      <x:c r="F647" t="str">
        <x:v>Equipment constraints / low availability</x:v>
      </x:c>
      <x:c r="G647" t="str">
        <x:v>Resource inefficiency (materials/labor/energy), Equipment constraints / low availability, Planning &amp; estimation / coordination complexity</x:v>
      </x:c>
      <x:c r="H647" t="str">
        <x:v>Cost overrun mainly linked to resource inefficiency (materials/labor/energy); schedule overrun mainly linked to resource inefficiency (materials/labor/energy).</x:v>
      </x:c>
    </x:row>
    <x:row r="648">
      <x:c r="A648" t="str">
        <x:v>PJT_647</x:v>
      </x:c>
      <x:c r="B648" t="str">
        <x:v>Unforeseen site/structural issues &amp; rework</x:v>
      </x:c>
      <x:c r="C648" t="str">
        <x:v>Resource inefficiency (materials/labor/energy)</x:v>
      </x:c>
      <x:c r="D648" t="str">
        <x:v>Unforeseen site/structural issues &amp; rework, Resource inefficiency (materials/labor/energy), Planning &amp; estimation / coordination complexity</x:v>
      </x:c>
      <x:c r="E648" t="str">
        <x:v>Unforeseen site/structural issues &amp; rework</x:v>
      </x:c>
      <x:c r="F648" t="str">
        <x:v>Resource inefficiency (materials/labor/energy)</x:v>
      </x:c>
      <x:c r="G648" t="str">
        <x:v>Unforeseen site/structural issues &amp; rework, Resource inefficiency (materials/labor/energy), Planning &amp; estimation / coordination complexity</x:v>
      </x:c>
      <x:c r="H648" t="str">
        <x:v>Cost overrun mainly linked to unforeseen site/structural issues &amp; rework; schedule overrun mainly linked to unforeseen site/structural issues &amp; rework.</x:v>
      </x:c>
    </x:row>
    <x:row r="649">
      <x:c r="A649" t="str">
        <x:v>PJT_648</x:v>
      </x:c>
      <x:c r="B649" t="str">
        <x:v>Equipment constraints / low availability</x:v>
      </x:c>
      <x:c r="C649" t="str">
        <x:v>Resource inefficiency (materials/labor/energy)</x:v>
      </x:c>
      <x:c r="D649" t="str">
        <x:v>Equipment constraints / low availability, Resource inefficiency (materials/labor/energy), Planning &amp; estimation / coordination complexity</x:v>
      </x:c>
      <x:c r="E649" t="str">
        <x:v>Equipment constraints / low availability</x:v>
      </x:c>
      <x:c r="F649" t="str">
        <x:v>Resource inefficiency (materials/labor/energy)</x:v>
      </x:c>
      <x:c r="G649" t="str">
        <x:v>Equipment constraints / low availability, Resource inefficiency (materials/labor/energy), Planning &amp; estimation / coordination complexity</x:v>
      </x:c>
      <x:c r="H649" t="str">
        <x:v>Cost overrun mainly linked to equipment constraints / low availability; schedule overrun mainly linked to equipment constraints / low availability.</x:v>
      </x:c>
    </x:row>
    <x:row r="650">
      <x:c r="A650" t="str">
        <x:v>PJT_649</x:v>
      </x:c>
      <x:c r="B650" t="str">
        <x:v>Unforeseen site/structural issues &amp; rework</x:v>
      </x:c>
      <x:c r="C650" t="str">
        <x:v>Material supply / logistics &amp; market disruption</x:v>
      </x:c>
      <x:c r="D650" t="str">
        <x:v>Unforeseen site/structural issues &amp; rework, Material supply / logistics &amp; market disruption, Resource inefficiency (materials/labor/energy)</x:v>
      </x:c>
      <x:c r="E650" t="str">
        <x:v>Unforeseen site/structural issues &amp; rework</x:v>
      </x:c>
      <x:c r="F650" t="str">
        <x:v>Material supply / logistics &amp; market disruption</x:v>
      </x:c>
      <x:c r="G650" t="str">
        <x:v>Unforeseen site/structural issues &amp; rework, Material supply / logistics &amp; market disruption, Planning &amp; estimation / coordination complexity</x:v>
      </x:c>
      <x:c r="H650" t="str">
        <x:v>Cost overrun mainly linked to unforeseen site/structural issues &amp; rework; schedule overrun mainly linked to unforeseen site/structural issues &amp; rework.</x:v>
      </x:c>
    </x:row>
    <x:row r="651">
      <x:c r="A651" t="str">
        <x:v>PJT_650</x:v>
      </x:c>
      <x:c r="B651" t="str">
        <x:v>Unforeseen site/structural issues &amp; rework</x:v>
      </x:c>
      <x:c r="C651" t="str">
        <x:v>Planning &amp; estimation / coordination complexity</x:v>
      </x:c>
      <x:c r="D651" t="str">
        <x:v>Unforeseen site/structural issues &amp; rework, Planning &amp; estimation / coordination complexity, Material supply / logistics &amp; market disruption</x:v>
      </x:c>
      <x:c r="E651" t="str">
        <x:v>Unforeseen site/structural issues &amp; rework</x:v>
      </x:c>
      <x:c r="F651" t="str">
        <x:v>Planning &amp; estimation / coordination complexity</x:v>
      </x:c>
      <x:c r="G651" t="str">
        <x:v>Unforeseen site/structural issues &amp; rework, Planning &amp; estimation / coordination complexity, Material supply / logistics &amp; market disruption</x:v>
      </x:c>
      <x:c r="H651" t="str">
        <x:v>Cost overrun mainly linked to unforeseen site/structural issues &amp; rework; schedule overrun mainly linked to unforeseen site/structural issues &amp; rework.</x:v>
      </x:c>
    </x:row>
    <x:row r="652">
      <x:c r="A652" t="str">
        <x:v>PJT_651</x:v>
      </x:c>
      <x:c r="B652" t="str">
        <x:v>Equipment constraints / low availability</x:v>
      </x:c>
      <x:c r="C652" t="str">
        <x:v>Resource inefficiency (materials/labor/energy)</x:v>
      </x:c>
      <x:c r="D652" t="str">
        <x:v>Equipment constraints / low availability, Resource inefficiency (materials/labor/energy), Planning &amp; estimation / coordination complexity</x:v>
      </x:c>
      <x:c r="E652" t="str">
        <x:v>Equipment constraints / low availability</x:v>
      </x:c>
      <x:c r="F652" t="str">
        <x:v>Resource inefficiency (materials/labor/energy)</x:v>
      </x:c>
      <x:c r="G652" t="str">
        <x:v>Equipment constraints / low availability, Resource inefficiency (materials/labor/energy), Planning &amp; estimation / coordination complexity</x:v>
      </x:c>
      <x:c r="H652" t="str">
        <x:v>Cost overrun mainly linked to equipment constraints / low availability; schedule overrun mainly linked to equipment constraints / low availability.</x:v>
      </x:c>
    </x:row>
    <x:row r="653">
      <x:c r="A653" t="str">
        <x:v>PJT_652</x:v>
      </x:c>
      <x:c r="B653" t="str">
        <x:v>Weather disruption / environmental constraints</x:v>
      </x:c>
      <x:c r="C653" t="str">
        <x:v>Unforeseen site/structural issues &amp; rework</x:v>
      </x:c>
      <x:c r="D653" t="str">
        <x:v>Weather disruption / environmental constraints, Unforeseen site/structural issues &amp; rework, Equipment constraints / low availability</x:v>
      </x:c>
      <x:c r="E653" t="str">
        <x:v>Weather disruption / environmental constraints</x:v>
      </x:c>
      <x:c r="F653" t="str">
        <x:v>Unforeseen site/structural issues &amp; rework</x:v>
      </x:c>
      <x:c r="G653" t="str">
        <x:v>Weather disruption / environmental constraints, Unforeseen site/structural issues &amp; rework, Equipment constraints / low availability</x:v>
      </x:c>
      <x:c r="H653" t="str">
        <x:v>Cost overrun mainly linked to weather disruption / environmental constraints; schedule overrun mainly linked to weather disruption / environmental constraints.</x:v>
      </x:c>
    </x:row>
    <x:row r="654">
      <x:c r="A654" t="str">
        <x:v>PJT_653</x:v>
      </x:c>
      <x:c r="B654" t="str">
        <x:v>Weather disruption / environmental constraints</x:v>
      </x:c>
      <x:c r="C654" t="str">
        <x:v>Unforeseen site/structural issues &amp; rework</x:v>
      </x:c>
      <x:c r="D654" t="str">
        <x:v>Weather disruption / environmental constraints, Unforeseen site/structural issues &amp; rework, Material supply / logistics &amp; market disruption</x:v>
      </x:c>
      <x:c r="E654" t="str">
        <x:v>Weather disruption / environmental constraints</x:v>
      </x:c>
      <x:c r="F654" t="str">
        <x:v>Material supply / logistics &amp; market disruption</x:v>
      </x:c>
      <x:c r="G654" t="str">
        <x:v>Weather disruption / environmental constraints, Material supply / logistics &amp; market disruption, Unforeseen site/structural issues &amp; rework</x:v>
      </x:c>
      <x:c r="H654" t="str">
        <x:v>Cost overrun mainly linked to weather disruption / environmental constraints; schedule overrun mainly linked to weather disruption / environmental constraints.</x:v>
      </x:c>
    </x:row>
    <x:row r="655">
      <x:c r="A655" t="str">
        <x:v>PJT_654</x:v>
      </x:c>
      <x:c r="B655" t="str">
        <x:v>Resource inefficiency (materials/labor/energy)</x:v>
      </x:c>
      <x:c r="C655" t="str">
        <x:v>Material supply / logistics &amp; market disruption</x:v>
      </x:c>
      <x:c r="D655" t="str">
        <x:v>Resource inefficiency (materials/labor/energy), Material supply / logistics &amp; market disruption, Planning &amp; estimation / coordination complexity</x:v>
      </x:c>
      <x:c r="E655" t="str">
        <x:v>Resource inefficiency (materials/labor/energy)</x:v>
      </x:c>
      <x:c r="F655" t="str">
        <x:v>Material supply / logistics &amp; market disruption</x:v>
      </x:c>
      <x:c r="G655" t="str">
        <x:v>Resource inefficiency (materials/labor/energy), Material supply / logistics &amp; market disruption, Planning &amp; estimation / coordination complexity</x:v>
      </x:c>
      <x:c r="H655" t="str">
        <x:v>Cost overrun mainly linked to resource inefficiency (materials/labor/energy); schedule overrun mainly linked to resource inefficiency (materials/labor/energy).</x:v>
      </x:c>
    </x:row>
    <x:row r="656">
      <x:c r="A656" t="str">
        <x:v>PJT_655</x:v>
      </x:c>
      <x:c r="B656" t="str">
        <x:v>Resource inefficiency (materials/labor/energy)</x:v>
      </x:c>
      <x:c r="C656" t="str">
        <x:v>Planning &amp; estimation / coordination complexity</x:v>
      </x:c>
      <x:c r="D656" t="str">
        <x:v>Resource inefficiency (materials/labor/energy), Planning &amp; estimation / coordination complexity, Equipment constraints / low availability</x:v>
      </x:c>
      <x:c r="E656" t="str">
        <x:v>Resource inefficiency (materials/labor/energy)</x:v>
      </x:c>
      <x:c r="F656" t="str">
        <x:v>Planning &amp; estimation / coordination complexity</x:v>
      </x:c>
      <x:c r="G656" t="str">
        <x:v>Resource inefficiency (materials/labor/energy), Planning &amp; estimation / coordination complexity, Equipment constraints / low availability</x:v>
      </x:c>
      <x:c r="H656" t="str">
        <x:v>Cost overrun mainly linked to resource inefficiency (materials/labor/energy); schedule overrun mainly linked to resource inefficiency (materials/labor/energy).</x:v>
      </x:c>
    </x:row>
    <x:row r="657">
      <x:c r="A657" t="str">
        <x:v>PJT_656</x:v>
      </x:c>
      <x:c r="B657" t="str">
        <x:v>Material supply / logistics &amp; market disruption</x:v>
      </x:c>
      <x:c r="C657" t="str">
        <x:v>Weather disruption / environmental constraints</x:v>
      </x:c>
      <x:c r="D657" t="str">
        <x:v>Material supply / logistics &amp; market disruption, Weather disruption / environmental constraints, Resource inefficiency (materials/labor/energy)</x:v>
      </x:c>
      <x:c r="E657" t="str">
        <x:v>Material supply / logistics &amp; market disruption</x:v>
      </x:c>
      <x:c r="F657" t="str">
        <x:v>Weather disruption / environmental constraints</x:v>
      </x:c>
      <x:c r="G657" t="str">
        <x:v>Material supply / logistics &amp; market disruption, Weather disruption / environmental constraints, Resource inefficiency (materials/labor/energy)</x:v>
      </x:c>
      <x:c r="H657" t="str">
        <x:v>Cost overrun mainly linked to material supply / logistics &amp; market disruption; schedule overrun mainly linked to material supply / logistics &amp; market disruption.</x:v>
      </x:c>
    </x:row>
    <x:row r="658">
      <x:c r="A658" t="str">
        <x:v>PJT_657</x:v>
      </x:c>
      <x:c r="B658" t="str">
        <x:v>Unforeseen site/structural issues &amp; rework</x:v>
      </x:c>
      <x:c r="C658" t="str">
        <x:v>Planning &amp; estimation / coordination complexity</x:v>
      </x:c>
      <x:c r="D658" t="str">
        <x:v>Unforeseen site/structural issues &amp; rework, Planning &amp; estimation / coordination complexity, Equipment constraints / low availability</x:v>
      </x:c>
      <x:c r="E658" t="str">
        <x:v>Unforeseen site/structural issues &amp; rework</x:v>
      </x:c>
      <x:c r="F658" t="str">
        <x:v>Planning &amp; estimation / coordination complexity</x:v>
      </x:c>
      <x:c r="G658" t="str">
        <x:v>Unforeseen site/structural issues &amp; rework, Planning &amp; estimation / coordination complexity, Equipment constraints / low availability</x:v>
      </x:c>
      <x:c r="H658" t="str">
        <x:v>Cost overrun mainly linked to unforeseen site/structural issues &amp; rework; schedule overrun mainly linked to unforeseen site/structural issues &amp; rework.</x:v>
      </x:c>
    </x:row>
    <x:row r="659">
      <x:c r="A659" t="str">
        <x:v>PJT_658</x:v>
      </x:c>
      <x:c r="B659" t="str">
        <x:v>Resource inefficiency (materials/labor/energy)</x:v>
      </x:c>
      <x:c r="C659" t="str">
        <x:v>Equipment constraints / low availability</x:v>
      </x:c>
      <x:c r="D659" t="str">
        <x:v>Resource inefficiency (materials/labor/energy), Equipment constraints / low availability, Planning &amp; estimation / coordination complexity</x:v>
      </x:c>
      <x:c r="E659" t="str">
        <x:v>Resource inefficiency (materials/labor/energy)</x:v>
      </x:c>
      <x:c r="F659" t="str">
        <x:v>Equipment constraints / low availability</x:v>
      </x:c>
      <x:c r="G659" t="str">
        <x:v>Resource inefficiency (materials/labor/energy), Equipment constraints / low availability, Planning &amp; estimation / coordination complexity</x:v>
      </x:c>
      <x:c r="H659" t="str">
        <x:v>Cost overrun mainly linked to resource inefficiency (materials/labor/energy); schedule overrun mainly linked to resource inefficiency (materials/labor/energy).</x:v>
      </x:c>
    </x:row>
    <x:row r="660">
      <x:c r="A660" t="str">
        <x:v>PJT_659</x:v>
      </x:c>
      <x:c r="B660" t="str">
        <x:v>Unforeseen site/structural issues &amp; rework</x:v>
      </x:c>
      <x:c r="C660" t="str">
        <x:v>Weather disruption / environmental constraints</x:v>
      </x:c>
      <x:c r="D660" t="str">
        <x:v>Unforeseen site/structural issues &amp; rework, Weather disruption / environmental constraints, Planning &amp; estimation / coordination complexity</x:v>
      </x:c>
      <x:c r="E660" t="str">
        <x:v>Unforeseen site/structural issues &amp; rework</x:v>
      </x:c>
      <x:c r="F660" t="str">
        <x:v>Weather disruption / environmental constraints</x:v>
      </x:c>
      <x:c r="G660" t="str">
        <x:v>Unforeseen site/structural issues &amp; rework, Weather disruption / environmental constraints, Planning &amp; estimation / coordination complexity</x:v>
      </x:c>
      <x:c r="H660" t="str">
        <x:v>Cost overrun mainly linked to unforeseen site/structural issues &amp; rework; schedule overrun mainly linked to unforeseen site/structural issues &amp; rework.</x:v>
      </x:c>
    </x:row>
    <x:row r="661">
      <x:c r="A661" t="str">
        <x:v>PJT_660</x:v>
      </x:c>
      <x:c r="B661" t="str">
        <x:v>Equipment constraints / low availability</x:v>
      </x:c>
      <x:c r="C661" t="str">
        <x:v>Planning &amp; estimation / coordination complexity</x:v>
      </x:c>
      <x:c r="D661" t="str">
        <x:v>Equipment constraints / low availability, Planning &amp; estimation / coordination complexity, Unforeseen site/structural issues &amp; rework</x:v>
      </x:c>
      <x:c r="E661" t="str">
        <x:v>Equipment constraints / low availability</x:v>
      </x:c>
      <x:c r="F661" t="str">
        <x:v>Planning &amp; estimation / coordination complexity</x:v>
      </x:c>
      <x:c r="G661" t="str">
        <x:v>Equipment constraints / low availability, Planning &amp; estimation / coordination complexity, Unforeseen site/structural issues &amp; rework</x:v>
      </x:c>
      <x:c r="H661" t="str">
        <x:v>Cost overrun mainly linked to equipment constraints / low availability; schedule overrun mainly linked to equipment constraints / low availability.</x:v>
      </x:c>
    </x:row>
    <x:row r="662">
      <x:c r="A662" t="str">
        <x:v>PJT_661</x:v>
      </x:c>
      <x:c r="B662" t="str">
        <x:v>Unforeseen site/structural issues &amp; rework</x:v>
      </x:c>
      <x:c r="C662" t="str">
        <x:v>Planning &amp; estimation / coordination complexity</x:v>
      </x:c>
      <x:c r="D662" t="str">
        <x:v>Unforeseen site/structural issues &amp; rework, Planning &amp; estimation / coordination complexity, Equipment constraints / low availability</x:v>
      </x:c>
      <x:c r="E662" t="str">
        <x:v>Unforeseen site/structural issues &amp; rework</x:v>
      </x:c>
      <x:c r="F662" t="str">
        <x:v>Planning &amp; estimation / coordination complexity</x:v>
      </x:c>
      <x:c r="G662" t="str">
        <x:v>Unforeseen site/structural issues &amp; rework, Planning &amp; estimation / coordination complexity, Equipment constraints / low availability</x:v>
      </x:c>
      <x:c r="H662" t="str">
        <x:v>Cost overrun mainly linked to unforeseen site/structural issues &amp; rework; schedule overrun mainly linked to unforeseen site/structural issues &amp; rework.</x:v>
      </x:c>
    </x:row>
    <x:row r="663">
      <x:c r="A663" t="str">
        <x:v>PJT_662</x:v>
      </x:c>
      <x:c r="B663" t="str">
        <x:v>Unforeseen site/structural issues &amp; rework</x:v>
      </x:c>
      <x:c r="C663" t="str">
        <x:v>Planning &amp; estimation / coordination complexity</x:v>
      </x:c>
      <x:c r="D663" t="str">
        <x:v>Unforeseen site/structural issues &amp; rework, Planning &amp; estimation / coordination complexity, Equipment constraints / low availability</x:v>
      </x:c>
      <x:c r="E663" t="str">
        <x:v>Unforeseen site/structural issues &amp; rework</x:v>
      </x:c>
      <x:c r="F663" t="str">
        <x:v>Planning &amp; estimation / coordination complexity</x:v>
      </x:c>
      <x:c r="G663" t="str">
        <x:v>Unforeseen site/structural issues &amp; rework, Planning &amp; estimation / coordination complexity, Equipment constraints / low availability</x:v>
      </x:c>
      <x:c r="H663" t="str">
        <x:v>Cost overrun mainly linked to unforeseen site/structural issues &amp; rework; schedule overrun mainly linked to unforeseen site/structural issues &amp; rework.</x:v>
      </x:c>
    </x:row>
    <x:row r="664">
      <x:c r="A664" t="str">
        <x:v>PJT_663</x:v>
      </x:c>
      <x:c r="B664" t="str">
        <x:v>Planning &amp; estimation / coordination complexity</x:v>
      </x:c>
      <x:c r="C664" t="str">
        <x:v>Resource inefficiency (materials/labor/energy)</x:v>
      </x:c>
      <x:c r="D664" t="str">
        <x:v>Planning &amp; estimation / coordination complexity, Resource inefficiency (materials/labor/energy), Equipment constraints / low availability</x:v>
      </x:c>
      <x:c r="E664" t="str">
        <x:v>Planning &amp; estimation / coordination complexity</x:v>
      </x:c>
      <x:c r="F664" t="str">
        <x:v>Resource inefficiency (materials/labor/energy)</x:v>
      </x:c>
      <x:c r="G664" t="str">
        <x:v>Planning &amp; estimation / coordination complexity, Resource inefficiency (materials/labor/energy), Equipment constraints / low availability</x:v>
      </x:c>
      <x:c r="H664" t="str">
        <x:v>Cost overrun mainly linked to planning &amp; estimation / coordination complexity; schedule overrun mainly linked to planning &amp; estimation / coordination complexity.</x:v>
      </x:c>
    </x:row>
    <x:row r="665">
      <x:c r="A665" t="str">
        <x:v>PJT_664</x:v>
      </x:c>
      <x:c r="B665" t="str">
        <x:v>Planning &amp; estimation / coordination complexity</x:v>
      </x:c>
      <x:c r="C665" t="str">
        <x:v>Unforeseen site/structural issues &amp; rework</x:v>
      </x:c>
      <x:c r="D665" t="str">
        <x:v>Planning &amp; estimation / coordination complexity, Unforeseen site/structural issues &amp; rework, Equipment constraints / low availability</x:v>
      </x:c>
      <x:c r="E665" t="str">
        <x:v>Planning &amp; estimation / coordination complexity</x:v>
      </x:c>
      <x:c r="F665" t="str">
        <x:v>Unforeseen site/structural issues &amp; rework</x:v>
      </x:c>
      <x:c r="G665" t="str">
        <x:v>Planning &amp; estimation / coordination complexity, Unforeseen site/structural issues &amp; rework, Equipment constraints / low availability</x:v>
      </x:c>
      <x:c r="H665" t="str">
        <x:v>Cost overrun mainly linked to planning &amp; estimation / coordination complexity; schedule overrun mainly linked to planning &amp; estimation / coordination complexity.</x:v>
      </x:c>
    </x:row>
    <x:row r="666">
      <x:c r="A666" t="str">
        <x:v>PJT_665</x:v>
      </x:c>
      <x:c r="B666" t="str">
        <x:v>Equipment constraints / low availability</x:v>
      </x:c>
      <x:c r="C666" t="str">
        <x:v>Planning &amp; estimation / coordination complexity</x:v>
      </x:c>
      <x:c r="D666" t="str">
        <x:v>Equipment constraints / low availability, Planning &amp; estimation / coordination complexity, Resource inefficiency (materials/labor/energy)</x:v>
      </x:c>
      <x:c r="E666" t="str">
        <x:v>Equipment constraints / low availability</x:v>
      </x:c>
      <x:c r="F666" t="str">
        <x:v>Planning &amp; estimation / coordination complexity</x:v>
      </x:c>
      <x:c r="G666" t="str">
        <x:v>Equipment constraints / low availability, Planning &amp; estimation / coordination complexity, Resource inefficiency (materials/labor/energy)</x:v>
      </x:c>
      <x:c r="H666" t="str">
        <x:v>Cost overrun mainly linked to equipment constraints / low availability; schedule overrun mainly linked to equipment constraints / low availability.</x:v>
      </x:c>
    </x:row>
    <x:row r="667">
      <x:c r="A667" t="str">
        <x:v>PJT_666</x:v>
      </x:c>
      <x:c r="B667" t="str">
        <x:v>Weather disruption / environmental constraints</x:v>
      </x:c>
      <x:c r="C667" t="str">
        <x:v>Unforeseen site/structural issues &amp; rework</x:v>
      </x:c>
      <x:c r="D667" t="str">
        <x:v>Weather disruption / environmental constraints, Unforeseen site/structural issues &amp; rework, Planning &amp; estimation / coordination complexity</x:v>
      </x:c>
      <x:c r="E667" t="str">
        <x:v>Weather disruption / environmental constraints</x:v>
      </x:c>
      <x:c r="F667" t="str">
        <x:v>Unforeseen site/structural issues &amp; rework</x:v>
      </x:c>
      <x:c r="G667" t="str">
        <x:v>Weather disruption / environmental constraints, Unforeseen site/structural issues &amp; rework, Material supply / logistics &amp; market disruption</x:v>
      </x:c>
      <x:c r="H667" t="str">
        <x:v>Cost overrun mainly linked to weather disruption / environmental constraints; schedule overrun mainly linked to weather disruption / environmental constraints.</x:v>
      </x:c>
    </x:row>
    <x:row r="668">
      <x:c r="A668" t="str">
        <x:v>PJT_667</x:v>
      </x:c>
      <x:c r="B668" t="str">
        <x:v>Planning &amp; estimation / coordination complexity</x:v>
      </x:c>
      <x:c r="C668" t="str">
        <x:v>Unforeseen site/structural issues &amp; rework</x:v>
      </x:c>
      <x:c r="D668" t="str">
        <x:v>Planning &amp; estimation / coordination complexity, Unforeseen site/structural issues &amp; rework, Equipment constraints / low availability</x:v>
      </x:c>
      <x:c r="E668" t="str">
        <x:v>Planning &amp; estimation / coordination complexity</x:v>
      </x:c>
      <x:c r="F668" t="str">
        <x:v>Unforeseen site/structural issues &amp; rework</x:v>
      </x:c>
      <x:c r="G668" t="str">
        <x:v>Planning &amp; estimation / coordination complexity, Unforeseen site/structural issues &amp; rework, Equipment constraints / low availability</x:v>
      </x:c>
      <x:c r="H668" t="str">
        <x:v>Cost overrun mainly linked to planning &amp; estimation / coordination complexity; schedule overrun mainly linked to planning &amp; estimation / coordination complexity.</x:v>
      </x:c>
    </x:row>
    <x:row r="669">
      <x:c r="A669" t="str">
        <x:v>PJT_668</x:v>
      </x:c>
      <x:c r="B669" t="str">
        <x:v>Resource inefficiency (materials/labor/energy)</x:v>
      </x:c>
      <x:c r="C669" t="str">
        <x:v>Planning &amp; estimation / coordination complexity</x:v>
      </x:c>
      <x:c r="D669" t="str">
        <x:v>Resource inefficiency (materials/labor/energy), Planning &amp; estimation / coordination complexity, Material supply / logistics &amp; market disruption</x:v>
      </x:c>
      <x:c r="E669" t="str">
        <x:v>Resource inefficiency (materials/labor/energy)</x:v>
      </x:c>
      <x:c r="F669" t="str">
        <x:v>Planning &amp; estimation / coordination complexity</x:v>
      </x:c>
      <x:c r="G669" t="str">
        <x:v>Resource inefficiency (materials/labor/energy), Planning &amp; estimation / coordination complexity, Equipment constraints / low availability</x:v>
      </x:c>
      <x:c r="H669" t="str">
        <x:v>Cost overrun mainly linked to resource inefficiency (materials/labor/energy); schedule overrun mainly linked to resource inefficiency (materials/labor/energy).</x:v>
      </x:c>
    </x:row>
    <x:row r="670">
      <x:c r="A670" t="str">
        <x:v>PJT_669</x:v>
      </x:c>
      <x:c r="B670" t="str">
        <x:v>Weather disruption / environmental constraints</x:v>
      </x:c>
      <x:c r="C670" t="str">
        <x:v>Material supply / logistics &amp; market disruption</x:v>
      </x:c>
      <x:c r="D670" t="str">
        <x:v>Weather disruption / environmental constraints, Material supply / logistics &amp; market disruption, Unforeseen site/structural issues &amp; rework</x:v>
      </x:c>
      <x:c r="E670" t="str">
        <x:v>Weather disruption / environmental constraints</x:v>
      </x:c>
      <x:c r="F670" t="str">
        <x:v>Material supply / logistics &amp; market disruption</x:v>
      </x:c>
      <x:c r="G670" t="str">
        <x:v>Weather disruption / environmental constraints, Material supply / logistics &amp; market disruption, Unforeseen site/structural issues &amp; rework</x:v>
      </x:c>
      <x:c r="H670" t="str">
        <x:v>Cost overrun mainly linked to weather disruption / environmental constraints; schedule overrun mainly linked to weather disruption / environmental constraints.</x:v>
      </x:c>
    </x:row>
    <x:row r="671">
      <x:c r="A671" t="str">
        <x:v>PJT_670</x:v>
      </x:c>
      <x:c r="B671" t="str">
        <x:v>Material supply / logistics &amp; market disruption</x:v>
      </x:c>
      <x:c r="C671" t="str">
        <x:v>Resource inefficiency (materials/labor/energy)</x:v>
      </x:c>
      <x:c r="D671" t="str">
        <x:v>Material supply / logistics &amp; market disruption, Resource inefficiency (materials/labor/energy), Weather disruption / environmental constraints</x:v>
      </x:c>
      <x:c r="E671" t="str">
        <x:v>Material supply / logistics &amp; market disruption</x:v>
      </x:c>
      <x:c r="F671" t="str">
        <x:v>Resource inefficiency (materials/labor/energy)</x:v>
      </x:c>
      <x:c r="G671" t="str">
        <x:v>Material supply / logistics &amp; market disruption, Resource inefficiency (materials/labor/energy), Weather disruption / environmental constraints</x:v>
      </x:c>
      <x:c r="H671" t="str">
        <x:v>Cost overrun mainly linked to material supply / logistics &amp; market disruption; schedule overrun mainly linked to material supply / logistics &amp; market disruption.</x:v>
      </x:c>
    </x:row>
    <x:row r="672">
      <x:c r="A672" t="str">
        <x:v>PJT_671</x:v>
      </x:c>
      <x:c r="B672" t="str">
        <x:v>Resource inefficiency (materials/labor/energy)</x:v>
      </x:c>
      <x:c r="C672" t="str">
        <x:v>Material supply / logistics &amp; market disruption</x:v>
      </x:c>
      <x:c r="D672" t="str">
        <x:v>Resource inefficiency (materials/labor/energy), Material supply / logistics &amp; market disruption, Planning &amp; estimation / coordination complexity</x:v>
      </x:c>
      <x:c r="E672" t="str">
        <x:v>Resource inefficiency (materials/labor/energy)</x:v>
      </x:c>
      <x:c r="F672" t="str">
        <x:v>Material supply / logistics &amp; market disruption</x:v>
      </x:c>
      <x:c r="G672" t="str">
        <x:v>Resource inefficiency (materials/labor/energy), Material supply / logistics &amp; market disruption, Planning &amp; estimation / coordination complexity</x:v>
      </x:c>
      <x:c r="H672" t="str">
        <x:v>Cost overrun mainly linked to resource inefficiency (materials/labor/energy); schedule overrun mainly linked to resource inefficiency (materials/labor/energy).</x:v>
      </x:c>
    </x:row>
    <x:row r="673">
      <x:c r="A673" t="str">
        <x:v>PJT_672</x:v>
      </x:c>
      <x:c r="B673" t="str">
        <x:v>Unforeseen site/structural issues &amp; rework</x:v>
      </x:c>
      <x:c r="C673" t="str">
        <x:v>Equipment constraints / low availability</x:v>
      </x:c>
      <x:c r="D673" t="str">
        <x:v>Unforeseen site/structural issues &amp; rework, Equipment constraints / low availability, Planning &amp; estimation / coordination complexity</x:v>
      </x:c>
      <x:c r="E673" t="str">
        <x:v>Unforeseen site/structural issues &amp; rework</x:v>
      </x:c>
      <x:c r="F673" t="str">
        <x:v>Equipment constraints / low availability</x:v>
      </x:c>
      <x:c r="G673" t="str">
        <x:v>Unforeseen site/structural issues &amp; rework, Equipment constraints / low availability, Planning &amp; estimation / coordination complexity</x:v>
      </x:c>
      <x:c r="H673" t="str">
        <x:v>Cost overrun mainly linked to unforeseen site/structural issues &amp; rework; schedule overrun mainly linked to unforeseen site/structural issues &amp; rework.</x:v>
      </x:c>
    </x:row>
    <x:row r="674">
      <x:c r="A674" t="str">
        <x:v>PJT_673</x:v>
      </x:c>
      <x:c r="B674" t="str">
        <x:v>Resource inefficiency (materials/labor/energy)</x:v>
      </x:c>
      <x:c r="C674" t="str">
        <x:v>Equipment constraints / low availability</x:v>
      </x:c>
      <x:c r="D674" t="str">
        <x:v>Resource inefficiency (materials/labor/energy), Equipment constraints / low availability, Planning &amp; estimation / coordination complexity</x:v>
      </x:c>
      <x:c r="E674" t="str">
        <x:v>Resource inefficiency (materials/labor/energy)</x:v>
      </x:c>
      <x:c r="F674" t="str">
        <x:v>Equipment constraints / low availability</x:v>
      </x:c>
      <x:c r="G674" t="str">
        <x:v>Resource inefficiency (materials/labor/energy), Equipment constraints / low availability, Planning &amp; estimation / coordination complexity</x:v>
      </x:c>
      <x:c r="H674" t="str">
        <x:v>Cost overrun mainly linked to resource inefficiency (materials/labor/energy); schedule overrun mainly linked to resource inefficiency (materials/labor/energy).</x:v>
      </x:c>
    </x:row>
    <x:row r="675">
      <x:c r="A675" t="str">
        <x:v>PJT_674</x:v>
      </x:c>
      <x:c r="B675" t="str">
        <x:v>Unforeseen site/structural issues &amp; rework</x:v>
      </x:c>
      <x:c r="C675" t="str">
        <x:v>Planning &amp; estimation / coordination complexity</x:v>
      </x:c>
      <x:c r="D675" t="str">
        <x:v>Unforeseen site/structural issues &amp; rework, Planning &amp; estimation / coordination complexity, Equipment constraints / low availability</x:v>
      </x:c>
      <x:c r="E675" t="str">
        <x:v>Unforeseen site/structural issues &amp; rework</x:v>
      </x:c>
      <x:c r="F675" t="str">
        <x:v>Planning &amp; estimation / coordination complexity</x:v>
      </x:c>
      <x:c r="G675" t="str">
        <x:v>Unforeseen site/structural issues &amp; rework, Planning &amp; estimation / coordination complexity, Equipment constraints / low availability</x:v>
      </x:c>
      <x:c r="H675" t="str">
        <x:v>Cost overrun mainly linked to unforeseen site/structural issues &amp; rework; schedule overrun mainly linked to unforeseen site/structural issues &amp; rework.</x:v>
      </x:c>
    </x:row>
    <x:row r="676">
      <x:c r="A676" t="str">
        <x:v>PJT_675</x:v>
      </x:c>
      <x:c r="B676" t="str">
        <x:v>Resource inefficiency (materials/labor/energy)</x:v>
      </x:c>
      <x:c r="C676" t="str">
        <x:v>Unforeseen site/structural issues &amp; rework</x:v>
      </x:c>
      <x:c r="D676" t="str">
        <x:v>Resource inefficiency (materials/labor/energy), Unforeseen site/structural issues &amp; rework, Material supply / logistics &amp; market disruption</x:v>
      </x:c>
      <x:c r="E676" t="str">
        <x:v>Unforeseen site/structural issues &amp; rework</x:v>
      </x:c>
      <x:c r="F676" t="str">
        <x:v>Resource inefficiency (materials/labor/energy)</x:v>
      </x:c>
      <x:c r="G676" t="str">
        <x:v>Unforeseen site/structural issues &amp; rework, Resource inefficiency (materials/labor/energy), Planning &amp; estimation / coordination complexity</x:v>
      </x:c>
      <x:c r="H676" t="str">
        <x:v>Cost overrun mainly linked to resource inefficiency (materials/labor/energy); schedule overrun mainly linked to unforeseen site/structural issues &amp; rework.</x:v>
      </x:c>
    </x:row>
    <x:row r="677">
      <x:c r="A677" t="str">
        <x:v>PJT_676</x:v>
      </x:c>
      <x:c r="B677" t="str">
        <x:v>Material supply / logistics &amp; market disruption</x:v>
      </x:c>
      <x:c r="C677" t="str">
        <x:v>Resource inefficiency (materials/labor/energy)</x:v>
      </x:c>
      <x:c r="D677" t="str">
        <x:v>Material supply / logistics &amp; market disruption, Resource inefficiency (materials/labor/energy), Weather disruption / environmental constraints</x:v>
      </x:c>
      <x:c r="E677" t="str">
        <x:v>Material supply / logistics &amp; market disruption</x:v>
      </x:c>
      <x:c r="F677" t="str">
        <x:v>Resource inefficiency (materials/labor/energy)</x:v>
      </x:c>
      <x:c r="G677" t="str">
        <x:v>Material supply / logistics &amp; market disruption, Resource inefficiency (materials/labor/energy), Weather disruption / environmental constraints</x:v>
      </x:c>
      <x:c r="H677" t="str">
        <x:v>Cost overrun mainly linked to material supply / logistics &amp; market disruption; schedule overrun mainly linked to material supply / logistics &amp; market disruption.</x:v>
      </x:c>
    </x:row>
    <x:row r="678">
      <x:c r="A678" t="str">
        <x:v>PJT_677</x:v>
      </x:c>
      <x:c r="B678" t="str">
        <x:v>Resource inefficiency (materials/labor/energy)</x:v>
      </x:c>
      <x:c r="C678" t="str">
        <x:v>Equipment constraints / low availability</x:v>
      </x:c>
      <x:c r="D678" t="str">
        <x:v>Resource inefficiency (materials/labor/energy), Equipment constraints / low availability, Planning &amp; estimation / coordination complexity</x:v>
      </x:c>
      <x:c r="E678" t="str">
        <x:v>Equipment constraints / low availability</x:v>
      </x:c>
      <x:c r="F678" t="str">
        <x:v>Resource inefficiency (materials/labor/energy)</x:v>
      </x:c>
      <x:c r="G678" t="str">
        <x:v>Equipment constraints / low availability, Resource inefficiency (materials/labor/energy), Planning &amp; estimation / coordination complexity</x:v>
      </x:c>
      <x:c r="H678" t="str">
        <x:v>Cost overrun mainly linked to resource inefficiency (materials/labor/energy); schedule overrun mainly linked to equipment constraints / low availability.</x:v>
      </x:c>
    </x:row>
    <x:row r="679">
      <x:c r="A679" t="str">
        <x:v>PJT_678</x:v>
      </x:c>
      <x:c r="B679" t="str">
        <x:v>Planning &amp; estimation / coordination complexity</x:v>
      </x:c>
      <x:c r="C679" t="str">
        <x:v>Equipment constraints / low availability</x:v>
      </x:c>
      <x:c r="D679" t="str">
        <x:v>Planning &amp; estimation / coordination complexity, Equipment constraints / low availability, Unforeseen site/structural issues &amp; rework</x:v>
      </x:c>
      <x:c r="E679" t="str">
        <x:v>Planning &amp; estimation / coordination complexity</x:v>
      </x:c>
      <x:c r="F679" t="str">
        <x:v>Unforeseen site/structural issues &amp; rework</x:v>
      </x:c>
      <x:c r="G679" t="str">
        <x:v>Planning &amp; estimation / coordination complexity, Unforeseen site/structural issues &amp; rework, Equipment constraints / low availability</x:v>
      </x:c>
      <x:c r="H679" t="str">
        <x:v>Cost overrun mainly linked to planning &amp; estimation / coordination complexity; schedule overrun mainly linked to planning &amp; estimation / coordination complexity.</x:v>
      </x:c>
    </x:row>
    <x:row r="680">
      <x:c r="A680" t="str">
        <x:v>PJT_679</x:v>
      </x:c>
      <x:c r="B680" t="str">
        <x:v>Unforeseen site/structural issues &amp; rework</x:v>
      </x:c>
      <x:c r="C680" t="str">
        <x:v>Planning &amp; estimation / coordination complexity</x:v>
      </x:c>
      <x:c r="D680" t="str">
        <x:v>Unforeseen site/structural issues &amp; rework, Planning &amp; estimation / coordination complexity, Equipment constraints / low availability</x:v>
      </x:c>
      <x:c r="E680" t="str">
        <x:v>Unforeseen site/structural issues &amp; rework</x:v>
      </x:c>
      <x:c r="F680" t="str">
        <x:v>Planning &amp; estimation / coordination complexity</x:v>
      </x:c>
      <x:c r="G680" t="str">
        <x:v>Unforeseen site/structural issues &amp; rework, Planning &amp; estimation / coordination complexity, Equipment constraints / low availability</x:v>
      </x:c>
      <x:c r="H680" t="str">
        <x:v>Cost overrun mainly linked to unforeseen site/structural issues &amp; rework; schedule overrun mainly linked to unforeseen site/structural issues &amp; rework.</x:v>
      </x:c>
    </x:row>
    <x:row r="681">
      <x:c r="A681" t="str">
        <x:v>PJT_680</x:v>
      </x:c>
      <x:c r="B681" t="str">
        <x:v>Weather disruption / environmental constraints</x:v>
      </x:c>
      <x:c r="C681" t="str">
        <x:v>Equipment constraints / low availability</x:v>
      </x:c>
      <x:c r="D681" t="str">
        <x:v>Weather disruption / environmental constraints, Equipment constraints / low availability, Unforeseen site/structural issues &amp; rework</x:v>
      </x:c>
      <x:c r="E681" t="str">
        <x:v>Weather disruption / environmental constraints</x:v>
      </x:c>
      <x:c r="F681" t="str">
        <x:v>Equipment constraints / low availability</x:v>
      </x:c>
      <x:c r="G681" t="str">
        <x:v>Weather disruption / environmental constraints, Equipment constraints / low availability, Unforeseen site/structural issues &amp; rework</x:v>
      </x:c>
      <x:c r="H681" t="str">
        <x:v>Cost overrun mainly linked to weather disruption / environmental constraints; schedule overrun mainly linked to weather disruption / environmental constraints.</x:v>
      </x:c>
    </x:row>
    <x:row r="682">
      <x:c r="A682" t="str">
        <x:v>PJT_681</x:v>
      </x:c>
      <x:c r="B682" t="str">
        <x:v>Equipment constraints / low availability</x:v>
      </x:c>
      <x:c r="C682" t="str">
        <x:v>Resource inefficiency (materials/labor/energy)</x:v>
      </x:c>
      <x:c r="D682" t="str">
        <x:v>Equipment constraints / low availability, Resource inefficiency (materials/labor/energy), Material supply / logistics &amp; market disruption</x:v>
      </x:c>
      <x:c r="E682" t="str">
        <x:v>Equipment constraints / low availability</x:v>
      </x:c>
      <x:c r="F682" t="str">
        <x:v>Resource inefficiency (materials/labor/energy)</x:v>
      </x:c>
      <x:c r="G682" t="str">
        <x:v>Equipment constraints / low availability, Resource inefficiency (materials/labor/energy), Material supply / logistics &amp; market disruption</x:v>
      </x:c>
      <x:c r="H682" t="str">
        <x:v>Cost overrun mainly linked to equipment constraints / low availability; schedule overrun mainly linked to equipment constraints / low availability.</x:v>
      </x:c>
    </x:row>
    <x:row r="683">
      <x:c r="A683" t="str">
        <x:v>PJT_682</x:v>
      </x:c>
      <x:c r="B683" t="str">
        <x:v>Planning &amp; estimation / coordination complexity</x:v>
      </x:c>
      <x:c r="C683" t="str">
        <x:v>Material supply / logistics &amp; market disruption</x:v>
      </x:c>
      <x:c r="D683" t="str">
        <x:v>Planning &amp; estimation / coordination complexity, Material supply / logistics &amp; market disruption, Resource inefficiency (materials/labor/energy)</x:v>
      </x:c>
      <x:c r="E683" t="str">
        <x:v>Planning &amp; estimation / coordination complexity</x:v>
      </x:c>
      <x:c r="F683" t="str">
        <x:v>Unforeseen site/structural issues &amp; rework</x:v>
      </x:c>
      <x:c r="G683" t="str">
        <x:v>Planning &amp; estimation / coordination complexity, Unforeseen site/structural issues &amp; rework, Material supply / logistics &amp; market disruption</x:v>
      </x:c>
      <x:c r="H683" t="str">
        <x:v>Cost overrun mainly linked to planning &amp; estimation / coordination complexity; schedule overrun mainly linked to planning &amp; estimation / coordination complexity.</x:v>
      </x:c>
    </x:row>
    <x:row r="684">
      <x:c r="A684" t="str">
        <x:v>PJT_683</x:v>
      </x:c>
      <x:c r="B684" t="str">
        <x:v>Unforeseen site/structural issues &amp; rework</x:v>
      </x:c>
      <x:c r="C684" t="str">
        <x:v>Equipment constraints / low availability</x:v>
      </x:c>
      <x:c r="D684" t="str">
        <x:v>Unforeseen site/structural issues &amp; rework, Equipment constraints / low availability, Resource inefficiency (materials/labor/energy)</x:v>
      </x:c>
      <x:c r="E684" t="str">
        <x:v>Unforeseen site/structural issues &amp; rework</x:v>
      </x:c>
      <x:c r="F684" t="str">
        <x:v>Resource inefficiency (materials/labor/energy)</x:v>
      </x:c>
      <x:c r="G684" t="str">
        <x:v>Unforeseen site/structural issues &amp; rework, Resource inefficiency (materials/labor/energy), Equipment constraints / low availability</x:v>
      </x:c>
      <x:c r="H684" t="str">
        <x:v>Cost overrun mainly linked to unforeseen site/structural issues &amp; rework; schedule overrun mainly linked to unforeseen site/structural issues &amp; rework.</x:v>
      </x:c>
    </x:row>
    <x:row r="685">
      <x:c r="A685" t="str">
        <x:v>PJT_684</x:v>
      </x:c>
      <x:c r="B685" t="str">
        <x:v>Resource inefficiency (materials/labor/energy)</x:v>
      </x:c>
      <x:c r="C685" t="str">
        <x:v>Material supply / logistics &amp; market disruption</x:v>
      </x:c>
      <x:c r="D685" t="str">
        <x:v>Resource inefficiency (materials/labor/energy), Material supply / logistics &amp; market disruption, Planning &amp; estimation / coordination complexity</x:v>
      </x:c>
      <x:c r="E685" t="str">
        <x:v>Resource inefficiency (materials/labor/energy)</x:v>
      </x:c>
      <x:c r="F685" t="str">
        <x:v>Material supply / logistics &amp; market disruption</x:v>
      </x:c>
      <x:c r="G685" t="str">
        <x:v>Resource inefficiency (materials/labor/energy), Material supply / logistics &amp; market disruption, Planning &amp; estimation / coordination complexity</x:v>
      </x:c>
      <x:c r="H685" t="str">
        <x:v>Cost overrun mainly linked to resource inefficiency (materials/labor/energy); schedule overrun mainly linked to resource inefficiency (materials/labor/energy).</x:v>
      </x:c>
    </x:row>
    <x:row r="686">
      <x:c r="A686" t="str">
        <x:v>PJT_685</x:v>
      </x:c>
      <x:c r="B686" t="str">
        <x:v>Equipment constraints / low availability</x:v>
      </x:c>
      <x:c r="C686" t="str">
        <x:v>Planning &amp; estimation / coordination complexity</x:v>
      </x:c>
      <x:c r="D686" t="str">
        <x:v>Equipment constraints / low availability, Planning &amp; estimation / coordination complexity, Resource inefficiency (materials/labor/energy)</x:v>
      </x:c>
      <x:c r="E686" t="str">
        <x:v>Equipment constraints / low availability</x:v>
      </x:c>
      <x:c r="F686" t="str">
        <x:v>Planning &amp; estimation / coordination complexity</x:v>
      </x:c>
      <x:c r="G686" t="str">
        <x:v>Equipment constraints / low availability, Planning &amp; estimation / coordination complexity, Resource inefficiency (materials/labor/energy)</x:v>
      </x:c>
      <x:c r="H686" t="str">
        <x:v>Cost overrun mainly linked to equipment constraints / low availability; schedule overrun mainly linked to equipment constraints / low availability.</x:v>
      </x:c>
    </x:row>
    <x:row r="687">
      <x:c r="A687" t="str">
        <x:v>PJT_686</x:v>
      </x:c>
      <x:c r="B687" t="str">
        <x:v>Resource inefficiency (materials/labor/energy)</x:v>
      </x:c>
      <x:c r="C687" t="str">
        <x:v>Material supply / logistics &amp; market disruption</x:v>
      </x:c>
      <x:c r="D687" t="str">
        <x:v>Resource inefficiency (materials/labor/energy), Material supply / logistics &amp; market disruption, Planning &amp; estimation / coordination complexity</x:v>
      </x:c>
      <x:c r="E687" t="str">
        <x:v>Resource inefficiency (materials/labor/energy)</x:v>
      </x:c>
      <x:c r="F687" t="str">
        <x:v>Planning &amp; estimation / coordination complexity</x:v>
      </x:c>
      <x:c r="G687" t="str">
        <x:v>Resource inefficiency (materials/labor/energy), Planning &amp; estimation / coordination complexity, Material supply / logistics &amp; market disruption</x:v>
      </x:c>
      <x:c r="H687" t="str">
        <x:v>Cost overrun mainly linked to resource inefficiency (materials/labor/energy); schedule overrun mainly linked to resource inefficiency (materials/labor/energy).</x:v>
      </x:c>
    </x:row>
    <x:row r="688">
      <x:c r="A688" t="str">
        <x:v>PJT_687</x:v>
      </x:c>
      <x:c r="B688" t="str">
        <x:v>Unforeseen site/structural issues &amp; rework</x:v>
      </x:c>
      <x:c r="C688" t="str">
        <x:v>Material supply / logistics &amp; market disruption</x:v>
      </x:c>
      <x:c r="D688" t="str">
        <x:v>Unforeseen site/structural issues &amp; rework, Material supply / logistics &amp; market disruption, Planning &amp; estimation / coordination complexity</x:v>
      </x:c>
      <x:c r="E688" t="str">
        <x:v>Unforeseen site/structural issues &amp; rework</x:v>
      </x:c>
      <x:c r="F688" t="str">
        <x:v>Planning &amp; estimation / coordination complexity</x:v>
      </x:c>
      <x:c r="G688" t="str">
        <x:v>Unforeseen site/structural issues &amp; rework, Planning &amp; estimation / coordination complexity, Material supply / logistics &amp; market disruption</x:v>
      </x:c>
      <x:c r="H688" t="str">
        <x:v>Cost overrun mainly linked to unforeseen site/structural issues &amp; rework; schedule overrun mainly linked to unforeseen site/structural issues &amp; rework.</x:v>
      </x:c>
    </x:row>
    <x:row r="689">
      <x:c r="A689" t="str">
        <x:v>PJT_688</x:v>
      </x:c>
      <x:c r="B689" t="str">
        <x:v>Equipment constraints / low availability</x:v>
      </x:c>
      <x:c r="C689" t="str">
        <x:v>Unforeseen site/structural issues &amp; rework</x:v>
      </x:c>
      <x:c r="D689" t="str">
        <x:v>Equipment constraints / low availability, Unforeseen site/structural issues &amp; rework, Planning &amp; estimation / coordination complexity</x:v>
      </x:c>
      <x:c r="E689" t="str">
        <x:v>Equipment constraints / low availability</x:v>
      </x:c>
      <x:c r="F689" t="str">
        <x:v>Unforeseen site/structural issues &amp; rework</x:v>
      </x:c>
      <x:c r="G689" t="str">
        <x:v>Equipment constraints / low availability, Unforeseen site/structural issues &amp; rework, Planning &amp; estimation / coordination complexity</x:v>
      </x:c>
      <x:c r="H689" t="str">
        <x:v>Cost overrun mainly linked to equipment constraints / low availability; schedule overrun mainly linked to equipment constraints / low availability.</x:v>
      </x:c>
    </x:row>
    <x:row r="690">
      <x:c r="A690" t="str">
        <x:v>PJT_689</x:v>
      </x:c>
      <x:c r="B690" t="str">
        <x:v>Resource inefficiency (materials/labor/energy)</x:v>
      </x:c>
      <x:c r="C690" t="str">
        <x:v>Equipment constraints / low availability</x:v>
      </x:c>
      <x:c r="D690" t="str">
        <x:v>Resource inefficiency (materials/labor/energy), Equipment constraints / low availability, Planning &amp; estimation / coordination complexity</x:v>
      </x:c>
      <x:c r="E690" t="str">
        <x:v>Resource inefficiency (materials/labor/energy)</x:v>
      </x:c>
      <x:c r="F690" t="str">
        <x:v>Equipment constraints / low availability</x:v>
      </x:c>
      <x:c r="G690" t="str">
        <x:v>Resource inefficiency (materials/labor/energy), Equipment constraints / low availability, Planning &amp; estimation / coordination complexity</x:v>
      </x:c>
      <x:c r="H690" t="str">
        <x:v>Cost overrun mainly linked to resource inefficiency (materials/labor/energy); schedule overrun mainly linked to resource inefficiency (materials/labor/energy).</x:v>
      </x:c>
    </x:row>
    <x:row r="691">
      <x:c r="A691" t="str">
        <x:v>PJT_690</x:v>
      </x:c>
      <x:c r="B691" t="str">
        <x:v>Unforeseen site/structural issues &amp; rework</x:v>
      </x:c>
      <x:c r="C691" t="str">
        <x:v>Material supply / logistics &amp; market disruption</x:v>
      </x:c>
      <x:c r="D691" t="str">
        <x:v>Unforeseen site/structural issues &amp; rework, Material supply / logistics &amp; market disruption, Weather disruption / environmental constraints</x:v>
      </x:c>
      <x:c r="E691" t="str">
        <x:v>Unforeseen site/structural issues &amp; rework</x:v>
      </x:c>
      <x:c r="F691" t="str">
        <x:v>Material supply / logistics &amp; market disruption</x:v>
      </x:c>
      <x:c r="G691" t="str">
        <x:v>Unforeseen site/structural issues &amp; rework, Material supply / logistics &amp; market disruption, Weather disruption / environmental constraints</x:v>
      </x:c>
      <x:c r="H691" t="str">
        <x:v>Cost overrun mainly linked to unforeseen site/structural issues &amp; rework; schedule overrun mainly linked to unforeseen site/structural issues &amp; rework.</x:v>
      </x:c>
    </x:row>
    <x:row r="692">
      <x:c r="A692" t="str">
        <x:v>PJT_691</x:v>
      </x:c>
      <x:c r="B692" t="str">
        <x:v>Resource inefficiency (materials/labor/energy)</x:v>
      </x:c>
      <x:c r="C692" t="str">
        <x:v>Unforeseen site/structural issues &amp; rework</x:v>
      </x:c>
      <x:c r="D692" t="str">
        <x:v>Resource inefficiency (materials/labor/energy), Unforeseen site/structural issues &amp; rework, Planning &amp; estimation / coordination complexity</x:v>
      </x:c>
      <x:c r="E692" t="str">
        <x:v>Unforeseen site/structural issues &amp; rework</x:v>
      </x:c>
      <x:c r="F692" t="str">
        <x:v>Resource inefficiency (materials/labor/energy)</x:v>
      </x:c>
      <x:c r="G692" t="str">
        <x:v>Unforeseen site/structural issues &amp; rework, Resource inefficiency (materials/labor/energy), Planning &amp; estimation / coordination complexity</x:v>
      </x:c>
      <x:c r="H692" t="str">
        <x:v>Cost overrun mainly linked to resource inefficiency (materials/labor/energy); schedule overrun mainly linked to unforeseen site/structural issues &amp; rework.</x:v>
      </x:c>
    </x:row>
    <x:row r="693">
      <x:c r="A693" t="str">
        <x:v>PJT_692</x:v>
      </x:c>
      <x:c r="B693" t="str">
        <x:v>Equipment constraints / low availability</x:v>
      </x:c>
      <x:c r="C693" t="str">
        <x:v>Weather disruption / environmental constraints</x:v>
      </x:c>
      <x:c r="D693" t="str">
        <x:v>Equipment constraints / low availability, Weather disruption / environmental constraints, Unforeseen site/structural issues &amp; rework</x:v>
      </x:c>
      <x:c r="E693" t="str">
        <x:v>Equipment constraints / low availability</x:v>
      </x:c>
      <x:c r="F693" t="str">
        <x:v>Weather disruption / environmental constraints</x:v>
      </x:c>
      <x:c r="G693" t="str">
        <x:v>Equipment constraints / low availability, Weather disruption / environmental constraints, Unforeseen site/structural issues &amp; rework</x:v>
      </x:c>
      <x:c r="H693" t="str">
        <x:v>Cost overrun mainly linked to equipment constraints / low availability; schedule overrun mainly linked to equipment constraints / low availability.</x:v>
      </x:c>
    </x:row>
    <x:row r="694">
      <x:c r="A694" t="str">
        <x:v>PJT_693</x:v>
      </x:c>
      <x:c r="B694" t="str">
        <x:v>Equipment constraints / low availability</x:v>
      </x:c>
      <x:c r="C694" t="str">
        <x:v>Resource inefficiency (materials/labor/energy)</x:v>
      </x:c>
      <x:c r="D694" t="str">
        <x:v>Equipment constraints / low availability, Resource inefficiency (materials/labor/energy), Planning &amp; estimation / coordination complexity</x:v>
      </x:c>
      <x:c r="E694" t="str">
        <x:v>Equipment constraints / low availability</x:v>
      </x:c>
      <x:c r="F694" t="str">
        <x:v>Resource inefficiency (materials/labor/energy)</x:v>
      </x:c>
      <x:c r="G694" t="str">
        <x:v>Equipment constraints / low availability, Resource inefficiency (materials/labor/energy), Planning &amp; estimation / coordination complexity</x:v>
      </x:c>
      <x:c r="H694" t="str">
        <x:v>Cost overrun mainly linked to equipment constraints / low availability; schedule overrun mainly linked to equipment constraints / low availability.</x:v>
      </x:c>
    </x:row>
    <x:row r="695">
      <x:c r="A695" t="str">
        <x:v>PJT_694</x:v>
      </x:c>
      <x:c r="B695" t="str">
        <x:v>Weather disruption / environmental constraints</x:v>
      </x:c>
      <x:c r="C695" t="str">
        <x:v>Equipment constraints / low availability</x:v>
      </x:c>
      <x:c r="D695" t="str">
        <x:v>Weather disruption / environmental constraints, Equipment constraints / low availability, Material supply / logistics &amp; market disruption</x:v>
      </x:c>
      <x:c r="E695" t="str">
        <x:v>Weather disruption / environmental constraints</x:v>
      </x:c>
      <x:c r="F695" t="str">
        <x:v>Equipment constraints / low availability</x:v>
      </x:c>
      <x:c r="G695" t="str">
        <x:v>Weather disruption / environmental constraints, Equipment constraints / low availability, Material supply / logistics &amp; market disruption</x:v>
      </x:c>
      <x:c r="H695" t="str">
        <x:v>Cost overrun mainly linked to weather disruption / environmental constraints; schedule overrun mainly linked to weather disruption / environmental constraints.</x:v>
      </x:c>
    </x:row>
    <x:row r="696">
      <x:c r="A696" t="str">
        <x:v>PJT_695</x:v>
      </x:c>
      <x:c r="B696" t="str">
        <x:v>Weather disruption / environmental constraints</x:v>
      </x:c>
      <x:c r="C696" t="str">
        <x:v>Material supply / logistics &amp; market disruption</x:v>
      </x:c>
      <x:c r="D696" t="str">
        <x:v>Weather disruption / environmental constraints, Material supply / logistics &amp; market disruption, Equipment constraints / low availability</x:v>
      </x:c>
      <x:c r="E696" t="str">
        <x:v>Weather disruption / environmental constraints</x:v>
      </x:c>
      <x:c r="F696" t="str">
        <x:v>Material supply / logistics &amp; market disruption</x:v>
      </x:c>
      <x:c r="G696" t="str">
        <x:v>Weather disruption / environmental constraints, Material supply / logistics &amp; market disruption, Equipment constraints / low availability</x:v>
      </x:c>
      <x:c r="H696" t="str">
        <x:v>Cost overrun mainly linked to weather disruption / environmental constraints; schedule overrun mainly linked to weather disruption / environmental constraints.</x:v>
      </x:c>
    </x:row>
    <x:row r="697">
      <x:c r="A697" t="str">
        <x:v>PJT_696</x:v>
      </x:c>
      <x:c r="B697" t="str">
        <x:v>Weather disruption / environmental constraints</x:v>
      </x:c>
      <x:c r="C697" t="str">
        <x:v>Unforeseen site/structural issues &amp; rework</x:v>
      </x:c>
      <x:c r="D697" t="str">
        <x:v>Weather disruption / environmental constraints, Unforeseen site/structural issues &amp; rework, Material supply / logistics &amp; market disruption</x:v>
      </x:c>
      <x:c r="E697" t="str">
        <x:v>Unforeseen site/structural issues &amp; rework</x:v>
      </x:c>
      <x:c r="F697" t="str">
        <x:v>Weather disruption / environmental constraints</x:v>
      </x:c>
      <x:c r="G697" t="str">
        <x:v>Unforeseen site/structural issues &amp; rework, Weather disruption / environmental constraints, Material supply / logistics &amp; market disruption</x:v>
      </x:c>
      <x:c r="H697" t="str">
        <x:v>Cost overrun mainly linked to weather disruption / environmental constraints; schedule overrun mainly linked to unforeseen site/structural issues &amp; rework.</x:v>
      </x:c>
    </x:row>
    <x:row r="698">
      <x:c r="A698" t="str">
        <x:v>PJT_697</x:v>
      </x:c>
      <x:c r="B698" t="str">
        <x:v>Resource inefficiency (materials/labor/energy)</x:v>
      </x:c>
      <x:c r="C698" t="str">
        <x:v>Planning &amp; estimation / coordination complexity</x:v>
      </x:c>
      <x:c r="D698" t="str">
        <x:v>Resource inefficiency (materials/labor/energy), Planning &amp; estimation / coordination complexity, Equipment constraints / low availability</x:v>
      </x:c>
      <x:c r="E698" t="str">
        <x:v>Resource inefficiency (materials/labor/energy)</x:v>
      </x:c>
      <x:c r="F698" t="str">
        <x:v>Planning &amp; estimation / coordination complexity</x:v>
      </x:c>
      <x:c r="G698" t="str">
        <x:v>Resource inefficiency (materials/labor/energy), Planning &amp; estimation / coordination complexity, Equipment constraints / low availability</x:v>
      </x:c>
      <x:c r="H698" t="str">
        <x:v>Cost overrun mainly linked to resource inefficiency (materials/labor/energy); schedule overrun mainly linked to resource inefficiency (materials/labor/energy).</x:v>
      </x:c>
    </x:row>
    <x:row r="699">
      <x:c r="A699" t="str">
        <x:v>PJT_698</x:v>
      </x:c>
      <x:c r="B699" t="str">
        <x:v>Weather disruption / environmental constraints</x:v>
      </x:c>
      <x:c r="C699" t="str">
        <x:v>Unforeseen site/structural issues &amp; rework</x:v>
      </x:c>
      <x:c r="D699" t="str">
        <x:v>Weather disruption / environmental constraints, Unforeseen site/structural issues &amp; rework, Equipment constraints / low availability</x:v>
      </x:c>
      <x:c r="E699" t="str">
        <x:v>Weather disruption / environmental constraints</x:v>
      </x:c>
      <x:c r="F699" t="str">
        <x:v>Unforeseen site/structural issues &amp; rework</x:v>
      </x:c>
      <x:c r="G699" t="str">
        <x:v>Weather disruption / environmental constraints, Unforeseen site/structural issues &amp; rework, Equipment constraints / low availability</x:v>
      </x:c>
      <x:c r="H699" t="str">
        <x:v>Cost overrun mainly linked to weather disruption / environmental constraints; schedule overrun mainly linked to weather disruption / environmental constraints.</x:v>
      </x:c>
    </x:row>
    <x:row r="700">
      <x:c r="A700" t="str">
        <x:v>PJT_699</x:v>
      </x:c>
      <x:c r="B700" t="str">
        <x:v>Planning &amp; estimation / coordination complexity</x:v>
      </x:c>
      <x:c r="C700" t="str">
        <x:v>Resource inefficiency (materials/labor/energy)</x:v>
      </x:c>
      <x:c r="D700" t="str">
        <x:v>Planning &amp; estimation / coordination complexity, Resource inefficiency (materials/labor/energy), Unforeseen site/structural issues &amp; rework</x:v>
      </x:c>
      <x:c r="E700" t="str">
        <x:v>Planning &amp; estimation / coordination complexity</x:v>
      </x:c>
      <x:c r="F700" t="str">
        <x:v>Unforeseen site/structural issues &amp; rework</x:v>
      </x:c>
      <x:c r="G700" t="str">
        <x:v>Planning &amp; estimation / coordination complexity, Unforeseen site/structural issues &amp; rework, Resource inefficiency (materials/labor/energy)</x:v>
      </x:c>
      <x:c r="H700" t="str">
        <x:v>Cost overrun mainly linked to planning &amp; estimation / coordination complexity; schedule overrun mainly linked to planning &amp; estimation / coordination complexity.</x:v>
      </x:c>
    </x:row>
    <x:row r="701">
      <x:c r="A701" t="str">
        <x:v>PJT_700</x:v>
      </x:c>
      <x:c r="B701" t="str">
        <x:v>Weather disruption / environmental constraints</x:v>
      </x:c>
      <x:c r="C701" t="str">
        <x:v>Material supply / logistics &amp; market disruption</x:v>
      </x:c>
      <x:c r="D701" t="str">
        <x:v>Weather disruption / environmental constraints, Material supply / logistics &amp; market disruption, Planning &amp; estimation / coordination complexity</x:v>
      </x:c>
      <x:c r="E701" t="str">
        <x:v>Weather disruption / environmental constraints</x:v>
      </x:c>
      <x:c r="F701" t="str">
        <x:v>Material supply / logistics &amp; market disruption</x:v>
      </x:c>
      <x:c r="G701" t="str">
        <x:v>Weather disruption / environmental constraints, Material supply / logistics &amp; market disruption, Planning &amp; estimation / coordination complexity</x:v>
      </x:c>
      <x:c r="H701" t="str">
        <x:v>Cost overrun mainly linked to weather disruption / environmental constraints; schedule overrun mainly linked to weather disruption / environmental constraints.</x:v>
      </x:c>
    </x:row>
    <x:row r="702">
      <x:c r="A702" t="str">
        <x:v>PJT_701</x:v>
      </x:c>
      <x:c r="B702" t="str">
        <x:v>Planning &amp; estimation / coordination complexity</x:v>
      </x:c>
      <x:c r="C702" t="str">
        <x:v>Unforeseen site/structural issues &amp; rework</x:v>
      </x:c>
      <x:c r="D702" t="str">
        <x:v>Planning &amp; estimation / coordination complexity, Unforeseen site/structural issues &amp; rework, Resource inefficiency (materials/labor/energy)</x:v>
      </x:c>
      <x:c r="E702" t="str">
        <x:v>Planning &amp; estimation / coordination complexity</x:v>
      </x:c>
      <x:c r="F702" t="str">
        <x:v>Unforeseen site/structural issues &amp; rework</x:v>
      </x:c>
      <x:c r="G702" t="str">
        <x:v>Planning &amp; estimation / coordination complexity, Unforeseen site/structural issues &amp; rework, Resource inefficiency (materials/labor/energy)</x:v>
      </x:c>
      <x:c r="H702" t="str">
        <x:v>Cost overrun mainly linked to planning &amp; estimation / coordination complexity; schedule overrun mainly linked to planning &amp; estimation / coordination complexity.</x:v>
      </x:c>
    </x:row>
    <x:row r="703">
      <x:c r="A703" t="str">
        <x:v>PJT_702</x:v>
      </x:c>
      <x:c r="B703" t="str">
        <x:v>Unforeseen site/structural issues &amp; rework</x:v>
      </x:c>
      <x:c r="C703" t="str">
        <x:v>Planning &amp; estimation / coordination complexity</x:v>
      </x:c>
      <x:c r="D703" t="str">
        <x:v>Unforeseen site/structural issues &amp; rework, Planning &amp; estimation / coordination complexity, Equipment constraints / low availability</x:v>
      </x:c>
      <x:c r="E703" t="str">
        <x:v>Unforeseen site/structural issues &amp; rework</x:v>
      </x:c>
      <x:c r="F703" t="str">
        <x:v>Planning &amp; estimation / coordination complexity</x:v>
      </x:c>
      <x:c r="G703" t="str">
        <x:v>Unforeseen site/structural issues &amp; rework, Planning &amp; estimation / coordination complexity, Equipment constraints / low availability</x:v>
      </x:c>
      <x:c r="H703" t="str">
        <x:v>Cost overrun mainly linked to unforeseen site/structural issues &amp; rework; schedule overrun mainly linked to unforeseen site/structural issues &amp; rework.</x:v>
      </x:c>
    </x:row>
    <x:row r="704">
      <x:c r="A704" t="str">
        <x:v>PJT_703</x:v>
      </x:c>
      <x:c r="B704" t="str">
        <x:v>Equipment constraints / low availability</x:v>
      </x:c>
      <x:c r="C704" t="str">
        <x:v>Resource inefficiency (materials/labor/energy)</x:v>
      </x:c>
      <x:c r="D704" t="str">
        <x:v>Equipment constraints / low availability, Resource inefficiency (materials/labor/energy), Planning &amp; estimation / coordination complexity</x:v>
      </x:c>
      <x:c r="E704" t="str">
        <x:v>Resource inefficiency (materials/labor/energy)</x:v>
      </x:c>
      <x:c r="F704" t="str">
        <x:v>Equipment constraints / low availability</x:v>
      </x:c>
      <x:c r="G704" t="str">
        <x:v>Resource inefficiency (materials/labor/energy), Equipment constraints / low availability, Planning &amp; estimation / coordination complexity</x:v>
      </x:c>
      <x:c r="H704" t="str">
        <x:v>Cost overrun mainly linked to equipment constraints / low availability; schedule overrun mainly linked to resource inefficiency (materials/labor/energy).</x:v>
      </x:c>
    </x:row>
    <x:row r="705">
      <x:c r="A705" t="str">
        <x:v>PJT_704</x:v>
      </x:c>
      <x:c r="B705" t="str">
        <x:v>Weather disruption / environmental constraints</x:v>
      </x:c>
      <x:c r="C705" t="str">
        <x:v>Unforeseen site/structural issues &amp; rework</x:v>
      </x:c>
      <x:c r="D705" t="str">
        <x:v>Weather disruption / environmental constraints, Unforeseen site/structural issues &amp; rework, Equipment constraints / low availability</x:v>
      </x:c>
      <x:c r="E705" t="str">
        <x:v>Weather disruption / environmental constraints</x:v>
      </x:c>
      <x:c r="F705" t="str">
        <x:v>Unforeseen site/structural issues &amp; rework</x:v>
      </x:c>
      <x:c r="G705" t="str">
        <x:v>Weather disruption / environmental constraints, Unforeseen site/structural issues &amp; rework, Equipment constraints / low availability</x:v>
      </x:c>
      <x:c r="H705" t="str">
        <x:v>Cost overrun mainly linked to weather disruption / environmental constraints; schedule overrun mainly linked to weather disruption / environmental constraints.</x:v>
      </x:c>
    </x:row>
    <x:row r="706">
      <x:c r="A706" t="str">
        <x:v>PJT_705</x:v>
      </x:c>
      <x:c r="B706" t="str">
        <x:v>Resource inefficiency (materials/labor/energy)</x:v>
      </x:c>
      <x:c r="C706" t="str">
        <x:v>Planning &amp; estimation / coordination complexity</x:v>
      </x:c>
      <x:c r="D706" t="str">
        <x:v>Resource inefficiency (materials/labor/energy), Planning &amp; estimation / coordination complexity, Material supply / logistics &amp; market disruption</x:v>
      </x:c>
      <x:c r="E706" t="str">
        <x:v>Resource inefficiency (materials/labor/energy)</x:v>
      </x:c>
      <x:c r="F706" t="str">
        <x:v>Planning &amp; estimation / coordination complexity</x:v>
      </x:c>
      <x:c r="G706" t="str">
        <x:v>Resource inefficiency (materials/labor/energy), Planning &amp; estimation / coordination complexity, Unforeseen site/structural issues &amp; rework</x:v>
      </x:c>
      <x:c r="H706" t="str">
        <x:v>Cost overrun mainly linked to resource inefficiency (materials/labor/energy); schedule overrun mainly linked to resource inefficiency (materials/labor/energy).</x:v>
      </x:c>
    </x:row>
    <x:row r="707">
      <x:c r="A707" t="str">
        <x:v>PJT_706</x:v>
      </x:c>
      <x:c r="B707" t="str">
        <x:v>Material supply / logistics &amp; market disruption</x:v>
      </x:c>
      <x:c r="C707" t="str">
        <x:v>Weather disruption / environmental constraints</x:v>
      </x:c>
      <x:c r="D707" t="str">
        <x:v>Material supply / logistics &amp; market disruption, Weather disruption / environmental constraints, Planning &amp; estimation / coordination complexity</x:v>
      </x:c>
      <x:c r="E707" t="str">
        <x:v>Material supply / logistics &amp; market disruption</x:v>
      </x:c>
      <x:c r="F707" t="str">
        <x:v>Weather disruption / environmental constraints</x:v>
      </x:c>
      <x:c r="G707" t="str">
        <x:v>Material supply / logistics &amp; market disruption, Weather disruption / environmental constraints, Planning &amp; estimation / coordination complexity</x:v>
      </x:c>
      <x:c r="H707" t="str">
        <x:v>Cost overrun mainly linked to material supply / logistics &amp; market disruption; schedule overrun mainly linked to material supply / logistics &amp; market disruption.</x:v>
      </x:c>
    </x:row>
    <x:row r="708">
      <x:c r="A708" t="str">
        <x:v>PJT_707</x:v>
      </x:c>
      <x:c r="B708" t="str">
        <x:v>Resource inefficiency (materials/labor/energy)</x:v>
      </x:c>
      <x:c r="C708" t="str">
        <x:v>Planning &amp; estimation / coordination complexity</x:v>
      </x:c>
      <x:c r="D708" t="str">
        <x:v>Resource inefficiency (materials/labor/energy), Planning &amp; estimation / coordination complexity, Unforeseen site/structural issues &amp; rework</x:v>
      </x:c>
      <x:c r="E708" t="str">
        <x:v>Resource inefficiency (materials/labor/energy)</x:v>
      </x:c>
      <x:c r="F708" t="str">
        <x:v>Planning &amp; estimation / coordination complexity</x:v>
      </x:c>
      <x:c r="G708" t="str">
        <x:v>Resource inefficiency (materials/labor/energy), Planning &amp; estimation / coordination complexity, Unforeseen site/structural issues &amp; rework</x:v>
      </x:c>
      <x:c r="H708" t="str">
        <x:v>Cost overrun mainly linked to resource inefficiency (materials/labor/energy); schedule overrun mainly linked to resource inefficiency (materials/labor/energy).</x:v>
      </x:c>
    </x:row>
    <x:row r="709">
      <x:c r="A709" t="str">
        <x:v>PJT_708</x:v>
      </x:c>
      <x:c r="B709" t="str">
        <x:v>Unforeseen site/structural issues &amp; rework</x:v>
      </x:c>
      <x:c r="C709" t="str">
        <x:v>Planning &amp; estimation / coordination complexity</x:v>
      </x:c>
      <x:c r="D709" t="str">
        <x:v>Unforeseen site/structural issues &amp; rework, Planning &amp; estimation / coordination complexity, Equipment constraints / low availability</x:v>
      </x:c>
      <x:c r="E709" t="str">
        <x:v>Unforeseen site/structural issues &amp; rework</x:v>
      </x:c>
      <x:c r="F709" t="str">
        <x:v>Planning &amp; estimation / coordination complexity</x:v>
      </x:c>
      <x:c r="G709" t="str">
        <x:v>Unforeseen site/structural issues &amp; rework, Planning &amp; estimation / coordination complexity, Equipment constraints / low availability</x:v>
      </x:c>
      <x:c r="H709" t="str">
        <x:v>Cost overrun mainly linked to unforeseen site/structural issues &amp; rework; schedule overrun mainly linked to unforeseen site/structural issues &amp; rework.</x:v>
      </x:c>
    </x:row>
    <x:row r="710">
      <x:c r="A710" t="str">
        <x:v>PJT_709</x:v>
      </x:c>
      <x:c r="B710" t="str">
        <x:v>Unforeseen site/structural issues &amp; rework</x:v>
      </x:c>
      <x:c r="C710" t="str">
        <x:v>Planning &amp; estimation / coordination complexity</x:v>
      </x:c>
      <x:c r="D710" t="str">
        <x:v>Unforeseen site/structural issues &amp; rework, Planning &amp; estimation / coordination complexity, Equipment constraints / low availability</x:v>
      </x:c>
      <x:c r="E710" t="str">
        <x:v>Unforeseen site/structural issues &amp; rework</x:v>
      </x:c>
      <x:c r="F710" t="str">
        <x:v>Planning &amp; estimation / coordination complexity</x:v>
      </x:c>
      <x:c r="G710" t="str">
        <x:v>Unforeseen site/structural issues &amp; rework, Planning &amp; estimation / coordination complexity, Equipment constraints / low availability</x:v>
      </x:c>
      <x:c r="H710" t="str">
        <x:v>Cost overrun mainly linked to unforeseen site/structural issues &amp; rework; schedule overrun mainly linked to unforeseen site/structural issues &amp; rework.</x:v>
      </x:c>
    </x:row>
    <x:row r="711">
      <x:c r="A711" t="str">
        <x:v>PJT_710</x:v>
      </x:c>
      <x:c r="B711" t="str">
        <x:v>Resource inefficiency (materials/labor/energy)</x:v>
      </x:c>
      <x:c r="C711" t="str">
        <x:v>Material supply / logistics &amp; market disruption</x:v>
      </x:c>
      <x:c r="D711" t="str">
        <x:v>Resource inefficiency (materials/labor/energy), Material supply / logistics &amp; market disruption, Equipment constraints / low availability</x:v>
      </x:c>
      <x:c r="E711" t="str">
        <x:v>Resource inefficiency (materials/labor/energy)</x:v>
      </x:c>
      <x:c r="F711" t="str">
        <x:v>Material supply / logistics &amp; market disruption</x:v>
      </x:c>
      <x:c r="G711" t="str">
        <x:v>Resource inefficiency (materials/labor/energy), Material supply / logistics &amp; market disruption, Equipment constraints / low availability</x:v>
      </x:c>
      <x:c r="H711" t="str">
        <x:v>Cost overrun mainly linked to resource inefficiency (materials/labor/energy); schedule overrun mainly linked to resource inefficiency (materials/labor/energy).</x:v>
      </x:c>
    </x:row>
    <x:row r="712">
      <x:c r="A712" t="str">
        <x:v>PJT_711</x:v>
      </x:c>
      <x:c r="B712" t="str">
        <x:v>Equipment constraints / low availability</x:v>
      </x:c>
      <x:c r="C712" t="str">
        <x:v>Resource inefficiency (materials/labor/energy)</x:v>
      </x:c>
      <x:c r="D712" t="str">
        <x:v>Equipment constraints / low availability, Resource inefficiency (materials/labor/energy), Material supply / logistics &amp; market disruption</x:v>
      </x:c>
      <x:c r="E712" t="str">
        <x:v>Equipment constraints / low availability</x:v>
      </x:c>
      <x:c r="F712" t="str">
        <x:v>Resource inefficiency (materials/labor/energy)</x:v>
      </x:c>
      <x:c r="G712" t="str">
        <x:v>Equipment constraints / low availability, Resource inefficiency (materials/labor/energy), Material supply / logistics &amp; market disruption</x:v>
      </x:c>
      <x:c r="H712" t="str">
        <x:v>Cost overrun mainly linked to equipment constraints / low availability; schedule overrun mainly linked to equipment constraints / low availability.</x:v>
      </x:c>
    </x:row>
    <x:row r="713">
      <x:c r="A713" t="str">
        <x:v>PJT_712</x:v>
      </x:c>
      <x:c r="B713" t="str">
        <x:v>Equipment constraints / low availability</x:v>
      </x:c>
      <x:c r="C713" t="str">
        <x:v>Resource inefficiency (materials/labor/energy)</x:v>
      </x:c>
      <x:c r="D713" t="str">
        <x:v>Equipment constraints / low availability, Resource inefficiency (materials/labor/energy), Material supply / logistics &amp; market disruption</x:v>
      </x:c>
      <x:c r="E713" t="str">
        <x:v>Equipment constraints / low availability</x:v>
      </x:c>
      <x:c r="F713" t="str">
        <x:v>Resource inefficiency (materials/labor/energy)</x:v>
      </x:c>
      <x:c r="G713" t="str">
        <x:v>Equipment constraints / low availability, Resource inefficiency (materials/labor/energy), Material supply / logistics &amp; market disruption</x:v>
      </x:c>
      <x:c r="H713" t="str">
        <x:v>Cost overrun mainly linked to equipment constraints / low availability; schedule overrun mainly linked to equipment constraints / low availability.</x:v>
      </x:c>
    </x:row>
    <x:row r="714">
      <x:c r="A714" t="str">
        <x:v>PJT_713</x:v>
      </x:c>
      <x:c r="B714" t="str">
        <x:v>Unforeseen site/structural issues &amp; rework</x:v>
      </x:c>
      <x:c r="C714" t="str">
        <x:v>Weather disruption / environmental constraints</x:v>
      </x:c>
      <x:c r="D714" t="str">
        <x:v>Unforeseen site/structural issues &amp; rework, Weather disruption / environmental constraints, Equipment constraints / low availability</x:v>
      </x:c>
      <x:c r="E714" t="str">
        <x:v>Unforeseen site/structural issues &amp; rework</x:v>
      </x:c>
      <x:c r="F714" t="str">
        <x:v>Weather disruption / environmental constraints</x:v>
      </x:c>
      <x:c r="G714" t="str">
        <x:v>Unforeseen site/structural issues &amp; rework, Weather disruption / environmental constraints, Planning &amp; estimation / coordination complexity</x:v>
      </x:c>
      <x:c r="H714" t="str">
        <x:v>Cost overrun mainly linked to unforeseen site/structural issues &amp; rework; schedule overrun mainly linked to unforeseen site/structural issues &amp; rework.</x:v>
      </x:c>
    </x:row>
    <x:row r="715">
      <x:c r="A715" t="str">
        <x:v>PJT_714</x:v>
      </x:c>
      <x:c r="B715" t="str">
        <x:v>Unforeseen site/structural issues &amp; rework</x:v>
      </x:c>
      <x:c r="C715" t="str">
        <x:v>Planning &amp; estimation / coordination complexity</x:v>
      </x:c>
      <x:c r="D715" t="str">
        <x:v>Unforeseen site/structural issues &amp; rework, Planning &amp; estimation / coordination complexity, Weather disruption / environmental constraints</x:v>
      </x:c>
      <x:c r="E715" t="str">
        <x:v>Unforeseen site/structural issues &amp; rework</x:v>
      </x:c>
      <x:c r="F715" t="str">
        <x:v>Planning &amp; estimation / coordination complexity</x:v>
      </x:c>
      <x:c r="G715" t="str">
        <x:v>Unforeseen site/structural issues &amp; rework, Planning &amp; estimation / coordination complexity, Weather disruption / environmental constraints</x:v>
      </x:c>
      <x:c r="H715" t="str">
        <x:v>Cost overrun mainly linked to unforeseen site/structural issues &amp; rework; schedule overrun mainly linked to unforeseen site/structural issues &amp; rework.</x:v>
      </x:c>
    </x:row>
    <x:row r="716">
      <x:c r="A716" t="str">
        <x:v>PJT_715</x:v>
      </x:c>
      <x:c r="B716" t="str">
        <x:v>Resource inefficiency (materials/labor/energy)</x:v>
      </x:c>
      <x:c r="C716" t="str">
        <x:v>Unforeseen site/structural issues &amp; rework</x:v>
      </x:c>
      <x:c r="D716" t="str">
        <x:v>Resource inefficiency (materials/labor/energy), Unforeseen site/structural issues &amp; rework, Equipment constraints / low availability</x:v>
      </x:c>
      <x:c r="E716" t="str">
        <x:v>Unforeseen site/structural issues &amp; rework</x:v>
      </x:c>
      <x:c r="F716" t="str">
        <x:v>Equipment constraints / low availability</x:v>
      </x:c>
      <x:c r="G716" t="str">
        <x:v>Unforeseen site/structural issues &amp; rework, Equipment constraints / low availability, Resource inefficiency (materials/labor/energy)</x:v>
      </x:c>
      <x:c r="H716" t="str">
        <x:v>Cost overrun mainly linked to resource inefficiency (materials/labor/energy); schedule overrun mainly linked to unforeseen site/structural issues &amp; rework.</x:v>
      </x:c>
    </x:row>
    <x:row r="717">
      <x:c r="A717" t="str">
        <x:v>PJT_716</x:v>
      </x:c>
      <x:c r="B717" t="str">
        <x:v>Material supply / logistics &amp; market disruption</x:v>
      </x:c>
      <x:c r="C717" t="str">
        <x:v>Resource inefficiency (materials/labor/energy)</x:v>
      </x:c>
      <x:c r="D717" t="str">
        <x:v>Material supply / logistics &amp; market disruption, Resource inefficiency (materials/labor/energy), Weather disruption / environmental constraints</x:v>
      </x:c>
      <x:c r="E717" t="str">
        <x:v>Resource inefficiency (materials/labor/energy)</x:v>
      </x:c>
      <x:c r="F717" t="str">
        <x:v>Material supply / logistics &amp; market disruption</x:v>
      </x:c>
      <x:c r="G717" t="str">
        <x:v>Resource inefficiency (materials/labor/energy), Material supply / logistics &amp; market disruption, Weather disruption / environmental constraints</x:v>
      </x:c>
      <x:c r="H717" t="str">
        <x:v>Cost overrun mainly linked to material supply / logistics &amp; market disruption; schedule overrun mainly linked to resource inefficiency (materials/labor/energy).</x:v>
      </x:c>
    </x:row>
    <x:row r="718">
      <x:c r="A718" t="str">
        <x:v>PJT_717</x:v>
      </x:c>
      <x:c r="B718" t="str">
        <x:v>Equipment constraints / low availability</x:v>
      </x:c>
      <x:c r="C718" t="str">
        <x:v>Unforeseen site/structural issues &amp; rework</x:v>
      </x:c>
      <x:c r="D718" t="str">
        <x:v>Equipment constraints / low availability, Unforeseen site/structural issues &amp; rework, Planning &amp; estimation / coordination complexity</x:v>
      </x:c>
      <x:c r="E718" t="str">
        <x:v>Unforeseen site/structural issues &amp; rework</x:v>
      </x:c>
      <x:c r="F718" t="str">
        <x:v>Equipment constraints / low availability</x:v>
      </x:c>
      <x:c r="G718" t="str">
        <x:v>Unforeseen site/structural issues &amp; rework, Equipment constraints / low availability, Planning &amp; estimation / coordination complexity</x:v>
      </x:c>
      <x:c r="H718" t="str">
        <x:v>Cost overrun mainly linked to equipment constraints / low availability; schedule overrun mainly linked to unforeseen site/structural issues &amp; rework.</x:v>
      </x:c>
    </x:row>
    <x:row r="719">
      <x:c r="A719" t="str">
        <x:v>PJT_718</x:v>
      </x:c>
      <x:c r="B719" t="str">
        <x:v>Resource inefficiency (materials/labor/energy)</x:v>
      </x:c>
      <x:c r="C719" t="str">
        <x:v>Equipment constraints / low availability</x:v>
      </x:c>
      <x:c r="D719" t="str">
        <x:v>Resource inefficiency (materials/labor/energy), Equipment constraints / low availability, Planning &amp; estimation / coordination complexity</x:v>
      </x:c>
      <x:c r="E719" t="str">
        <x:v>Resource inefficiency (materials/labor/energy)</x:v>
      </x:c>
      <x:c r="F719" t="str">
        <x:v>Equipment constraints / low availability</x:v>
      </x:c>
      <x:c r="G719" t="str">
        <x:v>Resource inefficiency (materials/labor/energy), Equipment constraints / low availability, Planning &amp; estimation / coordination complexity</x:v>
      </x:c>
      <x:c r="H719" t="str">
        <x:v>Cost overrun mainly linked to resource inefficiency (materials/labor/energy); schedule overrun mainly linked to resource inefficiency (materials/labor/energy).</x:v>
      </x:c>
    </x:row>
    <x:row r="720">
      <x:c r="A720" t="str">
        <x:v>PJT_719</x:v>
      </x:c>
      <x:c r="B720" t="str">
        <x:v>Unforeseen site/structural issues &amp; rework</x:v>
      </x:c>
      <x:c r="C720" t="str">
        <x:v>Planning &amp; estimation / coordination complexity</x:v>
      </x:c>
      <x:c r="D720" t="str">
        <x:v>Unforeseen site/structural issues &amp; rework, Planning &amp; estimation / coordination complexity, Weather disruption / environmental constraints</x:v>
      </x:c>
      <x:c r="E720" t="str">
        <x:v>Unforeseen site/structural issues &amp; rework</x:v>
      </x:c>
      <x:c r="F720" t="str">
        <x:v>Planning &amp; estimation / coordination complexity</x:v>
      </x:c>
      <x:c r="G720" t="str">
        <x:v>Unforeseen site/structural issues &amp; rework, Planning &amp; estimation / coordination complexity, Weather disruption / environmental constraints</x:v>
      </x:c>
      <x:c r="H720" t="str">
        <x:v>Cost overrun mainly linked to unforeseen site/structural issues &amp; rework; schedule overrun mainly linked to unforeseen site/structural issues &amp; rework.</x:v>
      </x:c>
    </x:row>
    <x:row r="721">
      <x:c r="A721" t="str">
        <x:v>PJT_720</x:v>
      </x:c>
      <x:c r="B721" t="str">
        <x:v>Resource inefficiency (materials/labor/energy)</x:v>
      </x:c>
      <x:c r="C721" t="str">
        <x:v>Material supply / logistics &amp; market disruption</x:v>
      </x:c>
      <x:c r="D721" t="str">
        <x:v>Resource inefficiency (materials/labor/energy), Material supply / logistics &amp; market disruption, Planning &amp; estimation / coordination complexity</x:v>
      </x:c>
      <x:c r="E721" t="str">
        <x:v>Resource inefficiency (materials/labor/energy)</x:v>
      </x:c>
      <x:c r="F721" t="str">
        <x:v>Material supply / logistics &amp; market disruption</x:v>
      </x:c>
      <x:c r="G721" t="str">
        <x:v>Resource inefficiency (materials/labor/energy), Material supply / logistics &amp; market disruption, Planning &amp; estimation / coordination complexity</x:v>
      </x:c>
      <x:c r="H721" t="str">
        <x:v>Cost overrun mainly linked to resource inefficiency (materials/labor/energy); schedule overrun mainly linked to resource inefficiency (materials/labor/energy).</x:v>
      </x:c>
    </x:row>
    <x:row r="722">
      <x:c r="A722" t="str">
        <x:v>PJT_721</x:v>
      </x:c>
      <x:c r="B722" t="str">
        <x:v>Weather disruption / environmental constraints</x:v>
      </x:c>
      <x:c r="C722" t="str">
        <x:v>Unforeseen site/structural issues &amp; rework</x:v>
      </x:c>
      <x:c r="D722" t="str">
        <x:v>Weather disruption / environmental constraints, Unforeseen site/structural issues &amp; rework, Material supply / logistics &amp; market disruption</x:v>
      </x:c>
      <x:c r="E722" t="str">
        <x:v>Weather disruption / environmental constraints</x:v>
      </x:c>
      <x:c r="F722" t="str">
        <x:v>Unforeseen site/structural issues &amp; rework</x:v>
      </x:c>
      <x:c r="G722" t="str">
        <x:v>Weather disruption / environmental constraints, Unforeseen site/structural issues &amp; rework, Material supply / logistics &amp; market disruption</x:v>
      </x:c>
      <x:c r="H722" t="str">
        <x:v>Cost overrun mainly linked to weather disruption / environmental constraints; schedule overrun mainly linked to weather disruption / environmental constraints.</x:v>
      </x:c>
    </x:row>
    <x:row r="723">
      <x:c r="A723" t="str">
        <x:v>PJT_722</x:v>
      </x:c>
      <x:c r="B723" t="str">
        <x:v>Resource inefficiency (materials/labor/energy)</x:v>
      </x:c>
      <x:c r="C723" t="str">
        <x:v>Equipment constraints / low availability</x:v>
      </x:c>
      <x:c r="D723" t="str">
        <x:v>Resource inefficiency (materials/labor/energy), Equipment constraints / low availability, Material supply / logistics &amp; market disruption</x:v>
      </x:c>
      <x:c r="E723" t="str">
        <x:v>Resource inefficiency (materials/labor/energy)</x:v>
      </x:c>
      <x:c r="F723" t="str">
        <x:v>Equipment constraints / low availability</x:v>
      </x:c>
      <x:c r="G723" t="str">
        <x:v>Resource inefficiency (materials/labor/energy), Equipment constraints / low availability, Planning &amp; estimation / coordination complexity</x:v>
      </x:c>
      <x:c r="H723" t="str">
        <x:v>Cost overrun mainly linked to resource inefficiency (materials/labor/energy); schedule overrun mainly linked to resource inefficiency (materials/labor/energy).</x:v>
      </x:c>
    </x:row>
    <x:row r="724">
      <x:c r="A724" t="str">
        <x:v>PJT_723</x:v>
      </x:c>
      <x:c r="B724" t="str">
        <x:v>Planning &amp; estimation / coordination complexity</x:v>
      </x:c>
      <x:c r="C724" t="str">
        <x:v>Resource inefficiency (materials/labor/energy)</x:v>
      </x:c>
      <x:c r="D724" t="str">
        <x:v>Planning &amp; estimation / coordination complexity, Resource inefficiency (materials/labor/energy), Equipment constraints / low availability</x:v>
      </x:c>
      <x:c r="E724" t="str">
        <x:v>Planning &amp; estimation / coordination complexity</x:v>
      </x:c>
      <x:c r="F724" t="str">
        <x:v>Resource inefficiency (materials/labor/energy)</x:v>
      </x:c>
      <x:c r="G724" t="str">
        <x:v>Planning &amp; estimation / coordination complexity, Resource inefficiency (materials/labor/energy), Equipment constraints / low availability</x:v>
      </x:c>
      <x:c r="H724" t="str">
        <x:v>Cost overrun mainly linked to planning &amp; estimation / coordination complexity; schedule overrun mainly linked to planning &amp; estimation / coordination complexity.</x:v>
      </x:c>
    </x:row>
    <x:row r="725">
      <x:c r="A725" t="str">
        <x:v>PJT_724</x:v>
      </x:c>
      <x:c r="B725" t="str">
        <x:v>Planning &amp; estimation / coordination complexity</x:v>
      </x:c>
      <x:c r="C725" t="str">
        <x:v>Equipment constraints / low availability</x:v>
      </x:c>
      <x:c r="D725" t="str">
        <x:v>Planning &amp; estimation / coordination complexity, Equipment constraints / low availability, Resource inefficiency (materials/labor/energy)</x:v>
      </x:c>
      <x:c r="E725" t="str">
        <x:v>Planning &amp; estimation / coordination complexity</x:v>
      </x:c>
      <x:c r="F725" t="str">
        <x:v>Equipment constraints / low availability</x:v>
      </x:c>
      <x:c r="G725" t="str">
        <x:v>Planning &amp; estimation / coordination complexity, Equipment constraints / low availability, Resource inefficiency (materials/labor/energy)</x:v>
      </x:c>
      <x:c r="H725" t="str">
        <x:v>Cost overrun mainly linked to planning &amp; estimation / coordination complexity; schedule overrun mainly linked to planning &amp; estimation / coordination complexity.</x:v>
      </x:c>
    </x:row>
    <x:row r="726">
      <x:c r="A726" t="str">
        <x:v>PJT_725</x:v>
      </x:c>
      <x:c r="B726" t="str">
        <x:v>Resource inefficiency (materials/labor/energy)</x:v>
      </x:c>
      <x:c r="C726" t="str">
        <x:v>Planning &amp; estimation / coordination complexity</x:v>
      </x:c>
      <x:c r="D726" t="str">
        <x:v>Resource inefficiency (materials/labor/energy), Planning &amp; estimation / coordination complexity, Equipment constraints / low availability</x:v>
      </x:c>
      <x:c r="E726" t="str">
        <x:v>Resource inefficiency (materials/labor/energy)</x:v>
      </x:c>
      <x:c r="F726" t="str">
        <x:v>Planning &amp; estimation / coordination complexity</x:v>
      </x:c>
      <x:c r="G726" t="str">
        <x:v>Resource inefficiency (materials/labor/energy), Planning &amp; estimation / coordination complexity, Equipment constraints / low availability</x:v>
      </x:c>
      <x:c r="H726" t="str">
        <x:v>Cost overrun mainly linked to resource inefficiency (materials/labor/energy); schedule overrun mainly linked to resource inefficiency (materials/labor/energy).</x:v>
      </x:c>
    </x:row>
    <x:row r="727">
      <x:c r="A727" t="str">
        <x:v>PJT_726</x:v>
      </x:c>
      <x:c r="B727" t="str">
        <x:v>Planning &amp; estimation / coordination complexity</x:v>
      </x:c>
      <x:c r="C727" t="str">
        <x:v>Material supply / logistics &amp; market disruption</x:v>
      </x:c>
      <x:c r="D727" t="str">
        <x:v>Planning &amp; estimation / coordination complexity, Material supply / logistics &amp; market disruption, Unforeseen site/structural issues &amp; rework</x:v>
      </x:c>
      <x:c r="E727" t="str">
        <x:v>Planning &amp; estimation / coordination complexity</x:v>
      </x:c>
      <x:c r="F727" t="str">
        <x:v>Unforeseen site/structural issues &amp; rework</x:v>
      </x:c>
      <x:c r="G727" t="str">
        <x:v>Planning &amp; estimation / coordination complexity, Unforeseen site/structural issues &amp; rework, Material supply / logistics &amp; market disruption</x:v>
      </x:c>
      <x:c r="H727" t="str">
        <x:v>Cost overrun mainly linked to planning &amp; estimation / coordination complexity; schedule overrun mainly linked to planning &amp; estimation / coordination complexity.</x:v>
      </x:c>
    </x:row>
    <x:row r="728">
      <x:c r="A728" t="str">
        <x:v>PJT_727</x:v>
      </x:c>
      <x:c r="B728" t="str">
        <x:v>Equipment constraints / low availability</x:v>
      </x:c>
      <x:c r="C728" t="str">
        <x:v>Resource inefficiency (materials/labor/energy)</x:v>
      </x:c>
      <x:c r="D728" t="str">
        <x:v>Equipment constraints / low availability, Resource inefficiency (materials/labor/energy), Planning &amp; estimation / coordination complexity</x:v>
      </x:c>
      <x:c r="E728" t="str">
        <x:v>Equipment constraints / low availability</x:v>
      </x:c>
      <x:c r="F728" t="str">
        <x:v>Planning &amp; estimation / coordination complexity</x:v>
      </x:c>
      <x:c r="G728" t="str">
        <x:v>Equipment constraints / low availability, Planning &amp; estimation / coordination complexity, Resource inefficiency (materials/labor/energy)</x:v>
      </x:c>
      <x:c r="H728" t="str">
        <x:v>Cost overrun mainly linked to equipment constraints / low availability; schedule overrun mainly linked to equipment constraints / low availability.</x:v>
      </x:c>
    </x:row>
    <x:row r="729">
      <x:c r="A729" t="str">
        <x:v>PJT_728</x:v>
      </x:c>
      <x:c r="B729" t="str">
        <x:v>Unforeseen site/structural issues &amp; rework</x:v>
      </x:c>
      <x:c r="C729" t="str">
        <x:v>Planning &amp; estimation / coordination complexity</x:v>
      </x:c>
      <x:c r="D729" t="str">
        <x:v>Unforeseen site/structural issues &amp; rework, Planning &amp; estimation / coordination complexity, Weather disruption / environmental constraints</x:v>
      </x:c>
      <x:c r="E729" t="str">
        <x:v>Unforeseen site/structural issues &amp; rework</x:v>
      </x:c>
      <x:c r="F729" t="str">
        <x:v>Planning &amp; estimation / coordination complexity</x:v>
      </x:c>
      <x:c r="G729" t="str">
        <x:v>Unforeseen site/structural issues &amp; rework, Planning &amp; estimation / coordination complexity, Weather disruption / environmental constraints</x:v>
      </x:c>
      <x:c r="H729" t="str">
        <x:v>Cost overrun mainly linked to unforeseen site/structural issues &amp; rework; schedule overrun mainly linked to unforeseen site/structural issues &amp; rework.</x:v>
      </x:c>
    </x:row>
    <x:row r="730">
      <x:c r="A730" t="str">
        <x:v>PJT_729</x:v>
      </x:c>
      <x:c r="B730" t="str">
        <x:v>Resource inefficiency (materials/labor/energy)</x:v>
      </x:c>
      <x:c r="C730" t="str">
        <x:v>Material supply / logistics &amp; market disruption</x:v>
      </x:c>
      <x:c r="D730" t="str">
        <x:v>Resource inefficiency (materials/labor/energy), Material supply / logistics &amp; market disruption, Equipment constraints / low availability</x:v>
      </x:c>
      <x:c r="E730" t="str">
        <x:v>Resource inefficiency (materials/labor/energy)</x:v>
      </x:c>
      <x:c r="F730" t="str">
        <x:v>Equipment constraints / low availability</x:v>
      </x:c>
      <x:c r="G730" t="str">
        <x:v>Resource inefficiency (materials/labor/energy), Equipment constraints / low availability, Material supply / logistics &amp; market disruption</x:v>
      </x:c>
      <x:c r="H730" t="str">
        <x:v>Cost overrun mainly linked to resource inefficiency (materials/labor/energy); schedule overrun mainly linked to resource inefficiency (materials/labor/energy).</x:v>
      </x:c>
    </x:row>
    <x:row r="731">
      <x:c r="A731" t="str">
        <x:v>PJT_730</x:v>
      </x:c>
      <x:c r="B731" t="str">
        <x:v>Unforeseen site/structural issues &amp; rework</x:v>
      </x:c>
      <x:c r="C731" t="str">
        <x:v>Weather disruption / environmental constraints</x:v>
      </x:c>
      <x:c r="D731" t="str">
        <x:v>Unforeseen site/structural issues &amp; rework, Weather disruption / environmental constraints, Planning &amp; estimation / coordination complexity</x:v>
      </x:c>
      <x:c r="E731" t="str">
        <x:v>Unforeseen site/structural issues &amp; rework</x:v>
      </x:c>
      <x:c r="F731" t="str">
        <x:v>Weather disruption / environmental constraints</x:v>
      </x:c>
      <x:c r="G731" t="str">
        <x:v>Unforeseen site/structural issues &amp; rework, Weather disruption / environmental constraints, Planning &amp; estimation / coordination complexity</x:v>
      </x:c>
      <x:c r="H731" t="str">
        <x:v>Cost overrun mainly linked to unforeseen site/structural issues &amp; rework; schedule overrun mainly linked to unforeseen site/structural issues &amp; rework.</x:v>
      </x:c>
    </x:row>
    <x:row r="732">
      <x:c r="A732" t="str">
        <x:v>PJT_731</x:v>
      </x:c>
      <x:c r="B732" t="str">
        <x:v>Resource inefficiency (materials/labor/energy)</x:v>
      </x:c>
      <x:c r="C732" t="str">
        <x:v>Material supply / logistics &amp; market disruption</x:v>
      </x:c>
      <x:c r="D732" t="str">
        <x:v>Resource inefficiency (materials/labor/energy), Material supply / logistics &amp; market disruption, Planning &amp; estimation / coordination complexity</x:v>
      </x:c>
      <x:c r="E732" t="str">
        <x:v>Resource inefficiency (materials/labor/energy)</x:v>
      </x:c>
      <x:c r="F732" t="str">
        <x:v>Planning &amp; estimation / coordination complexity</x:v>
      </x:c>
      <x:c r="G732" t="str">
        <x:v>Resource inefficiency (materials/labor/energy), Planning &amp; estimation / coordination complexity, Material supply / logistics &amp; market disruption</x:v>
      </x:c>
      <x:c r="H732" t="str">
        <x:v>Cost overrun mainly linked to resource inefficiency (materials/labor/energy); schedule overrun mainly linked to resource inefficiency (materials/labor/energy).</x:v>
      </x:c>
    </x:row>
    <x:row r="733">
      <x:c r="A733" t="str">
        <x:v>PJT_732</x:v>
      </x:c>
      <x:c r="B733" t="str">
        <x:v>Resource inefficiency (materials/labor/energy)</x:v>
      </x:c>
      <x:c r="C733" t="str">
        <x:v>Unforeseen site/structural issues &amp; rework</x:v>
      </x:c>
      <x:c r="D733" t="str">
        <x:v>Resource inefficiency (materials/labor/energy), Unforeseen site/structural issues &amp; rework, Material supply / logistics &amp; market disruption</x:v>
      </x:c>
      <x:c r="E733" t="str">
        <x:v>Resource inefficiency (materials/labor/energy)</x:v>
      </x:c>
      <x:c r="F733" t="str">
        <x:v>Unforeseen site/structural issues &amp; rework</x:v>
      </x:c>
      <x:c r="G733" t="str">
        <x:v>Resource inefficiency (materials/labor/energy), Unforeseen site/structural issues &amp; rework, Planning &amp; estimation / coordination complexity</x:v>
      </x:c>
      <x:c r="H733" t="str">
        <x:v>Cost overrun mainly linked to resource inefficiency (materials/labor/energy); schedule overrun mainly linked to resource inefficiency (materials/labor/energy).</x:v>
      </x:c>
    </x:row>
    <x:row r="734">
      <x:c r="A734" t="str">
        <x:v>PJT_733</x:v>
      </x:c>
      <x:c r="B734" t="str">
        <x:v>Resource inefficiency (materials/labor/energy)</x:v>
      </x:c>
      <x:c r="C734" t="str">
        <x:v>Planning &amp; estimation / coordination complexity</x:v>
      </x:c>
      <x:c r="D734" t="str">
        <x:v>Resource inefficiency (materials/labor/energy), Planning &amp; estimation / coordination complexity, Material supply / logistics &amp; market disruption</x:v>
      </x:c>
      <x:c r="E734" t="str">
        <x:v>Resource inefficiency (materials/labor/energy)</x:v>
      </x:c>
      <x:c r="F734" t="str">
        <x:v>Planning &amp; estimation / coordination complexity</x:v>
      </x:c>
      <x:c r="G734" t="str">
        <x:v>Resource inefficiency (materials/labor/energy), Planning &amp; estimation / coordination complexity, Equipment constraints / low availability</x:v>
      </x:c>
      <x:c r="H734" t="str">
        <x:v>Cost overrun mainly linked to resource inefficiency (materials/labor/energy); schedule overrun mainly linked to resource inefficiency (materials/labor/energy).</x:v>
      </x:c>
    </x:row>
    <x:row r="735">
      <x:c r="A735" t="str">
        <x:v>PJT_734</x:v>
      </x:c>
      <x:c r="B735" t="str">
        <x:v>Unforeseen site/structural issues &amp; rework</x:v>
      </x:c>
      <x:c r="C735" t="str">
        <x:v>Weather disruption / environmental constraints</x:v>
      </x:c>
      <x:c r="D735" t="str">
        <x:v>Unforeseen site/structural issues &amp; rework, Weather disruption / environmental constraints, Planning &amp; estimation / coordination complexity</x:v>
      </x:c>
      <x:c r="E735" t="str">
        <x:v>Unforeseen site/structural issues &amp; rework</x:v>
      </x:c>
      <x:c r="F735" t="str">
        <x:v>Weather disruption / environmental constraints</x:v>
      </x:c>
      <x:c r="G735" t="str">
        <x:v>Unforeseen site/structural issues &amp; rework, Weather disruption / environmental constraints, Planning &amp; estimation / coordination complexity</x:v>
      </x:c>
      <x:c r="H735" t="str">
        <x:v>Cost overrun mainly linked to unforeseen site/structural issues &amp; rework; schedule overrun mainly linked to unforeseen site/structural issues &amp; rework.</x:v>
      </x:c>
    </x:row>
    <x:row r="736">
      <x:c r="A736" t="str">
        <x:v>PJT_735</x:v>
      </x:c>
      <x:c r="B736" t="str">
        <x:v>Weather disruption / environmental constraints</x:v>
      </x:c>
      <x:c r="C736" t="str">
        <x:v>Resource inefficiency (materials/labor/energy)</x:v>
      </x:c>
      <x:c r="D736" t="str">
        <x:v>Weather disruption / environmental constraints, Resource inefficiency (materials/labor/energy), Material supply / logistics &amp; market disruption</x:v>
      </x:c>
      <x:c r="E736" t="str">
        <x:v>Resource inefficiency (materials/labor/energy)</x:v>
      </x:c>
      <x:c r="F736" t="str">
        <x:v>Weather disruption / environmental constraints</x:v>
      </x:c>
      <x:c r="G736" t="str">
        <x:v>Resource inefficiency (materials/labor/energy), Weather disruption / environmental constraints, Material supply / logistics &amp; market disruption</x:v>
      </x:c>
      <x:c r="H736" t="str">
        <x:v>Cost overrun mainly linked to weather disruption / environmental constraints; schedule overrun mainly linked to resource inefficiency (materials/labor/energy).</x:v>
      </x:c>
    </x:row>
    <x:row r="737">
      <x:c r="A737" t="str">
        <x:v>PJT_736</x:v>
      </x:c>
      <x:c r="B737" t="str">
        <x:v>Equipment constraints / low availability</x:v>
      </x:c>
      <x:c r="C737" t="str">
        <x:v>Resource inefficiency (materials/labor/energy)</x:v>
      </x:c>
      <x:c r="D737" t="str">
        <x:v>Equipment constraints / low availability, Resource inefficiency (materials/labor/energy), Planning &amp; estimation / coordination complexity</x:v>
      </x:c>
      <x:c r="E737" t="str">
        <x:v>Equipment constraints / low availability</x:v>
      </x:c>
      <x:c r="F737" t="str">
        <x:v>Resource inefficiency (materials/labor/energy)</x:v>
      </x:c>
      <x:c r="G737" t="str">
        <x:v>Equipment constraints / low availability, Resource inefficiency (materials/labor/energy), Planning &amp; estimation / coordination complexity</x:v>
      </x:c>
      <x:c r="H737" t="str">
        <x:v>Cost overrun mainly linked to equipment constraints / low availability; schedule overrun mainly linked to equipment constraints / low availability.</x:v>
      </x:c>
    </x:row>
    <x:row r="738">
      <x:c r="A738" t="str">
        <x:v>PJT_737</x:v>
      </x:c>
      <x:c r="B738" t="str">
        <x:v>Equipment constraints / low availability</x:v>
      </x:c>
      <x:c r="C738" t="str">
        <x:v>Unforeseen site/structural issues &amp; rework</x:v>
      </x:c>
      <x:c r="D738" t="str">
        <x:v>Equipment constraints / low availability, Unforeseen site/structural issues &amp; rework, Planning &amp; estimation / coordination complexity</x:v>
      </x:c>
      <x:c r="E738" t="str">
        <x:v>Unforeseen site/structural issues &amp; rework</x:v>
      </x:c>
      <x:c r="F738" t="str">
        <x:v>Equipment constraints / low availability</x:v>
      </x:c>
      <x:c r="G738" t="str">
        <x:v>Unforeseen site/structural issues &amp; rework, Equipment constraints / low availability, Planning &amp; estimation / coordination complexity</x:v>
      </x:c>
      <x:c r="H738" t="str">
        <x:v>Cost overrun mainly linked to equipment constraints / low availability; schedule overrun mainly linked to unforeseen site/structural issues &amp; rework.</x:v>
      </x:c>
    </x:row>
    <x:row r="739">
      <x:c r="A739" t="str">
        <x:v>PJT_738</x:v>
      </x:c>
      <x:c r="B739" t="str">
        <x:v>Unforeseen site/structural issues &amp; rework</x:v>
      </x:c>
      <x:c r="C739" t="str">
        <x:v>Planning &amp; estimation / coordination complexity</x:v>
      </x:c>
      <x:c r="D739" t="str">
        <x:v>Unforeseen site/structural issues &amp; rework, Planning &amp; estimation / coordination complexity, Equipment constraints / low availability</x:v>
      </x:c>
      <x:c r="E739" t="str">
        <x:v>Unforeseen site/structural issues &amp; rework</x:v>
      </x:c>
      <x:c r="F739" t="str">
        <x:v>Planning &amp; estimation / coordination complexity</x:v>
      </x:c>
      <x:c r="G739" t="str">
        <x:v>Unforeseen site/structural issues &amp; rework, Planning &amp; estimation / coordination complexity, Equipment constraints / low availability</x:v>
      </x:c>
      <x:c r="H739" t="str">
        <x:v>Cost overrun mainly linked to unforeseen site/structural issues &amp; rework; schedule overrun mainly linked to unforeseen site/structural issues &amp; rework.</x:v>
      </x:c>
    </x:row>
    <x:row r="740">
      <x:c r="A740" t="str">
        <x:v>PJT_739</x:v>
      </x:c>
      <x:c r="B740" t="str">
        <x:v>Unforeseen site/structural issues &amp; rework</x:v>
      </x:c>
      <x:c r="C740" t="str">
        <x:v>Planning &amp; estimation / coordination complexity</x:v>
      </x:c>
      <x:c r="D740" t="str">
        <x:v>Unforeseen site/structural issues &amp; rework, Planning &amp; estimation / coordination complexity, Weather disruption / environmental constraints</x:v>
      </x:c>
      <x:c r="E740" t="str">
        <x:v>Unforeseen site/structural issues &amp; rework</x:v>
      </x:c>
      <x:c r="F740" t="str">
        <x:v>Planning &amp; estimation / coordination complexity</x:v>
      </x:c>
      <x:c r="G740" t="str">
        <x:v>Unforeseen site/structural issues &amp; rework, Planning &amp; estimation / coordination complexity, Weather disruption / environmental constraints</x:v>
      </x:c>
      <x:c r="H740" t="str">
        <x:v>Cost overrun mainly linked to unforeseen site/structural issues &amp; rework; schedule overrun mainly linked to unforeseen site/structural issues &amp; rework.</x:v>
      </x:c>
    </x:row>
    <x:row r="741">
      <x:c r="A741" t="str">
        <x:v>PJT_740</x:v>
      </x:c>
      <x:c r="B741" t="str">
        <x:v>Equipment constraints / low availability</x:v>
      </x:c>
      <x:c r="C741" t="str">
        <x:v>Planning &amp; estimation / coordination complexity</x:v>
      </x:c>
      <x:c r="D741" t="str">
        <x:v>Equipment constraints / low availability, Planning &amp; estimation / coordination complexity, Resource inefficiency (materials/labor/energy)</x:v>
      </x:c>
      <x:c r="E741" t="str">
        <x:v>Equipment constraints / low availability</x:v>
      </x:c>
      <x:c r="F741" t="str">
        <x:v>Planning &amp; estimation / coordination complexity</x:v>
      </x:c>
      <x:c r="G741" t="str">
        <x:v>Equipment constraints / low availability, Planning &amp; estimation / coordination complexity, Resource inefficiency (materials/labor/energy)</x:v>
      </x:c>
      <x:c r="H741" t="str">
        <x:v>Cost overrun mainly linked to equipment constraints / low availability; schedule overrun mainly linked to equipment constraints / low availability.</x:v>
      </x:c>
    </x:row>
    <x:row r="742">
      <x:c r="A742" t="str">
        <x:v>PJT_741</x:v>
      </x:c>
      <x:c r="B742" t="str">
        <x:v>Weather disruption / environmental constraints</x:v>
      </x:c>
      <x:c r="C742" t="str">
        <x:v>Unforeseen site/structural issues &amp; rework</x:v>
      </x:c>
      <x:c r="D742" t="str">
        <x:v>Weather disruption / environmental constraints, Unforeseen site/structural issues &amp; rework, Material supply / logistics &amp; market disruption</x:v>
      </x:c>
      <x:c r="E742" t="str">
        <x:v>Weather disruption / environmental constraints</x:v>
      </x:c>
      <x:c r="F742" t="str">
        <x:v>Material supply / logistics &amp; market disruption</x:v>
      </x:c>
      <x:c r="G742" t="str">
        <x:v>Weather disruption / environmental constraints, Material supply / logistics &amp; market disruption, Unforeseen site/structural issues &amp; rework</x:v>
      </x:c>
      <x:c r="H742" t="str">
        <x:v>Cost overrun mainly linked to weather disruption / environmental constraints; schedule overrun mainly linked to weather disruption / environmental constraints.</x:v>
      </x:c>
    </x:row>
    <x:row r="743">
      <x:c r="A743" t="str">
        <x:v>PJT_742</x:v>
      </x:c>
      <x:c r="B743" t="str">
        <x:v>Weather disruption / environmental constraints</x:v>
      </x:c>
      <x:c r="C743" t="str">
        <x:v>Equipment constraints / low availability</x:v>
      </x:c>
      <x:c r="D743" t="str">
        <x:v>Weather disruption / environmental constraints, Equipment constraints / low availability, Material supply / logistics &amp; market disruption</x:v>
      </x:c>
      <x:c r="E743" t="str">
        <x:v>Weather disruption / environmental constraints</x:v>
      </x:c>
      <x:c r="F743" t="str">
        <x:v>Equipment constraints / low availability</x:v>
      </x:c>
      <x:c r="G743" t="str">
        <x:v>Weather disruption / environmental constraints, Equipment constraints / low availability, Material supply / logistics &amp; market disruption</x:v>
      </x:c>
      <x:c r="H743" t="str">
        <x:v>Cost overrun mainly linked to weather disruption / environmental constraints; schedule overrun mainly linked to weather disruption / environmental constraints.</x:v>
      </x:c>
    </x:row>
    <x:row r="744">
      <x:c r="A744" t="str">
        <x:v>PJT_743</x:v>
      </x:c>
      <x:c r="B744" t="str">
        <x:v>Unforeseen site/structural issues &amp; rework</x:v>
      </x:c>
      <x:c r="C744" t="str">
        <x:v>Equipment constraints / low availability</x:v>
      </x:c>
      <x:c r="D744" t="str">
        <x:v>Unforeseen site/structural issues &amp; rework, Equipment constraints / low availability, Planning &amp; estimation / coordination complexity</x:v>
      </x:c>
      <x:c r="E744" t="str">
        <x:v>Unforeseen site/structural issues &amp; rework</x:v>
      </x:c>
      <x:c r="F744" t="str">
        <x:v>Equipment constraints / low availability</x:v>
      </x:c>
      <x:c r="G744" t="str">
        <x:v>Unforeseen site/structural issues &amp; rework, Equipment constraints / low availability, Planning &amp; estimation / coordination complexity</x:v>
      </x:c>
      <x:c r="H744" t="str">
        <x:v>Cost overrun mainly linked to unforeseen site/structural issues &amp; rework; schedule overrun mainly linked to unforeseen site/structural issues &amp; rework.</x:v>
      </x:c>
    </x:row>
    <x:row r="745">
      <x:c r="A745" t="str">
        <x:v>PJT_744</x:v>
      </x:c>
      <x:c r="B745" t="str">
        <x:v>Weather disruption / environmental constraints</x:v>
      </x:c>
      <x:c r="C745" t="str">
        <x:v>Unforeseen site/structural issues &amp; rework</x:v>
      </x:c>
      <x:c r="D745" t="str">
        <x:v>Weather disruption / environmental constraints, Unforeseen site/structural issues &amp; rework, Planning &amp; estimation / coordination complexity</x:v>
      </x:c>
      <x:c r="E745" t="str">
        <x:v>Unforeseen site/structural issues &amp; rework</x:v>
      </x:c>
      <x:c r="F745" t="str">
        <x:v>Weather disruption / environmental constraints</x:v>
      </x:c>
      <x:c r="G745" t="str">
        <x:v>Unforeseen site/structural issues &amp; rework, Weather disruption / environmental constraints, Planning &amp; estimation / coordination complexity</x:v>
      </x:c>
      <x:c r="H745" t="str">
        <x:v>Cost overrun mainly linked to weather disruption / environmental constraints; schedule overrun mainly linked to unforeseen site/structural issues &amp; rework.</x:v>
      </x:c>
    </x:row>
    <x:row r="746">
      <x:c r="A746" t="str">
        <x:v>PJT_745</x:v>
      </x:c>
      <x:c r="B746" t="str">
        <x:v>Weather disruption / environmental constraints</x:v>
      </x:c>
      <x:c r="C746" t="str">
        <x:v>Planning &amp; estimation / coordination complexity</x:v>
      </x:c>
      <x:c r="D746" t="str">
        <x:v>Weather disruption / environmental constraints, Planning &amp; estimation / coordination complexity, Unforeseen site/structural issues &amp; rework</x:v>
      </x:c>
      <x:c r="E746" t="str">
        <x:v>Weather disruption / environmental constraints</x:v>
      </x:c>
      <x:c r="F746" t="str">
        <x:v>Unforeseen site/structural issues &amp; rework</x:v>
      </x:c>
      <x:c r="G746" t="str">
        <x:v>Weather disruption / environmental constraints, Unforeseen site/structural issues &amp; rework, Planning &amp; estimation / coordination complexity</x:v>
      </x:c>
      <x:c r="H746" t="str">
        <x:v>Cost overrun mainly linked to weather disruption / environmental constraints; schedule overrun mainly linked to weather disruption / environmental constraints.</x:v>
      </x:c>
    </x:row>
    <x:row r="747">
      <x:c r="A747" t="str">
        <x:v>PJT_746</x:v>
      </x:c>
      <x:c r="B747" t="str">
        <x:v>Planning &amp; estimation / coordination complexity</x:v>
      </x:c>
      <x:c r="C747" t="str">
        <x:v>Equipment constraints / low availability</x:v>
      </x:c>
      <x:c r="D747" t="str">
        <x:v>Planning &amp; estimation / coordination complexity, Equipment constraints / low availability, Resource inefficiency (materials/labor/energy)</x:v>
      </x:c>
      <x:c r="E747" t="str">
        <x:v>Resource inefficiency (materials/labor/energy)</x:v>
      </x:c>
      <x:c r="F747" t="str">
        <x:v>Planning &amp; estimation / coordination complexity</x:v>
      </x:c>
      <x:c r="G747" t="str">
        <x:v>Resource inefficiency (materials/labor/energy), Planning &amp; estimation / coordination complexity, Equipment constraints / low availability</x:v>
      </x:c>
      <x:c r="H747" t="str">
        <x:v>Cost overrun mainly linked to planning &amp; estimation / coordination complexity; schedule overrun mainly linked to resource inefficiency (materials/labor/energy).</x:v>
      </x:c>
    </x:row>
    <x:row r="748">
      <x:c r="A748" t="str">
        <x:v>PJT_747</x:v>
      </x:c>
      <x:c r="B748" t="str">
        <x:v>Resource inefficiency (materials/labor/energy)</x:v>
      </x:c>
      <x:c r="C748" t="str">
        <x:v>Material supply / logistics &amp; market disruption</x:v>
      </x:c>
      <x:c r="D748" t="str">
        <x:v>Resource inefficiency (materials/labor/energy), Material supply / logistics &amp; market disruption, Planning &amp; estimation / coordination complexity</x:v>
      </x:c>
      <x:c r="E748" t="str">
        <x:v>Resource inefficiency (materials/labor/energy)</x:v>
      </x:c>
      <x:c r="F748" t="str">
        <x:v>Material supply / logistics &amp; market disruption</x:v>
      </x:c>
      <x:c r="G748" t="str">
        <x:v>Resource inefficiency (materials/labor/energy), Material supply / logistics &amp; market disruption, Planning &amp; estimation / coordination complexity</x:v>
      </x:c>
      <x:c r="H748" t="str">
        <x:v>Cost overrun mainly linked to resource inefficiency (materials/labor/energy); schedule overrun mainly linked to resource inefficiency (materials/labor/energy).</x:v>
      </x:c>
    </x:row>
    <x:row r="749">
      <x:c r="A749" t="str">
        <x:v>PJT_748</x:v>
      </x:c>
      <x:c r="B749" t="str">
        <x:v>Planning &amp; estimation / coordination complexity</x:v>
      </x:c>
      <x:c r="C749" t="str">
        <x:v>Resource inefficiency (materials/labor/energy)</x:v>
      </x:c>
      <x:c r="D749" t="str">
        <x:v>Planning &amp; estimation / coordination complexity, Resource inefficiency (materials/labor/energy), Equipment constraints / low availability</x:v>
      </x:c>
      <x:c r="E749" t="str">
        <x:v>Planning &amp; estimation / coordination complexity</x:v>
      </x:c>
      <x:c r="F749" t="str">
        <x:v>Resource inefficiency (materials/labor/energy)</x:v>
      </x:c>
      <x:c r="G749" t="str">
        <x:v>Planning &amp; estimation / coordination complexity, Resource inefficiency (materials/labor/energy), Equipment constraints / low availability</x:v>
      </x:c>
      <x:c r="H749" t="str">
        <x:v>Cost overrun mainly linked to planning &amp; estimation / coordination complexity; schedule overrun mainly linked to planning &amp; estimation / coordination complexity.</x:v>
      </x:c>
    </x:row>
    <x:row r="750">
      <x:c r="A750" t="str">
        <x:v>PJT_749</x:v>
      </x:c>
      <x:c r="B750" t="str">
        <x:v>Weather disruption / environmental constraints</x:v>
      </x:c>
      <x:c r="C750" t="str">
        <x:v>Resource inefficiency (materials/labor/energy)</x:v>
      </x:c>
      <x:c r="D750" t="str">
        <x:v>Weather disruption / environmental constraints, Resource inefficiency (materials/labor/energy), Material supply / logistics &amp; market disruption</x:v>
      </x:c>
      <x:c r="E750" t="str">
        <x:v>Weather disruption / environmental constraints</x:v>
      </x:c>
      <x:c r="F750" t="str">
        <x:v>Resource inefficiency (materials/labor/energy)</x:v>
      </x:c>
      <x:c r="G750" t="str">
        <x:v>Weather disruption / environmental constraints, Resource inefficiency (materials/labor/energy), Material supply / logistics &amp; market disruption</x:v>
      </x:c>
      <x:c r="H750" t="str">
        <x:v>Cost overrun mainly linked to weather disruption / environmental constraints; schedule overrun mainly linked to weather disruption / environmental constraints.</x:v>
      </x:c>
    </x:row>
    <x:row r="751">
      <x:c r="A751" t="str">
        <x:v>PJT_750</x:v>
      </x:c>
      <x:c r="B751" t="str">
        <x:v>Material supply / logistics &amp; market disruption</x:v>
      </x:c>
      <x:c r="C751" t="str">
        <x:v>Equipment constraints / low availability</x:v>
      </x:c>
      <x:c r="D751" t="str">
        <x:v>Material supply / logistics &amp; market disruption, Equipment constraints / low availability, Resource inefficiency (materials/labor/energy)</x:v>
      </x:c>
      <x:c r="E751" t="str">
        <x:v>Material supply / logistics &amp; market disruption</x:v>
      </x:c>
      <x:c r="F751" t="str">
        <x:v>Equipment constraints / low availability</x:v>
      </x:c>
      <x:c r="G751" t="str">
        <x:v>Material supply / logistics &amp; market disruption, Equipment constraints / low availability, Resource inefficiency (materials/labor/energy)</x:v>
      </x:c>
      <x:c r="H751" t="str">
        <x:v>Cost overrun mainly linked to material supply / logistics &amp; market disruption; schedule overrun mainly linked to material supply / logistics &amp; market disruption.</x:v>
      </x:c>
    </x:row>
    <x:row r="752">
      <x:c r="A752" t="str">
        <x:v>PJT_751</x:v>
      </x:c>
      <x:c r="B752" t="str">
        <x:v>Weather disruption / environmental constraints</x:v>
      </x:c>
      <x:c r="C752" t="str">
        <x:v>Equipment constraints / low availability</x:v>
      </x:c>
      <x:c r="D752" t="str">
        <x:v>Weather disruption / environmental constraints, Equipment constraints / low availability, Unforeseen site/structural issues &amp; rework</x:v>
      </x:c>
      <x:c r="E752" t="str">
        <x:v>Weather disruption / environmental constraints</x:v>
      </x:c>
      <x:c r="F752" t="str">
        <x:v>Equipment constraints / low availability</x:v>
      </x:c>
      <x:c r="G752" t="str">
        <x:v>Weather disruption / environmental constraints, Equipment constraints / low availability, Unforeseen site/structural issues &amp; rework</x:v>
      </x:c>
      <x:c r="H752" t="str">
        <x:v>Cost overrun mainly linked to weather disruption / environmental constraints; schedule overrun mainly linked to weather disruption / environmental constraints.</x:v>
      </x:c>
    </x:row>
    <x:row r="753">
      <x:c r="A753" t="str">
        <x:v>PJT_752</x:v>
      </x:c>
      <x:c r="B753" t="str">
        <x:v>Resource inefficiency (materials/labor/energy)</x:v>
      </x:c>
      <x:c r="C753" t="str">
        <x:v>Planning &amp; estimation / coordination complexity</x:v>
      </x:c>
      <x:c r="D753" t="str">
        <x:v>Resource inefficiency (materials/labor/energy), Planning &amp; estimation / coordination complexity, Unforeseen site/structural issues &amp; rework</x:v>
      </x:c>
      <x:c r="E753" t="str">
        <x:v>Planning &amp; estimation / coordination complexity</x:v>
      </x:c>
      <x:c r="F753" t="str">
        <x:v>Resource inefficiency (materials/labor/energy)</x:v>
      </x:c>
      <x:c r="G753" t="str">
        <x:v>Planning &amp; estimation / coordination complexity, Resource inefficiency (materials/labor/energy), Unforeseen site/structural issues &amp; rework</x:v>
      </x:c>
      <x:c r="H753" t="str">
        <x:v>Cost overrun mainly linked to resource inefficiency (materials/labor/energy); schedule overrun mainly linked to planning &amp; estimation / coordination complexity.</x:v>
      </x:c>
    </x:row>
    <x:row r="754">
      <x:c r="A754" t="str">
        <x:v>PJT_753</x:v>
      </x:c>
      <x:c r="B754" t="str">
        <x:v>Resource inefficiency (materials/labor/energy)</x:v>
      </x:c>
      <x:c r="C754" t="str">
        <x:v>Planning &amp; estimation / coordination complexity</x:v>
      </x:c>
      <x:c r="D754" t="str">
        <x:v>Resource inefficiency (materials/labor/energy), Planning &amp; estimation / coordination complexity, Equipment constraints / low availability</x:v>
      </x:c>
      <x:c r="E754" t="str">
        <x:v>Resource inefficiency (materials/labor/energy)</x:v>
      </x:c>
      <x:c r="F754" t="str">
        <x:v>Planning &amp; estimation / coordination complexity</x:v>
      </x:c>
      <x:c r="G754" t="str">
        <x:v>Resource inefficiency (materials/labor/energy), Planning &amp; estimation / coordination complexity, Equipment constraints / low availability</x:v>
      </x:c>
      <x:c r="H754" t="str">
        <x:v>Cost overrun mainly linked to resource inefficiency (materials/labor/energy); schedule overrun mainly linked to resource inefficiency (materials/labor/energy).</x:v>
      </x:c>
    </x:row>
    <x:row r="755">
      <x:c r="A755" t="str">
        <x:v>PJT_754</x:v>
      </x:c>
      <x:c r="B755" t="str">
        <x:v>Weather disruption / environmental constraints</x:v>
      </x:c>
      <x:c r="C755" t="str">
        <x:v>Unforeseen site/structural issues &amp; rework</x:v>
      </x:c>
      <x:c r="D755" t="str">
        <x:v>Weather disruption / environmental constraints, Unforeseen site/structural issues &amp; rework, Planning &amp; estimation / coordination complexity</x:v>
      </x:c>
      <x:c r="E755" t="str">
        <x:v>Weather disruption / environmental constraints</x:v>
      </x:c>
      <x:c r="F755" t="str">
        <x:v>Unforeseen site/structural issues &amp; rework</x:v>
      </x:c>
      <x:c r="G755" t="str">
        <x:v>Weather disruption / environmental constraints, Unforeseen site/structural issues &amp; rework, Material supply / logistics &amp; market disruption</x:v>
      </x:c>
      <x:c r="H755" t="str">
        <x:v>Cost overrun mainly linked to weather disruption / environmental constraints; schedule overrun mainly linked to weather disruption / environmental constraints.</x:v>
      </x:c>
    </x:row>
    <x:row r="756">
      <x:c r="A756" t="str">
        <x:v>PJT_755</x:v>
      </x:c>
      <x:c r="B756" t="str">
        <x:v>Equipment constraints / low availability</x:v>
      </x:c>
      <x:c r="C756" t="str">
        <x:v>Unforeseen site/structural issues &amp; rework</x:v>
      </x:c>
      <x:c r="D756" t="str">
        <x:v>Equipment constraints / low availability, Unforeseen site/structural issues &amp; rework, Weather disruption / environmental constraints</x:v>
      </x:c>
      <x:c r="E756" t="str">
        <x:v>Equipment constraints / low availability</x:v>
      </x:c>
      <x:c r="F756" t="str">
        <x:v>Weather disruption / environmental constraints</x:v>
      </x:c>
      <x:c r="G756" t="str">
        <x:v>Equipment constraints / low availability, Weather disruption / environmental constraints, Unforeseen site/structural issues &amp; rework</x:v>
      </x:c>
      <x:c r="H756" t="str">
        <x:v>Cost overrun mainly linked to equipment constraints / low availability; schedule overrun mainly linked to equipment constraints / low availability.</x:v>
      </x:c>
    </x:row>
    <x:row r="757">
      <x:c r="A757" t="str">
        <x:v>PJT_756</x:v>
      </x:c>
      <x:c r="B757" t="str">
        <x:v>Resource inefficiency (materials/labor/energy)</x:v>
      </x:c>
      <x:c r="C757" t="str">
        <x:v>Material supply / logistics &amp; market disruption</x:v>
      </x:c>
      <x:c r="D757" t="str">
        <x:v>Resource inefficiency (materials/labor/energy), Material supply / logistics &amp; market disruption, Equipment constraints / low availability</x:v>
      </x:c>
      <x:c r="E757" t="str">
        <x:v>Resource inefficiency (materials/labor/energy)</x:v>
      </x:c>
      <x:c r="F757" t="str">
        <x:v>Material supply / logistics &amp; market disruption</x:v>
      </x:c>
      <x:c r="G757" t="str">
        <x:v>Resource inefficiency (materials/labor/energy), Material supply / logistics &amp; market disruption, Equipment constraints / low availability</x:v>
      </x:c>
      <x:c r="H757" t="str">
        <x:v>Cost overrun mainly linked to resource inefficiency (materials/labor/energy); schedule overrun mainly linked to resource inefficiency (materials/labor/energy).</x:v>
      </x:c>
    </x:row>
    <x:row r="758">
      <x:c r="A758" t="str">
        <x:v>PJT_757</x:v>
      </x:c>
      <x:c r="B758" t="str">
        <x:v>Weather disruption / environmental constraints</x:v>
      </x:c>
      <x:c r="C758" t="str">
        <x:v>Equipment constraints / low availability</x:v>
      </x:c>
      <x:c r="D758" t="str">
        <x:v>Weather disruption / environmental constraints, Equipment constraints / low availability, Planning &amp; estimation / coordination complexity</x:v>
      </x:c>
      <x:c r="E758" t="str">
        <x:v>Weather disruption / environmental constraints</x:v>
      </x:c>
      <x:c r="F758" t="str">
        <x:v>Equipment constraints / low availability</x:v>
      </x:c>
      <x:c r="G758" t="str">
        <x:v>Weather disruption / environmental constraints, Equipment constraints / low availability, Planning &amp; estimation / coordination complexity</x:v>
      </x:c>
      <x:c r="H758" t="str">
        <x:v>Cost overrun mainly linked to weather disruption / environmental constraints; schedule overrun mainly linked to weather disruption / environmental constraints.</x:v>
      </x:c>
    </x:row>
    <x:row r="759">
      <x:c r="A759" t="str">
        <x:v>PJT_758</x:v>
      </x:c>
      <x:c r="B759" t="str">
        <x:v>Unforeseen site/structural issues &amp; rework</x:v>
      </x:c>
      <x:c r="C759" t="str">
        <x:v>Resource inefficiency (materials/labor/energy)</x:v>
      </x:c>
      <x:c r="D759" t="str">
        <x:v>Unforeseen site/structural issues &amp; rework, Resource inefficiency (materials/labor/energy), Planning &amp; estimation / coordination complexity</x:v>
      </x:c>
      <x:c r="E759" t="str">
        <x:v>Unforeseen site/structural issues &amp; rework</x:v>
      </x:c>
      <x:c r="F759" t="str">
        <x:v>Resource inefficiency (materials/labor/energy)</x:v>
      </x:c>
      <x:c r="G759" t="str">
        <x:v>Unforeseen site/structural issues &amp; rework, Resource inefficiency (materials/labor/energy), Planning &amp; estimation / coordination complexity</x:v>
      </x:c>
      <x:c r="H759" t="str">
        <x:v>Cost overrun mainly linked to unforeseen site/structural issues &amp; rework; schedule overrun mainly linked to unforeseen site/structural issues &amp; rework.</x:v>
      </x:c>
    </x:row>
    <x:row r="760">
      <x:c r="A760" t="str">
        <x:v>PJT_759</x:v>
      </x:c>
      <x:c r="B760" t="str">
        <x:v>Resource inefficiency (materials/labor/energy)</x:v>
      </x:c>
      <x:c r="C760" t="str">
        <x:v>Material supply / logistics &amp; market disruption</x:v>
      </x:c>
      <x:c r="D760" t="str">
        <x:v>Resource inefficiency (materials/labor/energy), Material supply / logistics &amp; market disruption, Equipment constraints / low availability</x:v>
      </x:c>
      <x:c r="E760" t="str">
        <x:v>Resource inefficiency (materials/labor/energy)</x:v>
      </x:c>
      <x:c r="F760" t="str">
        <x:v>Equipment constraints / low availability</x:v>
      </x:c>
      <x:c r="G760" t="str">
        <x:v>Resource inefficiency (materials/labor/energy), Equipment constraints / low availability, Material supply / logistics &amp; market disruption</x:v>
      </x:c>
      <x:c r="H760" t="str">
        <x:v>Cost overrun mainly linked to resource inefficiency (materials/labor/energy); schedule overrun mainly linked to resource inefficiency (materials/labor/energy).</x:v>
      </x:c>
    </x:row>
    <x:row r="761">
      <x:c r="A761" t="str">
        <x:v>PJT_760</x:v>
      </x:c>
      <x:c r="B761" t="str">
        <x:v>Weather disruption / environmental constraints</x:v>
      </x:c>
      <x:c r="C761" t="str">
        <x:v>Material supply / logistics &amp; market disruption</x:v>
      </x:c>
      <x:c r="D761" t="str">
        <x:v>Weather disruption / environmental constraints, Material supply / logistics &amp; market disruption, Unforeseen site/structural issues &amp; rework</x:v>
      </x:c>
      <x:c r="E761" t="str">
        <x:v>Weather disruption / environmental constraints</x:v>
      </x:c>
      <x:c r="F761" t="str">
        <x:v>Material supply / logistics &amp; market disruption</x:v>
      </x:c>
      <x:c r="G761" t="str">
        <x:v>Weather disruption / environmental constraints, Material supply / logistics &amp; market disruption, Unforeseen site/structural issues &amp; rework</x:v>
      </x:c>
      <x:c r="H761" t="str">
        <x:v>Cost overrun mainly linked to weather disruption / environmental constraints; schedule overrun mainly linked to weather disruption / environmental constraints.</x:v>
      </x:c>
    </x:row>
    <x:row r="762">
      <x:c r="A762" t="str">
        <x:v>PJT_761</x:v>
      </x:c>
      <x:c r="B762" t="str">
        <x:v>Equipment constraints / low availability</x:v>
      </x:c>
      <x:c r="C762" t="str">
        <x:v>Unforeseen site/structural issues &amp; rework</x:v>
      </x:c>
      <x:c r="D762" t="str">
        <x:v>Equipment constraints / low availability, Unforeseen site/structural issues &amp; rework, Planning &amp; estimation / coordination complexity</x:v>
      </x:c>
      <x:c r="E762" t="str">
        <x:v>Equipment constraints / low availability</x:v>
      </x:c>
      <x:c r="F762" t="str">
        <x:v>Weather disruption / environmental constraints</x:v>
      </x:c>
      <x:c r="G762" t="str">
        <x:v>Equipment constraints / low availability, Weather disruption / environmental constraints, Unforeseen site/structural issues &amp; rework</x:v>
      </x:c>
      <x:c r="H762" t="str">
        <x:v>Cost overrun mainly linked to equipment constraints / low availability; schedule overrun mainly linked to equipment constraints / low availability.</x:v>
      </x:c>
    </x:row>
    <x:row r="763">
      <x:c r="A763" t="str">
        <x:v>PJT_762</x:v>
      </x:c>
      <x:c r="B763" t="str">
        <x:v>Resource inefficiency (materials/labor/energy)</x:v>
      </x:c>
      <x:c r="C763" t="str">
        <x:v>Material supply / logistics &amp; market disruption</x:v>
      </x:c>
      <x:c r="D763" t="str">
        <x:v>Resource inefficiency (materials/labor/energy), Material supply / logistics &amp; market disruption, Equipment constraints / low availability</x:v>
      </x:c>
      <x:c r="E763" t="str">
        <x:v>Resource inefficiency (materials/labor/energy)</x:v>
      </x:c>
      <x:c r="F763" t="str">
        <x:v>Material supply / logistics &amp; market disruption</x:v>
      </x:c>
      <x:c r="G763" t="str">
        <x:v>Resource inefficiency (materials/labor/energy), Material supply / logistics &amp; market disruption, Equipment constraints / low availability</x:v>
      </x:c>
      <x:c r="H763" t="str">
        <x:v>Cost overrun mainly linked to resource inefficiency (materials/labor/energy); schedule overrun mainly linked to resource inefficiency (materials/labor/energy).</x:v>
      </x:c>
    </x:row>
    <x:row r="764">
      <x:c r="A764" t="str">
        <x:v>PJT_763</x:v>
      </x:c>
      <x:c r="B764" t="str">
        <x:v>Weather disruption / environmental constraints</x:v>
      </x:c>
      <x:c r="C764" t="str">
        <x:v>Material supply / logistics &amp; market disruption</x:v>
      </x:c>
      <x:c r="D764" t="str">
        <x:v>Weather disruption / environmental constraints, Material supply / logistics &amp; market disruption, Equipment constraints / low availability</x:v>
      </x:c>
      <x:c r="E764" t="str">
        <x:v>Weather disruption / environmental constraints</x:v>
      </x:c>
      <x:c r="F764" t="str">
        <x:v>Material supply / logistics &amp; market disruption</x:v>
      </x:c>
      <x:c r="G764" t="str">
        <x:v>Weather disruption / environmental constraints, Material supply / logistics &amp; market disruption, Equipment constraints / low availability</x:v>
      </x:c>
      <x:c r="H764" t="str">
        <x:v>Cost overrun mainly linked to weather disruption / environmental constraints; schedule overrun mainly linked to weather disruption / environmental constraints.</x:v>
      </x:c>
    </x:row>
    <x:row r="765">
      <x:c r="A765" t="str">
        <x:v>PJT_764</x:v>
      </x:c>
      <x:c r="B765" t="str">
        <x:v>Resource inefficiency (materials/labor/energy)</x:v>
      </x:c>
      <x:c r="C765" t="str">
        <x:v>Planning &amp; estimation / coordination complexity</x:v>
      </x:c>
      <x:c r="D765" t="str">
        <x:v>Resource inefficiency (materials/labor/energy), Planning &amp; estimation / coordination complexity, Material supply / logistics &amp; market disruption</x:v>
      </x:c>
      <x:c r="E765" t="str">
        <x:v>Planning &amp; estimation / coordination complexity</x:v>
      </x:c>
      <x:c r="F765" t="str">
        <x:v>Resource inefficiency (materials/labor/energy)</x:v>
      </x:c>
      <x:c r="G765" t="str">
        <x:v>Planning &amp; estimation / coordination complexity, Resource inefficiency (materials/labor/energy), Material supply / logistics &amp; market disruption</x:v>
      </x:c>
      <x:c r="H765" t="str">
        <x:v>Cost overrun mainly linked to resource inefficiency (materials/labor/energy); schedule overrun mainly linked to planning &amp; estimation / coordination complexity.</x:v>
      </x:c>
    </x:row>
    <x:row r="766">
      <x:c r="A766" t="str">
        <x:v>PJT_765</x:v>
      </x:c>
      <x:c r="B766" t="str">
        <x:v>Equipment constraints / low availability</x:v>
      </x:c>
      <x:c r="C766" t="str">
        <x:v>Resource inefficiency (materials/labor/energy)</x:v>
      </x:c>
      <x:c r="D766" t="str">
        <x:v>Equipment constraints / low availability, Resource inefficiency (materials/labor/energy), Planning &amp; estimation / coordination complexity</x:v>
      </x:c>
      <x:c r="E766" t="str">
        <x:v>Equipment constraints / low availability</x:v>
      </x:c>
      <x:c r="F766" t="str">
        <x:v>Resource inefficiency (materials/labor/energy)</x:v>
      </x:c>
      <x:c r="G766" t="str">
        <x:v>Equipment constraints / low availability, Resource inefficiency (materials/labor/energy), Planning &amp; estimation / coordination complexity</x:v>
      </x:c>
      <x:c r="H766" t="str">
        <x:v>Cost overrun mainly linked to equipment constraints / low availability; schedule overrun mainly linked to equipment constraints / low availability.</x:v>
      </x:c>
    </x:row>
    <x:row r="767">
      <x:c r="A767" t="str">
        <x:v>PJT_766</x:v>
      </x:c>
      <x:c r="B767" t="str">
        <x:v>Weather disruption / environmental constraints</x:v>
      </x:c>
      <x:c r="C767" t="str">
        <x:v>Unforeseen site/structural issues &amp; rework</x:v>
      </x:c>
      <x:c r="D767" t="str">
        <x:v>Weather disruption / environmental constraints, Unforeseen site/structural issues &amp; rework, Planning &amp; estimation / coordination complexity</x:v>
      </x:c>
      <x:c r="E767" t="str">
        <x:v>Unforeseen site/structural issues &amp; rework</x:v>
      </x:c>
      <x:c r="F767" t="str">
        <x:v>Weather disruption / environmental constraints</x:v>
      </x:c>
      <x:c r="G767" t="str">
        <x:v>Unforeseen site/structural issues &amp; rework, Weather disruption / environmental constraints, Planning &amp; estimation / coordination complexity</x:v>
      </x:c>
      <x:c r="H767" t="str">
        <x:v>Cost overrun mainly linked to weather disruption / environmental constraints; schedule overrun mainly linked to unforeseen site/structural issues &amp; rework.</x:v>
      </x:c>
    </x:row>
    <x:row r="768">
      <x:c r="A768" t="str">
        <x:v>PJT_767</x:v>
      </x:c>
      <x:c r="B768" t="str">
        <x:v>Unforeseen site/structural issues &amp; rework</x:v>
      </x:c>
      <x:c r="C768" t="str">
        <x:v>Resource inefficiency (materials/labor/energy)</x:v>
      </x:c>
      <x:c r="D768" t="str">
        <x:v>Unforeseen site/structural issues &amp; rework, Resource inefficiency (materials/labor/energy), Material supply / logistics &amp; market disruption</x:v>
      </x:c>
      <x:c r="E768" t="str">
        <x:v>Unforeseen site/structural issues &amp; rework</x:v>
      </x:c>
      <x:c r="F768" t="str">
        <x:v>Resource inefficiency (materials/labor/energy)</x:v>
      </x:c>
      <x:c r="G768" t="str">
        <x:v>Unforeseen site/structural issues &amp; rework, Resource inefficiency (materials/labor/energy), Material supply / logistics &amp; market disruption</x:v>
      </x:c>
      <x:c r="H768" t="str">
        <x:v>Cost overrun mainly linked to unforeseen site/structural issues &amp; rework; schedule overrun mainly linked to unforeseen site/structural issues &amp; rework.</x:v>
      </x:c>
    </x:row>
    <x:row r="769">
      <x:c r="A769" t="str">
        <x:v>PJT_768</x:v>
      </x:c>
      <x:c r="B769" t="str">
        <x:v>Weather disruption / environmental constraints</x:v>
      </x:c>
      <x:c r="C769" t="str">
        <x:v>Material supply / logistics &amp; market disruption</x:v>
      </x:c>
      <x:c r="D769" t="str">
        <x:v>Weather disruption / environmental constraints, Material supply / logistics &amp; market disruption, Equipment constraints / low availability</x:v>
      </x:c>
      <x:c r="E769" t="str">
        <x:v>Weather disruption / environmental constraints</x:v>
      </x:c>
      <x:c r="F769" t="str">
        <x:v>Material supply / logistics &amp; market disruption</x:v>
      </x:c>
      <x:c r="G769" t="str">
        <x:v>Weather disruption / environmental constraints, Material supply / logistics &amp; market disruption, Equipment constraints / low availability</x:v>
      </x:c>
      <x:c r="H769" t="str">
        <x:v>Cost overrun mainly linked to weather disruption / environmental constraints; schedule overrun mainly linked to weather disruption / environmental constraints.</x:v>
      </x:c>
    </x:row>
    <x:row r="770">
      <x:c r="A770" t="str">
        <x:v>PJT_769</x:v>
      </x:c>
      <x:c r="B770" t="str">
        <x:v>Unforeseen site/structural issues &amp; rework</x:v>
      </x:c>
      <x:c r="C770" t="str">
        <x:v>Planning &amp; estimation / coordination complexity</x:v>
      </x:c>
      <x:c r="D770" t="str">
        <x:v>Unforeseen site/structural issues &amp; rework, Planning &amp; estimation / coordination complexity, Resource inefficiency (materials/labor/energy)</x:v>
      </x:c>
      <x:c r="E770" t="str">
        <x:v>Unforeseen site/structural issues &amp; rework</x:v>
      </x:c>
      <x:c r="F770" t="str">
        <x:v>Planning &amp; estimation / coordination complexity</x:v>
      </x:c>
      <x:c r="G770" t="str">
        <x:v>Unforeseen site/structural issues &amp; rework, Planning &amp; estimation / coordination complexity, Resource inefficiency (materials/labor/energy)</x:v>
      </x:c>
      <x:c r="H770" t="str">
        <x:v>Cost overrun mainly linked to unforeseen site/structural issues &amp; rework; schedule overrun mainly linked to unforeseen site/structural issues &amp; rework.</x:v>
      </x:c>
    </x:row>
    <x:row r="771">
      <x:c r="A771" t="str">
        <x:v>PJT_770</x:v>
      </x:c>
      <x:c r="B771" t="str">
        <x:v>Unforeseen site/structural issues &amp; rework</x:v>
      </x:c>
      <x:c r="C771" t="str">
        <x:v>Material supply / logistics &amp; market disruption</x:v>
      </x:c>
      <x:c r="D771" t="str">
        <x:v>Unforeseen site/structural issues &amp; rework, Material supply / logistics &amp; market disruption, Weather disruption / environmental constraints</x:v>
      </x:c>
      <x:c r="E771" t="str">
        <x:v>Unforeseen site/structural issues &amp; rework</x:v>
      </x:c>
      <x:c r="F771" t="str">
        <x:v>Material supply / logistics &amp; market disruption</x:v>
      </x:c>
      <x:c r="G771" t="str">
        <x:v>Unforeseen site/structural issues &amp; rework, Material supply / logistics &amp; market disruption, Weather disruption / environmental constraints</x:v>
      </x:c>
      <x:c r="H771" t="str">
        <x:v>Cost overrun mainly linked to unforeseen site/structural issues &amp; rework; schedule overrun mainly linked to unforeseen site/structural issues &amp; rework.</x:v>
      </x:c>
    </x:row>
    <x:row r="772">
      <x:c r="A772" t="str">
        <x:v>PJT_771</x:v>
      </x:c>
      <x:c r="B772" t="str">
        <x:v>Equipment constraints / low availability</x:v>
      </x:c>
      <x:c r="C772" t="str">
        <x:v>Material supply / logistics &amp; market disruption</x:v>
      </x:c>
      <x:c r="D772" t="str">
        <x:v>Equipment constraints / low availability, Material supply / logistics &amp; market disruption, Resource inefficiency (materials/labor/energy)</x:v>
      </x:c>
      <x:c r="E772" t="str">
        <x:v>Equipment constraints / low availability</x:v>
      </x:c>
      <x:c r="F772" t="str">
        <x:v>Resource inefficiency (materials/labor/energy)</x:v>
      </x:c>
      <x:c r="G772" t="str">
        <x:v>Equipment constraints / low availability, Resource inefficiency (materials/labor/energy), Material supply / logistics &amp; market disruption</x:v>
      </x:c>
      <x:c r="H772" t="str">
        <x:v>Cost overrun mainly linked to equipment constraints / low availability; schedule overrun mainly linked to equipment constraints / low availability.</x:v>
      </x:c>
    </x:row>
    <x:row r="773">
      <x:c r="A773" t="str">
        <x:v>PJT_772</x:v>
      </x:c>
      <x:c r="B773" t="str">
        <x:v>Planning &amp; estimation / coordination complexity</x:v>
      </x:c>
      <x:c r="C773" t="str">
        <x:v>Equipment constraints / low availability</x:v>
      </x:c>
      <x:c r="D773" t="str">
        <x:v>Planning &amp; estimation / coordination complexity, Equipment constraints / low availability, Unforeseen site/structural issues &amp; rework</x:v>
      </x:c>
      <x:c r="E773" t="str">
        <x:v>Planning &amp; estimation / coordination complexity</x:v>
      </x:c>
      <x:c r="F773" t="str">
        <x:v>Unforeseen site/structural issues &amp; rework</x:v>
      </x:c>
      <x:c r="G773" t="str">
        <x:v>Planning &amp; estimation / coordination complexity, Unforeseen site/structural issues &amp; rework, Resource inefficiency (materials/labor/energy)</x:v>
      </x:c>
      <x:c r="H773" t="str">
        <x:v>Cost overrun mainly linked to planning &amp; estimation / coordination complexity; schedule overrun mainly linked to planning &amp; estimation / coordination complexity.</x:v>
      </x:c>
    </x:row>
    <x:row r="774">
      <x:c r="A774" t="str">
        <x:v>PJT_773</x:v>
      </x:c>
      <x:c r="B774" t="str">
        <x:v>Equipment constraints / low availability</x:v>
      </x:c>
      <x:c r="C774" t="str">
        <x:v>Resource inefficiency (materials/labor/energy)</x:v>
      </x:c>
      <x:c r="D774" t="str">
        <x:v>Equipment constraints / low availability, Resource inefficiency (materials/labor/energy), Material supply / logistics &amp; market disruption</x:v>
      </x:c>
      <x:c r="E774" t="str">
        <x:v>Equipment constraints / low availability</x:v>
      </x:c>
      <x:c r="F774" t="str">
        <x:v>Resource inefficiency (materials/labor/energy)</x:v>
      </x:c>
      <x:c r="G774" t="str">
        <x:v>Equipment constraints / low availability, Resource inefficiency (materials/labor/energy), Material supply / logistics &amp; market disruption</x:v>
      </x:c>
      <x:c r="H774" t="str">
        <x:v>Cost overrun mainly linked to equipment constraints / low availability; schedule overrun mainly linked to equipment constraints / low availability.</x:v>
      </x:c>
    </x:row>
    <x:row r="775">
      <x:c r="A775" t="str">
        <x:v>PJT_774</x:v>
      </x:c>
      <x:c r="B775" t="str">
        <x:v>Resource inefficiency (materials/labor/energy)</x:v>
      </x:c>
      <x:c r="C775" t="str">
        <x:v>Equipment constraints / low availability</x:v>
      </x:c>
      <x:c r="D775" t="str">
        <x:v>Resource inefficiency (materials/labor/energy), Equipment constraints / low availability, Material supply / logistics &amp; market disruption</x:v>
      </x:c>
      <x:c r="E775" t="str">
        <x:v>Resource inefficiency (materials/labor/energy)</x:v>
      </x:c>
      <x:c r="F775" t="str">
        <x:v>Equipment constraints / low availability</x:v>
      </x:c>
      <x:c r="G775" t="str">
        <x:v>Resource inefficiency (materials/labor/energy), Equipment constraints / low availability, Material supply / logistics &amp; market disruption</x:v>
      </x:c>
      <x:c r="H775" t="str">
        <x:v>Cost overrun mainly linked to resource inefficiency (materials/labor/energy); schedule overrun mainly linked to resource inefficiency (materials/labor/energy).</x:v>
      </x:c>
    </x:row>
    <x:row r="776">
      <x:c r="A776" t="str">
        <x:v>PJT_775</x:v>
      </x:c>
      <x:c r="B776" t="str">
        <x:v>Planning &amp; estimation / coordination complexity</x:v>
      </x:c>
      <x:c r="C776" t="str">
        <x:v>Equipment constraints / low availability</x:v>
      </x:c>
      <x:c r="D776" t="str">
        <x:v>Planning &amp; estimation / coordination complexity, Equipment constraints / low availability, Resource inefficiency (materials/labor/energy)</x:v>
      </x:c>
      <x:c r="E776" t="str">
        <x:v>Resource inefficiency (materials/labor/energy)</x:v>
      </x:c>
      <x:c r="F776" t="str">
        <x:v>Planning &amp; estimation / coordination complexity</x:v>
      </x:c>
      <x:c r="G776" t="str">
        <x:v>Resource inefficiency (materials/labor/energy), Planning &amp; estimation / coordination complexity, Equipment constraints / low availability</x:v>
      </x:c>
      <x:c r="H776" t="str">
        <x:v>Cost overrun mainly linked to planning &amp; estimation / coordination complexity; schedule overrun mainly linked to resource inefficiency (materials/labor/energy).</x:v>
      </x:c>
    </x:row>
    <x:row r="777">
      <x:c r="A777" t="str">
        <x:v>PJT_776</x:v>
      </x:c>
      <x:c r="B777" t="str">
        <x:v>Material supply / logistics &amp; market disruption</x:v>
      </x:c>
      <x:c r="C777" t="str">
        <x:v>Resource inefficiency (materials/labor/energy)</x:v>
      </x:c>
      <x:c r="D777" t="str">
        <x:v>Material supply / logistics &amp; market disruption, Resource inefficiency (materials/labor/energy), Planning &amp; estimation / coordination complexity</x:v>
      </x:c>
      <x:c r="E777" t="str">
        <x:v>Planning &amp; estimation / coordination complexity</x:v>
      </x:c>
      <x:c r="F777" t="str">
        <x:v>Material supply / logistics &amp; market disruption</x:v>
      </x:c>
      <x:c r="G777" t="str">
        <x:v>Planning &amp; estimation / coordination complexity, Material supply / logistics &amp; market disruption, Resource inefficiency (materials/labor/energy)</x:v>
      </x:c>
      <x:c r="H777" t="str">
        <x:v>Cost overrun mainly linked to material supply / logistics &amp; market disruption; schedule overrun mainly linked to planning &amp; estimation / coordination complexity.</x:v>
      </x:c>
    </x:row>
    <x:row r="778">
      <x:c r="A778" t="str">
        <x:v>PJT_777</x:v>
      </x:c>
      <x:c r="B778" t="str">
        <x:v>Resource inefficiency (materials/labor/energy)</x:v>
      </x:c>
      <x:c r="C778" t="str">
        <x:v>Equipment constraints / low availability</x:v>
      </x:c>
      <x:c r="D778" t="str">
        <x:v>Resource inefficiency (materials/labor/energy), Equipment constraints / low availability, Planning &amp; estimation / coordination complexity</x:v>
      </x:c>
      <x:c r="E778" t="str">
        <x:v>Resource inefficiency (materials/labor/energy)</x:v>
      </x:c>
      <x:c r="F778" t="str">
        <x:v>Equipment constraints / low availability</x:v>
      </x:c>
      <x:c r="G778" t="str">
        <x:v>Resource inefficiency (materials/labor/energy), Equipment constraints / low availability, Planning &amp; estimation / coordination complexity</x:v>
      </x:c>
      <x:c r="H778" t="str">
        <x:v>Cost overrun mainly linked to resource inefficiency (materials/labor/energy); schedule overrun mainly linked to resource inefficiency (materials/labor/energy).</x:v>
      </x:c>
    </x:row>
    <x:row r="779">
      <x:c r="A779" t="str">
        <x:v>PJT_778</x:v>
      </x:c>
      <x:c r="B779" t="str">
        <x:v>Planning &amp; estimation / coordination complexity</x:v>
      </x:c>
      <x:c r="C779" t="str">
        <x:v>Unforeseen site/structural issues &amp; rework</x:v>
      </x:c>
      <x:c r="D779" t="str">
        <x:v>Planning &amp; estimation / coordination complexity, Unforeseen site/structural issues &amp; rework, Weather disruption / environmental constraints</x:v>
      </x:c>
      <x:c r="E779" t="str">
        <x:v>Unforeseen site/structural issues &amp; rework</x:v>
      </x:c>
      <x:c r="F779" t="str">
        <x:v>Planning &amp; estimation / coordination complexity</x:v>
      </x:c>
      <x:c r="G779" t="str">
        <x:v>Unforeseen site/structural issues &amp; rework, Planning &amp; estimation / coordination complexity, Weather disruption / environmental constraints</x:v>
      </x:c>
      <x:c r="H779" t="str">
        <x:v>Cost overrun mainly linked to planning &amp; estimation / coordination complexity; schedule overrun mainly linked to unforeseen site/structural issues &amp; rework.</x:v>
      </x:c>
    </x:row>
    <x:row r="780">
      <x:c r="A780" t="str">
        <x:v>PJT_779</x:v>
      </x:c>
      <x:c r="B780" t="str">
        <x:v>Unforeseen site/structural issues &amp; rework</x:v>
      </x:c>
      <x:c r="C780" t="str">
        <x:v>Planning &amp; estimation / coordination complexity</x:v>
      </x:c>
      <x:c r="D780" t="str">
        <x:v>Unforeseen site/structural issues &amp; rework, Planning &amp; estimation / coordination complexity, Equipment constraints / low availability</x:v>
      </x:c>
      <x:c r="E780" t="str">
        <x:v>Unforeseen site/structural issues &amp; rework</x:v>
      </x:c>
      <x:c r="F780" t="str">
        <x:v>Planning &amp; estimation / coordination complexity</x:v>
      </x:c>
      <x:c r="G780" t="str">
        <x:v>Unforeseen site/structural issues &amp; rework, Planning &amp; estimation / coordination complexity, Equipment constraints / low availability</x:v>
      </x:c>
      <x:c r="H780" t="str">
        <x:v>Cost overrun mainly linked to unforeseen site/structural issues &amp; rework; schedule overrun mainly linked to unforeseen site/structural issues &amp; rework.</x:v>
      </x:c>
    </x:row>
    <x:row r="781">
      <x:c r="A781" t="str">
        <x:v>PJT_780</x:v>
      </x:c>
      <x:c r="B781" t="str">
        <x:v>Material supply / logistics &amp; market disruption</x:v>
      </x:c>
      <x:c r="C781" t="str">
        <x:v>Weather disruption / environmental constraints</x:v>
      </x:c>
      <x:c r="D781" t="str">
        <x:v>Material supply / logistics &amp; market disruption, Weather disruption / environmental constraints, Equipment constraints / low availability</x:v>
      </x:c>
      <x:c r="E781" t="str">
        <x:v>Weather disruption / environmental constraints</x:v>
      </x:c>
      <x:c r="F781" t="str">
        <x:v>Material supply / logistics &amp; market disruption</x:v>
      </x:c>
      <x:c r="G781" t="str">
        <x:v>Weather disruption / environmental constraints, Material supply / logistics &amp; market disruption, Equipment constraints / low availability</x:v>
      </x:c>
      <x:c r="H781" t="str">
        <x:v>Cost overrun mainly linked to material supply / logistics &amp; market disruption; schedule overrun mainly linked to weather disruption / environmental constraints.</x:v>
      </x:c>
    </x:row>
    <x:row r="782">
      <x:c r="A782" t="str">
        <x:v>PJT_781</x:v>
      </x:c>
      <x:c r="B782" t="str">
        <x:v>Weather disruption / environmental constraints</x:v>
      </x:c>
      <x:c r="C782" t="str">
        <x:v>Unforeseen site/structural issues &amp; rework</x:v>
      </x:c>
      <x:c r="D782" t="str">
        <x:v>Weather disruption / environmental constraints, Unforeseen site/structural issues &amp; rework, Material supply / logistics &amp; market disruption</x:v>
      </x:c>
      <x:c r="E782" t="str">
        <x:v>Weather disruption / environmental constraints</x:v>
      </x:c>
      <x:c r="F782" t="str">
        <x:v>Unforeseen site/structural issues &amp; rework</x:v>
      </x:c>
      <x:c r="G782" t="str">
        <x:v>Weather disruption / environmental constraints, Unforeseen site/structural issues &amp; rework, Material supply / logistics &amp; market disruption</x:v>
      </x:c>
      <x:c r="H782" t="str">
        <x:v>Cost overrun mainly linked to weather disruption / environmental constraints; schedule overrun mainly linked to weather disruption / environmental constraints.</x:v>
      </x:c>
    </x:row>
    <x:row r="783">
      <x:c r="A783" t="str">
        <x:v>PJT_782</x:v>
      </x:c>
      <x:c r="B783" t="str">
        <x:v>Planning &amp; estimation / coordination complexity</x:v>
      </x:c>
      <x:c r="C783" t="str">
        <x:v>Equipment constraints / low availability</x:v>
      </x:c>
      <x:c r="D783" t="str">
        <x:v>Planning &amp; estimation / coordination complexity, Equipment constraints / low availability, Resource inefficiency (materials/labor/energy)</x:v>
      </x:c>
      <x:c r="E783" t="str">
        <x:v>Planning &amp; estimation / coordination complexity</x:v>
      </x:c>
      <x:c r="F783" t="str">
        <x:v>Equipment constraints / low availability</x:v>
      </x:c>
      <x:c r="G783" t="str">
        <x:v>Planning &amp; estimation / coordination complexity, Equipment constraints / low availability, Resource inefficiency (materials/labor/energy)</x:v>
      </x:c>
      <x:c r="H783" t="str">
        <x:v>Cost overrun mainly linked to planning &amp; estimation / coordination complexity; schedule overrun mainly linked to planning &amp; estimation / coordination complexity.</x:v>
      </x:c>
    </x:row>
    <x:row r="784">
      <x:c r="A784" t="str">
        <x:v>PJT_783</x:v>
      </x:c>
      <x:c r="B784" t="str">
        <x:v>Resource inefficiency (materials/labor/energy)</x:v>
      </x:c>
      <x:c r="C784" t="str">
        <x:v>Equipment constraints / low availability</x:v>
      </x:c>
      <x:c r="D784" t="str">
        <x:v>Resource inefficiency (materials/labor/energy), Equipment constraints / low availability, Material supply / logistics &amp; market disruption</x:v>
      </x:c>
      <x:c r="E784" t="str">
        <x:v>Resource inefficiency (materials/labor/energy)</x:v>
      </x:c>
      <x:c r="F784" t="str">
        <x:v>Equipment constraints / low availability</x:v>
      </x:c>
      <x:c r="G784" t="str">
        <x:v>Resource inefficiency (materials/labor/energy), Equipment constraints / low availability, Planning &amp; estimation / coordination complexity</x:v>
      </x:c>
      <x:c r="H784" t="str">
        <x:v>Cost overrun mainly linked to resource inefficiency (materials/labor/energy); schedule overrun mainly linked to resource inefficiency (materials/labor/energy).</x:v>
      </x:c>
    </x:row>
    <x:row r="785">
      <x:c r="A785" t="str">
        <x:v>PJT_784</x:v>
      </x:c>
      <x:c r="B785" t="str">
        <x:v>Resource inefficiency (materials/labor/energy)</x:v>
      </x:c>
      <x:c r="C785" t="str">
        <x:v>Planning &amp; estimation / coordination complexity</x:v>
      </x:c>
      <x:c r="D785" t="str">
        <x:v>Resource inefficiency (materials/labor/energy), Planning &amp; estimation / coordination complexity, Material supply / logistics &amp; market disruption</x:v>
      </x:c>
      <x:c r="E785" t="str">
        <x:v>Planning &amp; estimation / coordination complexity</x:v>
      </x:c>
      <x:c r="F785" t="str">
        <x:v>Resource inefficiency (materials/labor/energy)</x:v>
      </x:c>
      <x:c r="G785" t="str">
        <x:v>Planning &amp; estimation / coordination complexity, Resource inefficiency (materials/labor/energy), Equipment constraints / low availability</x:v>
      </x:c>
      <x:c r="H785" t="str">
        <x:v>Cost overrun mainly linked to resource inefficiency (materials/labor/energy); schedule overrun mainly linked to planning &amp; estimation / coordination complexity.</x:v>
      </x:c>
    </x:row>
    <x:row r="786">
      <x:c r="A786" t="str">
        <x:v>PJT_785</x:v>
      </x:c>
      <x:c r="B786" t="str">
        <x:v>Unforeseen site/structural issues &amp; rework</x:v>
      </x:c>
      <x:c r="C786" t="str">
        <x:v>Weather disruption / environmental constraints</x:v>
      </x:c>
      <x:c r="D786" t="str">
        <x:v>Unforeseen site/structural issues &amp; rework, Weather disruption / environmental constraints, Material supply / logistics &amp; market disruption</x:v>
      </x:c>
      <x:c r="E786" t="str">
        <x:v>Weather disruption / environmental constraints</x:v>
      </x:c>
      <x:c r="F786" t="str">
        <x:v>Unforeseen site/structural issues &amp; rework</x:v>
      </x:c>
      <x:c r="G786" t="str">
        <x:v>Weather disruption / environmental constraints, Unforeseen site/structural issues &amp; rework, Material supply / logistics &amp; market disruption</x:v>
      </x:c>
      <x:c r="H786" t="str">
        <x:v>Cost overrun mainly linked to unforeseen site/structural issues &amp; rework; schedule overrun mainly linked to weather disruption / environmental constraints.</x:v>
      </x:c>
    </x:row>
    <x:row r="787">
      <x:c r="A787" t="str">
        <x:v>PJT_786</x:v>
      </x:c>
      <x:c r="B787" t="str">
        <x:v>Resource inefficiency (materials/labor/energy)</x:v>
      </x:c>
      <x:c r="C787" t="str">
        <x:v>Material supply / logistics &amp; market disruption</x:v>
      </x:c>
      <x:c r="D787" t="str">
        <x:v>Resource inefficiency (materials/labor/energy), Material supply / logistics &amp; market disruption, Equipment constraints / low availability</x:v>
      </x:c>
      <x:c r="E787" t="str">
        <x:v>Resource inefficiency (materials/labor/energy)</x:v>
      </x:c>
      <x:c r="F787" t="str">
        <x:v>Material supply / logistics &amp; market disruption</x:v>
      </x:c>
      <x:c r="G787" t="str">
        <x:v>Resource inefficiency (materials/labor/energy), Material supply / logistics &amp; market disruption, Equipment constraints / low availability</x:v>
      </x:c>
      <x:c r="H787" t="str">
        <x:v>Cost overrun mainly linked to resource inefficiency (materials/labor/energy); schedule overrun mainly linked to resource inefficiency (materials/labor/energy).</x:v>
      </x:c>
    </x:row>
    <x:row r="788">
      <x:c r="A788" t="str">
        <x:v>PJT_787</x:v>
      </x:c>
      <x:c r="B788" t="str">
        <x:v>Resource inefficiency (materials/labor/energy)</x:v>
      </x:c>
      <x:c r="C788" t="str">
        <x:v>Material supply / logistics &amp; market disruption</x:v>
      </x:c>
      <x:c r="D788" t="str">
        <x:v>Resource inefficiency (materials/labor/energy), Material supply / logistics &amp; market disruption, Planning &amp; estimation / coordination complexity</x:v>
      </x:c>
      <x:c r="E788" t="str">
        <x:v>Resource inefficiency (materials/labor/energy)</x:v>
      </x:c>
      <x:c r="F788" t="str">
        <x:v>Material supply / logistics &amp; market disruption</x:v>
      </x:c>
      <x:c r="G788" t="str">
        <x:v>Resource inefficiency (materials/labor/energy), Material supply / logistics &amp; market disruption, Planning &amp; estimation / coordination complexity</x:v>
      </x:c>
      <x:c r="H788" t="str">
        <x:v>Cost overrun mainly linked to resource inefficiency (materials/labor/energy); schedule overrun mainly linked to resource inefficiency (materials/labor/energy).</x:v>
      </x:c>
    </x:row>
    <x:row r="789">
      <x:c r="A789" t="str">
        <x:v>PJT_788</x:v>
      </x:c>
      <x:c r="B789" t="str">
        <x:v>Unforeseen site/structural issues &amp; rework</x:v>
      </x:c>
      <x:c r="C789" t="str">
        <x:v>Resource inefficiency (materials/labor/energy)</x:v>
      </x:c>
      <x:c r="D789" t="str">
        <x:v>Unforeseen site/structural issues &amp; rework, Resource inefficiency (materials/labor/energy), Planning &amp; estimation / coordination complexity</x:v>
      </x:c>
      <x:c r="E789" t="str">
        <x:v>Unforeseen site/structural issues &amp; rework</x:v>
      </x:c>
      <x:c r="F789" t="str">
        <x:v>Resource inefficiency (materials/labor/energy)</x:v>
      </x:c>
      <x:c r="G789" t="str">
        <x:v>Unforeseen site/structural issues &amp; rework, Resource inefficiency (materials/labor/energy), Planning &amp; estimation / coordination complexity</x:v>
      </x:c>
      <x:c r="H789" t="str">
        <x:v>Cost overrun mainly linked to unforeseen site/structural issues &amp; rework; schedule overrun mainly linked to unforeseen site/structural issues &amp; rework.</x:v>
      </x:c>
    </x:row>
    <x:row r="790">
      <x:c r="A790" t="str">
        <x:v>PJT_789</x:v>
      </x:c>
      <x:c r="B790" t="str">
        <x:v>Weather disruption / environmental constraints</x:v>
      </x:c>
      <x:c r="C790" t="str">
        <x:v>Unforeseen site/structural issues &amp; rework</x:v>
      </x:c>
      <x:c r="D790" t="str">
        <x:v>Weather disruption / environmental constraints, Unforeseen site/structural issues &amp; rework, Material supply / logistics &amp; market disruption</x:v>
      </x:c>
      <x:c r="E790" t="str">
        <x:v>Weather disruption / environmental constraints</x:v>
      </x:c>
      <x:c r="F790" t="str">
        <x:v>Unforeseen site/structural issues &amp; rework</x:v>
      </x:c>
      <x:c r="G790" t="str">
        <x:v>Weather disruption / environmental constraints, Unforeseen site/structural issues &amp; rework, Material supply / logistics &amp; market disruption</x:v>
      </x:c>
      <x:c r="H790" t="str">
        <x:v>Cost overrun mainly linked to weather disruption / environmental constraints; schedule overrun mainly linked to weather disruption / environmental constraints.</x:v>
      </x:c>
    </x:row>
    <x:row r="791">
      <x:c r="A791" t="str">
        <x:v>PJT_790</x:v>
      </x:c>
      <x:c r="B791" t="str">
        <x:v>Weather disruption / environmental constraints</x:v>
      </x:c>
      <x:c r="C791" t="str">
        <x:v>Unforeseen site/structural issues &amp; rework</x:v>
      </x:c>
      <x:c r="D791" t="str">
        <x:v>Weather disruption / environmental constraints, Unforeseen site/structural issues &amp; rework, Material supply / logistics &amp; market disruption</x:v>
      </x:c>
      <x:c r="E791" t="str">
        <x:v>Weather disruption / environmental constraints</x:v>
      </x:c>
      <x:c r="F791" t="str">
        <x:v>Unforeseen site/structural issues &amp; rework</x:v>
      </x:c>
      <x:c r="G791" t="str">
        <x:v>Weather disruption / environmental constraints, Unforeseen site/structural issues &amp; rework, Material supply / logistics &amp; market disruption</x:v>
      </x:c>
      <x:c r="H791" t="str">
        <x:v>Cost overrun mainly linked to weather disruption / environmental constraints; schedule overrun mainly linked to weather disruption / environmental constraints.</x:v>
      </x:c>
    </x:row>
    <x:row r="792">
      <x:c r="A792" t="str">
        <x:v>PJT_791</x:v>
      </x:c>
      <x:c r="B792" t="str">
        <x:v>Weather disruption / environmental constraints</x:v>
      </x:c>
      <x:c r="C792" t="str">
        <x:v>Unforeseen site/structural issues &amp; rework</x:v>
      </x:c>
      <x:c r="D792" t="str">
        <x:v>Weather disruption / environmental constraints, Unforeseen site/structural issues &amp; rework, Material supply / logistics &amp; market disruption</x:v>
      </x:c>
      <x:c r="E792" t="str">
        <x:v>Weather disruption / environmental constraints</x:v>
      </x:c>
      <x:c r="F792" t="str">
        <x:v>Unforeseen site/structural issues &amp; rework</x:v>
      </x:c>
      <x:c r="G792" t="str">
        <x:v>Weather disruption / environmental constraints, Unforeseen site/structural issues &amp; rework, Material supply / logistics &amp; market disruption</x:v>
      </x:c>
      <x:c r="H792" t="str">
        <x:v>Cost overrun mainly linked to weather disruption / environmental constraints; schedule overrun mainly linked to weather disruption / environmental constraints.</x:v>
      </x:c>
    </x:row>
    <x:row r="793">
      <x:c r="A793" t="str">
        <x:v>PJT_792</x:v>
      </x:c>
      <x:c r="B793" t="str">
        <x:v>Weather disruption / environmental constraints</x:v>
      </x:c>
      <x:c r="C793" t="str">
        <x:v>Material supply / logistics &amp; market disruption</x:v>
      </x:c>
      <x:c r="D793" t="str">
        <x:v>Weather disruption / environmental constraints, Material supply / logistics &amp; market disruption, Equipment constraints / low availability</x:v>
      </x:c>
      <x:c r="E793" t="str">
        <x:v>Weather disruption / environmental constraints</x:v>
      </x:c>
      <x:c r="F793" t="str">
        <x:v>Material supply / logistics &amp; market disruption</x:v>
      </x:c>
      <x:c r="G793" t="str">
        <x:v>Weather disruption / environmental constraints, Material supply / logistics &amp; market disruption, Equipment constraints / low availability</x:v>
      </x:c>
      <x:c r="H793" t="str">
        <x:v>Cost overrun mainly linked to weather disruption / environmental constraints; schedule overrun mainly linked to weather disruption / environmental constraints.</x:v>
      </x:c>
    </x:row>
    <x:row r="794">
      <x:c r="A794" t="str">
        <x:v>PJT_793</x:v>
      </x:c>
      <x:c r="B794" t="str">
        <x:v>Unforeseen site/structural issues &amp; rework</x:v>
      </x:c>
      <x:c r="C794" t="str">
        <x:v>Weather disruption / environmental constraints</x:v>
      </x:c>
      <x:c r="D794" t="str">
        <x:v>Unforeseen site/structural issues &amp; rework, Weather disruption / environmental constraints, Planning &amp; estimation / coordination complexity</x:v>
      </x:c>
      <x:c r="E794" t="str">
        <x:v>Unforeseen site/structural issues &amp; rework</x:v>
      </x:c>
      <x:c r="F794" t="str">
        <x:v>Weather disruption / environmental constraints</x:v>
      </x:c>
      <x:c r="G794" t="str">
        <x:v>Unforeseen site/structural issues &amp; rework, Weather disruption / environmental constraints, Material supply / logistics &amp; market disruption</x:v>
      </x:c>
      <x:c r="H794" t="str">
        <x:v>Cost overrun mainly linked to unforeseen site/structural issues &amp; rework; schedule overrun mainly linked to unforeseen site/structural issues &amp; rework.</x:v>
      </x:c>
    </x:row>
    <x:row r="795">
      <x:c r="A795" t="str">
        <x:v>PJT_794</x:v>
      </x:c>
      <x:c r="B795" t="str">
        <x:v>Equipment constraints / low availability</x:v>
      </x:c>
      <x:c r="C795" t="str">
        <x:v>Resource inefficiency (materials/labor/energy)</x:v>
      </x:c>
      <x:c r="D795" t="str">
        <x:v>Equipment constraints / low availability, Resource inefficiency (materials/labor/energy), Planning &amp; estimation / coordination complexity</x:v>
      </x:c>
      <x:c r="E795" t="str">
        <x:v>Equipment constraints / low availability</x:v>
      </x:c>
      <x:c r="F795" t="str">
        <x:v>Resource inefficiency (materials/labor/energy)</x:v>
      </x:c>
      <x:c r="G795" t="str">
        <x:v>Equipment constraints / low availability, Resource inefficiency (materials/labor/energy), Planning &amp; estimation / coordination complexity</x:v>
      </x:c>
      <x:c r="H795" t="str">
        <x:v>Cost overrun mainly linked to equipment constraints / low availability; schedule overrun mainly linked to equipment constraints / low availability.</x:v>
      </x:c>
    </x:row>
    <x:row r="796">
      <x:c r="A796" t="str">
        <x:v>PJT_795</x:v>
      </x:c>
      <x:c r="B796" t="str">
        <x:v>Resource inefficiency (materials/labor/energy)</x:v>
      </x:c>
      <x:c r="C796" t="str">
        <x:v>Equipment constraints / low availability</x:v>
      </x:c>
      <x:c r="D796" t="str">
        <x:v>Resource inefficiency (materials/labor/energy), Equipment constraints / low availability, Material supply / logistics &amp; market disruption</x:v>
      </x:c>
      <x:c r="E796" t="str">
        <x:v>Resource inefficiency (materials/labor/energy)</x:v>
      </x:c>
      <x:c r="F796" t="str">
        <x:v>Equipment constraints / low availability</x:v>
      </x:c>
      <x:c r="G796" t="str">
        <x:v>Resource inefficiency (materials/labor/energy), Equipment constraints / low availability, Planning &amp; estimation / coordination complexity</x:v>
      </x:c>
      <x:c r="H796" t="str">
        <x:v>Cost overrun mainly linked to resource inefficiency (materials/labor/energy); schedule overrun mainly linked to resource inefficiency (materials/labor/energy).</x:v>
      </x:c>
    </x:row>
    <x:row r="797">
      <x:c r="A797" t="str">
        <x:v>PJT_796</x:v>
      </x:c>
      <x:c r="B797" t="str">
        <x:v>Resource inefficiency (materials/labor/energy)</x:v>
      </x:c>
      <x:c r="C797" t="str">
        <x:v>Planning &amp; estimation / coordination complexity</x:v>
      </x:c>
      <x:c r="D797" t="str">
        <x:v>Resource inefficiency (materials/labor/energy), Planning &amp; estimation / coordination complexity, Equipment constraints / low availability</x:v>
      </x:c>
      <x:c r="E797" t="str">
        <x:v>Planning &amp; estimation / coordination complexity</x:v>
      </x:c>
      <x:c r="F797" t="str">
        <x:v>Resource inefficiency (materials/labor/energy)</x:v>
      </x:c>
      <x:c r="G797" t="str">
        <x:v>Planning &amp; estimation / coordination complexity, Resource inefficiency (materials/labor/energy), Equipment constraints / low availability</x:v>
      </x:c>
      <x:c r="H797" t="str">
        <x:v>Cost overrun mainly linked to resource inefficiency (materials/labor/energy); schedule overrun mainly linked to planning &amp; estimation / coordination complexity.</x:v>
      </x:c>
    </x:row>
    <x:row r="798">
      <x:c r="A798" t="str">
        <x:v>PJT_797</x:v>
      </x:c>
      <x:c r="B798" t="str">
        <x:v>Weather disruption / environmental constraints</x:v>
      </x:c>
      <x:c r="C798" t="str">
        <x:v>Material supply / logistics &amp; market disruption</x:v>
      </x:c>
      <x:c r="D798" t="str">
        <x:v>Weather disruption / environmental constraints, Material supply / logistics &amp; market disruption, Planning &amp; estimation / coordination complexity</x:v>
      </x:c>
      <x:c r="E798" t="str">
        <x:v>Weather disruption / environmental constraints</x:v>
      </x:c>
      <x:c r="F798" t="str">
        <x:v>Material supply / logistics &amp; market disruption</x:v>
      </x:c>
      <x:c r="G798" t="str">
        <x:v>Weather disruption / environmental constraints, Material supply / logistics &amp; market disruption, Unforeseen site/structural issues &amp; rework</x:v>
      </x:c>
      <x:c r="H798" t="str">
        <x:v>Cost overrun mainly linked to weather disruption / environmental constraints; schedule overrun mainly linked to weather disruption / environmental constraints.</x:v>
      </x:c>
    </x:row>
    <x:row r="799">
      <x:c r="A799" t="str">
        <x:v>PJT_798</x:v>
      </x:c>
      <x:c r="B799" t="str">
        <x:v>Resource inefficiency (materials/labor/energy)</x:v>
      </x:c>
      <x:c r="C799" t="str">
        <x:v>Planning &amp; estimation / coordination complexity</x:v>
      </x:c>
      <x:c r="D799" t="str">
        <x:v>Resource inefficiency (materials/labor/energy), Planning &amp; estimation / coordination complexity, Material supply / logistics &amp; market disruption</x:v>
      </x:c>
      <x:c r="E799" t="str">
        <x:v>Planning &amp; estimation / coordination complexity</x:v>
      </x:c>
      <x:c r="F799" t="str">
        <x:v>Resource inefficiency (materials/labor/energy)</x:v>
      </x:c>
      <x:c r="G799" t="str">
        <x:v>Planning &amp; estimation / coordination complexity, Resource inefficiency (materials/labor/energy), Unforeseen site/structural issues &amp; rework</x:v>
      </x:c>
      <x:c r="H799" t="str">
        <x:v>Cost overrun mainly linked to resource inefficiency (materials/labor/energy); schedule overrun mainly linked to planning &amp; estimation / coordination complexity.</x:v>
      </x:c>
    </x:row>
    <x:row r="800">
      <x:c r="A800" t="str">
        <x:v>PJT_799</x:v>
      </x:c>
      <x:c r="B800" t="str">
        <x:v>Unforeseen site/structural issues &amp; rework</x:v>
      </x:c>
      <x:c r="C800" t="str">
        <x:v>Resource inefficiency (materials/labor/energy)</x:v>
      </x:c>
      <x:c r="D800" t="str">
        <x:v>Unforeseen site/structural issues &amp; rework, Resource inefficiency (materials/labor/energy), Planning &amp; estimation / coordination complexity</x:v>
      </x:c>
      <x:c r="E800" t="str">
        <x:v>Unforeseen site/structural issues &amp; rework</x:v>
      </x:c>
      <x:c r="F800" t="str">
        <x:v>Resource inefficiency (materials/labor/energy)</x:v>
      </x:c>
      <x:c r="G800" t="str">
        <x:v>Unforeseen site/structural issues &amp; rework, Resource inefficiency (materials/labor/energy), Planning &amp; estimation / coordination complexity</x:v>
      </x:c>
      <x:c r="H800" t="str">
        <x:v>Cost overrun mainly linked to unforeseen site/structural issues &amp; rework; schedule overrun mainly linked to unforeseen site/structural issues &amp; rework.</x:v>
      </x:c>
    </x:row>
    <x:row r="801">
      <x:c r="A801" t="str">
        <x:v>PJT_800</x:v>
      </x:c>
      <x:c r="B801" t="str">
        <x:v>Planning &amp; estimation / coordination complexity</x:v>
      </x:c>
      <x:c r="C801" t="str">
        <x:v>Resource inefficiency (materials/labor/energy)</x:v>
      </x:c>
      <x:c r="D801" t="str">
        <x:v>Planning &amp; estimation / coordination complexity, Resource inefficiency (materials/labor/energy), Equipment constraints / low availability</x:v>
      </x:c>
      <x:c r="E801" t="str">
        <x:v>Planning &amp; estimation / coordination complexity</x:v>
      </x:c>
      <x:c r="F801" t="str">
        <x:v>Resource inefficiency (materials/labor/energy)</x:v>
      </x:c>
      <x:c r="G801" t="str">
        <x:v>Planning &amp; estimation / coordination complexity, Resource inefficiency (materials/labor/energy), Equipment constraints / low availability</x:v>
      </x:c>
      <x:c r="H801" t="str">
        <x:v>Cost overrun mainly linked to planning &amp; estimation / coordination complexity; schedule overrun mainly linked to planning &amp; estimation / coordination complexity.</x:v>
      </x:c>
    </x:row>
    <x:row r="802">
      <x:c r="A802" t="str">
        <x:v>PJT_801</x:v>
      </x:c>
      <x:c r="B802" t="str">
        <x:v>Resource inefficiency (materials/labor/energy)</x:v>
      </x:c>
      <x:c r="C802" t="str">
        <x:v>Material supply / logistics &amp; market disruption</x:v>
      </x:c>
      <x:c r="D802" t="str">
        <x:v>Resource inefficiency (materials/labor/energy), Material supply / logistics &amp; market disruption, Planning &amp; estimation / coordination complexity</x:v>
      </x:c>
      <x:c r="E802" t="str">
        <x:v>Resource inefficiency (materials/labor/energy)</x:v>
      </x:c>
      <x:c r="F802" t="str">
        <x:v>Material supply / logistics &amp; market disruption</x:v>
      </x:c>
      <x:c r="G802" t="str">
        <x:v>Resource inefficiency (materials/labor/energy), Material supply / logistics &amp; market disruption, Planning &amp; estimation / coordination complexity</x:v>
      </x:c>
      <x:c r="H802" t="str">
        <x:v>Cost overrun mainly linked to resource inefficiency (materials/labor/energy); schedule overrun mainly linked to resource inefficiency (materials/labor/energy).</x:v>
      </x:c>
    </x:row>
    <x:row r="803">
      <x:c r="A803" t="str">
        <x:v>PJT_802</x:v>
      </x:c>
      <x:c r="B803" t="str">
        <x:v>Planning &amp; estimation / coordination complexity</x:v>
      </x:c>
      <x:c r="C803" t="str">
        <x:v>Resource inefficiency (materials/labor/energy)</x:v>
      </x:c>
      <x:c r="D803" t="str">
        <x:v>Planning &amp; estimation / coordination complexity, Resource inefficiency (materials/labor/energy), Equipment constraints / low availability</x:v>
      </x:c>
      <x:c r="E803" t="str">
        <x:v>Planning &amp; estimation / coordination complexity</x:v>
      </x:c>
      <x:c r="F803" t="str">
        <x:v>Resource inefficiency (materials/labor/energy)</x:v>
      </x:c>
      <x:c r="G803" t="str">
        <x:v>Planning &amp; estimation / coordination complexity, Resource inefficiency (materials/labor/energy), Equipment constraints / low availability</x:v>
      </x:c>
      <x:c r="H803" t="str">
        <x:v>Cost overrun mainly linked to planning &amp; estimation / coordination complexity; schedule overrun mainly linked to planning &amp; estimation / coordination complexity.</x:v>
      </x:c>
    </x:row>
    <x:row r="804">
      <x:c r="A804" t="str">
        <x:v>PJT_803</x:v>
      </x:c>
      <x:c r="B804" t="str">
        <x:v>Resource inefficiency (materials/labor/energy)</x:v>
      </x:c>
      <x:c r="C804" t="str">
        <x:v>Equipment constraints / low availability</x:v>
      </x:c>
      <x:c r="D804" t="str">
        <x:v>Resource inefficiency (materials/labor/energy), Equipment constraints / low availability, Planning &amp; estimation / coordination complexity</x:v>
      </x:c>
      <x:c r="E804" t="str">
        <x:v>Equipment constraints / low availability</x:v>
      </x:c>
      <x:c r="F804" t="str">
        <x:v>Resource inefficiency (materials/labor/energy)</x:v>
      </x:c>
      <x:c r="G804" t="str">
        <x:v>Equipment constraints / low availability, Resource inefficiency (materials/labor/energy), Planning &amp; estimation / coordination complexity</x:v>
      </x:c>
      <x:c r="H804" t="str">
        <x:v>Cost overrun mainly linked to resource inefficiency (materials/labor/energy); schedule overrun mainly linked to equipment constraints / low availability.</x:v>
      </x:c>
    </x:row>
    <x:row r="805">
      <x:c r="A805" t="str">
        <x:v>PJT_804</x:v>
      </x:c>
      <x:c r="B805" t="str">
        <x:v>Planning &amp; estimation / coordination complexity</x:v>
      </x:c>
      <x:c r="C805" t="str">
        <x:v>Equipment constraints / low availability</x:v>
      </x:c>
      <x:c r="D805" t="str">
        <x:v>Planning &amp; estimation / coordination complexity, Equipment constraints / low availability, Unforeseen site/structural issues &amp; rework</x:v>
      </x:c>
      <x:c r="E805" t="str">
        <x:v>Planning &amp; estimation / coordination complexity</x:v>
      </x:c>
      <x:c r="F805" t="str">
        <x:v>Unforeseen site/structural issues &amp; rework</x:v>
      </x:c>
      <x:c r="G805" t="str">
        <x:v>Planning &amp; estimation / coordination complexity, Unforeseen site/structural issues &amp; rework, Equipment constraints / low availability</x:v>
      </x:c>
      <x:c r="H805" t="str">
        <x:v>Cost overrun mainly linked to planning &amp; estimation / coordination complexity; schedule overrun mainly linked to planning &amp; estimation / coordination complexity.</x:v>
      </x:c>
    </x:row>
    <x:row r="806">
      <x:c r="A806" t="str">
        <x:v>PJT_805</x:v>
      </x:c>
      <x:c r="B806" t="str">
        <x:v>Planning &amp; estimation / coordination complexity</x:v>
      </x:c>
      <x:c r="C806" t="str">
        <x:v>Unforeseen site/structural issues &amp; rework</x:v>
      </x:c>
      <x:c r="D806" t="str">
        <x:v>Planning &amp; estimation / coordination complexity, Unforeseen site/structural issues &amp; rework, Equipment constraints / low availability</x:v>
      </x:c>
      <x:c r="E806" t="str">
        <x:v>Planning &amp; estimation / coordination complexity</x:v>
      </x:c>
      <x:c r="F806" t="str">
        <x:v>Unforeseen site/structural issues &amp; rework</x:v>
      </x:c>
      <x:c r="G806" t="str">
        <x:v>Planning &amp; estimation / coordination complexity, Unforeseen site/structural issues &amp; rework, Equipment constraints / low availability</x:v>
      </x:c>
      <x:c r="H806" t="str">
        <x:v>Cost overrun mainly linked to planning &amp; estimation / coordination complexity; schedule overrun mainly linked to planning &amp; estimation / coordination complexity.</x:v>
      </x:c>
    </x:row>
    <x:row r="807">
      <x:c r="A807" t="str">
        <x:v>PJT_806</x:v>
      </x:c>
      <x:c r="B807" t="str">
        <x:v>Resource inefficiency (materials/labor/energy)</x:v>
      </x:c>
      <x:c r="C807" t="str">
        <x:v>Material supply / logistics &amp; market disruption</x:v>
      </x:c>
      <x:c r="D807" t="str">
        <x:v>Resource inefficiency (materials/labor/energy), Material supply / logistics &amp; market disruption, Planning &amp; estimation / coordination complexity</x:v>
      </x:c>
      <x:c r="E807" t="str">
        <x:v>Resource inefficiency (materials/labor/energy)</x:v>
      </x:c>
      <x:c r="F807" t="str">
        <x:v>Planning &amp; estimation / coordination complexity</x:v>
      </x:c>
      <x:c r="G807" t="str">
        <x:v>Resource inefficiency (materials/labor/energy), Planning &amp; estimation / coordination complexity, Material supply / logistics &amp; market disruption</x:v>
      </x:c>
      <x:c r="H807" t="str">
        <x:v>Cost overrun mainly linked to resource inefficiency (materials/labor/energy); schedule overrun mainly linked to resource inefficiency (materials/labor/energy).</x:v>
      </x:c>
    </x:row>
    <x:row r="808">
      <x:c r="A808" t="str">
        <x:v>PJT_807</x:v>
      </x:c>
      <x:c r="B808" t="str">
        <x:v>Equipment constraints / low availability</x:v>
      </x:c>
      <x:c r="C808" t="str">
        <x:v>Planning &amp; estimation / coordination complexity</x:v>
      </x:c>
      <x:c r="D808" t="str">
        <x:v>Equipment constraints / low availability, Planning &amp; estimation / coordination complexity, Resource inefficiency (materials/labor/energy)</x:v>
      </x:c>
      <x:c r="E808" t="str">
        <x:v>Equipment constraints / low availability</x:v>
      </x:c>
      <x:c r="F808" t="str">
        <x:v>Planning &amp; estimation / coordination complexity</x:v>
      </x:c>
      <x:c r="G808" t="str">
        <x:v>Equipment constraints / low availability, Planning &amp; estimation / coordination complexity, Resource inefficiency (materials/labor/energy)</x:v>
      </x:c>
      <x:c r="H808" t="str">
        <x:v>Cost overrun mainly linked to equipment constraints / low availability; schedule overrun mainly linked to equipment constraints / low availability.</x:v>
      </x:c>
    </x:row>
    <x:row r="809">
      <x:c r="A809" t="str">
        <x:v>PJT_808</x:v>
      </x:c>
      <x:c r="B809" t="str">
        <x:v>Resource inefficiency (materials/labor/energy)</x:v>
      </x:c>
      <x:c r="C809" t="str">
        <x:v>Equipment constraints / low availability</x:v>
      </x:c>
      <x:c r="D809" t="str">
        <x:v>Resource inefficiency (materials/labor/energy), Equipment constraints / low availability, Planning &amp; estimation / coordination complexity</x:v>
      </x:c>
      <x:c r="E809" t="str">
        <x:v>Resource inefficiency (materials/labor/energy)</x:v>
      </x:c>
      <x:c r="F809" t="str">
        <x:v>Equipment constraints / low availability</x:v>
      </x:c>
      <x:c r="G809" t="str">
        <x:v>Resource inefficiency (materials/labor/energy), Equipment constraints / low availability, Planning &amp; estimation / coordination complexity</x:v>
      </x:c>
      <x:c r="H809" t="str">
        <x:v>Cost overrun mainly linked to resource inefficiency (materials/labor/energy); schedule overrun mainly linked to resource inefficiency (materials/labor/energy).</x:v>
      </x:c>
    </x:row>
    <x:row r="810">
      <x:c r="A810" t="str">
        <x:v>PJT_809</x:v>
      </x:c>
      <x:c r="B810" t="str">
        <x:v>Planning &amp; estimation / coordination complexity</x:v>
      </x:c>
      <x:c r="C810" t="str">
        <x:v>Weather disruption / environmental constraints</x:v>
      </x:c>
      <x:c r="D810" t="str">
        <x:v>Planning &amp; estimation / coordination complexity, Weather disruption / environmental constraints, Equipment constraints / low availability</x:v>
      </x:c>
      <x:c r="E810" t="str">
        <x:v>Planning &amp; estimation / coordination complexity</x:v>
      </x:c>
      <x:c r="F810" t="str">
        <x:v>Unforeseen site/structural issues &amp; rework</x:v>
      </x:c>
      <x:c r="G810" t="str">
        <x:v>Planning &amp; estimation / coordination complexity, Unforeseen site/structural issues &amp; rework, Weather disruption / environmental constraints</x:v>
      </x:c>
      <x:c r="H810" t="str">
        <x:v>Cost overrun mainly linked to planning &amp; estimation / coordination complexity; schedule overrun mainly linked to planning &amp; estimation / coordination complexity.</x:v>
      </x:c>
    </x:row>
    <x:row r="811">
      <x:c r="A811" t="str">
        <x:v>PJT_810</x:v>
      </x:c>
      <x:c r="B811" t="str">
        <x:v>Equipment constraints / low availability</x:v>
      </x:c>
      <x:c r="C811" t="str">
        <x:v>Unforeseen site/structural issues &amp; rework</x:v>
      </x:c>
      <x:c r="D811" t="str">
        <x:v>Equipment constraints / low availability, Unforeseen site/structural issues &amp; rework, Planning &amp; estimation / coordination complexity</x:v>
      </x:c>
      <x:c r="E811" t="str">
        <x:v>Equipment constraints / low availability</x:v>
      </x:c>
      <x:c r="F811" t="str">
        <x:v>Unforeseen site/structural issues &amp; rework</x:v>
      </x:c>
      <x:c r="G811" t="str">
        <x:v>Equipment constraints / low availability, Unforeseen site/structural issues &amp; rework, Planning &amp; estimation / coordination complexity</x:v>
      </x:c>
      <x:c r="H811" t="str">
        <x:v>Cost overrun mainly linked to equipment constraints / low availability; schedule overrun mainly linked to equipment constraints / low availability.</x:v>
      </x:c>
    </x:row>
    <x:row r="812">
      <x:c r="A812" t="str">
        <x:v>PJT_811</x:v>
      </x:c>
      <x:c r="B812" t="str">
        <x:v>Weather disruption / environmental constraints</x:v>
      </x:c>
      <x:c r="C812" t="str">
        <x:v>Planning &amp; estimation / coordination complexity</x:v>
      </x:c>
      <x:c r="D812" t="str">
        <x:v>Weather disruption / environmental constraints, Planning &amp; estimation / coordination complexity, Unforeseen site/structural issues &amp; rework</x:v>
      </x:c>
      <x:c r="E812" t="str">
        <x:v>Weather disruption / environmental constraints</x:v>
      </x:c>
      <x:c r="F812" t="str">
        <x:v>Unforeseen site/structural issues &amp; rework</x:v>
      </x:c>
      <x:c r="G812" t="str">
        <x:v>Weather disruption / environmental constraints, Unforeseen site/structural issues &amp; rework, Planning &amp; estimation / coordination complexity</x:v>
      </x:c>
      <x:c r="H812" t="str">
        <x:v>Cost overrun mainly linked to weather disruption / environmental constraints; schedule overrun mainly linked to weather disruption / environmental constraints.</x:v>
      </x:c>
    </x:row>
    <x:row r="813">
      <x:c r="A813" t="str">
        <x:v>PJT_812</x:v>
      </x:c>
      <x:c r="B813" t="str">
        <x:v>Resource inefficiency (materials/labor/energy)</x:v>
      </x:c>
      <x:c r="C813" t="str">
        <x:v>Equipment constraints / low availability</x:v>
      </x:c>
      <x:c r="D813" t="str">
        <x:v>Resource inefficiency (materials/labor/energy), Equipment constraints / low availability, Planning &amp; estimation / coordination complexity</x:v>
      </x:c>
      <x:c r="E813" t="str">
        <x:v>Resource inefficiency (materials/labor/energy)</x:v>
      </x:c>
      <x:c r="F813" t="str">
        <x:v>Equipment constraints / low availability</x:v>
      </x:c>
      <x:c r="G813" t="str">
        <x:v>Resource inefficiency (materials/labor/energy), Equipment constraints / low availability, Planning &amp; estimation / coordination complexity</x:v>
      </x:c>
      <x:c r="H813" t="str">
        <x:v>Cost overrun mainly linked to resource inefficiency (materials/labor/energy); schedule overrun mainly linked to resource inefficiency (materials/labor/energy).</x:v>
      </x:c>
    </x:row>
    <x:row r="814">
      <x:c r="A814" t="str">
        <x:v>PJT_813</x:v>
      </x:c>
      <x:c r="B814" t="str">
        <x:v>Unforeseen site/structural issues &amp; rework</x:v>
      </x:c>
      <x:c r="C814" t="str">
        <x:v>Planning &amp; estimation / coordination complexity</x:v>
      </x:c>
      <x:c r="D814" t="str">
        <x:v>Unforeseen site/structural issues &amp; rework, Planning &amp; estimation / coordination complexity, Equipment constraints / low availability</x:v>
      </x:c>
      <x:c r="E814" t="str">
        <x:v>Unforeseen site/structural issues &amp; rework</x:v>
      </x:c>
      <x:c r="F814" t="str">
        <x:v>Planning &amp; estimation / coordination complexity</x:v>
      </x:c>
      <x:c r="G814" t="str">
        <x:v>Unforeseen site/structural issues &amp; rework, Planning &amp; estimation / coordination complexity, Equipment constraints / low availability</x:v>
      </x:c>
      <x:c r="H814" t="str">
        <x:v>Cost overrun mainly linked to unforeseen site/structural issues &amp; rework; schedule overrun mainly linked to unforeseen site/structural issues &amp; rework.</x:v>
      </x:c>
    </x:row>
    <x:row r="815">
      <x:c r="A815" t="str">
        <x:v>PJT_814</x:v>
      </x:c>
      <x:c r="B815" t="str">
        <x:v>Resource inefficiency (materials/labor/energy)</x:v>
      </x:c>
      <x:c r="C815" t="str">
        <x:v>Material supply / logistics &amp; market disruption</x:v>
      </x:c>
      <x:c r="D815" t="str">
        <x:v>Resource inefficiency (materials/labor/energy), Material supply / logistics &amp; market disruption, Planning &amp; estimation / coordination complexity</x:v>
      </x:c>
      <x:c r="E815" t="str">
        <x:v>Resource inefficiency (materials/labor/energy)</x:v>
      </x:c>
      <x:c r="F815" t="str">
        <x:v>Planning &amp; estimation / coordination complexity</x:v>
      </x:c>
      <x:c r="G815" t="str">
        <x:v>Resource inefficiency (materials/labor/energy), Planning &amp; estimation / coordination complexity, Equipment constraints / low availability</x:v>
      </x:c>
      <x:c r="H815" t="str">
        <x:v>Cost overrun mainly linked to resource inefficiency (materials/labor/energy); schedule overrun mainly linked to resource inefficiency (materials/labor/energy).</x:v>
      </x:c>
    </x:row>
    <x:row r="816">
      <x:c r="A816" t="str">
        <x:v>PJT_815</x:v>
      </x:c>
      <x:c r="B816" t="str">
        <x:v>Weather disruption / environmental constraints</x:v>
      </x:c>
      <x:c r="C816" t="str">
        <x:v>Material supply / logistics &amp; market disruption</x:v>
      </x:c>
      <x:c r="D816" t="str">
        <x:v>Weather disruption / environmental constraints, Material supply / logistics &amp; market disruption, Planning &amp; estimation / coordination complexity</x:v>
      </x:c>
      <x:c r="E816" t="str">
        <x:v>Weather disruption / environmental constraints</x:v>
      </x:c>
      <x:c r="F816" t="str">
        <x:v>Material supply / logistics &amp; market disruption</x:v>
      </x:c>
      <x:c r="G816" t="str">
        <x:v>Weather disruption / environmental constraints, Material supply / logistics &amp; market disruption, Planning &amp; estimation / coordination complexity</x:v>
      </x:c>
      <x:c r="H816" t="str">
        <x:v>Cost overrun mainly linked to weather disruption / environmental constraints; schedule overrun mainly linked to weather disruption / environmental constraints.</x:v>
      </x:c>
    </x:row>
    <x:row r="817">
      <x:c r="A817" t="str">
        <x:v>PJT_816</x:v>
      </x:c>
      <x:c r="B817" t="str">
        <x:v>Resource inefficiency (materials/labor/energy)</x:v>
      </x:c>
      <x:c r="C817" t="str">
        <x:v>Planning &amp; estimation / coordination complexity</x:v>
      </x:c>
      <x:c r="D817" t="str">
        <x:v>Resource inefficiency (materials/labor/energy), Planning &amp; estimation / coordination complexity, Equipment constraints / low availability</x:v>
      </x:c>
      <x:c r="E817" t="str">
        <x:v>Planning &amp; estimation / coordination complexity</x:v>
      </x:c>
      <x:c r="F817" t="str">
        <x:v>Resource inefficiency (materials/labor/energy)</x:v>
      </x:c>
      <x:c r="G817" t="str">
        <x:v>Planning &amp; estimation / coordination complexity, Resource inefficiency (materials/labor/energy), Equipment constraints / low availability</x:v>
      </x:c>
      <x:c r="H817" t="str">
        <x:v>Cost overrun mainly linked to resource inefficiency (materials/labor/energy); schedule overrun mainly linked to planning &amp; estimation / coordination complexity.</x:v>
      </x:c>
    </x:row>
    <x:row r="818">
      <x:c r="A818" t="str">
        <x:v>PJT_817</x:v>
      </x:c>
      <x:c r="B818" t="str">
        <x:v>Material supply / logistics &amp; market disruption</x:v>
      </x:c>
      <x:c r="C818" t="str">
        <x:v>Weather disruption / environmental constraints</x:v>
      </x:c>
      <x:c r="D818" t="str">
        <x:v>Material supply / logistics &amp; market disruption, Weather disruption / environmental constraints, Resource inefficiency (materials/labor/energy)</x:v>
      </x:c>
      <x:c r="E818" t="str">
        <x:v>Material supply / logistics &amp; market disruption</x:v>
      </x:c>
      <x:c r="F818" t="str">
        <x:v>Weather disruption / environmental constraints</x:v>
      </x:c>
      <x:c r="G818" t="str">
        <x:v>Material supply / logistics &amp; market disruption, Weather disruption / environmental constraints, Resource inefficiency (materials/labor/energy)</x:v>
      </x:c>
      <x:c r="H818" t="str">
        <x:v>Cost overrun mainly linked to material supply / logistics &amp; market disruption; schedule overrun mainly linked to material supply / logistics &amp; market disruption.</x:v>
      </x:c>
    </x:row>
    <x:row r="819">
      <x:c r="A819" t="str">
        <x:v>PJT_818</x:v>
      </x:c>
      <x:c r="B819" t="str">
        <x:v>Material supply / logistics &amp; market disruption</x:v>
      </x:c>
      <x:c r="C819" t="str">
        <x:v>Equipment constraints / low availability</x:v>
      </x:c>
      <x:c r="D819" t="str">
        <x:v>Material supply / logistics &amp; market disruption, Equipment constraints / low availability, Planning &amp; estimation / coordination complexity</x:v>
      </x:c>
      <x:c r="E819" t="str">
        <x:v>Material supply / logistics &amp; market disruption</x:v>
      </x:c>
      <x:c r="F819" t="str">
        <x:v>Equipment constraints / low availability</x:v>
      </x:c>
      <x:c r="G819" t="str">
        <x:v>Material supply / logistics &amp; market disruption, Equipment constraints / low availability, Planning &amp; estimation / coordination complexity</x:v>
      </x:c>
      <x:c r="H819" t="str">
        <x:v>Cost overrun mainly linked to material supply / logistics &amp; market disruption; schedule overrun mainly linked to material supply / logistics &amp; market disruption.</x:v>
      </x:c>
    </x:row>
    <x:row r="820">
      <x:c r="A820" t="str">
        <x:v>PJT_819</x:v>
      </x:c>
      <x:c r="B820" t="str">
        <x:v>Weather disruption / environmental constraints</x:v>
      </x:c>
      <x:c r="C820" t="str">
        <x:v>Unforeseen site/structural issues &amp; rework</x:v>
      </x:c>
      <x:c r="D820" t="str">
        <x:v>Weather disruption / environmental constraints, Unforeseen site/structural issues &amp; rework, Planning &amp; estimation / coordination complexity</x:v>
      </x:c>
      <x:c r="E820" t="str">
        <x:v>Weather disruption / environmental constraints</x:v>
      </x:c>
      <x:c r="F820" t="str">
        <x:v>Unforeseen site/structural issues &amp; rework</x:v>
      </x:c>
      <x:c r="G820" t="str">
        <x:v>Weather disruption / environmental constraints, Unforeseen site/structural issues &amp; rework, Planning &amp; estimation / coordination complexity</x:v>
      </x:c>
      <x:c r="H820" t="str">
        <x:v>Cost overrun mainly linked to weather disruption / environmental constraints; schedule overrun mainly linked to weather disruption / environmental constraints.</x:v>
      </x:c>
    </x:row>
    <x:row r="821">
      <x:c r="A821" t="str">
        <x:v>PJT_820</x:v>
      </x:c>
      <x:c r="B821" t="str">
        <x:v>Unforeseen site/structural issues &amp; rework</x:v>
      </x:c>
      <x:c r="C821" t="str">
        <x:v>Resource inefficiency (materials/labor/energy)</x:v>
      </x:c>
      <x:c r="D821" t="str">
        <x:v>Unforeseen site/structural issues &amp; rework, Resource inefficiency (materials/labor/energy), Planning &amp; estimation / coordination complexity</x:v>
      </x:c>
      <x:c r="E821" t="str">
        <x:v>Unforeseen site/structural issues &amp; rework</x:v>
      </x:c>
      <x:c r="F821" t="str">
        <x:v>Planning &amp; estimation / coordination complexity</x:v>
      </x:c>
      <x:c r="G821" t="str">
        <x:v>Unforeseen site/structural issues &amp; rework, Planning &amp; estimation / coordination complexity, Resource inefficiency (materials/labor/energy)</x:v>
      </x:c>
      <x:c r="H821" t="str">
        <x:v>Cost overrun mainly linked to unforeseen site/structural issues &amp; rework; schedule overrun mainly linked to unforeseen site/structural issues &amp; rework.</x:v>
      </x:c>
    </x:row>
    <x:row r="822">
      <x:c r="A822" t="str">
        <x:v>PJT_821</x:v>
      </x:c>
      <x:c r="B822" t="str">
        <x:v>Resource inefficiency (materials/labor/energy)</x:v>
      </x:c>
      <x:c r="C822" t="str">
        <x:v>Planning &amp; estimation / coordination complexity</x:v>
      </x:c>
      <x:c r="D822" t="str">
        <x:v>Resource inefficiency (materials/labor/energy), Planning &amp; estimation / coordination complexity, Equipment constraints / low availability</x:v>
      </x:c>
      <x:c r="E822" t="str">
        <x:v>Resource inefficiency (materials/labor/energy)</x:v>
      </x:c>
      <x:c r="F822" t="str">
        <x:v>Planning &amp; estimation / coordination complexity</x:v>
      </x:c>
      <x:c r="G822" t="str">
        <x:v>Resource inefficiency (materials/labor/energy), Planning &amp; estimation / coordination complexity, Equipment constraints / low availability</x:v>
      </x:c>
      <x:c r="H822" t="str">
        <x:v>Cost overrun mainly linked to resource inefficiency (materials/labor/energy); schedule overrun mainly linked to resource inefficiency (materials/labor/energy).</x:v>
      </x:c>
    </x:row>
    <x:row r="823">
      <x:c r="A823" t="str">
        <x:v>PJT_822</x:v>
      </x:c>
      <x:c r="B823" t="str">
        <x:v>Unforeseen site/structural issues &amp; rework</x:v>
      </x:c>
      <x:c r="C823" t="str">
        <x:v>Planning &amp; estimation / coordination complexity</x:v>
      </x:c>
      <x:c r="D823" t="str">
        <x:v>Unforeseen site/structural issues &amp; rework, Planning &amp; estimation / coordination complexity, Material supply / logistics &amp; market disruption</x:v>
      </x:c>
      <x:c r="E823" t="str">
        <x:v>Unforeseen site/structural issues &amp; rework</x:v>
      </x:c>
      <x:c r="F823" t="str">
        <x:v>Planning &amp; estimation / coordination complexity</x:v>
      </x:c>
      <x:c r="G823" t="str">
        <x:v>Unforeseen site/structural issues &amp; rework, Planning &amp; estimation / coordination complexity, Material supply / logistics &amp; market disruption</x:v>
      </x:c>
      <x:c r="H823" t="str">
        <x:v>Cost overrun mainly linked to unforeseen site/structural issues &amp; rework; schedule overrun mainly linked to unforeseen site/structural issues &amp; rework.</x:v>
      </x:c>
    </x:row>
    <x:row r="824">
      <x:c r="A824" t="str">
        <x:v>PJT_823</x:v>
      </x:c>
      <x:c r="B824" t="str">
        <x:v>Material supply / logistics &amp; market disruption</x:v>
      </x:c>
      <x:c r="C824" t="str">
        <x:v>Resource inefficiency (materials/labor/energy)</x:v>
      </x:c>
      <x:c r="D824" t="str">
        <x:v>Material supply / logistics &amp; market disruption, Resource inefficiency (materials/labor/energy), Planning &amp; estimation / coordination complexity</x:v>
      </x:c>
      <x:c r="E824" t="str">
        <x:v>Material supply / logistics &amp; market disruption</x:v>
      </x:c>
      <x:c r="F824" t="str">
        <x:v>Resource inefficiency (materials/labor/energy)</x:v>
      </x:c>
      <x:c r="G824" t="str">
        <x:v>Material supply / logistics &amp; market disruption, Resource inefficiency (materials/labor/energy), Planning &amp; estimation / coordination complexity</x:v>
      </x:c>
      <x:c r="H824" t="str">
        <x:v>Cost overrun mainly linked to material supply / logistics &amp; market disruption; schedule overrun mainly linked to material supply / logistics &amp; market disruption.</x:v>
      </x:c>
    </x:row>
    <x:row r="825">
      <x:c r="A825" t="str">
        <x:v>PJT_824</x:v>
      </x:c>
      <x:c r="B825" t="str">
        <x:v>Equipment constraints / low availability</x:v>
      </x:c>
      <x:c r="C825" t="str">
        <x:v>Unforeseen site/structural issues &amp; rework</x:v>
      </x:c>
      <x:c r="D825" t="str">
        <x:v>Equipment constraints / low availability, Unforeseen site/structural issues &amp; rework, Planning &amp; estimation / coordination complexity</x:v>
      </x:c>
      <x:c r="E825" t="str">
        <x:v>Equipment constraints / low availability</x:v>
      </x:c>
      <x:c r="F825" t="str">
        <x:v>Unforeseen site/structural issues &amp; rework</x:v>
      </x:c>
      <x:c r="G825" t="str">
        <x:v>Equipment constraints / low availability, Unforeseen site/structural issues &amp; rework, Planning &amp; estimation / coordination complexity</x:v>
      </x:c>
      <x:c r="H825" t="str">
        <x:v>Cost overrun mainly linked to equipment constraints / low availability; schedule overrun mainly linked to equipment constraints / low availability.</x:v>
      </x:c>
    </x:row>
    <x:row r="826">
      <x:c r="A826" t="str">
        <x:v>PJT_825</x:v>
      </x:c>
      <x:c r="B826" t="str">
        <x:v>Equipment constraints / low availability</x:v>
      </x:c>
      <x:c r="C826" t="str">
        <x:v>Resource inefficiency (materials/labor/energy)</x:v>
      </x:c>
      <x:c r="D826" t="str">
        <x:v>Equipment constraints / low availability, Resource inefficiency (materials/labor/energy), Planning &amp; estimation / coordination complexity</x:v>
      </x:c>
      <x:c r="E826" t="str">
        <x:v>Equipment constraints / low availability</x:v>
      </x:c>
      <x:c r="F826" t="str">
        <x:v>Resource inefficiency (materials/labor/energy)</x:v>
      </x:c>
      <x:c r="G826" t="str">
        <x:v>Equipment constraints / low availability, Resource inefficiency (materials/labor/energy), Planning &amp; estimation / coordination complexity</x:v>
      </x:c>
      <x:c r="H826" t="str">
        <x:v>Cost overrun mainly linked to equipment constraints / low availability; schedule overrun mainly linked to equipment constraints / low availability.</x:v>
      </x:c>
    </x:row>
    <x:row r="827">
      <x:c r="A827" t="str">
        <x:v>PJT_826</x:v>
      </x:c>
      <x:c r="B827" t="str">
        <x:v>Material supply / logistics &amp; market disruption</x:v>
      </x:c>
      <x:c r="C827" t="str">
        <x:v>Resource inefficiency (materials/labor/energy)</x:v>
      </x:c>
      <x:c r="D827" t="str">
        <x:v>Material supply / logistics &amp; market disruption, Resource inefficiency (materials/labor/energy), Weather disruption / environmental constraints</x:v>
      </x:c>
      <x:c r="E827" t="str">
        <x:v>Material supply / logistics &amp; market disruption</x:v>
      </x:c>
      <x:c r="F827" t="str">
        <x:v>Resource inefficiency (materials/labor/energy)</x:v>
      </x:c>
      <x:c r="G827" t="str">
        <x:v>Material supply / logistics &amp; market disruption, Resource inefficiency (materials/labor/energy), Weather disruption / environmental constraints</x:v>
      </x:c>
      <x:c r="H827" t="str">
        <x:v>Cost overrun mainly linked to material supply / logistics &amp; market disruption; schedule overrun mainly linked to material supply / logistics &amp; market disruption.</x:v>
      </x:c>
    </x:row>
    <x:row r="828">
      <x:c r="A828" t="str">
        <x:v>PJT_827</x:v>
      </x:c>
      <x:c r="B828" t="str">
        <x:v>Unforeseen site/structural issues &amp; rework</x:v>
      </x:c>
      <x:c r="C828" t="str">
        <x:v>Weather disruption / environmental constraints</x:v>
      </x:c>
      <x:c r="D828" t="str">
        <x:v>Unforeseen site/structural issues &amp; rework, Weather disruption / environmental constraints, Planning &amp; estimation / coordination complexity</x:v>
      </x:c>
      <x:c r="E828" t="str">
        <x:v>Weather disruption / environmental constraints</x:v>
      </x:c>
      <x:c r="F828" t="str">
        <x:v>Unforeseen site/structural issues &amp; rework</x:v>
      </x:c>
      <x:c r="G828" t="str">
        <x:v>Weather disruption / environmental constraints, Unforeseen site/structural issues &amp; rework, Material supply / logistics &amp; market disruption</x:v>
      </x:c>
      <x:c r="H828" t="str">
        <x:v>Cost overrun mainly linked to unforeseen site/structural issues &amp; rework; schedule overrun mainly linked to weather disruption / environmental constraints.</x:v>
      </x:c>
    </x:row>
    <x:row r="829">
      <x:c r="A829" t="str">
        <x:v>PJT_828</x:v>
      </x:c>
      <x:c r="B829" t="str">
        <x:v>Unforeseen site/structural issues &amp; rework</x:v>
      </x:c>
      <x:c r="C829" t="str">
        <x:v>Weather disruption / environmental constraints</x:v>
      </x:c>
      <x:c r="D829" t="str">
        <x:v>Unforeseen site/structural issues &amp; rework, Weather disruption / environmental constraints, Resource inefficiency (materials/labor/energy)</x:v>
      </x:c>
      <x:c r="E829" t="str">
        <x:v>Unforeseen site/structural issues &amp; rework</x:v>
      </x:c>
      <x:c r="F829" t="str">
        <x:v>Weather disruption / environmental constraints</x:v>
      </x:c>
      <x:c r="G829" t="str">
        <x:v>Unforeseen site/structural issues &amp; rework, Weather disruption / environmental constraints, Planning &amp; estimation / coordination complexity</x:v>
      </x:c>
      <x:c r="H829" t="str">
        <x:v>Cost overrun mainly linked to unforeseen site/structural issues &amp; rework; schedule overrun mainly linked to unforeseen site/structural issues &amp; rework.</x:v>
      </x:c>
    </x:row>
    <x:row r="830">
      <x:c r="A830" t="str">
        <x:v>PJT_829</x:v>
      </x:c>
      <x:c r="B830" t="str">
        <x:v>Equipment constraints / low availability</x:v>
      </x:c>
      <x:c r="C830" t="str">
        <x:v>Resource inefficiency (materials/labor/energy)</x:v>
      </x:c>
      <x:c r="D830" t="str">
        <x:v>Equipment constraints / low availability, Resource inefficiency (materials/labor/energy), Material supply / logistics &amp; market disruption</x:v>
      </x:c>
      <x:c r="E830" t="str">
        <x:v>Equipment constraints / low availability</x:v>
      </x:c>
      <x:c r="F830" t="str">
        <x:v>Resource inefficiency (materials/labor/energy)</x:v>
      </x:c>
      <x:c r="G830" t="str">
        <x:v>Equipment constraints / low availability, Resource inefficiency (materials/labor/energy), Material supply / logistics &amp; market disruption</x:v>
      </x:c>
      <x:c r="H830" t="str">
        <x:v>Cost overrun mainly linked to equipment constraints / low availability; schedule overrun mainly linked to equipment constraints / low availability.</x:v>
      </x:c>
    </x:row>
    <x:row r="831">
      <x:c r="A831" t="str">
        <x:v>PJT_830</x:v>
      </x:c>
      <x:c r="B831" t="str">
        <x:v>Unforeseen site/structural issues &amp; rework</x:v>
      </x:c>
      <x:c r="C831" t="str">
        <x:v>Planning &amp; estimation / coordination complexity</x:v>
      </x:c>
      <x:c r="D831" t="str">
        <x:v>Unforeseen site/structural issues &amp; rework, Planning &amp; estimation / coordination complexity, Equipment constraints / low availability</x:v>
      </x:c>
      <x:c r="E831" t="str">
        <x:v>Unforeseen site/structural issues &amp; rework</x:v>
      </x:c>
      <x:c r="F831" t="str">
        <x:v>Planning &amp; estimation / coordination complexity</x:v>
      </x:c>
      <x:c r="G831" t="str">
        <x:v>Unforeseen site/structural issues &amp; rework, Planning &amp; estimation / coordination complexity, Equipment constraints / low availability</x:v>
      </x:c>
      <x:c r="H831" t="str">
        <x:v>Cost overrun mainly linked to unforeseen site/structural issues &amp; rework; schedule overrun mainly linked to unforeseen site/structural issues &amp; rework.</x:v>
      </x:c>
    </x:row>
    <x:row r="832">
      <x:c r="A832" t="str">
        <x:v>PJT_831</x:v>
      </x:c>
      <x:c r="B832" t="str">
        <x:v>Resource inefficiency (materials/labor/energy)</x:v>
      </x:c>
      <x:c r="C832" t="str">
        <x:v>Equipment constraints / low availability</x:v>
      </x:c>
      <x:c r="D832" t="str">
        <x:v>Resource inefficiency (materials/labor/energy), Equipment constraints / low availability, Material supply / logistics &amp; market disruption</x:v>
      </x:c>
      <x:c r="E832" t="str">
        <x:v>Resource inefficiency (materials/labor/energy)</x:v>
      </x:c>
      <x:c r="F832" t="str">
        <x:v>Equipment constraints / low availability</x:v>
      </x:c>
      <x:c r="G832" t="str">
        <x:v>Resource inefficiency (materials/labor/energy), Equipment constraints / low availability, Planning &amp; estimation / coordination complexity</x:v>
      </x:c>
      <x:c r="H832" t="str">
        <x:v>Cost overrun mainly linked to resource inefficiency (materials/labor/energy); schedule overrun mainly linked to resource inefficiency (materials/labor/energy).</x:v>
      </x:c>
    </x:row>
    <x:row r="833">
      <x:c r="A833" t="str">
        <x:v>PJT_832</x:v>
      </x:c>
      <x:c r="B833" t="str">
        <x:v>Resource inefficiency (materials/labor/energy)</x:v>
      </x:c>
      <x:c r="C833" t="str">
        <x:v>Material supply / logistics &amp; market disruption</x:v>
      </x:c>
      <x:c r="D833" t="str">
        <x:v>Resource inefficiency (materials/labor/energy), Material supply / logistics &amp; market disruption, Planning &amp; estimation / coordination complexity</x:v>
      </x:c>
      <x:c r="E833" t="str">
        <x:v>Resource inefficiency (materials/labor/energy)</x:v>
      </x:c>
      <x:c r="F833" t="str">
        <x:v>Planning &amp; estimation / coordination complexity</x:v>
      </x:c>
      <x:c r="G833" t="str">
        <x:v>Resource inefficiency (materials/labor/energy), Planning &amp; estimation / coordination complexity, Equipment constraints / low availability</x:v>
      </x:c>
      <x:c r="H833" t="str">
        <x:v>Cost overrun mainly linked to resource inefficiency (materials/labor/energy); schedule overrun mainly linked to resource inefficiency (materials/labor/energy).</x:v>
      </x:c>
    </x:row>
    <x:row r="834">
      <x:c r="A834" t="str">
        <x:v>PJT_833</x:v>
      </x:c>
      <x:c r="B834" t="str">
        <x:v>Planning &amp; estimation / coordination complexity</x:v>
      </x:c>
      <x:c r="C834" t="str">
        <x:v>Resource inefficiency (materials/labor/energy)</x:v>
      </x:c>
      <x:c r="D834" t="str">
        <x:v>Planning &amp; estimation / coordination complexity, Resource inefficiency (materials/labor/energy), Equipment constraints / low availability</x:v>
      </x:c>
      <x:c r="E834" t="str">
        <x:v>Planning &amp; estimation / coordination complexity</x:v>
      </x:c>
      <x:c r="F834" t="str">
        <x:v>Resource inefficiency (materials/labor/energy)</x:v>
      </x:c>
      <x:c r="G834" t="str">
        <x:v>Planning &amp; estimation / coordination complexity, Resource inefficiency (materials/labor/energy), Equipment constraints / low availability</x:v>
      </x:c>
      <x:c r="H834" t="str">
        <x:v>Cost overrun mainly linked to planning &amp; estimation / coordination complexity; schedule overrun mainly linked to planning &amp; estimation / coordination complexity.</x:v>
      </x:c>
    </x:row>
    <x:row r="835">
      <x:c r="A835" t="str">
        <x:v>PJT_834</x:v>
      </x:c>
      <x:c r="B835" t="str">
        <x:v>Unforeseen site/structural issues &amp; rework</x:v>
      </x:c>
      <x:c r="C835" t="str">
        <x:v>Planning &amp; estimation / coordination complexity</x:v>
      </x:c>
      <x:c r="D835" t="str">
        <x:v>Unforeseen site/structural issues &amp; rework, Planning &amp; estimation / coordination complexity, Equipment constraints / low availability</x:v>
      </x:c>
      <x:c r="E835" t="str">
        <x:v>Unforeseen site/structural issues &amp; rework</x:v>
      </x:c>
      <x:c r="F835" t="str">
        <x:v>Planning &amp; estimation / coordination complexity</x:v>
      </x:c>
      <x:c r="G835" t="str">
        <x:v>Unforeseen site/structural issues &amp; rework, Planning &amp; estimation / coordination complexity, Equipment constraints / low availability</x:v>
      </x:c>
      <x:c r="H835" t="str">
        <x:v>Cost overrun mainly linked to unforeseen site/structural issues &amp; rework; schedule overrun mainly linked to unforeseen site/structural issues &amp; rework.</x:v>
      </x:c>
    </x:row>
    <x:row r="836">
      <x:c r="A836" t="str">
        <x:v>PJT_835</x:v>
      </x:c>
      <x:c r="B836" t="str">
        <x:v>Equipment constraints / low availability</x:v>
      </x:c>
      <x:c r="C836" t="str">
        <x:v>Weather disruption / environmental constraints</x:v>
      </x:c>
      <x:c r="D836" t="str">
        <x:v>Equipment constraints / low availability, Weather disruption / environmental constraints, Material supply / logistics &amp; market disruption</x:v>
      </x:c>
      <x:c r="E836" t="str">
        <x:v>Equipment constraints / low availability</x:v>
      </x:c>
      <x:c r="F836" t="str">
        <x:v>Weather disruption / environmental constraints</x:v>
      </x:c>
      <x:c r="G836" t="str">
        <x:v>Equipment constraints / low availability, Weather disruption / environmental constraints, Material supply / logistics &amp; market disruption</x:v>
      </x:c>
      <x:c r="H836" t="str">
        <x:v>Cost overrun mainly linked to equipment constraints / low availability; schedule overrun mainly linked to equipment constraints / low availability.</x:v>
      </x:c>
    </x:row>
    <x:row r="837">
      <x:c r="A837" t="str">
        <x:v>PJT_836</x:v>
      </x:c>
      <x:c r="B837" t="str">
        <x:v>Resource inefficiency (materials/labor/energy)</x:v>
      </x:c>
      <x:c r="C837" t="str">
        <x:v>Planning &amp; estimation / coordination complexity</x:v>
      </x:c>
      <x:c r="D837" t="str">
        <x:v>Resource inefficiency (materials/labor/energy), Planning &amp; estimation / coordination complexity, Equipment constraints / low availability</x:v>
      </x:c>
      <x:c r="E837" t="str">
        <x:v>Planning &amp; estimation / coordination complexity</x:v>
      </x:c>
      <x:c r="F837" t="str">
        <x:v>Resource inefficiency (materials/labor/energy)</x:v>
      </x:c>
      <x:c r="G837" t="str">
        <x:v>Planning &amp; estimation / coordination complexity, Resource inefficiency (materials/labor/energy), Equipment constraints / low availability</x:v>
      </x:c>
      <x:c r="H837" t="str">
        <x:v>Cost overrun mainly linked to resource inefficiency (materials/labor/energy); schedule overrun mainly linked to planning &amp; estimation / coordination complexity.</x:v>
      </x:c>
    </x:row>
    <x:row r="838">
      <x:c r="A838" t="str">
        <x:v>PJT_837</x:v>
      </x:c>
      <x:c r="B838" t="str">
        <x:v>Planning &amp; estimation / coordination complexity</x:v>
      </x:c>
      <x:c r="C838" t="str">
        <x:v>Unforeseen site/structural issues &amp; rework</x:v>
      </x:c>
      <x:c r="D838" t="str">
        <x:v>Planning &amp; estimation / coordination complexity, Unforeseen site/structural issues &amp; rework, Resource inefficiency (materials/labor/energy)</x:v>
      </x:c>
      <x:c r="E838" t="str">
        <x:v>Planning &amp; estimation / coordination complexity</x:v>
      </x:c>
      <x:c r="F838" t="str">
        <x:v>Unforeseen site/structural issues &amp; rework</x:v>
      </x:c>
      <x:c r="G838" t="str">
        <x:v>Planning &amp; estimation / coordination complexity, Unforeseen site/structural issues &amp; rework, Resource inefficiency (materials/labor/energy)</x:v>
      </x:c>
      <x:c r="H838" t="str">
        <x:v>Cost overrun mainly linked to planning &amp; estimation / coordination complexity; schedule overrun mainly linked to planning &amp; estimation / coordination complexity.</x:v>
      </x:c>
    </x:row>
    <x:row r="839">
      <x:c r="A839" t="str">
        <x:v>PJT_838</x:v>
      </x:c>
      <x:c r="B839" t="str">
        <x:v>Resource inefficiency (materials/labor/energy)</x:v>
      </x:c>
      <x:c r="C839" t="str">
        <x:v>Planning &amp; estimation / coordination complexity</x:v>
      </x:c>
      <x:c r="D839" t="str">
        <x:v>Resource inefficiency (materials/labor/energy), Planning &amp; estimation / coordination complexity, Equipment constraints / low availability</x:v>
      </x:c>
      <x:c r="E839" t="str">
        <x:v>Resource inefficiency (materials/labor/energy)</x:v>
      </x:c>
      <x:c r="F839" t="str">
        <x:v>Planning &amp; estimation / coordination complexity</x:v>
      </x:c>
      <x:c r="G839" t="str">
        <x:v>Resource inefficiency (materials/labor/energy), Planning &amp; estimation / coordination complexity, Equipment constraints / low availability</x:v>
      </x:c>
      <x:c r="H839" t="str">
        <x:v>Cost overrun mainly linked to resource inefficiency (materials/labor/energy); schedule overrun mainly linked to resource inefficiency (materials/labor/energy).</x:v>
      </x:c>
    </x:row>
    <x:row r="840">
      <x:c r="A840" t="str">
        <x:v>PJT_839</x:v>
      </x:c>
      <x:c r="B840" t="str">
        <x:v>Weather disruption / environmental constraints</x:v>
      </x:c>
      <x:c r="C840" t="str">
        <x:v>Material supply / logistics &amp; market disruption</x:v>
      </x:c>
      <x:c r="D840" t="str">
        <x:v>Weather disruption / environmental constraints, Material supply / logistics &amp; market disruption, Equipment constraints / low availability</x:v>
      </x:c>
      <x:c r="E840" t="str">
        <x:v>Weather disruption / environmental constraints</x:v>
      </x:c>
      <x:c r="F840" t="str">
        <x:v>Material supply / logistics &amp; market disruption</x:v>
      </x:c>
      <x:c r="G840" t="str">
        <x:v>Weather disruption / environmental constraints, Material supply / logistics &amp; market disruption, Resource inefficiency (materials/labor/energy)</x:v>
      </x:c>
      <x:c r="H840" t="str">
        <x:v>Cost overrun mainly linked to weather disruption / environmental constraints; schedule overrun mainly linked to weather disruption / environmental constraints.</x:v>
      </x:c>
    </x:row>
    <x:row r="841">
      <x:c r="A841" t="str">
        <x:v>PJT_840</x:v>
      </x:c>
      <x:c r="B841" t="str">
        <x:v>Weather disruption / environmental constraints</x:v>
      </x:c>
      <x:c r="C841" t="str">
        <x:v>Material supply / logistics &amp; market disruption</x:v>
      </x:c>
      <x:c r="D841" t="str">
        <x:v>Weather disruption / environmental constraints, Material supply / logistics &amp; market disruption, Equipment constraints / low availability</x:v>
      </x:c>
      <x:c r="E841" t="str">
        <x:v>Weather disruption / environmental constraints</x:v>
      </x:c>
      <x:c r="F841" t="str">
        <x:v>Material supply / logistics &amp; market disruption</x:v>
      </x:c>
      <x:c r="G841" t="str">
        <x:v>Weather disruption / environmental constraints, Material supply / logistics &amp; market disruption, Equipment constraints / low availability</x:v>
      </x:c>
      <x:c r="H841" t="str">
        <x:v>Cost overrun mainly linked to weather disruption / environmental constraints; schedule overrun mainly linked to weather disruption / environmental constraints.</x:v>
      </x:c>
    </x:row>
    <x:row r="842">
      <x:c r="A842" t="str">
        <x:v>PJT_841</x:v>
      </x:c>
      <x:c r="B842" t="str">
        <x:v>Equipment constraints / low availability</x:v>
      </x:c>
      <x:c r="C842" t="str">
        <x:v>Planning &amp; estimation / coordination complexity</x:v>
      </x:c>
      <x:c r="D842" t="str">
        <x:v>Equipment constraints / low availability, Planning &amp; estimation / coordination complexity, Resource inefficiency (materials/labor/energy)</x:v>
      </x:c>
      <x:c r="E842" t="str">
        <x:v>Equipment constraints / low availability</x:v>
      </x:c>
      <x:c r="F842" t="str">
        <x:v>Resource inefficiency (materials/labor/energy)</x:v>
      </x:c>
      <x:c r="G842" t="str">
        <x:v>Equipment constraints / low availability, Resource inefficiency (materials/labor/energy), Planning &amp; estimation / coordination complexity</x:v>
      </x:c>
      <x:c r="H842" t="str">
        <x:v>Cost overrun mainly linked to equipment constraints / low availability; schedule overrun mainly linked to equipment constraints / low availability.</x:v>
      </x:c>
    </x:row>
    <x:row r="843">
      <x:c r="A843" t="str">
        <x:v>PJT_842</x:v>
      </x:c>
      <x:c r="B843" t="str">
        <x:v>Resource inefficiency (materials/labor/energy)</x:v>
      </x:c>
      <x:c r="C843" t="str">
        <x:v>Planning &amp; estimation / coordination complexity</x:v>
      </x:c>
      <x:c r="D843" t="str">
        <x:v>Resource inefficiency (materials/labor/energy), Planning &amp; estimation / coordination complexity, Equipment constraints / low availability</x:v>
      </x:c>
      <x:c r="E843" t="str">
        <x:v>Resource inefficiency (materials/labor/energy)</x:v>
      </x:c>
      <x:c r="F843" t="str">
        <x:v>Planning &amp; estimation / coordination complexity</x:v>
      </x:c>
      <x:c r="G843" t="str">
        <x:v>Resource inefficiency (materials/labor/energy), Planning &amp; estimation / coordination complexity, Equipment constraints / low availability</x:v>
      </x:c>
      <x:c r="H843" t="str">
        <x:v>Cost overrun mainly linked to resource inefficiency (materials/labor/energy); schedule overrun mainly linked to resource inefficiency (materials/labor/energy).</x:v>
      </x:c>
    </x:row>
    <x:row r="844">
      <x:c r="A844" t="str">
        <x:v>PJT_843</x:v>
      </x:c>
      <x:c r="B844" t="str">
        <x:v>Weather disruption / environmental constraints</x:v>
      </x:c>
      <x:c r="C844" t="str">
        <x:v>Unforeseen site/structural issues &amp; rework</x:v>
      </x:c>
      <x:c r="D844" t="str">
        <x:v>Weather disruption / environmental constraints, Unforeseen site/structural issues &amp; rework, Planning &amp; estimation / coordination complexity</x:v>
      </x:c>
      <x:c r="E844" t="str">
        <x:v>Weather disruption / environmental constraints</x:v>
      </x:c>
      <x:c r="F844" t="str">
        <x:v>Unforeseen site/structural issues &amp; rework</x:v>
      </x:c>
      <x:c r="G844" t="str">
        <x:v>Weather disruption / environmental constraints, Unforeseen site/structural issues &amp; rework, Material supply / logistics &amp; market disruption</x:v>
      </x:c>
      <x:c r="H844" t="str">
        <x:v>Cost overrun mainly linked to weather disruption / environmental constraints; schedule overrun mainly linked to weather disruption / environmental constraints.</x:v>
      </x:c>
    </x:row>
    <x:row r="845">
      <x:c r="A845" t="str">
        <x:v>PJT_844</x:v>
      </x:c>
      <x:c r="B845" t="str">
        <x:v>Unforeseen site/structural issues &amp; rework</x:v>
      </x:c>
      <x:c r="C845" t="str">
        <x:v>Planning &amp; estimation / coordination complexity</x:v>
      </x:c>
      <x:c r="D845" t="str">
        <x:v>Unforeseen site/structural issues &amp; rework, Planning &amp; estimation / coordination complexity, Resource inefficiency (materials/labor/energy)</x:v>
      </x:c>
      <x:c r="E845" t="str">
        <x:v>Unforeseen site/structural issues &amp; rework</x:v>
      </x:c>
      <x:c r="F845" t="str">
        <x:v>Planning &amp; estimation / coordination complexity</x:v>
      </x:c>
      <x:c r="G845" t="str">
        <x:v>Unforeseen site/structural issues &amp; rework, Planning &amp; estimation / coordination complexity, Resource inefficiency (materials/labor/energy)</x:v>
      </x:c>
      <x:c r="H845" t="str">
        <x:v>Cost overrun mainly linked to unforeseen site/structural issues &amp; rework; schedule overrun mainly linked to unforeseen site/structural issues &amp; rework.</x:v>
      </x:c>
    </x:row>
    <x:row r="846">
      <x:c r="A846" t="str">
        <x:v>PJT_845</x:v>
      </x:c>
      <x:c r="B846" t="str">
        <x:v>Resource inefficiency (materials/labor/energy)</x:v>
      </x:c>
      <x:c r="C846" t="str">
        <x:v>Planning &amp; estimation / coordination complexity</x:v>
      </x:c>
      <x:c r="D846" t="str">
        <x:v>Resource inefficiency (materials/labor/energy), Planning &amp; estimation / coordination complexity, Material supply / logistics &amp; market disruption</x:v>
      </x:c>
      <x:c r="E846" t="str">
        <x:v>Planning &amp; estimation / coordination complexity</x:v>
      </x:c>
      <x:c r="F846" t="str">
        <x:v>Resource inefficiency (materials/labor/energy)</x:v>
      </x:c>
      <x:c r="G846" t="str">
        <x:v>Planning &amp; estimation / coordination complexity, Resource inefficiency (materials/labor/energy), Unforeseen site/structural issues &amp; rework</x:v>
      </x:c>
      <x:c r="H846" t="str">
        <x:v>Cost overrun mainly linked to resource inefficiency (materials/labor/energy); schedule overrun mainly linked to planning &amp; estimation / coordination complexity.</x:v>
      </x:c>
    </x:row>
    <x:row r="847">
      <x:c r="A847" t="str">
        <x:v>PJT_846</x:v>
      </x:c>
      <x:c r="B847" t="str">
        <x:v>Material supply / logistics &amp; market disruption</x:v>
      </x:c>
      <x:c r="C847" t="str">
        <x:v>Weather disruption / environmental constraints</x:v>
      </x:c>
      <x:c r="D847" t="str">
        <x:v>Material supply / logistics &amp; market disruption, Weather disruption / environmental constraints, Planning &amp; estimation / coordination complexity</x:v>
      </x:c>
      <x:c r="E847" t="str">
        <x:v>Material supply / logistics &amp; market disruption</x:v>
      </x:c>
      <x:c r="F847" t="str">
        <x:v>Weather disruption / environmental constraints</x:v>
      </x:c>
      <x:c r="G847" t="str">
        <x:v>Material supply / logistics &amp; market disruption, Weather disruption / environmental constraints, Resource inefficiency (materials/labor/energy)</x:v>
      </x:c>
      <x:c r="H847" t="str">
        <x:v>Cost overrun mainly linked to material supply / logistics &amp; market disruption; schedule overrun mainly linked to material supply / logistics &amp; market disruption.</x:v>
      </x:c>
    </x:row>
    <x:row r="848">
      <x:c r="A848" t="str">
        <x:v>PJT_847</x:v>
      </x:c>
      <x:c r="B848" t="str">
        <x:v>Weather disruption / environmental constraints</x:v>
      </x:c>
      <x:c r="C848" t="str">
        <x:v>Resource inefficiency (materials/labor/energy)</x:v>
      </x:c>
      <x:c r="D848" t="str">
        <x:v>Weather disruption / environmental constraints, Resource inefficiency (materials/labor/energy), Unforeseen site/structural issues &amp; rework</x:v>
      </x:c>
      <x:c r="E848" t="str">
        <x:v>Weather disruption / environmental constraints</x:v>
      </x:c>
      <x:c r="F848" t="str">
        <x:v>Resource inefficiency (materials/labor/energy)</x:v>
      </x:c>
      <x:c r="G848" t="str">
        <x:v>Weather disruption / environmental constraints, Resource inefficiency (materials/labor/energy), Equipment constraints / low availability</x:v>
      </x:c>
      <x:c r="H848" t="str">
        <x:v>Cost overrun mainly linked to weather disruption / environmental constraints; schedule overrun mainly linked to weather disruption / environmental constraints.</x:v>
      </x:c>
    </x:row>
    <x:row r="849">
      <x:c r="A849" t="str">
        <x:v>PJT_848</x:v>
      </x:c>
      <x:c r="B849" t="str">
        <x:v>Unforeseen site/structural issues &amp; rework</x:v>
      </x:c>
      <x:c r="C849" t="str">
        <x:v>Planning &amp; estimation / coordination complexity</x:v>
      </x:c>
      <x:c r="D849" t="str">
        <x:v>Unforeseen site/structural issues &amp; rework, Planning &amp; estimation / coordination complexity, Equipment constraints / low availability</x:v>
      </x:c>
      <x:c r="E849" t="str">
        <x:v>Unforeseen site/structural issues &amp; rework</x:v>
      </x:c>
      <x:c r="F849" t="str">
        <x:v>Planning &amp; estimation / coordination complexity</x:v>
      </x:c>
      <x:c r="G849" t="str">
        <x:v>Unforeseen site/structural issues &amp; rework, Planning &amp; estimation / coordination complexity, Equipment constraints / low availability</x:v>
      </x:c>
      <x:c r="H849" t="str">
        <x:v>Cost overrun mainly linked to unforeseen site/structural issues &amp; rework; schedule overrun mainly linked to unforeseen site/structural issues &amp; rework.</x:v>
      </x:c>
    </x:row>
    <x:row r="850">
      <x:c r="A850" t="str">
        <x:v>PJT_849</x:v>
      </x:c>
      <x:c r="B850" t="str">
        <x:v>Weather disruption / environmental constraints</x:v>
      </x:c>
      <x:c r="C850" t="str">
        <x:v>Equipment constraints / low availability</x:v>
      </x:c>
      <x:c r="D850" t="str">
        <x:v>Weather disruption / environmental constraints, Equipment constraints / low availability, Planning &amp; estimation / coordination complexity</x:v>
      </x:c>
      <x:c r="E850" t="str">
        <x:v>Weather disruption / environmental constraints</x:v>
      </x:c>
      <x:c r="F850" t="str">
        <x:v>Equipment constraints / low availability</x:v>
      </x:c>
      <x:c r="G850" t="str">
        <x:v>Weather disruption / environmental constraints, Equipment constraints / low availability, Planning &amp; estimation / coordination complexity</x:v>
      </x:c>
      <x:c r="H850" t="str">
        <x:v>Cost overrun mainly linked to weather disruption / environmental constraints; schedule overrun mainly linked to weather disruption / environmental constraints.</x:v>
      </x:c>
    </x:row>
    <x:row r="851">
      <x:c r="A851" t="str">
        <x:v>PJT_850</x:v>
      </x:c>
      <x:c r="B851" t="str">
        <x:v>Resource inefficiency (materials/labor/energy)</x:v>
      </x:c>
      <x:c r="C851" t="str">
        <x:v>Material supply / logistics &amp; market disruption</x:v>
      </x:c>
      <x:c r="D851" t="str">
        <x:v>Resource inefficiency (materials/labor/energy), Material supply / logistics &amp; market disruption, Equipment constraints / low availability</x:v>
      </x:c>
      <x:c r="E851" t="str">
        <x:v>Resource inefficiency (materials/labor/energy)</x:v>
      </x:c>
      <x:c r="F851" t="str">
        <x:v>Material supply / logistics &amp; market disruption</x:v>
      </x:c>
      <x:c r="G851" t="str">
        <x:v>Resource inefficiency (materials/labor/energy), Material supply / logistics &amp; market disruption, Equipment constraints / low availability</x:v>
      </x:c>
      <x:c r="H851" t="str">
        <x:v>Cost overrun mainly linked to resource inefficiency (materials/labor/energy); schedule overrun mainly linked to resource inefficiency (materials/labor/energy).</x:v>
      </x:c>
    </x:row>
    <x:row r="852">
      <x:c r="A852" t="str">
        <x:v>PJT_851</x:v>
      </x:c>
      <x:c r="B852" t="str">
        <x:v>Equipment constraints / low availability</x:v>
      </x:c>
      <x:c r="C852" t="str">
        <x:v>Resource inefficiency (materials/labor/energy)</x:v>
      </x:c>
      <x:c r="D852" t="str">
        <x:v>Equipment constraints / low availability, Resource inefficiency (materials/labor/energy), Planning &amp; estimation / coordination complexity</x:v>
      </x:c>
      <x:c r="E852" t="str">
        <x:v>Equipment constraints / low availability</x:v>
      </x:c>
      <x:c r="F852" t="str">
        <x:v>Resource inefficiency (materials/labor/energy)</x:v>
      </x:c>
      <x:c r="G852" t="str">
        <x:v>Equipment constraints / low availability, Resource inefficiency (materials/labor/energy), Planning &amp; estimation / coordination complexity</x:v>
      </x:c>
      <x:c r="H852" t="str">
        <x:v>Cost overrun mainly linked to equipment constraints / low availability; schedule overrun mainly linked to equipment constraints / low availability.</x:v>
      </x:c>
    </x:row>
    <x:row r="853">
      <x:c r="A853" t="str">
        <x:v>PJT_852</x:v>
      </x:c>
      <x:c r="B853" t="str">
        <x:v>Material supply / logistics &amp; market disruption</x:v>
      </x:c>
      <x:c r="C853" t="str">
        <x:v>Resource inefficiency (materials/labor/energy)</x:v>
      </x:c>
      <x:c r="D853" t="str">
        <x:v>Material supply / logistics &amp; market disruption, Resource inefficiency (materials/labor/energy), Unforeseen site/structural issues &amp; rework</x:v>
      </x:c>
      <x:c r="E853" t="str">
        <x:v>Resource inefficiency (materials/labor/energy)</x:v>
      </x:c>
      <x:c r="F853" t="str">
        <x:v>Material supply / logistics &amp; market disruption</x:v>
      </x:c>
      <x:c r="G853" t="str">
        <x:v>Resource inefficiency (materials/labor/energy), Material supply / logistics &amp; market disruption, Unforeseen site/structural issues &amp; rework</x:v>
      </x:c>
      <x:c r="H853" t="str">
        <x:v>Cost overrun mainly linked to material supply / logistics &amp; market disruption; schedule overrun mainly linked to resource inefficiency (materials/labor/energy).</x:v>
      </x:c>
    </x:row>
    <x:row r="854">
      <x:c r="A854" t="str">
        <x:v>PJT_853</x:v>
      </x:c>
      <x:c r="B854" t="str">
        <x:v>Unforeseen site/structural issues &amp; rework</x:v>
      </x:c>
      <x:c r="C854" t="str">
        <x:v>Planning &amp; estimation / coordination complexity</x:v>
      </x:c>
      <x:c r="D854" t="str">
        <x:v>Unforeseen site/structural issues &amp; rework, Planning &amp; estimation / coordination complexity, Equipment constraints / low availability</x:v>
      </x:c>
      <x:c r="E854" t="str">
        <x:v>Unforeseen site/structural issues &amp; rework</x:v>
      </x:c>
      <x:c r="F854" t="str">
        <x:v>Planning &amp; estimation / coordination complexity</x:v>
      </x:c>
      <x:c r="G854" t="str">
        <x:v>Unforeseen site/structural issues &amp; rework, Planning &amp; estimation / coordination complexity, Equipment constraints / low availability</x:v>
      </x:c>
      <x:c r="H854" t="str">
        <x:v>Cost overrun mainly linked to unforeseen site/structural issues &amp; rework; schedule overrun mainly linked to unforeseen site/structural issues &amp; rework.</x:v>
      </x:c>
    </x:row>
    <x:row r="855">
      <x:c r="A855" t="str">
        <x:v>PJT_854</x:v>
      </x:c>
      <x:c r="B855" t="str">
        <x:v>Planning &amp; estimation / coordination complexity</x:v>
      </x:c>
      <x:c r="C855" t="str">
        <x:v>Unforeseen site/structural issues &amp; rework</x:v>
      </x:c>
      <x:c r="D855" t="str">
        <x:v>Planning &amp; estimation / coordination complexity, Unforeseen site/structural issues &amp; rework, Material supply / logistics &amp; market disruption</x:v>
      </x:c>
      <x:c r="E855" t="str">
        <x:v>Planning &amp; estimation / coordination complexity</x:v>
      </x:c>
      <x:c r="F855" t="str">
        <x:v>Unforeseen site/structural issues &amp; rework</x:v>
      </x:c>
      <x:c r="G855" t="str">
        <x:v>Planning &amp; estimation / coordination complexity, Unforeseen site/structural issues &amp; rework, Material supply / logistics &amp; market disruption</x:v>
      </x:c>
      <x:c r="H855" t="str">
        <x:v>Cost overrun mainly linked to planning &amp; estimation / coordination complexity; schedule overrun mainly linked to planning &amp; estimation / coordination complexity.</x:v>
      </x:c>
    </x:row>
    <x:row r="856">
      <x:c r="A856" t="str">
        <x:v>PJT_855</x:v>
      </x:c>
      <x:c r="B856" t="str">
        <x:v>Equipment constraints / low availability</x:v>
      </x:c>
      <x:c r="C856" t="str">
        <x:v>Resource inefficiency (materials/labor/energy)</x:v>
      </x:c>
      <x:c r="D856" t="str">
        <x:v>Equipment constraints / low availability, Resource inefficiency (materials/labor/energy), Material supply / logistics &amp; market disruption</x:v>
      </x:c>
      <x:c r="E856" t="str">
        <x:v>Equipment constraints / low availability</x:v>
      </x:c>
      <x:c r="F856" t="str">
        <x:v>Resource inefficiency (materials/labor/energy)</x:v>
      </x:c>
      <x:c r="G856" t="str">
        <x:v>Equipment constraints / low availability, Resource inefficiency (materials/labor/energy), Material supply / logistics &amp; market disruption</x:v>
      </x:c>
      <x:c r="H856" t="str">
        <x:v>Cost overrun mainly linked to equipment constraints / low availability; schedule overrun mainly linked to equipment constraints / low availability.</x:v>
      </x:c>
    </x:row>
    <x:row r="857">
      <x:c r="A857" t="str">
        <x:v>PJT_856</x:v>
      </x:c>
      <x:c r="B857" t="str">
        <x:v>Planning &amp; estimation / coordination complexity</x:v>
      </x:c>
      <x:c r="C857" t="str">
        <x:v>Resource inefficiency (materials/labor/energy)</x:v>
      </x:c>
      <x:c r="D857" t="str">
        <x:v>Planning &amp; estimation / coordination complexity, Resource inefficiency (materials/labor/energy), Unforeseen site/structural issues &amp; rework</x:v>
      </x:c>
      <x:c r="E857" t="str">
        <x:v>Planning &amp; estimation / coordination complexity</x:v>
      </x:c>
      <x:c r="F857" t="str">
        <x:v>Resource inefficiency (materials/labor/energy)</x:v>
      </x:c>
      <x:c r="G857" t="str">
        <x:v>Planning &amp; estimation / coordination complexity, Resource inefficiency (materials/labor/energy), Unforeseen site/structural issues &amp; rework</x:v>
      </x:c>
      <x:c r="H857" t="str">
        <x:v>Cost overrun mainly linked to planning &amp; estimation / coordination complexity; schedule overrun mainly linked to planning &amp; estimation / coordination complexity.</x:v>
      </x:c>
    </x:row>
    <x:row r="858">
      <x:c r="A858" t="str">
        <x:v>PJT_857</x:v>
      </x:c>
      <x:c r="B858" t="str">
        <x:v>Equipment constraints / low availability</x:v>
      </x:c>
      <x:c r="C858" t="str">
        <x:v>Planning &amp; estimation / coordination complexity</x:v>
      </x:c>
      <x:c r="D858" t="str">
        <x:v>Equipment constraints / low availability, Planning &amp; estimation / coordination complexity, Unforeseen site/structural issues &amp; rework</x:v>
      </x:c>
      <x:c r="E858" t="str">
        <x:v>Equipment constraints / low availability</x:v>
      </x:c>
      <x:c r="F858" t="str">
        <x:v>Planning &amp; estimation / coordination complexity</x:v>
      </x:c>
      <x:c r="G858" t="str">
        <x:v>Equipment constraints / low availability, Planning &amp; estimation / coordination complexity, Unforeseen site/structural issues &amp; rework</x:v>
      </x:c>
      <x:c r="H858" t="str">
        <x:v>Cost overrun mainly linked to equipment constraints / low availability; schedule overrun mainly linked to equipment constraints / low availability.</x:v>
      </x:c>
    </x:row>
    <x:row r="859">
      <x:c r="A859" t="str">
        <x:v>PJT_858</x:v>
      </x:c>
      <x:c r="B859" t="str">
        <x:v>Equipment constraints / low availability</x:v>
      </x:c>
      <x:c r="C859" t="str">
        <x:v>Planning &amp; estimation / coordination complexity</x:v>
      </x:c>
      <x:c r="D859" t="str">
        <x:v>Equipment constraints / low availability, Planning &amp; estimation / coordination complexity, Resource inefficiency (materials/labor/energy)</x:v>
      </x:c>
      <x:c r="E859" t="str">
        <x:v>Planning &amp; estimation / coordination complexity</x:v>
      </x:c>
      <x:c r="F859" t="str">
        <x:v>Equipment constraints / low availability</x:v>
      </x:c>
      <x:c r="G859" t="str">
        <x:v>Planning &amp; estimation / coordination complexity, Equipment constraints / low availability, Resource inefficiency (materials/labor/energy)</x:v>
      </x:c>
      <x:c r="H859" t="str">
        <x:v>Cost overrun mainly linked to equipment constraints / low availability; schedule overrun mainly linked to planning &amp; estimation / coordination complexity.</x:v>
      </x:c>
    </x:row>
    <x:row r="860">
      <x:c r="A860" t="str">
        <x:v>PJT_859</x:v>
      </x:c>
      <x:c r="B860" t="str">
        <x:v>Unforeseen site/structural issues &amp; rework</x:v>
      </x:c>
      <x:c r="C860" t="str">
        <x:v>Weather disruption / environmental constraints</x:v>
      </x:c>
      <x:c r="D860" t="str">
        <x:v>Unforeseen site/structural issues &amp; rework, Weather disruption / environmental constraints, Planning &amp; estimation / coordination complexity</x:v>
      </x:c>
      <x:c r="E860" t="str">
        <x:v>Unforeseen site/structural issues &amp; rework</x:v>
      </x:c>
      <x:c r="F860" t="str">
        <x:v>Weather disruption / environmental constraints</x:v>
      </x:c>
      <x:c r="G860" t="str">
        <x:v>Unforeseen site/structural issues &amp; rework, Weather disruption / environmental constraints, Material supply / logistics &amp; market disruption</x:v>
      </x:c>
      <x:c r="H860" t="str">
        <x:v>Cost overrun mainly linked to unforeseen site/structural issues &amp; rework; schedule overrun mainly linked to unforeseen site/structural issues &amp; rework.</x:v>
      </x:c>
    </x:row>
    <x:row r="861">
      <x:c r="A861" t="str">
        <x:v>PJT_860</x:v>
      </x:c>
      <x:c r="B861" t="str">
        <x:v>Resource inefficiency (materials/labor/energy)</x:v>
      </x:c>
      <x:c r="C861" t="str">
        <x:v>Planning &amp; estimation / coordination complexity</x:v>
      </x:c>
      <x:c r="D861" t="str">
        <x:v>Resource inefficiency (materials/labor/energy), Planning &amp; estimation / coordination complexity, Unforeseen site/structural issues &amp; rework</x:v>
      </x:c>
      <x:c r="E861" t="str">
        <x:v>Planning &amp; estimation / coordination complexity</x:v>
      </x:c>
      <x:c r="F861" t="str">
        <x:v>Unforeseen site/structural issues &amp; rework</x:v>
      </x:c>
      <x:c r="G861" t="str">
        <x:v>Planning &amp; estimation / coordination complexity, Unforeseen site/structural issues &amp; rework, Resource inefficiency (materials/labor/energy)</x:v>
      </x:c>
      <x:c r="H861" t="str">
        <x:v>Cost overrun mainly linked to resource inefficiency (materials/labor/energy); schedule overrun mainly linked to planning &amp; estimation / coordination complexity.</x:v>
      </x:c>
    </x:row>
    <x:row r="862">
      <x:c r="A862" t="str">
        <x:v>PJT_861</x:v>
      </x:c>
      <x:c r="B862" t="str">
        <x:v>Equipment constraints / low availability</x:v>
      </x:c>
      <x:c r="C862" t="str">
        <x:v>Resource inefficiency (materials/labor/energy)</x:v>
      </x:c>
      <x:c r="D862" t="str">
        <x:v>Equipment constraints / low availability, Resource inefficiency (materials/labor/energy), Planning &amp; estimation / coordination complexity</x:v>
      </x:c>
      <x:c r="E862" t="str">
        <x:v>Resource inefficiency (materials/labor/energy)</x:v>
      </x:c>
      <x:c r="F862" t="str">
        <x:v>Equipment constraints / low availability</x:v>
      </x:c>
      <x:c r="G862" t="str">
        <x:v>Resource inefficiency (materials/labor/energy), Equipment constraints / low availability, Planning &amp; estimation / coordination complexity</x:v>
      </x:c>
      <x:c r="H862" t="str">
        <x:v>Cost overrun mainly linked to equipment constraints / low availability; schedule overrun mainly linked to resource inefficiency (materials/labor/energy).</x:v>
      </x:c>
    </x:row>
    <x:row r="863">
      <x:c r="A863" t="str">
        <x:v>PJT_862</x:v>
      </x:c>
      <x:c r="B863" t="str">
        <x:v>Unforeseen site/structural issues &amp; rework</x:v>
      </x:c>
      <x:c r="C863" t="str">
        <x:v>Planning &amp; estimation / coordination complexity</x:v>
      </x:c>
      <x:c r="D863" t="str">
        <x:v>Unforeseen site/structural issues &amp; rework, Planning &amp; estimation / coordination complexity, Weather disruption / environmental constraints</x:v>
      </x:c>
      <x:c r="E863" t="str">
        <x:v>Unforeseen site/structural issues &amp; rework</x:v>
      </x:c>
      <x:c r="F863" t="str">
        <x:v>Planning &amp; estimation / coordination complexity</x:v>
      </x:c>
      <x:c r="G863" t="str">
        <x:v>Unforeseen site/structural issues &amp; rework, Planning &amp; estimation / coordination complexity, Weather disruption / environmental constraints</x:v>
      </x:c>
      <x:c r="H863" t="str">
        <x:v>Cost overrun mainly linked to unforeseen site/structural issues &amp; rework; schedule overrun mainly linked to unforeseen site/structural issues &amp; rework.</x:v>
      </x:c>
    </x:row>
    <x:row r="864">
      <x:c r="A864" t="str">
        <x:v>PJT_863</x:v>
      </x:c>
      <x:c r="B864" t="str">
        <x:v>Planning &amp; estimation / coordination complexity</x:v>
      </x:c>
      <x:c r="C864" t="str">
        <x:v>Equipment constraints / low availability</x:v>
      </x:c>
      <x:c r="D864" t="str">
        <x:v>Planning &amp; estimation / coordination complexity, Equipment constraints / low availability, Resource inefficiency (materials/labor/energy)</x:v>
      </x:c>
      <x:c r="E864" t="str">
        <x:v>Planning &amp; estimation / coordination complexity</x:v>
      </x:c>
      <x:c r="F864" t="str">
        <x:v>Unforeseen site/structural issues &amp; rework</x:v>
      </x:c>
      <x:c r="G864" t="str">
        <x:v>Planning &amp; estimation / coordination complexity, Unforeseen site/structural issues &amp; rework, Equipment constraints / low availability</x:v>
      </x:c>
      <x:c r="H864" t="str">
        <x:v>Cost overrun mainly linked to planning &amp; estimation / coordination complexity; schedule overrun mainly linked to planning &amp; estimation / coordination complexity.</x:v>
      </x:c>
    </x:row>
    <x:row r="865">
      <x:c r="A865" t="str">
        <x:v>PJT_864</x:v>
      </x:c>
      <x:c r="B865" t="str">
        <x:v>Planning &amp; estimation / coordination complexity</x:v>
      </x:c>
      <x:c r="C865" t="str">
        <x:v>Equipment constraints / low availability</x:v>
      </x:c>
      <x:c r="D865" t="str">
        <x:v>Planning &amp; estimation / coordination complexity, Equipment constraints / low availability, Resource inefficiency (materials/labor/energy)</x:v>
      </x:c>
      <x:c r="E865" t="str">
        <x:v>Planning &amp; estimation / coordination complexity</x:v>
      </x:c>
      <x:c r="F865" t="str">
        <x:v>Resource inefficiency (materials/labor/energy)</x:v>
      </x:c>
      <x:c r="G865" t="str">
        <x:v>Planning &amp; estimation / coordination complexity, Resource inefficiency (materials/labor/energy), Equipment constraints / low availability</x:v>
      </x:c>
      <x:c r="H865" t="str">
        <x:v>Cost overrun mainly linked to planning &amp; estimation / coordination complexity; schedule overrun mainly linked to planning &amp; estimation / coordination complexity.</x:v>
      </x:c>
    </x:row>
    <x:row r="866">
      <x:c r="A866" t="str">
        <x:v>PJT_865</x:v>
      </x:c>
      <x:c r="B866" t="str">
        <x:v>Resource inefficiency (materials/labor/energy)</x:v>
      </x:c>
      <x:c r="C866" t="str">
        <x:v>Equipment constraints / low availability</x:v>
      </x:c>
      <x:c r="D866" t="str">
        <x:v>Resource inefficiency (materials/labor/energy), Equipment constraints / low availability, Material supply / logistics &amp; market disruption</x:v>
      </x:c>
      <x:c r="E866" t="str">
        <x:v>Resource inefficiency (materials/labor/energy)</x:v>
      </x:c>
      <x:c r="F866" t="str">
        <x:v>Equipment constraints / low availability</x:v>
      </x:c>
      <x:c r="G866" t="str">
        <x:v>Resource inefficiency (materials/labor/energy), Equipment constraints / low availability, Material supply / logistics &amp; market disruption</x:v>
      </x:c>
      <x:c r="H866" t="str">
        <x:v>Cost overrun mainly linked to resource inefficiency (materials/labor/energy); schedule overrun mainly linked to resource inefficiency (materials/labor/energy).</x:v>
      </x:c>
    </x:row>
    <x:row r="867">
      <x:c r="A867" t="str">
        <x:v>PJT_866</x:v>
      </x:c>
      <x:c r="B867" t="str">
        <x:v>Resource inefficiency (materials/labor/energy)</x:v>
      </x:c>
      <x:c r="C867" t="str">
        <x:v>Material supply / logistics &amp; market disruption</x:v>
      </x:c>
      <x:c r="D867" t="str">
        <x:v>Resource inefficiency (materials/labor/energy), Material supply / logistics &amp; market disruption, Equipment constraints / low availability</x:v>
      </x:c>
      <x:c r="E867" t="str">
        <x:v>Resource inefficiency (materials/labor/energy)</x:v>
      </x:c>
      <x:c r="F867" t="str">
        <x:v>Material supply / logistics &amp; market disruption</x:v>
      </x:c>
      <x:c r="G867" t="str">
        <x:v>Resource inefficiency (materials/labor/energy), Material supply / logistics &amp; market disruption, Equipment constraints / low availability</x:v>
      </x:c>
      <x:c r="H867" t="str">
        <x:v>Cost overrun mainly linked to resource inefficiency (materials/labor/energy); schedule overrun mainly linked to resource inefficiency (materials/labor/energy).</x:v>
      </x:c>
    </x:row>
    <x:row r="868">
      <x:c r="A868" t="str">
        <x:v>PJT_867</x:v>
      </x:c>
      <x:c r="B868" t="str">
        <x:v>Weather disruption / environmental constraints</x:v>
      </x:c>
      <x:c r="C868" t="str">
        <x:v>Unforeseen site/structural issues &amp; rework</x:v>
      </x:c>
      <x:c r="D868" t="str">
        <x:v>Weather disruption / environmental constraints, Unforeseen site/structural issues &amp; rework, Material supply / logistics &amp; market disruption</x:v>
      </x:c>
      <x:c r="E868" t="str">
        <x:v>Weather disruption / environmental constraints</x:v>
      </x:c>
      <x:c r="F868" t="str">
        <x:v>Unforeseen site/structural issues &amp; rework</x:v>
      </x:c>
      <x:c r="G868" t="str">
        <x:v>Weather disruption / environmental constraints, Unforeseen site/structural issues &amp; rework, Material supply / logistics &amp; market disruption</x:v>
      </x:c>
      <x:c r="H868" t="str">
        <x:v>Cost overrun mainly linked to weather disruption / environmental constraints; schedule overrun mainly linked to weather disruption / environmental constraints.</x:v>
      </x:c>
    </x:row>
    <x:row r="869">
      <x:c r="A869" t="str">
        <x:v>PJT_868</x:v>
      </x:c>
      <x:c r="B869" t="str">
        <x:v>Planning &amp; estimation / coordination complexity</x:v>
      </x:c>
      <x:c r="C869" t="str">
        <x:v>Unforeseen site/structural issues &amp; rework</x:v>
      </x:c>
      <x:c r="D869" t="str">
        <x:v>Planning &amp; estimation / coordination complexity, Unforeseen site/structural issues &amp; rework, Material supply / logistics &amp; market disruption</x:v>
      </x:c>
      <x:c r="E869" t="str">
        <x:v>Planning &amp; estimation / coordination complexity</x:v>
      </x:c>
      <x:c r="F869" t="str">
        <x:v>Unforeseen site/structural issues &amp; rework</x:v>
      </x:c>
      <x:c r="G869" t="str">
        <x:v>Planning &amp; estimation / coordination complexity, Unforeseen site/structural issues &amp; rework, Material supply / logistics &amp; market disruption</x:v>
      </x:c>
      <x:c r="H869" t="str">
        <x:v>Cost overrun mainly linked to planning &amp; estimation / coordination complexity; schedule overrun mainly linked to planning &amp; estimation / coordination complexity.</x:v>
      </x:c>
    </x:row>
    <x:row r="870">
      <x:c r="A870" t="str">
        <x:v>PJT_869</x:v>
      </x:c>
      <x:c r="B870" t="str">
        <x:v>Planning &amp; estimation / coordination complexity</x:v>
      </x:c>
      <x:c r="C870" t="str">
        <x:v>Unforeseen site/structural issues &amp; rework</x:v>
      </x:c>
      <x:c r="D870" t="str">
        <x:v>Planning &amp; estimation / coordination complexity, Unforeseen site/structural issues &amp; rework, Resource inefficiency (materials/labor/energy)</x:v>
      </x:c>
      <x:c r="E870" t="str">
        <x:v>Planning &amp; estimation / coordination complexity</x:v>
      </x:c>
      <x:c r="F870" t="str">
        <x:v>Unforeseen site/structural issues &amp; rework</x:v>
      </x:c>
      <x:c r="G870" t="str">
        <x:v>Planning &amp; estimation / coordination complexity, Unforeseen site/structural issues &amp; rework, Resource inefficiency (materials/labor/energy)</x:v>
      </x:c>
      <x:c r="H870" t="str">
        <x:v>Cost overrun mainly linked to planning &amp; estimation / coordination complexity; schedule overrun mainly linked to planning &amp; estimation / coordination complexity.</x:v>
      </x:c>
    </x:row>
    <x:row r="871">
      <x:c r="A871" t="str">
        <x:v>PJT_870</x:v>
      </x:c>
      <x:c r="B871" t="str">
        <x:v>Resource inefficiency (materials/labor/energy)</x:v>
      </x:c>
      <x:c r="C871" t="str">
        <x:v>Equipment constraints / low availability</x:v>
      </x:c>
      <x:c r="D871" t="str">
        <x:v>Resource inefficiency (materials/labor/energy), Equipment constraints / low availability, Planning &amp; estimation / coordination complexity</x:v>
      </x:c>
      <x:c r="E871" t="str">
        <x:v>Resource inefficiency (materials/labor/energy)</x:v>
      </x:c>
      <x:c r="F871" t="str">
        <x:v>Equipment constraints / low availability</x:v>
      </x:c>
      <x:c r="G871" t="str">
        <x:v>Resource inefficiency (materials/labor/energy), Equipment constraints / low availability, Planning &amp; estimation / coordination complexity</x:v>
      </x:c>
      <x:c r="H871" t="str">
        <x:v>Cost overrun mainly linked to resource inefficiency (materials/labor/energy); schedule overrun mainly linked to resource inefficiency (materials/labor/energy).</x:v>
      </x:c>
    </x:row>
    <x:row r="872">
      <x:c r="A872" t="str">
        <x:v>PJT_871</x:v>
      </x:c>
      <x:c r="B872" t="str">
        <x:v>Equipment constraints / low availability</x:v>
      </x:c>
      <x:c r="C872" t="str">
        <x:v>Planning &amp; estimation / coordination complexity</x:v>
      </x:c>
      <x:c r="D872" t="str">
        <x:v>Equipment constraints / low availability, Planning &amp; estimation / coordination complexity, Unforeseen site/structural issues &amp; rework</x:v>
      </x:c>
      <x:c r="E872" t="str">
        <x:v>Equipment constraints / low availability</x:v>
      </x:c>
      <x:c r="F872" t="str">
        <x:v>Planning &amp; estimation / coordination complexity</x:v>
      </x:c>
      <x:c r="G872" t="str">
        <x:v>Equipment constraints / low availability, Planning &amp; estimation / coordination complexity, Unforeseen site/structural issues &amp; rework</x:v>
      </x:c>
      <x:c r="H872" t="str">
        <x:v>Cost overrun mainly linked to equipment constraints / low availability; schedule overrun mainly linked to equipment constraints / low availability.</x:v>
      </x:c>
    </x:row>
    <x:row r="873">
      <x:c r="A873" t="str">
        <x:v>PJT_872</x:v>
      </x:c>
      <x:c r="B873" t="str">
        <x:v>Resource inefficiency (materials/labor/energy)</x:v>
      </x:c>
      <x:c r="C873" t="str">
        <x:v>Planning &amp; estimation / coordination complexity</x:v>
      </x:c>
      <x:c r="D873" t="str">
        <x:v>Resource inefficiency (materials/labor/energy), Planning &amp; estimation / coordination complexity, Equipment constraints / low availability</x:v>
      </x:c>
      <x:c r="E873" t="str">
        <x:v>Planning &amp; estimation / coordination complexity</x:v>
      </x:c>
      <x:c r="F873" t="str">
        <x:v>Resource inefficiency (materials/labor/energy)</x:v>
      </x:c>
      <x:c r="G873" t="str">
        <x:v>Planning &amp; estimation / coordination complexity, Resource inefficiency (materials/labor/energy), Equipment constraints / low availability</x:v>
      </x:c>
      <x:c r="H873" t="str">
        <x:v>Cost overrun mainly linked to resource inefficiency (materials/labor/energy); schedule overrun mainly linked to planning &amp; estimation / coordination complexity.</x:v>
      </x:c>
    </x:row>
    <x:row r="874">
      <x:c r="A874" t="str">
        <x:v>PJT_873</x:v>
      </x:c>
      <x:c r="B874" t="str">
        <x:v>Resource inefficiency (materials/labor/energy)</x:v>
      </x:c>
      <x:c r="C874" t="str">
        <x:v>Planning &amp; estimation / coordination complexity</x:v>
      </x:c>
      <x:c r="D874" t="str">
        <x:v>Resource inefficiency (materials/labor/energy), Planning &amp; estimation / coordination complexity, Material supply / logistics &amp; market disruption</x:v>
      </x:c>
      <x:c r="E874" t="str">
        <x:v>Resource inefficiency (materials/labor/energy)</x:v>
      </x:c>
      <x:c r="F874" t="str">
        <x:v>Planning &amp; estimation / coordination complexity</x:v>
      </x:c>
      <x:c r="G874" t="str">
        <x:v>Resource inefficiency (materials/labor/energy), Planning &amp; estimation / coordination complexity, Material supply / logistics &amp; market disruption</x:v>
      </x:c>
      <x:c r="H874" t="str">
        <x:v>Cost overrun mainly linked to resource inefficiency (materials/labor/energy); schedule overrun mainly linked to resource inefficiency (materials/labor/energy).</x:v>
      </x:c>
    </x:row>
    <x:row r="875">
      <x:c r="A875" t="str">
        <x:v>PJT_874</x:v>
      </x:c>
      <x:c r="B875" t="str">
        <x:v>Unforeseen site/structural issues &amp; rework</x:v>
      </x:c>
      <x:c r="C875" t="str">
        <x:v>Planning &amp; estimation / coordination complexity</x:v>
      </x:c>
      <x:c r="D875" t="str">
        <x:v>Unforeseen site/structural issues &amp; rework, Planning &amp; estimation / coordination complexity, Equipment constraints / low availability</x:v>
      </x:c>
      <x:c r="E875" t="str">
        <x:v>Unforeseen site/structural issues &amp; rework</x:v>
      </x:c>
      <x:c r="F875" t="str">
        <x:v>Planning &amp; estimation / coordination complexity</x:v>
      </x:c>
      <x:c r="G875" t="str">
        <x:v>Unforeseen site/structural issues &amp; rework, Planning &amp; estimation / coordination complexity, Equipment constraints / low availability</x:v>
      </x:c>
      <x:c r="H875" t="str">
        <x:v>Cost overrun mainly linked to unforeseen site/structural issues &amp; rework; schedule overrun mainly linked to unforeseen site/structural issues &amp; rework.</x:v>
      </x:c>
    </x:row>
    <x:row r="876">
      <x:c r="A876" t="str">
        <x:v>PJT_875</x:v>
      </x:c>
      <x:c r="B876" t="str">
        <x:v>Resource inefficiency (materials/labor/energy)</x:v>
      </x:c>
      <x:c r="C876" t="str">
        <x:v>Material supply / logistics &amp; market disruption</x:v>
      </x:c>
      <x:c r="D876" t="str">
        <x:v>Resource inefficiency (materials/labor/energy), Material supply / logistics &amp; market disruption, Planning &amp; estimation / coordination complexity</x:v>
      </x:c>
      <x:c r="E876" t="str">
        <x:v>Resource inefficiency (materials/labor/energy)</x:v>
      </x:c>
      <x:c r="F876" t="str">
        <x:v>Planning &amp; estimation / coordination complexity</x:v>
      </x:c>
      <x:c r="G876" t="str">
        <x:v>Resource inefficiency (materials/labor/energy), Planning &amp; estimation / coordination complexity, Equipment constraints / low availability</x:v>
      </x:c>
      <x:c r="H876" t="str">
        <x:v>Cost overrun mainly linked to resource inefficiency (materials/labor/energy); schedule overrun mainly linked to resource inefficiency (materials/labor/energy).</x:v>
      </x:c>
    </x:row>
    <x:row r="877">
      <x:c r="A877" t="str">
        <x:v>PJT_876</x:v>
      </x:c>
      <x:c r="B877" t="str">
        <x:v>Resource inefficiency (materials/labor/energy)</x:v>
      </x:c>
      <x:c r="C877" t="str">
        <x:v>Material supply / logistics &amp; market disruption</x:v>
      </x:c>
      <x:c r="D877" t="str">
        <x:v>Resource inefficiency (materials/labor/energy), Material supply / logistics &amp; market disruption, Equipment constraints / low availability</x:v>
      </x:c>
      <x:c r="E877" t="str">
        <x:v>Resource inefficiency (materials/labor/energy)</x:v>
      </x:c>
      <x:c r="F877" t="str">
        <x:v>Material supply / logistics &amp; market disruption</x:v>
      </x:c>
      <x:c r="G877" t="str">
        <x:v>Resource inefficiency (materials/labor/energy), Material supply / logistics &amp; market disruption, Equipment constraints / low availability</x:v>
      </x:c>
      <x:c r="H877" t="str">
        <x:v>Cost overrun mainly linked to resource inefficiency (materials/labor/energy); schedule overrun mainly linked to resource inefficiency (materials/labor/energy).</x:v>
      </x:c>
    </x:row>
    <x:row r="878">
      <x:c r="A878" t="str">
        <x:v>PJT_877</x:v>
      </x:c>
      <x:c r="B878" t="str">
        <x:v>Unforeseen site/structural issues &amp; rework</x:v>
      </x:c>
      <x:c r="C878" t="str">
        <x:v>Planning &amp; estimation / coordination complexity</x:v>
      </x:c>
      <x:c r="D878" t="str">
        <x:v>Unforeseen site/structural issues &amp; rework, Planning &amp; estimation / coordination complexity, Material supply / logistics &amp; market disruption</x:v>
      </x:c>
      <x:c r="E878" t="str">
        <x:v>Unforeseen site/structural issues &amp; rework</x:v>
      </x:c>
      <x:c r="F878" t="str">
        <x:v>Planning &amp; estimation / coordination complexity</x:v>
      </x:c>
      <x:c r="G878" t="str">
        <x:v>Unforeseen site/structural issues &amp; rework, Planning &amp; estimation / coordination complexity, Material supply / logistics &amp; market disruption</x:v>
      </x:c>
      <x:c r="H878" t="str">
        <x:v>Cost overrun mainly linked to unforeseen site/structural issues &amp; rework; schedule overrun mainly linked to unforeseen site/structural issues &amp; rework.</x:v>
      </x:c>
    </x:row>
    <x:row r="879">
      <x:c r="A879" t="str">
        <x:v>PJT_878</x:v>
      </x:c>
      <x:c r="B879" t="str">
        <x:v>Unforeseen site/structural issues &amp; rework</x:v>
      </x:c>
      <x:c r="C879" t="str">
        <x:v>Planning &amp; estimation / coordination complexity</x:v>
      </x:c>
      <x:c r="D879" t="str">
        <x:v>Unforeseen site/structural issues &amp; rework, Planning &amp; estimation / coordination complexity, Equipment constraints / low availability</x:v>
      </x:c>
      <x:c r="E879" t="str">
        <x:v>Unforeseen site/structural issues &amp; rework</x:v>
      </x:c>
      <x:c r="F879" t="str">
        <x:v>Planning &amp; estimation / coordination complexity</x:v>
      </x:c>
      <x:c r="G879" t="str">
        <x:v>Unforeseen site/structural issues &amp; rework, Planning &amp; estimation / coordination complexity, Equipment constraints / low availability</x:v>
      </x:c>
      <x:c r="H879" t="str">
        <x:v>Cost overrun mainly linked to unforeseen site/structural issues &amp; rework; schedule overrun mainly linked to unforeseen site/structural issues &amp; rework.</x:v>
      </x:c>
    </x:row>
    <x:row r="880">
      <x:c r="A880" t="str">
        <x:v>PJT_879</x:v>
      </x:c>
      <x:c r="B880" t="str">
        <x:v>Resource inefficiency (materials/labor/energy)</x:v>
      </x:c>
      <x:c r="C880" t="str">
        <x:v>Planning &amp; estimation / coordination complexity</x:v>
      </x:c>
      <x:c r="D880" t="str">
        <x:v>Resource inefficiency (materials/labor/energy), Planning &amp; estimation / coordination complexity, Unforeseen site/structural issues &amp; rework</x:v>
      </x:c>
      <x:c r="E880" t="str">
        <x:v>Planning &amp; estimation / coordination complexity</x:v>
      </x:c>
      <x:c r="F880" t="str">
        <x:v>Resource inefficiency (materials/labor/energy)</x:v>
      </x:c>
      <x:c r="G880" t="str">
        <x:v>Planning &amp; estimation / coordination complexity, Resource inefficiency (materials/labor/energy), Unforeseen site/structural issues &amp; rework</x:v>
      </x:c>
      <x:c r="H880" t="str">
        <x:v>Cost overrun mainly linked to resource inefficiency (materials/labor/energy); schedule overrun mainly linked to planning &amp; estimation / coordination complexity.</x:v>
      </x:c>
    </x:row>
    <x:row r="881">
      <x:c r="A881" t="str">
        <x:v>PJT_880</x:v>
      </x:c>
      <x:c r="B881" t="str">
        <x:v>Resource inefficiency (materials/labor/energy)</x:v>
      </x:c>
      <x:c r="C881" t="str">
        <x:v>Material supply / logistics &amp; market disruption</x:v>
      </x:c>
      <x:c r="D881" t="str">
        <x:v>Resource inefficiency (materials/labor/energy), Material supply / logistics &amp; market disruption, Equipment constraints / low availability</x:v>
      </x:c>
      <x:c r="E881" t="str">
        <x:v>Resource inefficiency (materials/labor/energy)</x:v>
      </x:c>
      <x:c r="F881" t="str">
        <x:v>Material supply / logistics &amp; market disruption</x:v>
      </x:c>
      <x:c r="G881" t="str">
        <x:v>Resource inefficiency (materials/labor/energy), Material supply / logistics &amp; market disruption, Equipment constraints / low availability</x:v>
      </x:c>
      <x:c r="H881" t="str">
        <x:v>Cost overrun mainly linked to resource inefficiency (materials/labor/energy); schedule overrun mainly linked to resource inefficiency (materials/labor/energy).</x:v>
      </x:c>
    </x:row>
    <x:row r="882">
      <x:c r="A882" t="str">
        <x:v>PJT_881</x:v>
      </x:c>
      <x:c r="B882" t="str">
        <x:v>Weather disruption / environmental constraints</x:v>
      </x:c>
      <x:c r="C882" t="str">
        <x:v>Unforeseen site/structural issues &amp; rework</x:v>
      </x:c>
      <x:c r="D882" t="str">
        <x:v>Weather disruption / environmental constraints, Unforeseen site/structural issues &amp; rework, Material supply / logistics &amp; market disruption</x:v>
      </x:c>
      <x:c r="E882" t="str">
        <x:v>Weather disruption / environmental constraints</x:v>
      </x:c>
      <x:c r="F882" t="str">
        <x:v>Material supply / logistics &amp; market disruption</x:v>
      </x:c>
      <x:c r="G882" t="str">
        <x:v>Weather disruption / environmental constraints, Material supply / logistics &amp; market disruption, Unforeseen site/structural issues &amp; rework</x:v>
      </x:c>
      <x:c r="H882" t="str">
        <x:v>Cost overrun mainly linked to weather disruption / environmental constraints; schedule overrun mainly linked to weather disruption / environmental constraints.</x:v>
      </x:c>
    </x:row>
    <x:row r="883">
      <x:c r="A883" t="str">
        <x:v>PJT_882</x:v>
      </x:c>
      <x:c r="B883" t="str">
        <x:v>Resource inefficiency (materials/labor/energy)</x:v>
      </x:c>
      <x:c r="C883" t="str">
        <x:v>Equipment constraints / low availability</x:v>
      </x:c>
      <x:c r="D883" t="str">
        <x:v>Resource inefficiency (materials/labor/energy), Equipment constraints / low availability, Planning &amp; estimation / coordination complexity</x:v>
      </x:c>
      <x:c r="E883" t="str">
        <x:v>Resource inefficiency (materials/labor/energy)</x:v>
      </x:c>
      <x:c r="F883" t="str">
        <x:v>Equipment constraints / low availability</x:v>
      </x:c>
      <x:c r="G883" t="str">
        <x:v>Resource inefficiency (materials/labor/energy), Equipment constraints / low availability, Planning &amp; estimation / coordination complexity</x:v>
      </x:c>
      <x:c r="H883" t="str">
        <x:v>Cost overrun mainly linked to resource inefficiency (materials/labor/energy); schedule overrun mainly linked to resource inefficiency (materials/labor/energy).</x:v>
      </x:c>
    </x:row>
    <x:row r="884">
      <x:c r="A884" t="str">
        <x:v>PJT_883</x:v>
      </x:c>
      <x:c r="B884" t="str">
        <x:v>Weather disruption / environmental constraints</x:v>
      </x:c>
      <x:c r="C884" t="str">
        <x:v>Unforeseen site/structural issues &amp; rework</x:v>
      </x:c>
      <x:c r="D884" t="str">
        <x:v>Weather disruption / environmental constraints, Unforeseen site/structural issues &amp; rework, Material supply / logistics &amp; market disruption</x:v>
      </x:c>
      <x:c r="E884" t="str">
        <x:v>Weather disruption / environmental constraints</x:v>
      </x:c>
      <x:c r="F884" t="str">
        <x:v>Unforeseen site/structural issues &amp; rework</x:v>
      </x:c>
      <x:c r="G884" t="str">
        <x:v>Weather disruption / environmental constraints, Unforeseen site/structural issues &amp; rework, Material supply / logistics &amp; market disruption</x:v>
      </x:c>
      <x:c r="H884" t="str">
        <x:v>Cost overrun mainly linked to weather disruption / environmental constraints; schedule overrun mainly linked to weather disruption / environmental constraints.</x:v>
      </x:c>
    </x:row>
    <x:row r="885">
      <x:c r="A885" t="str">
        <x:v>PJT_884</x:v>
      </x:c>
      <x:c r="B885" t="str">
        <x:v>Unforeseen site/structural issues &amp; rework</x:v>
      </x:c>
      <x:c r="C885" t="str">
        <x:v>Equipment constraints / low availability</x:v>
      </x:c>
      <x:c r="D885" t="str">
        <x:v>Unforeseen site/structural issues &amp; rework, Equipment constraints / low availability, Planning &amp; estimation / coordination complexity</x:v>
      </x:c>
      <x:c r="E885" t="str">
        <x:v>Unforeseen site/structural issues &amp; rework</x:v>
      </x:c>
      <x:c r="F885" t="str">
        <x:v>Equipment constraints / low availability</x:v>
      </x:c>
      <x:c r="G885" t="str">
        <x:v>Unforeseen site/structural issues &amp; rework, Equipment constraints / low availability, Planning &amp; estimation / coordination complexity</x:v>
      </x:c>
      <x:c r="H885" t="str">
        <x:v>Cost overrun mainly linked to unforeseen site/structural issues &amp; rework; schedule overrun mainly linked to unforeseen site/structural issues &amp; rework.</x:v>
      </x:c>
    </x:row>
    <x:row r="886">
      <x:c r="A886" t="str">
        <x:v>PJT_885</x:v>
      </x:c>
      <x:c r="B886" t="str">
        <x:v>Resource inefficiency (materials/labor/energy)</x:v>
      </x:c>
      <x:c r="C886" t="str">
        <x:v>Planning &amp; estimation / coordination complexity</x:v>
      </x:c>
      <x:c r="D886" t="str">
        <x:v>Resource inefficiency (materials/labor/energy), Planning &amp; estimation / coordination complexity, Equipment constraints / low availability</x:v>
      </x:c>
      <x:c r="E886" t="str">
        <x:v>Resource inefficiency (materials/labor/energy)</x:v>
      </x:c>
      <x:c r="F886" t="str">
        <x:v>Planning &amp; estimation / coordination complexity</x:v>
      </x:c>
      <x:c r="G886" t="str">
        <x:v>Resource inefficiency (materials/labor/energy), Planning &amp; estimation / coordination complexity, Equipment constraints / low availability</x:v>
      </x:c>
      <x:c r="H886" t="str">
        <x:v>Cost overrun mainly linked to resource inefficiency (materials/labor/energy); schedule overrun mainly linked to resource inefficiency (materials/labor/energy).</x:v>
      </x:c>
    </x:row>
    <x:row r="887">
      <x:c r="A887" t="str">
        <x:v>PJT_886</x:v>
      </x:c>
      <x:c r="B887" t="str">
        <x:v>Unforeseen site/structural issues &amp; rework</x:v>
      </x:c>
      <x:c r="C887" t="str">
        <x:v>Resource inefficiency (materials/labor/energy)</x:v>
      </x:c>
      <x:c r="D887" t="str">
        <x:v>Unforeseen site/structural issues &amp; rework, Resource inefficiency (materials/labor/energy), Material supply / logistics &amp; market disruption</x:v>
      </x:c>
      <x:c r="E887" t="str">
        <x:v>Unforeseen site/structural issues &amp; rework</x:v>
      </x:c>
      <x:c r="F887" t="str">
        <x:v>Resource inefficiency (materials/labor/energy)</x:v>
      </x:c>
      <x:c r="G887" t="str">
        <x:v>Unforeseen site/structural issues &amp; rework, Resource inefficiency (materials/labor/energy), Planning &amp; estimation / coordination complexity</x:v>
      </x:c>
      <x:c r="H887" t="str">
        <x:v>Cost overrun mainly linked to unforeseen site/structural issues &amp; rework; schedule overrun mainly linked to unforeseen site/structural issues &amp; rework.</x:v>
      </x:c>
    </x:row>
    <x:row r="888">
      <x:c r="A888" t="str">
        <x:v>PJT_887</x:v>
      </x:c>
      <x:c r="B888" t="str">
        <x:v>Material supply / logistics &amp; market disruption</x:v>
      </x:c>
      <x:c r="C888" t="str">
        <x:v>Resource inefficiency (materials/labor/energy)</x:v>
      </x:c>
      <x:c r="D888" t="str">
        <x:v>Material supply / logistics &amp; market disruption, Resource inefficiency (materials/labor/energy), Planning &amp; estimation / coordination complexity</x:v>
      </x:c>
      <x:c r="E888" t="str">
        <x:v>Material supply / logistics &amp; market disruption</x:v>
      </x:c>
      <x:c r="F888" t="str">
        <x:v>Resource inefficiency (materials/labor/energy)</x:v>
      </x:c>
      <x:c r="G888" t="str">
        <x:v>Material supply / logistics &amp; market disruption, Resource inefficiency (materials/labor/energy), Weather disruption / environmental constraints</x:v>
      </x:c>
      <x:c r="H888" t="str">
        <x:v>Cost overrun mainly linked to material supply / logistics &amp; market disruption; schedule overrun mainly linked to material supply / logistics &amp; market disruption.</x:v>
      </x:c>
    </x:row>
    <x:row r="889">
      <x:c r="A889" t="str">
        <x:v>PJT_888</x:v>
      </x:c>
      <x:c r="B889" t="str">
        <x:v>Resource inefficiency (materials/labor/energy)</x:v>
      </x:c>
      <x:c r="C889" t="str">
        <x:v>Material supply / logistics &amp; market disruption</x:v>
      </x:c>
      <x:c r="D889" t="str">
        <x:v>Resource inefficiency (materials/labor/energy), Material supply / logistics &amp; market disruption, Equipment constraints / low availability</x:v>
      </x:c>
      <x:c r="E889" t="str">
        <x:v>Resource inefficiency (materials/labor/energy)</x:v>
      </x:c>
      <x:c r="F889" t="str">
        <x:v>Equipment constraints / low availability</x:v>
      </x:c>
      <x:c r="G889" t="str">
        <x:v>Resource inefficiency (materials/labor/energy), Equipment constraints / low availability, Material supply / logistics &amp; market disruption</x:v>
      </x:c>
      <x:c r="H889" t="str">
        <x:v>Cost overrun mainly linked to resource inefficiency (materials/labor/energy); schedule overrun mainly linked to resource inefficiency (materials/labor/energy).</x:v>
      </x:c>
    </x:row>
    <x:row r="890">
      <x:c r="A890" t="str">
        <x:v>PJT_889</x:v>
      </x:c>
      <x:c r="B890" t="str">
        <x:v>Weather disruption / environmental constraints</x:v>
      </x:c>
      <x:c r="C890" t="str">
        <x:v>Material supply / logistics &amp; market disruption</x:v>
      </x:c>
      <x:c r="D890" t="str">
        <x:v>Weather disruption / environmental constraints, Material supply / logistics &amp; market disruption, Equipment constraints / low availability</x:v>
      </x:c>
      <x:c r="E890" t="str">
        <x:v>Weather disruption / environmental constraints</x:v>
      </x:c>
      <x:c r="F890" t="str">
        <x:v>Material supply / logistics &amp; market disruption</x:v>
      </x:c>
      <x:c r="G890" t="str">
        <x:v>Weather disruption / environmental constraints, Material supply / logistics &amp; market disruption, Equipment constraints / low availability</x:v>
      </x:c>
      <x:c r="H890" t="str">
        <x:v>Cost overrun mainly linked to weather disruption / environmental constraints; schedule overrun mainly linked to weather disruption / environmental constraints.</x:v>
      </x:c>
    </x:row>
    <x:row r="891">
      <x:c r="A891" t="str">
        <x:v>PJT_890</x:v>
      </x:c>
      <x:c r="B891" t="str">
        <x:v>Planning &amp; estimation / coordination complexity</x:v>
      </x:c>
      <x:c r="C891" t="str">
        <x:v>Unforeseen site/structural issues &amp; rework</x:v>
      </x:c>
      <x:c r="D891" t="str">
        <x:v>Planning &amp; estimation / coordination complexity, Unforeseen site/structural issues &amp; rework, Equipment constraints / low availability</x:v>
      </x:c>
      <x:c r="E891" t="str">
        <x:v>Unforeseen site/structural issues &amp; rework</x:v>
      </x:c>
      <x:c r="F891" t="str">
        <x:v>Planning &amp; estimation / coordination complexity</x:v>
      </x:c>
      <x:c r="G891" t="str">
        <x:v>Unforeseen site/structural issues &amp; rework, Planning &amp; estimation / coordination complexity, Equipment constraints / low availability</x:v>
      </x:c>
      <x:c r="H891" t="str">
        <x:v>Cost overrun mainly linked to planning &amp; estimation / coordination complexity; schedule overrun mainly linked to unforeseen site/structural issues &amp; rework.</x:v>
      </x:c>
    </x:row>
    <x:row r="892">
      <x:c r="A892" t="str">
        <x:v>PJT_891</x:v>
      </x:c>
      <x:c r="B892" t="str">
        <x:v>Planning &amp; estimation / coordination complexity</x:v>
      </x:c>
      <x:c r="C892" t="str">
        <x:v>Resource inefficiency (materials/labor/energy)</x:v>
      </x:c>
      <x:c r="D892" t="str">
        <x:v>Planning &amp; estimation / coordination complexity, Resource inefficiency (materials/labor/energy), Equipment constraints / low availability</x:v>
      </x:c>
      <x:c r="E892" t="str">
        <x:v>Planning &amp; estimation / coordination complexity</x:v>
      </x:c>
      <x:c r="F892" t="str">
        <x:v>Resource inefficiency (materials/labor/energy)</x:v>
      </x:c>
      <x:c r="G892" t="str">
        <x:v>Planning &amp; estimation / coordination complexity, Resource inefficiency (materials/labor/energy), Equipment constraints / low availability</x:v>
      </x:c>
      <x:c r="H892" t="str">
        <x:v>Cost overrun mainly linked to planning &amp; estimation / coordination complexity; schedule overrun mainly linked to planning &amp; estimation / coordination complexity.</x:v>
      </x:c>
    </x:row>
    <x:row r="893">
      <x:c r="A893" t="str">
        <x:v>PJT_892</x:v>
      </x:c>
      <x:c r="B893" t="str">
        <x:v>Planning &amp; estimation / coordination complexity</x:v>
      </x:c>
      <x:c r="C893" t="str">
        <x:v>Material supply / logistics &amp; market disruption</x:v>
      </x:c>
      <x:c r="D893" t="str">
        <x:v>Planning &amp; estimation / coordination complexity, Material supply / logistics &amp; market disruption, Resource inefficiency (materials/labor/energy)</x:v>
      </x:c>
      <x:c r="E893" t="str">
        <x:v>Planning &amp; estimation / coordination complexity</x:v>
      </x:c>
      <x:c r="F893" t="str">
        <x:v>Material supply / logistics &amp; market disruption</x:v>
      </x:c>
      <x:c r="G893" t="str">
        <x:v>Planning &amp; estimation / coordination complexity, Material supply / logistics &amp; market disruption, Resource inefficiency (materials/labor/energy)</x:v>
      </x:c>
      <x:c r="H893" t="str">
        <x:v>Cost overrun mainly linked to planning &amp; estimation / coordination complexity; schedule overrun mainly linked to planning &amp; estimation / coordination complexity.</x:v>
      </x:c>
    </x:row>
    <x:row r="894">
      <x:c r="A894" t="str">
        <x:v>PJT_893</x:v>
      </x:c>
      <x:c r="B894" t="str">
        <x:v>Weather disruption / environmental constraints</x:v>
      </x:c>
      <x:c r="C894" t="str">
        <x:v>Unforeseen site/structural issues &amp; rework</x:v>
      </x:c>
      <x:c r="D894" t="str">
        <x:v>Weather disruption / environmental constraints, Unforeseen site/structural issues &amp; rework, Material supply / logistics &amp; market disruption</x:v>
      </x:c>
      <x:c r="E894" t="str">
        <x:v>Weather disruption / environmental constraints</x:v>
      </x:c>
      <x:c r="F894" t="str">
        <x:v>Material supply / logistics &amp; market disruption</x:v>
      </x:c>
      <x:c r="G894" t="str">
        <x:v>Weather disruption / environmental constraints, Material supply / logistics &amp; market disruption, Unforeseen site/structural issues &amp; rework</x:v>
      </x:c>
      <x:c r="H894" t="str">
        <x:v>Cost overrun mainly linked to weather disruption / environmental constraints; schedule overrun mainly linked to weather disruption / environmental constraints.</x:v>
      </x:c>
    </x:row>
    <x:row r="895">
      <x:c r="A895" t="str">
        <x:v>PJT_894</x:v>
      </x:c>
      <x:c r="B895" t="str">
        <x:v>Unforeseen site/structural issues &amp; rework</x:v>
      </x:c>
      <x:c r="C895" t="str">
        <x:v>Equipment constraints / low availability</x:v>
      </x:c>
      <x:c r="D895" t="str">
        <x:v>Unforeseen site/structural issues &amp; rework, Equipment constraints / low availability, Planning &amp; estimation / coordination complexity</x:v>
      </x:c>
      <x:c r="E895" t="str">
        <x:v>Unforeseen site/structural issues &amp; rework</x:v>
      </x:c>
      <x:c r="F895" t="str">
        <x:v>Planning &amp; estimation / coordination complexity</x:v>
      </x:c>
      <x:c r="G895" t="str">
        <x:v>Unforeseen site/structural issues &amp; rework, Planning &amp; estimation / coordination complexity, Equipment constraints / low availability</x:v>
      </x:c>
      <x:c r="H895" t="str">
        <x:v>Cost overrun mainly linked to unforeseen site/structural issues &amp; rework; schedule overrun mainly linked to unforeseen site/structural issues &amp; rework.</x:v>
      </x:c>
    </x:row>
    <x:row r="896">
      <x:c r="A896" t="str">
        <x:v>PJT_895</x:v>
      </x:c>
      <x:c r="B896" t="str">
        <x:v>Resource inefficiency (materials/labor/energy)</x:v>
      </x:c>
      <x:c r="C896" t="str">
        <x:v>Material supply / logistics &amp; market disruption</x:v>
      </x:c>
      <x:c r="D896" t="str">
        <x:v>Resource inefficiency (materials/labor/energy), Material supply / logistics &amp; market disruption, Unforeseen site/structural issues &amp; rework</x:v>
      </x:c>
      <x:c r="E896" t="str">
        <x:v>Resource inefficiency (materials/labor/energy)</x:v>
      </x:c>
      <x:c r="F896" t="str">
        <x:v>Material supply / logistics &amp; market disruption</x:v>
      </x:c>
      <x:c r="G896" t="str">
        <x:v>Resource inefficiency (materials/labor/energy), Material supply / logistics &amp; market disruption, Unforeseen site/structural issues &amp; rework</x:v>
      </x:c>
      <x:c r="H896" t="str">
        <x:v>Cost overrun mainly linked to resource inefficiency (materials/labor/energy); schedule overrun mainly linked to resource inefficiency (materials/labor/energy).</x:v>
      </x:c>
    </x:row>
    <x:row r="897">
      <x:c r="A897" t="str">
        <x:v>PJT_896</x:v>
      </x:c>
      <x:c r="B897" t="str">
        <x:v>Unforeseen site/structural issues &amp; rework</x:v>
      </x:c>
      <x:c r="C897" t="str">
        <x:v>Weather disruption / environmental constraints</x:v>
      </x:c>
      <x:c r="D897" t="str">
        <x:v>Unforeseen site/structural issues &amp; rework, Weather disruption / environmental constraints, Planning &amp; estimation / coordination complexity</x:v>
      </x:c>
      <x:c r="E897" t="str">
        <x:v>Unforeseen site/structural issues &amp; rework</x:v>
      </x:c>
      <x:c r="F897" t="str">
        <x:v>Weather disruption / environmental constraints</x:v>
      </x:c>
      <x:c r="G897" t="str">
        <x:v>Unforeseen site/structural issues &amp; rework, Weather disruption / environmental constraints, Planning &amp; estimation / coordination complexity</x:v>
      </x:c>
      <x:c r="H897" t="str">
        <x:v>Cost overrun mainly linked to unforeseen site/structural issues &amp; rework; schedule overrun mainly linked to unforeseen site/structural issues &amp; rework.</x:v>
      </x:c>
    </x:row>
    <x:row r="898">
      <x:c r="A898" t="str">
        <x:v>PJT_897</x:v>
      </x:c>
      <x:c r="B898" t="str">
        <x:v>Unforeseen site/structural issues &amp; rework</x:v>
      </x:c>
      <x:c r="C898" t="str">
        <x:v>Planning &amp; estimation / coordination complexity</x:v>
      </x:c>
      <x:c r="D898" t="str">
        <x:v>Unforeseen site/structural issues &amp; rework, Planning &amp; estimation / coordination complexity, Weather disruption / environmental constraints</x:v>
      </x:c>
      <x:c r="E898" t="str">
        <x:v>Unforeseen site/structural issues &amp; rework</x:v>
      </x:c>
      <x:c r="F898" t="str">
        <x:v>Planning &amp; estimation / coordination complexity</x:v>
      </x:c>
      <x:c r="G898" t="str">
        <x:v>Unforeseen site/structural issues &amp; rework, Planning &amp; estimation / coordination complexity, Weather disruption / environmental constraints</x:v>
      </x:c>
      <x:c r="H898" t="str">
        <x:v>Cost overrun mainly linked to unforeseen site/structural issues &amp; rework; schedule overrun mainly linked to unforeseen site/structural issues &amp; rework.</x:v>
      </x:c>
    </x:row>
    <x:row r="899">
      <x:c r="A899" t="str">
        <x:v>PJT_898</x:v>
      </x:c>
      <x:c r="B899" t="str">
        <x:v>Equipment constraints / low availability</x:v>
      </x:c>
      <x:c r="C899" t="str">
        <x:v>Material supply / logistics &amp; market disruption</x:v>
      </x:c>
      <x:c r="D899" t="str">
        <x:v>Equipment constraints / low availability, Material supply / logistics &amp; market disruption, Resource inefficiency (materials/labor/energy)</x:v>
      </x:c>
      <x:c r="E899" t="str">
        <x:v>Equipment constraints / low availability</x:v>
      </x:c>
      <x:c r="F899" t="str">
        <x:v>Resource inefficiency (materials/labor/energy)</x:v>
      </x:c>
      <x:c r="G899" t="str">
        <x:v>Equipment constraints / low availability, Resource inefficiency (materials/labor/energy), Material supply / logistics &amp; market disruption</x:v>
      </x:c>
      <x:c r="H899" t="str">
        <x:v>Cost overrun mainly linked to equipment constraints / low availability; schedule overrun mainly linked to equipment constraints / low availability.</x:v>
      </x:c>
    </x:row>
    <x:row r="900">
      <x:c r="A900" t="str">
        <x:v>PJT_899</x:v>
      </x:c>
      <x:c r="B900" t="str">
        <x:v>Unforeseen site/structural issues &amp; rework</x:v>
      </x:c>
      <x:c r="C900" t="str">
        <x:v>Weather disruption / environmental constraints</x:v>
      </x:c>
      <x:c r="D900" t="str">
        <x:v>Unforeseen site/structural issues &amp; rework, Weather disruption / environmental constraints, Equipment constraints / low availability</x:v>
      </x:c>
      <x:c r="E900" t="str">
        <x:v>Unforeseen site/structural issues &amp; rework</x:v>
      </x:c>
      <x:c r="F900" t="str">
        <x:v>Weather disruption / environmental constraints</x:v>
      </x:c>
      <x:c r="G900" t="str">
        <x:v>Unforeseen site/structural issues &amp; rework, Weather disruption / environmental constraints, Equipment constraints / low availability</x:v>
      </x:c>
      <x:c r="H900" t="str">
        <x:v>Cost overrun mainly linked to unforeseen site/structural issues &amp; rework; schedule overrun mainly linked to unforeseen site/structural issues &amp; rework.</x:v>
      </x:c>
    </x:row>
    <x:row r="901">
      <x:c r="A901" t="str">
        <x:v>PJT_900</x:v>
      </x:c>
      <x:c r="B901" t="str">
        <x:v>Material supply / logistics &amp; market disruption</x:v>
      </x:c>
      <x:c r="C901" t="str">
        <x:v>Resource inefficiency (materials/labor/energy)</x:v>
      </x:c>
      <x:c r="D901" t="str">
        <x:v>Material supply / logistics &amp; market disruption, Resource inefficiency (materials/labor/energy), Unforeseen site/structural issues &amp; rework</x:v>
      </x:c>
      <x:c r="E901" t="str">
        <x:v>Material supply / logistics &amp; market disruption</x:v>
      </x:c>
      <x:c r="F901" t="str">
        <x:v>Resource inefficiency (materials/labor/energy)</x:v>
      </x:c>
      <x:c r="G901" t="str">
        <x:v>Material supply / logistics &amp; market disruption, Resource inefficiency (materials/labor/energy), Weather disruption / environmental constraints</x:v>
      </x:c>
      <x:c r="H901" t="str">
        <x:v>Cost overrun mainly linked to material supply / logistics &amp; market disruption; schedule overrun mainly linked to material supply / logistics &amp; market disruption.</x:v>
      </x:c>
    </x:row>
    <x:row r="902">
      <x:c r="A902" t="str">
        <x:v>PJT_901</x:v>
      </x:c>
      <x:c r="B902" t="str">
        <x:v>Resource inefficiency (materials/labor/energy)</x:v>
      </x:c>
      <x:c r="C902" t="str">
        <x:v>Planning &amp; estimation / coordination complexity</x:v>
      </x:c>
      <x:c r="D902" t="str">
        <x:v>Resource inefficiency (materials/labor/energy), Planning &amp; estimation / coordination complexity, Equipment constraints / low availability</x:v>
      </x:c>
      <x:c r="E902" t="str">
        <x:v>Resource inefficiency (materials/labor/energy)</x:v>
      </x:c>
      <x:c r="F902" t="str">
        <x:v>Planning &amp; estimation / coordination complexity</x:v>
      </x:c>
      <x:c r="G902" t="str">
        <x:v>Resource inefficiency (materials/labor/energy), Planning &amp; estimation / coordination complexity, Unforeseen site/structural issues &amp; rework</x:v>
      </x:c>
      <x:c r="H902" t="str">
        <x:v>Cost overrun mainly linked to resource inefficiency (materials/labor/energy); schedule overrun mainly linked to resource inefficiency (materials/labor/energy).</x:v>
      </x:c>
    </x:row>
    <x:row r="903">
      <x:c r="A903" t="str">
        <x:v>PJT_902</x:v>
      </x:c>
      <x:c r="B903" t="str">
        <x:v>Resource inefficiency (materials/labor/energy)</x:v>
      </x:c>
      <x:c r="C903" t="str">
        <x:v>Material supply / logistics &amp; market disruption</x:v>
      </x:c>
      <x:c r="D903" t="str">
        <x:v>Resource inefficiency (materials/labor/energy), Material supply / logistics &amp; market disruption, Planning &amp; estimation / coordination complexity</x:v>
      </x:c>
      <x:c r="E903" t="str">
        <x:v>Planning &amp; estimation / coordination complexity</x:v>
      </x:c>
      <x:c r="F903" t="str">
        <x:v>Resource inefficiency (materials/labor/energy)</x:v>
      </x:c>
      <x:c r="G903" t="str">
        <x:v>Planning &amp; estimation / coordination complexity, Resource inefficiency (materials/labor/energy), Material supply / logistics &amp; market disruption</x:v>
      </x:c>
      <x:c r="H903" t="str">
        <x:v>Cost overrun mainly linked to resource inefficiency (materials/labor/energy); schedule overrun mainly linked to planning &amp; estimation / coordination complexity.</x:v>
      </x:c>
    </x:row>
    <x:row r="904">
      <x:c r="A904" t="str">
        <x:v>PJT_903</x:v>
      </x:c>
      <x:c r="B904" t="str">
        <x:v>Unforeseen site/structural issues &amp; rework</x:v>
      </x:c>
      <x:c r="C904" t="str">
        <x:v>Equipment constraints / low availability</x:v>
      </x:c>
      <x:c r="D904" t="str">
        <x:v>Unforeseen site/structural issues &amp; rework, Equipment constraints / low availability, Planning &amp; estimation / coordination complexity</x:v>
      </x:c>
      <x:c r="E904" t="str">
        <x:v>Unforeseen site/structural issues &amp; rework</x:v>
      </x:c>
      <x:c r="F904" t="str">
        <x:v>Planning &amp; estimation / coordination complexity</x:v>
      </x:c>
      <x:c r="G904" t="str">
        <x:v>Unforeseen site/structural issues &amp; rework, Planning &amp; estimation / coordination complexity, Equipment constraints / low availability</x:v>
      </x:c>
      <x:c r="H904" t="str">
        <x:v>Cost overrun mainly linked to unforeseen site/structural issues &amp; rework; schedule overrun mainly linked to unforeseen site/structural issues &amp; rework.</x:v>
      </x:c>
    </x:row>
    <x:row r="905">
      <x:c r="A905" t="str">
        <x:v>PJT_904</x:v>
      </x:c>
      <x:c r="B905" t="str">
        <x:v>Equipment constraints / low availability</x:v>
      </x:c>
      <x:c r="C905" t="str">
        <x:v>Resource inefficiency (materials/labor/energy)</x:v>
      </x:c>
      <x:c r="D905" t="str">
        <x:v>Equipment constraints / low availability, Resource inefficiency (materials/labor/energy), Planning &amp; estimation / coordination complexity</x:v>
      </x:c>
      <x:c r="E905" t="str">
        <x:v>Equipment constraints / low availability</x:v>
      </x:c>
      <x:c r="F905" t="str">
        <x:v>Resource inefficiency (materials/labor/energy)</x:v>
      </x:c>
      <x:c r="G905" t="str">
        <x:v>Equipment constraints / low availability, Resource inefficiency (materials/labor/energy), Planning &amp; estimation / coordination complexity</x:v>
      </x:c>
      <x:c r="H905" t="str">
        <x:v>Cost overrun mainly linked to equipment constraints / low availability; schedule overrun mainly linked to equipment constraints / low availability.</x:v>
      </x:c>
    </x:row>
    <x:row r="906">
      <x:c r="A906" t="str">
        <x:v>PJT_905</x:v>
      </x:c>
      <x:c r="B906" t="str">
        <x:v>Planning &amp; estimation / coordination complexity</x:v>
      </x:c>
      <x:c r="C906" t="str">
        <x:v>Resource inefficiency (materials/labor/energy)</x:v>
      </x:c>
      <x:c r="D906" t="str">
        <x:v>Planning &amp; estimation / coordination complexity, Resource inefficiency (materials/labor/energy), Equipment constraints / low availability</x:v>
      </x:c>
      <x:c r="E906" t="str">
        <x:v>Planning &amp; estimation / coordination complexity</x:v>
      </x:c>
      <x:c r="F906" t="str">
        <x:v>Resource inefficiency (materials/labor/energy)</x:v>
      </x:c>
      <x:c r="G906" t="str">
        <x:v>Planning &amp; estimation / coordination complexity, Resource inefficiency (materials/labor/energy), Equipment constraints / low availability</x:v>
      </x:c>
      <x:c r="H906" t="str">
        <x:v>Cost overrun mainly linked to planning &amp; estimation / coordination complexity; schedule overrun mainly linked to planning &amp; estimation / coordination complexity.</x:v>
      </x:c>
    </x:row>
    <x:row r="907">
      <x:c r="A907" t="str">
        <x:v>PJT_906</x:v>
      </x:c>
      <x:c r="B907" t="str">
        <x:v>Planning &amp; estimation / coordination complexity</x:v>
      </x:c>
      <x:c r="C907" t="str">
        <x:v>Resource inefficiency (materials/labor/energy)</x:v>
      </x:c>
      <x:c r="D907" t="str">
        <x:v>Planning &amp; estimation / coordination complexity, Resource inefficiency (materials/labor/energy), Equipment constraints / low availability</x:v>
      </x:c>
      <x:c r="E907" t="str">
        <x:v>Resource inefficiency (materials/labor/energy)</x:v>
      </x:c>
      <x:c r="F907" t="str">
        <x:v>Planning &amp; estimation / coordination complexity</x:v>
      </x:c>
      <x:c r="G907" t="str">
        <x:v>Resource inefficiency (materials/labor/energy), Planning &amp; estimation / coordination complexity, Equipment constraints / low availability</x:v>
      </x:c>
      <x:c r="H907" t="str">
        <x:v>Cost overrun mainly linked to planning &amp; estimation / coordination complexity; schedule overrun mainly linked to resource inefficiency (materials/labor/energy).</x:v>
      </x:c>
    </x:row>
    <x:row r="908">
      <x:c r="A908" t="str">
        <x:v>PJT_907</x:v>
      </x:c>
      <x:c r="B908" t="str">
        <x:v>Weather disruption / environmental constraints</x:v>
      </x:c>
      <x:c r="C908" t="str">
        <x:v>Equipment constraints / low availability</x:v>
      </x:c>
      <x:c r="D908" t="str">
        <x:v>Weather disruption / environmental constraints, Equipment constraints / low availability, Planning &amp; estimation / coordination complexity</x:v>
      </x:c>
      <x:c r="E908" t="str">
        <x:v>Weather disruption / environmental constraints</x:v>
      </x:c>
      <x:c r="F908" t="str">
        <x:v>Equipment constraints / low availability</x:v>
      </x:c>
      <x:c r="G908" t="str">
        <x:v>Weather disruption / environmental constraints, Equipment constraints / low availability, Planning &amp; estimation / coordination complexity</x:v>
      </x:c>
      <x:c r="H908" t="str">
        <x:v>Cost overrun mainly linked to weather disruption / environmental constraints; schedule overrun mainly linked to weather disruption / environmental constraints.</x:v>
      </x:c>
    </x:row>
    <x:row r="909">
      <x:c r="A909" t="str">
        <x:v>PJT_908</x:v>
      </x:c>
      <x:c r="B909" t="str">
        <x:v>Unforeseen site/structural issues &amp; rework</x:v>
      </x:c>
      <x:c r="C909" t="str">
        <x:v>Equipment constraints / low availability</x:v>
      </x:c>
      <x:c r="D909" t="str">
        <x:v>Unforeseen site/structural issues &amp; rework, Equipment constraints / low availability, Resource inefficiency (materials/labor/energy)</x:v>
      </x:c>
      <x:c r="E909" t="str">
        <x:v>Unforeseen site/structural issues &amp; rework</x:v>
      </x:c>
      <x:c r="F909" t="str">
        <x:v>Equipment constraints / low availability</x:v>
      </x:c>
      <x:c r="G909" t="str">
        <x:v>Unforeseen site/structural issues &amp; rework, Equipment constraints / low availability, Resource inefficiency (materials/labor/energy)</x:v>
      </x:c>
      <x:c r="H909" t="str">
        <x:v>Cost overrun mainly linked to unforeseen site/structural issues &amp; rework; schedule overrun mainly linked to unforeseen site/structural issues &amp; rework.</x:v>
      </x:c>
    </x:row>
    <x:row r="910">
      <x:c r="A910" t="str">
        <x:v>PJT_909</x:v>
      </x:c>
      <x:c r="B910" t="str">
        <x:v>Resource inefficiency (materials/labor/energy)</x:v>
      </x:c>
      <x:c r="C910" t="str">
        <x:v>Equipment constraints / low availability</x:v>
      </x:c>
      <x:c r="D910" t="str">
        <x:v>Resource inefficiency (materials/labor/energy), Equipment constraints / low availability, Planning &amp; estimation / coordination complexity</x:v>
      </x:c>
      <x:c r="E910" t="str">
        <x:v>Resource inefficiency (materials/labor/energy)</x:v>
      </x:c>
      <x:c r="F910" t="str">
        <x:v>Equipment constraints / low availability</x:v>
      </x:c>
      <x:c r="G910" t="str">
        <x:v>Resource inefficiency (materials/labor/energy), Equipment constraints / low availability, Planning &amp; estimation / coordination complexity</x:v>
      </x:c>
      <x:c r="H910" t="str">
        <x:v>Cost overrun mainly linked to resource inefficiency (materials/labor/energy); schedule overrun mainly linked to resource inefficiency (materials/labor/energy).</x:v>
      </x:c>
    </x:row>
    <x:row r="911">
      <x:c r="A911" t="str">
        <x:v>PJT_910</x:v>
      </x:c>
      <x:c r="B911" t="str">
        <x:v>Unforeseen site/structural issues &amp; rework</x:v>
      </x:c>
      <x:c r="C911" t="str">
        <x:v>Planning &amp; estimation / coordination complexity</x:v>
      </x:c>
      <x:c r="D911" t="str">
        <x:v>Unforeseen site/structural issues &amp; rework, Planning &amp; estimation / coordination complexity, Resource inefficiency (materials/labor/energy)</x:v>
      </x:c>
      <x:c r="E911" t="str">
        <x:v>Unforeseen site/structural issues &amp; rework</x:v>
      </x:c>
      <x:c r="F911" t="str">
        <x:v>Planning &amp; estimation / coordination complexity</x:v>
      </x:c>
      <x:c r="G911" t="str">
        <x:v>Unforeseen site/structural issues &amp; rework, Planning &amp; estimation / coordination complexity, Resource inefficiency (materials/labor/energy)</x:v>
      </x:c>
      <x:c r="H911" t="str">
        <x:v>Cost overrun mainly linked to unforeseen site/structural issues &amp; rework; schedule overrun mainly linked to unforeseen site/structural issues &amp; rework.</x:v>
      </x:c>
    </x:row>
    <x:row r="912">
      <x:c r="A912" t="str">
        <x:v>PJT_911</x:v>
      </x:c>
      <x:c r="B912" t="str">
        <x:v>Weather disruption / environmental constraints</x:v>
      </x:c>
      <x:c r="C912" t="str">
        <x:v>Planning &amp; estimation / coordination complexity</x:v>
      </x:c>
      <x:c r="D912" t="str">
        <x:v>Weather disruption / environmental constraints, Planning &amp; estimation / coordination complexity, Unforeseen site/structural issues &amp; rework</x:v>
      </x:c>
      <x:c r="E912" t="str">
        <x:v>Weather disruption / environmental constraints</x:v>
      </x:c>
      <x:c r="F912" t="str">
        <x:v>Unforeseen site/structural issues &amp; rework</x:v>
      </x:c>
      <x:c r="G912" t="str">
        <x:v>Weather disruption / environmental constraints, Unforeseen site/structural issues &amp; rework, Planning &amp; estimation / coordination complexity</x:v>
      </x:c>
      <x:c r="H912" t="str">
        <x:v>Cost overrun mainly linked to weather disruption / environmental constraints; schedule overrun mainly linked to weather disruption / environmental constraints.</x:v>
      </x:c>
    </x:row>
    <x:row r="913">
      <x:c r="A913" t="str">
        <x:v>PJT_912</x:v>
      </x:c>
      <x:c r="B913" t="str">
        <x:v>Planning &amp; estimation / coordination complexity</x:v>
      </x:c>
      <x:c r="C913" t="str">
        <x:v>Unforeseen site/structural issues &amp; rework</x:v>
      </x:c>
      <x:c r="D913" t="str">
        <x:v>Planning &amp; estimation / coordination complexity, Unforeseen site/structural issues &amp; rework, Equipment constraints / low availability</x:v>
      </x:c>
      <x:c r="E913" t="str">
        <x:v>Unforeseen site/structural issues &amp; rework</x:v>
      </x:c>
      <x:c r="F913" t="str">
        <x:v>Planning &amp; estimation / coordination complexity</x:v>
      </x:c>
      <x:c r="G913" t="str">
        <x:v>Unforeseen site/structural issues &amp; rework, Planning &amp; estimation / coordination complexity, Equipment constraints / low availability</x:v>
      </x:c>
      <x:c r="H913" t="str">
        <x:v>Cost overrun mainly linked to planning &amp; estimation / coordination complexity; schedule overrun mainly linked to unforeseen site/structural issues &amp; rework.</x:v>
      </x:c>
    </x:row>
    <x:row r="914">
      <x:c r="A914" t="str">
        <x:v>PJT_913</x:v>
      </x:c>
      <x:c r="B914" t="str">
        <x:v>Resource inefficiency (materials/labor/energy)</x:v>
      </x:c>
      <x:c r="C914" t="str">
        <x:v>Equipment constraints / low availability</x:v>
      </x:c>
      <x:c r="D914" t="str">
        <x:v>Resource inefficiency (materials/labor/energy), Equipment constraints / low availability, Planning &amp; estimation / coordination complexity</x:v>
      </x:c>
      <x:c r="E914" t="str">
        <x:v>Resource inefficiency (materials/labor/energy)</x:v>
      </x:c>
      <x:c r="F914" t="str">
        <x:v>Equipment constraints / low availability</x:v>
      </x:c>
      <x:c r="G914" t="str">
        <x:v>Resource inefficiency (materials/labor/energy), Equipment constraints / low availability, Planning &amp; estimation / coordination complexity</x:v>
      </x:c>
      <x:c r="H914" t="str">
        <x:v>Cost overrun mainly linked to resource inefficiency (materials/labor/energy); schedule overrun mainly linked to resource inefficiency (materials/labor/energy).</x:v>
      </x:c>
    </x:row>
    <x:row r="915">
      <x:c r="A915" t="str">
        <x:v>PJT_914</x:v>
      </x:c>
      <x:c r="B915" t="str">
        <x:v>Weather disruption / environmental constraints</x:v>
      </x:c>
      <x:c r="C915" t="str">
        <x:v>Equipment constraints / low availability</x:v>
      </x:c>
      <x:c r="D915" t="str">
        <x:v>Weather disruption / environmental constraints, Equipment constraints / low availability, Material supply / logistics &amp; market disruption</x:v>
      </x:c>
      <x:c r="E915" t="str">
        <x:v>Weather disruption / environmental constraints</x:v>
      </x:c>
      <x:c r="F915" t="str">
        <x:v>Equipment constraints / low availability</x:v>
      </x:c>
      <x:c r="G915" t="str">
        <x:v>Weather disruption / environmental constraints, Equipment constraints / low availability, Material supply / logistics &amp; market disruption</x:v>
      </x:c>
      <x:c r="H915" t="str">
        <x:v>Cost overrun mainly linked to weather disruption / environmental constraints; schedule overrun mainly linked to weather disruption / environmental constraints.</x:v>
      </x:c>
    </x:row>
    <x:row r="916">
      <x:c r="A916" t="str">
        <x:v>PJT_915</x:v>
      </x:c>
      <x:c r="B916" t="str">
        <x:v>Unforeseen site/structural issues &amp; rework</x:v>
      </x:c>
      <x:c r="C916" t="str">
        <x:v>Material supply / logistics &amp; market disruption</x:v>
      </x:c>
      <x:c r="D916" t="str">
        <x:v>Unforeseen site/structural issues &amp; rework, Material supply / logistics &amp; market disruption, Resource inefficiency (materials/labor/energy)</x:v>
      </x:c>
      <x:c r="E916" t="str">
        <x:v>Unforeseen site/structural issues &amp; rework</x:v>
      </x:c>
      <x:c r="F916" t="str">
        <x:v>Material supply / logistics &amp; market disruption</x:v>
      </x:c>
      <x:c r="G916" t="str">
        <x:v>Unforeseen site/structural issues &amp; rework, Material supply / logistics &amp; market disruption, Planning &amp; estimation / coordination complexity</x:v>
      </x:c>
      <x:c r="H916" t="str">
        <x:v>Cost overrun mainly linked to unforeseen site/structural issues &amp; rework; schedule overrun mainly linked to unforeseen site/structural issues &amp; rework.</x:v>
      </x:c>
    </x:row>
    <x:row r="917">
      <x:c r="A917" t="str">
        <x:v>PJT_916</x:v>
      </x:c>
      <x:c r="B917" t="str">
        <x:v>Planning &amp; estimation / coordination complexity</x:v>
      </x:c>
      <x:c r="C917" t="str">
        <x:v>Unforeseen site/structural issues &amp; rework</x:v>
      </x:c>
      <x:c r="D917" t="str">
        <x:v>Planning &amp; estimation / coordination complexity, Unforeseen site/structural issues &amp; rework, Equipment constraints / low availability</x:v>
      </x:c>
      <x:c r="E917" t="str">
        <x:v>Planning &amp; estimation / coordination complexity</x:v>
      </x:c>
      <x:c r="F917" t="str">
        <x:v>Unforeseen site/structural issues &amp; rework</x:v>
      </x:c>
      <x:c r="G917" t="str">
        <x:v>Planning &amp; estimation / coordination complexity, Unforeseen site/structural issues &amp; rework, Equipment constraints / low availability</x:v>
      </x:c>
      <x:c r="H917" t="str">
        <x:v>Cost overrun mainly linked to planning &amp; estimation / coordination complexity; schedule overrun mainly linked to planning &amp; estimation / coordination complexity.</x:v>
      </x:c>
    </x:row>
    <x:row r="918">
      <x:c r="A918" t="str">
        <x:v>PJT_917</x:v>
      </x:c>
      <x:c r="B918" t="str">
        <x:v>Resource inefficiency (materials/labor/energy)</x:v>
      </x:c>
      <x:c r="C918" t="str">
        <x:v>Planning &amp; estimation / coordination complexity</x:v>
      </x:c>
      <x:c r="D918" t="str">
        <x:v>Resource inefficiency (materials/labor/energy), Planning &amp; estimation / coordination complexity, Equipment constraints / low availability</x:v>
      </x:c>
      <x:c r="E918" t="str">
        <x:v>Planning &amp; estimation / coordination complexity</x:v>
      </x:c>
      <x:c r="F918" t="str">
        <x:v>Resource inefficiency (materials/labor/energy)</x:v>
      </x:c>
      <x:c r="G918" t="str">
        <x:v>Planning &amp; estimation / coordination complexity, Resource inefficiency (materials/labor/energy), Equipment constraints / low availability</x:v>
      </x:c>
      <x:c r="H918" t="str">
        <x:v>Cost overrun mainly linked to resource inefficiency (materials/labor/energy); schedule overrun mainly linked to planning &amp; estimation / coordination complexity.</x:v>
      </x:c>
    </x:row>
    <x:row r="919">
      <x:c r="A919" t="str">
        <x:v>PJT_918</x:v>
      </x:c>
      <x:c r="B919" t="str">
        <x:v>Weather disruption / environmental constraints</x:v>
      </x:c>
      <x:c r="C919" t="str">
        <x:v>Material supply / logistics &amp; market disruption</x:v>
      </x:c>
      <x:c r="D919" t="str">
        <x:v>Weather disruption / environmental constraints, Material supply / logistics &amp; market disruption, Equipment constraints / low availability</x:v>
      </x:c>
      <x:c r="E919" t="str">
        <x:v>Weather disruption / environmental constraints</x:v>
      </x:c>
      <x:c r="F919" t="str">
        <x:v>Material supply / logistics &amp; market disruption</x:v>
      </x:c>
      <x:c r="G919" t="str">
        <x:v>Weather disruption / environmental constraints, Material supply / logistics &amp; market disruption, Equipment constraints / low availability</x:v>
      </x:c>
      <x:c r="H919" t="str">
        <x:v>Cost overrun mainly linked to weather disruption / environmental constraints; schedule overrun mainly linked to weather disruption / environmental constraints.</x:v>
      </x:c>
    </x:row>
    <x:row r="920">
      <x:c r="A920" t="str">
        <x:v>PJT_919</x:v>
      </x:c>
      <x:c r="B920" t="str">
        <x:v>Equipment constraints / low availability</x:v>
      </x:c>
      <x:c r="C920" t="str">
        <x:v>Resource inefficiency (materials/labor/energy)</x:v>
      </x:c>
      <x:c r="D920" t="str">
        <x:v>Equipment constraints / low availability, Resource inefficiency (materials/labor/energy), Planning &amp; estimation / coordination complexity</x:v>
      </x:c>
      <x:c r="E920" t="str">
        <x:v>Equipment constraints / low availability</x:v>
      </x:c>
      <x:c r="F920" t="str">
        <x:v>Resource inefficiency (materials/labor/energy)</x:v>
      </x:c>
      <x:c r="G920" t="str">
        <x:v>Equipment constraints / low availability, Resource inefficiency (materials/labor/energy), Planning &amp; estimation / coordination complexity</x:v>
      </x:c>
      <x:c r="H920" t="str">
        <x:v>Cost overrun mainly linked to equipment constraints / low availability; schedule overrun mainly linked to equipment constraints / low availability.</x:v>
      </x:c>
    </x:row>
    <x:row r="921">
      <x:c r="A921" t="str">
        <x:v>PJT_920</x:v>
      </x:c>
      <x:c r="B921" t="str">
        <x:v>Weather disruption / environmental constraints</x:v>
      </x:c>
      <x:c r="C921" t="str">
        <x:v>Material supply / logistics &amp; market disruption</x:v>
      </x:c>
      <x:c r="D921" t="str">
        <x:v>Weather disruption / environmental constraints, Material supply / logistics &amp; market disruption, Equipment constraints / low availability</x:v>
      </x:c>
      <x:c r="E921" t="str">
        <x:v>Weather disruption / environmental constraints</x:v>
      </x:c>
      <x:c r="F921" t="str">
        <x:v>Material supply / logistics &amp; market disruption</x:v>
      </x:c>
      <x:c r="G921" t="str">
        <x:v>Weather disruption / environmental constraints, Material supply / logistics &amp; market disruption, Equipment constraints / low availability</x:v>
      </x:c>
      <x:c r="H921" t="str">
        <x:v>Cost overrun mainly linked to weather disruption / environmental constraints; schedule overrun mainly linked to weather disruption / environmental constraints.</x:v>
      </x:c>
    </x:row>
    <x:row r="922">
      <x:c r="A922" t="str">
        <x:v>PJT_921</x:v>
      </x:c>
      <x:c r="B922" t="str">
        <x:v>Weather disruption / environmental constraints</x:v>
      </x:c>
      <x:c r="C922" t="str">
        <x:v>Unforeseen site/structural issues &amp; rework</x:v>
      </x:c>
      <x:c r="D922" t="str">
        <x:v>Weather disruption / environmental constraints, Unforeseen site/structural issues &amp; rework, Equipment constraints / low availability</x:v>
      </x:c>
      <x:c r="E922" t="str">
        <x:v>Weather disruption / environmental constraints</x:v>
      </x:c>
      <x:c r="F922" t="str">
        <x:v>Unforeseen site/structural issues &amp; rework</x:v>
      </x:c>
      <x:c r="G922" t="str">
        <x:v>Weather disruption / environmental constraints, Unforeseen site/structural issues &amp; rework, Equipment constraints / low availability</x:v>
      </x:c>
      <x:c r="H922" t="str">
        <x:v>Cost overrun mainly linked to weather disruption / environmental constraints; schedule overrun mainly linked to weather disruption / environmental constraints.</x:v>
      </x:c>
    </x:row>
    <x:row r="923">
      <x:c r="A923" t="str">
        <x:v>PJT_922</x:v>
      </x:c>
      <x:c r="B923" t="str">
        <x:v>Weather disruption / environmental constraints</x:v>
      </x:c>
      <x:c r="C923" t="str">
        <x:v>Equipment constraints / low availability</x:v>
      </x:c>
      <x:c r="D923" t="str">
        <x:v>Weather disruption / environmental constraints, Equipment constraints / low availability, Unforeseen site/structural issues &amp; rework</x:v>
      </x:c>
      <x:c r="E923" t="str">
        <x:v>Weather disruption / environmental constraints</x:v>
      </x:c>
      <x:c r="F923" t="str">
        <x:v>Equipment constraints / low availability</x:v>
      </x:c>
      <x:c r="G923" t="str">
        <x:v>Weather disruption / environmental constraints, Equipment constraints / low availability, Unforeseen site/structural issues &amp; rework</x:v>
      </x:c>
      <x:c r="H923" t="str">
        <x:v>Cost overrun mainly linked to weather disruption / environmental constraints; schedule overrun mainly linked to weather disruption / environmental constraints.</x:v>
      </x:c>
    </x:row>
    <x:row r="924">
      <x:c r="A924" t="str">
        <x:v>PJT_923</x:v>
      </x:c>
      <x:c r="B924" t="str">
        <x:v>Resource inefficiency (materials/labor/energy)</x:v>
      </x:c>
      <x:c r="C924" t="str">
        <x:v>Planning &amp; estimation / coordination complexity</x:v>
      </x:c>
      <x:c r="D924" t="str">
        <x:v>Resource inefficiency (materials/labor/energy), Planning &amp; estimation / coordination complexity, Equipment constraints / low availability</x:v>
      </x:c>
      <x:c r="E924" t="str">
        <x:v>Resource inefficiency (materials/labor/energy)</x:v>
      </x:c>
      <x:c r="F924" t="str">
        <x:v>Equipment constraints / low availability</x:v>
      </x:c>
      <x:c r="G924" t="str">
        <x:v>Resource inefficiency (materials/labor/energy), Equipment constraints / low availability, Planning &amp; estimation / coordination complexity</x:v>
      </x:c>
      <x:c r="H924" t="str">
        <x:v>Cost overrun mainly linked to resource inefficiency (materials/labor/energy); schedule overrun mainly linked to resource inefficiency (materials/labor/energy).</x:v>
      </x:c>
    </x:row>
    <x:row r="925">
      <x:c r="A925" t="str">
        <x:v>PJT_924</x:v>
      </x:c>
      <x:c r="B925" t="str">
        <x:v>Resource inefficiency (materials/labor/energy)</x:v>
      </x:c>
      <x:c r="C925" t="str">
        <x:v>Equipment constraints / low availability</x:v>
      </x:c>
      <x:c r="D925" t="str">
        <x:v>Resource inefficiency (materials/labor/energy), Equipment constraints / low availability, Material supply / logistics &amp; market disruption</x:v>
      </x:c>
      <x:c r="E925" t="str">
        <x:v>Resource inefficiency (materials/labor/energy)</x:v>
      </x:c>
      <x:c r="F925" t="str">
        <x:v>Equipment constraints / low availability</x:v>
      </x:c>
      <x:c r="G925" t="str">
        <x:v>Resource inefficiency (materials/labor/energy), Equipment constraints / low availability, Planning &amp; estimation / coordination complexity</x:v>
      </x:c>
      <x:c r="H925" t="str">
        <x:v>Cost overrun mainly linked to resource inefficiency (materials/labor/energy); schedule overrun mainly linked to resource inefficiency (materials/labor/energy).</x:v>
      </x:c>
    </x:row>
    <x:row r="926">
      <x:c r="A926" t="str">
        <x:v>PJT_925</x:v>
      </x:c>
      <x:c r="B926" t="str">
        <x:v>Unforeseen site/structural issues &amp; rework</x:v>
      </x:c>
      <x:c r="C926" t="str">
        <x:v>Weather disruption / environmental constraints</x:v>
      </x:c>
      <x:c r="D926" t="str">
        <x:v>Unforeseen site/structural issues &amp; rework, Weather disruption / environmental constraints, Planning &amp; estimation / coordination complexity</x:v>
      </x:c>
      <x:c r="E926" t="str">
        <x:v>Unforeseen site/structural issues &amp; rework</x:v>
      </x:c>
      <x:c r="F926" t="str">
        <x:v>Weather disruption / environmental constraints</x:v>
      </x:c>
      <x:c r="G926" t="str">
        <x:v>Unforeseen site/structural issues &amp; rework, Weather disruption / environmental constraints, Planning &amp; estimation / coordination complexity</x:v>
      </x:c>
      <x:c r="H926" t="str">
        <x:v>Cost overrun mainly linked to unforeseen site/structural issues &amp; rework; schedule overrun mainly linked to unforeseen site/structural issues &amp; rework.</x:v>
      </x:c>
    </x:row>
    <x:row r="927">
      <x:c r="A927" t="str">
        <x:v>PJT_926</x:v>
      </x:c>
      <x:c r="B927" t="str">
        <x:v>Planning &amp; estimation / coordination complexity</x:v>
      </x:c>
      <x:c r="C927" t="str">
        <x:v>Equipment constraints / low availability</x:v>
      </x:c>
      <x:c r="D927" t="str">
        <x:v>Planning &amp; estimation / coordination complexity, Equipment constraints / low availability, Resource inefficiency (materials/labor/energy)</x:v>
      </x:c>
      <x:c r="E927" t="str">
        <x:v>Resource inefficiency (materials/labor/energy)</x:v>
      </x:c>
      <x:c r="F927" t="str">
        <x:v>Planning &amp; estimation / coordination complexity</x:v>
      </x:c>
      <x:c r="G927" t="str">
        <x:v>Resource inefficiency (materials/labor/energy), Planning &amp; estimation / coordination complexity, Equipment constraints / low availability</x:v>
      </x:c>
      <x:c r="H927" t="str">
        <x:v>Cost overrun mainly linked to planning &amp; estimation / coordination complexity; schedule overrun mainly linked to resource inefficiency (materials/labor/energy).</x:v>
      </x:c>
    </x:row>
    <x:row r="928">
      <x:c r="A928" t="str">
        <x:v>PJT_927</x:v>
      </x:c>
      <x:c r="B928" t="str">
        <x:v>Resource inefficiency (materials/labor/energy)</x:v>
      </x:c>
      <x:c r="C928" t="str">
        <x:v>Material supply / logistics &amp; market disruption</x:v>
      </x:c>
      <x:c r="D928" t="str">
        <x:v>Resource inefficiency (materials/labor/energy), Material supply / logistics &amp; market disruption, Planning &amp; estimation / coordination complexity</x:v>
      </x:c>
      <x:c r="E928" t="str">
        <x:v>Resource inefficiency (materials/labor/energy)</x:v>
      </x:c>
      <x:c r="F928" t="str">
        <x:v>Material supply / logistics &amp; market disruption</x:v>
      </x:c>
      <x:c r="G928" t="str">
        <x:v>Resource inefficiency (materials/labor/energy), Material supply / logistics &amp; market disruption, Planning &amp; estimation / coordination complexity</x:v>
      </x:c>
      <x:c r="H928" t="str">
        <x:v>Cost overrun mainly linked to resource inefficiency (materials/labor/energy); schedule overrun mainly linked to resource inefficiency (materials/labor/energy).</x:v>
      </x:c>
    </x:row>
    <x:row r="929">
      <x:c r="A929" t="str">
        <x:v>PJT_928</x:v>
      </x:c>
      <x:c r="B929" t="str">
        <x:v>Equipment constraints / low availability</x:v>
      </x:c>
      <x:c r="C929" t="str">
        <x:v>Planning &amp; estimation / coordination complexity</x:v>
      </x:c>
      <x:c r="D929" t="str">
        <x:v>Equipment constraints / low availability, Planning &amp; estimation / coordination complexity, Resource inefficiency (materials/labor/energy)</x:v>
      </x:c>
      <x:c r="E929" t="str">
        <x:v>Equipment constraints / low availability</x:v>
      </x:c>
      <x:c r="F929" t="str">
        <x:v>Planning &amp; estimation / coordination complexity</x:v>
      </x:c>
      <x:c r="G929" t="str">
        <x:v>Equipment constraints / low availability, Planning &amp; estimation / coordination complexity, Resource inefficiency (materials/labor/energy)</x:v>
      </x:c>
      <x:c r="H929" t="str">
        <x:v>Cost overrun mainly linked to equipment constraints / low availability; schedule overrun mainly linked to equipment constraints / low availability.</x:v>
      </x:c>
    </x:row>
    <x:row r="930">
      <x:c r="A930" t="str">
        <x:v>PJT_929</x:v>
      </x:c>
      <x:c r="B930" t="str">
        <x:v>Resource inefficiency (materials/labor/energy)</x:v>
      </x:c>
      <x:c r="C930" t="str">
        <x:v>Material supply / logistics &amp; market disruption</x:v>
      </x:c>
      <x:c r="D930" t="str">
        <x:v>Resource inefficiency (materials/labor/energy), Material supply / logistics &amp; market disruption, Equipment constraints / low availability</x:v>
      </x:c>
      <x:c r="E930" t="str">
        <x:v>Resource inefficiency (materials/labor/energy)</x:v>
      </x:c>
      <x:c r="F930" t="str">
        <x:v>Material supply / logistics &amp; market disruption</x:v>
      </x:c>
      <x:c r="G930" t="str">
        <x:v>Resource inefficiency (materials/labor/energy), Material supply / logistics &amp; market disruption, Equipment constraints / low availability</x:v>
      </x:c>
      <x:c r="H930" t="str">
        <x:v>Cost overrun mainly linked to resource inefficiency (materials/labor/energy); schedule overrun mainly linked to resource inefficiency (materials/labor/energy).</x:v>
      </x:c>
    </x:row>
    <x:row r="931">
      <x:c r="A931" t="str">
        <x:v>PJT_930</x:v>
      </x:c>
      <x:c r="B931" t="str">
        <x:v>Equipment constraints / low availability</x:v>
      </x:c>
      <x:c r="C931" t="str">
        <x:v>Resource inefficiency (materials/labor/energy)</x:v>
      </x:c>
      <x:c r="D931" t="str">
        <x:v>Equipment constraints / low availability, Resource inefficiency (materials/labor/energy), Material supply / logistics &amp; market disruption</x:v>
      </x:c>
      <x:c r="E931" t="str">
        <x:v>Resource inefficiency (materials/labor/energy)</x:v>
      </x:c>
      <x:c r="F931" t="str">
        <x:v>Equipment constraints / low availability</x:v>
      </x:c>
      <x:c r="G931" t="str">
        <x:v>Resource inefficiency (materials/labor/energy), Equipment constraints / low availability, Material supply / logistics &amp; market disruption</x:v>
      </x:c>
      <x:c r="H931" t="str">
        <x:v>Cost overrun mainly linked to equipment constraints / low availability; schedule overrun mainly linked to resource inefficiency (materials/labor/energy).</x:v>
      </x:c>
    </x:row>
    <x:row r="932">
      <x:c r="A932" t="str">
        <x:v>PJT_931</x:v>
      </x:c>
      <x:c r="B932" t="str">
        <x:v>Weather disruption / environmental constraints</x:v>
      </x:c>
      <x:c r="C932" t="str">
        <x:v>Material supply / logistics &amp; market disruption</x:v>
      </x:c>
      <x:c r="D932" t="str">
        <x:v>Weather disruption / environmental constraints, Material supply / logistics &amp; market disruption, Equipment constraints / low availability</x:v>
      </x:c>
      <x:c r="E932" t="str">
        <x:v>Material supply / logistics &amp; market disruption</x:v>
      </x:c>
      <x:c r="F932" t="str">
        <x:v>Weather disruption / environmental constraints</x:v>
      </x:c>
      <x:c r="G932" t="str">
        <x:v>Material supply / logistics &amp; market disruption, Weather disruption / environmental constraints, Resource inefficiency (materials/labor/energy)</x:v>
      </x:c>
      <x:c r="H932" t="str">
        <x:v>Cost overrun mainly linked to weather disruption / environmental constraints; schedule overrun mainly linked to material supply / logistics &amp; market disruption.</x:v>
      </x:c>
    </x:row>
    <x:row r="933">
      <x:c r="A933" t="str">
        <x:v>PJT_932</x:v>
      </x:c>
      <x:c r="B933" t="str">
        <x:v>Unforeseen site/structural issues &amp; rework</x:v>
      </x:c>
      <x:c r="C933" t="str">
        <x:v>Planning &amp; estimation / coordination complexity</x:v>
      </x:c>
      <x:c r="D933" t="str">
        <x:v>Unforeseen site/structural issues &amp; rework, Planning &amp; estimation / coordination complexity, Resource inefficiency (materials/labor/energy)</x:v>
      </x:c>
      <x:c r="E933" t="str">
        <x:v>Unforeseen site/structural issues &amp; rework</x:v>
      </x:c>
      <x:c r="F933" t="str">
        <x:v>Planning &amp; estimation / coordination complexity</x:v>
      </x:c>
      <x:c r="G933" t="str">
        <x:v>Unforeseen site/structural issues &amp; rework, Planning &amp; estimation / coordination complexity, Resource inefficiency (materials/labor/energy)</x:v>
      </x:c>
      <x:c r="H933" t="str">
        <x:v>Cost overrun mainly linked to unforeseen site/structural issues &amp; rework; schedule overrun mainly linked to unforeseen site/structural issues &amp; rework.</x:v>
      </x:c>
    </x:row>
    <x:row r="934">
      <x:c r="A934" t="str">
        <x:v>PJT_933</x:v>
      </x:c>
      <x:c r="B934" t="str">
        <x:v>Resource inefficiency (materials/labor/energy)</x:v>
      </x:c>
      <x:c r="C934" t="str">
        <x:v>Planning &amp; estimation / coordination complexity</x:v>
      </x:c>
      <x:c r="D934" t="str">
        <x:v>Resource inefficiency (materials/labor/energy), Planning &amp; estimation / coordination complexity, Equipment constraints / low availability</x:v>
      </x:c>
      <x:c r="E934" t="str">
        <x:v>Resource inefficiency (materials/labor/energy)</x:v>
      </x:c>
      <x:c r="F934" t="str">
        <x:v>Planning &amp; estimation / coordination complexity</x:v>
      </x:c>
      <x:c r="G934" t="str">
        <x:v>Resource inefficiency (materials/labor/energy), Planning &amp; estimation / coordination complexity, Equipment constraints / low availability</x:v>
      </x:c>
      <x:c r="H934" t="str">
        <x:v>Cost overrun mainly linked to resource inefficiency (materials/labor/energy); schedule overrun mainly linked to resource inefficiency (materials/labor/energy).</x:v>
      </x:c>
    </x:row>
    <x:row r="935">
      <x:c r="A935" t="str">
        <x:v>PJT_934</x:v>
      </x:c>
      <x:c r="B935" t="str">
        <x:v>Unforeseen site/structural issues &amp; rework</x:v>
      </x:c>
      <x:c r="C935" t="str">
        <x:v>Equipment constraints / low availability</x:v>
      </x:c>
      <x:c r="D935" t="str">
        <x:v>Unforeseen site/structural issues &amp; rework, Equipment constraints / low availability, Planning &amp; estimation / coordination complexity</x:v>
      </x:c>
      <x:c r="E935" t="str">
        <x:v>Unforeseen site/structural issues &amp; rework</x:v>
      </x:c>
      <x:c r="F935" t="str">
        <x:v>Planning &amp; estimation / coordination complexity</x:v>
      </x:c>
      <x:c r="G935" t="str">
        <x:v>Unforeseen site/structural issues &amp; rework, Planning &amp; estimation / coordination complexity, Equipment constraints / low availability</x:v>
      </x:c>
      <x:c r="H935" t="str">
        <x:v>Cost overrun mainly linked to unforeseen site/structural issues &amp; rework; schedule overrun mainly linked to unforeseen site/structural issues &amp; rework.</x:v>
      </x:c>
    </x:row>
    <x:row r="936">
      <x:c r="A936" t="str">
        <x:v>PJT_935</x:v>
      </x:c>
      <x:c r="B936" t="str">
        <x:v>Planning &amp; estimation / coordination complexity</x:v>
      </x:c>
      <x:c r="C936" t="str">
        <x:v>Resource inefficiency (materials/labor/energy)</x:v>
      </x:c>
      <x:c r="D936" t="str">
        <x:v>Planning &amp; estimation / coordination complexity, Resource inefficiency (materials/labor/energy), Unforeseen site/structural issues &amp; rework</x:v>
      </x:c>
      <x:c r="E936" t="str">
        <x:v>Planning &amp; estimation / coordination complexity</x:v>
      </x:c>
      <x:c r="F936" t="str">
        <x:v>Unforeseen site/structural issues &amp; rework</x:v>
      </x:c>
      <x:c r="G936" t="str">
        <x:v>Planning &amp; estimation / coordination complexity, Unforeseen site/structural issues &amp; rework, Resource inefficiency (materials/labor/energy)</x:v>
      </x:c>
      <x:c r="H936" t="str">
        <x:v>Cost overrun mainly linked to planning &amp; estimation / coordination complexity; schedule overrun mainly linked to planning &amp; estimation / coordination complexity.</x:v>
      </x:c>
    </x:row>
    <x:row r="937">
      <x:c r="A937" t="str">
        <x:v>PJT_936</x:v>
      </x:c>
      <x:c r="B937" t="str">
        <x:v>Resource inefficiency (materials/labor/energy)</x:v>
      </x:c>
      <x:c r="C937" t="str">
        <x:v>Material supply / logistics &amp; market disruption</x:v>
      </x:c>
      <x:c r="D937" t="str">
        <x:v>Resource inefficiency (materials/labor/energy), Material supply / logistics &amp; market disruption, Planning &amp; estimation / coordination complexity</x:v>
      </x:c>
      <x:c r="E937" t="str">
        <x:v>Resource inefficiency (materials/labor/energy)</x:v>
      </x:c>
      <x:c r="F937" t="str">
        <x:v>Material supply / logistics &amp; market disruption</x:v>
      </x:c>
      <x:c r="G937" t="str">
        <x:v>Resource inefficiency (materials/labor/energy), Material supply / logistics &amp; market disruption, Planning &amp; estimation / coordination complexity</x:v>
      </x:c>
      <x:c r="H937" t="str">
        <x:v>Cost overrun mainly linked to resource inefficiency (materials/labor/energy); schedule overrun mainly linked to resource inefficiency (materials/labor/energy).</x:v>
      </x:c>
    </x:row>
    <x:row r="938">
      <x:c r="A938" t="str">
        <x:v>PJT_937</x:v>
      </x:c>
      <x:c r="B938" t="str">
        <x:v>Unforeseen site/structural issues &amp; rework</x:v>
      </x:c>
      <x:c r="C938" t="str">
        <x:v>Planning &amp; estimation / coordination complexity</x:v>
      </x:c>
      <x:c r="D938" t="str">
        <x:v>Unforeseen site/structural issues &amp; rework, Planning &amp; estimation / coordination complexity, Equipment constraints / low availability</x:v>
      </x:c>
      <x:c r="E938" t="str">
        <x:v>Unforeseen site/structural issues &amp; rework</x:v>
      </x:c>
      <x:c r="F938" t="str">
        <x:v>Planning &amp; estimation / coordination complexity</x:v>
      </x:c>
      <x:c r="G938" t="str">
        <x:v>Unforeseen site/structural issues &amp; rework, Planning &amp; estimation / coordination complexity, Equipment constraints / low availability</x:v>
      </x:c>
      <x:c r="H938" t="str">
        <x:v>Cost overrun mainly linked to unforeseen site/structural issues &amp; rework; schedule overrun mainly linked to unforeseen site/structural issues &amp; rework.</x:v>
      </x:c>
    </x:row>
    <x:row r="939">
      <x:c r="A939" t="str">
        <x:v>PJT_938</x:v>
      </x:c>
      <x:c r="B939" t="str">
        <x:v>Unforeseen site/structural issues &amp; rework</x:v>
      </x:c>
      <x:c r="C939" t="str">
        <x:v>Weather disruption / environmental constraints</x:v>
      </x:c>
      <x:c r="D939" t="str">
        <x:v>Unforeseen site/structural issues &amp; rework, Weather disruption / environmental constraints, Material supply / logistics &amp; market disruption</x:v>
      </x:c>
      <x:c r="E939" t="str">
        <x:v>Unforeseen site/structural issues &amp; rework</x:v>
      </x:c>
      <x:c r="F939" t="str">
        <x:v>Weather disruption / environmental constraints</x:v>
      </x:c>
      <x:c r="G939" t="str">
        <x:v>Unforeseen site/structural issues &amp; rework, Weather disruption / environmental constraints, Material supply / logistics &amp; market disruption</x:v>
      </x:c>
      <x:c r="H939" t="str">
        <x:v>Cost overrun mainly linked to unforeseen site/structural issues &amp; rework; schedule overrun mainly linked to unforeseen site/structural issues &amp; rework.</x:v>
      </x:c>
    </x:row>
    <x:row r="940">
      <x:c r="A940" t="str">
        <x:v>PJT_939</x:v>
      </x:c>
      <x:c r="B940" t="str">
        <x:v>Resource inefficiency (materials/labor/energy)</x:v>
      </x:c>
      <x:c r="C940" t="str">
        <x:v>Material supply / logistics &amp; market disruption</x:v>
      </x:c>
      <x:c r="D940" t="str">
        <x:v>Resource inefficiency (materials/labor/energy), Material supply / logistics &amp; market disruption, Equipment constraints / low availability</x:v>
      </x:c>
      <x:c r="E940" t="str">
        <x:v>Resource inefficiency (materials/labor/energy)</x:v>
      </x:c>
      <x:c r="F940" t="str">
        <x:v>Material supply / logistics &amp; market disruption</x:v>
      </x:c>
      <x:c r="G940" t="str">
        <x:v>Resource inefficiency (materials/labor/energy), Material supply / logistics &amp; market disruption, Equipment constraints / low availability</x:v>
      </x:c>
      <x:c r="H940" t="str">
        <x:v>Cost overrun mainly linked to resource inefficiency (materials/labor/energy); schedule overrun mainly linked to resource inefficiency (materials/labor/energy).</x:v>
      </x:c>
    </x:row>
    <x:row r="941">
      <x:c r="A941" t="str">
        <x:v>PJT_940</x:v>
      </x:c>
      <x:c r="B941" t="str">
        <x:v>Material supply / logistics &amp; market disruption</x:v>
      </x:c>
      <x:c r="C941" t="str">
        <x:v>Planning &amp; estimation / coordination complexity</x:v>
      </x:c>
      <x:c r="D941" t="str">
        <x:v>Material supply / logistics &amp; market disruption, Planning &amp; estimation / coordination complexity, Resource inefficiency (materials/labor/energy)</x:v>
      </x:c>
      <x:c r="E941" t="str">
        <x:v>Material supply / logistics &amp; market disruption</x:v>
      </x:c>
      <x:c r="F941" t="str">
        <x:v>Planning &amp; estimation / coordination complexity</x:v>
      </x:c>
      <x:c r="G941" t="str">
        <x:v>Material supply / logistics &amp; market disruption, Planning &amp; estimation / coordination complexity, Resource inefficiency (materials/labor/energy)</x:v>
      </x:c>
      <x:c r="H941" t="str">
        <x:v>Cost overrun mainly linked to material supply / logistics &amp; market disruption; schedule overrun mainly linked to material supply / logistics &amp; market disruption.</x:v>
      </x:c>
    </x:row>
    <x:row r="942">
      <x:c r="A942" t="str">
        <x:v>PJT_941</x:v>
      </x:c>
      <x:c r="B942" t="str">
        <x:v>Unforeseen site/structural issues &amp; rework</x:v>
      </x:c>
      <x:c r="C942" t="str">
        <x:v>Planning &amp; estimation / coordination complexity</x:v>
      </x:c>
      <x:c r="D942" t="str">
        <x:v>Unforeseen site/structural issues &amp; rework, Planning &amp; estimation / coordination complexity, Resource inefficiency (materials/labor/energy)</x:v>
      </x:c>
      <x:c r="E942" t="str">
        <x:v>Unforeseen site/structural issues &amp; rework</x:v>
      </x:c>
      <x:c r="F942" t="str">
        <x:v>Planning &amp; estimation / coordination complexity</x:v>
      </x:c>
      <x:c r="G942" t="str">
        <x:v>Unforeseen site/structural issues &amp; rework, Planning &amp; estimation / coordination complexity, Resource inefficiency (materials/labor/energy)</x:v>
      </x:c>
      <x:c r="H942" t="str">
        <x:v>Cost overrun mainly linked to unforeseen site/structural issues &amp; rework; schedule overrun mainly linked to unforeseen site/structural issues &amp; rework.</x:v>
      </x:c>
    </x:row>
    <x:row r="943">
      <x:c r="A943" t="str">
        <x:v>PJT_942</x:v>
      </x:c>
      <x:c r="B943" t="str">
        <x:v>Resource inefficiency (materials/labor/energy)</x:v>
      </x:c>
      <x:c r="C943" t="str">
        <x:v>Planning &amp; estimation / coordination complexity</x:v>
      </x:c>
      <x:c r="D943" t="str">
        <x:v>Resource inefficiency (materials/labor/energy), Planning &amp; estimation / coordination complexity, Material supply / logistics &amp; market disruption</x:v>
      </x:c>
      <x:c r="E943" t="str">
        <x:v>Resource inefficiency (materials/labor/energy)</x:v>
      </x:c>
      <x:c r="F943" t="str">
        <x:v>Planning &amp; estimation / coordination complexity</x:v>
      </x:c>
      <x:c r="G943" t="str">
        <x:v>Resource inefficiency (materials/labor/energy), Planning &amp; estimation / coordination complexity, Equipment constraints / low availability</x:v>
      </x:c>
      <x:c r="H943" t="str">
        <x:v>Cost overrun mainly linked to resource inefficiency (materials/labor/energy); schedule overrun mainly linked to resource inefficiency (materials/labor/energy).</x:v>
      </x:c>
    </x:row>
    <x:row r="944">
      <x:c r="A944" t="str">
        <x:v>PJT_943</x:v>
      </x:c>
      <x:c r="B944" t="str">
        <x:v>Unforeseen site/structural issues &amp; rework</x:v>
      </x:c>
      <x:c r="C944" t="str">
        <x:v>Planning &amp; estimation / coordination complexity</x:v>
      </x:c>
      <x:c r="D944" t="str">
        <x:v>Unforeseen site/structural issues &amp; rework, Planning &amp; estimation / coordination complexity, Equipment constraints / low availability</x:v>
      </x:c>
      <x:c r="E944" t="str">
        <x:v>Unforeseen site/structural issues &amp; rework</x:v>
      </x:c>
      <x:c r="F944" t="str">
        <x:v>Planning &amp; estimation / coordination complexity</x:v>
      </x:c>
      <x:c r="G944" t="str">
        <x:v>Unforeseen site/structural issues &amp; rework, Planning &amp; estimation / coordination complexity, Equipment constraints / low availability</x:v>
      </x:c>
      <x:c r="H944" t="str">
        <x:v>Cost overrun mainly linked to unforeseen site/structural issues &amp; rework; schedule overrun mainly linked to unforeseen site/structural issues &amp; rework.</x:v>
      </x:c>
    </x:row>
    <x:row r="945">
      <x:c r="A945" t="str">
        <x:v>PJT_944</x:v>
      </x:c>
      <x:c r="B945" t="str">
        <x:v>Planning &amp; estimation / coordination complexity</x:v>
      </x:c>
      <x:c r="C945" t="str">
        <x:v>Resource inefficiency (materials/labor/energy)</x:v>
      </x:c>
      <x:c r="D945" t="str">
        <x:v>Planning &amp; estimation / coordination complexity, Resource inefficiency (materials/labor/energy), Unforeseen site/structural issues &amp; rework</x:v>
      </x:c>
      <x:c r="E945" t="str">
        <x:v>Planning &amp; estimation / coordination complexity</x:v>
      </x:c>
      <x:c r="F945" t="str">
        <x:v>Unforeseen site/structural issues &amp; rework</x:v>
      </x:c>
      <x:c r="G945" t="str">
        <x:v>Planning &amp; estimation / coordination complexity, Unforeseen site/structural issues &amp; rework, Resource inefficiency (materials/labor/energy)</x:v>
      </x:c>
      <x:c r="H945" t="str">
        <x:v>Cost overrun mainly linked to planning &amp; estimation / coordination complexity; schedule overrun mainly linked to planning &amp; estimation / coordination complexity.</x:v>
      </x:c>
    </x:row>
    <x:row r="946">
      <x:c r="A946" t="str">
        <x:v>PJT_945</x:v>
      </x:c>
      <x:c r="B946" t="str">
        <x:v>Resource inefficiency (materials/labor/energy)</x:v>
      </x:c>
      <x:c r="C946" t="str">
        <x:v>Material supply / logistics &amp; market disruption</x:v>
      </x:c>
      <x:c r="D946" t="str">
        <x:v>Resource inefficiency (materials/labor/energy), Material supply / logistics &amp; market disruption, Equipment constraints / low availability</x:v>
      </x:c>
      <x:c r="E946" t="str">
        <x:v>Resource inefficiency (materials/labor/energy)</x:v>
      </x:c>
      <x:c r="F946" t="str">
        <x:v>Equipment constraints / low availability</x:v>
      </x:c>
      <x:c r="G946" t="str">
        <x:v>Resource inefficiency (materials/labor/energy), Equipment constraints / low availability, Material supply / logistics &amp; market disruption</x:v>
      </x:c>
      <x:c r="H946" t="str">
        <x:v>Cost overrun mainly linked to resource inefficiency (materials/labor/energy); schedule overrun mainly linked to resource inefficiency (materials/labor/energy).</x:v>
      </x:c>
    </x:row>
    <x:row r="947">
      <x:c r="A947" t="str">
        <x:v>PJT_946</x:v>
      </x:c>
      <x:c r="B947" t="str">
        <x:v>Weather disruption / environmental constraints</x:v>
      </x:c>
      <x:c r="C947" t="str">
        <x:v>Unforeseen site/structural issues &amp; rework</x:v>
      </x:c>
      <x:c r="D947" t="str">
        <x:v>Weather disruption / environmental constraints, Unforeseen site/structural issues &amp; rework, Material supply / logistics &amp; market disruption</x:v>
      </x:c>
      <x:c r="E947" t="str">
        <x:v>Weather disruption / environmental constraints</x:v>
      </x:c>
      <x:c r="F947" t="str">
        <x:v>Unforeseen site/structural issues &amp; rework</x:v>
      </x:c>
      <x:c r="G947" t="str">
        <x:v>Weather disruption / environmental constraints, Unforeseen site/structural issues &amp; rework, Material supply / logistics &amp; market disruption</x:v>
      </x:c>
      <x:c r="H947" t="str">
        <x:v>Cost overrun mainly linked to weather disruption / environmental constraints; schedule overrun mainly linked to weather disruption / environmental constraints.</x:v>
      </x:c>
    </x:row>
    <x:row r="948">
      <x:c r="A948" t="str">
        <x:v>PJT_947</x:v>
      </x:c>
      <x:c r="B948" t="str">
        <x:v>Planning &amp; estimation / coordination complexity</x:v>
      </x:c>
      <x:c r="C948" t="str">
        <x:v>Resource inefficiency (materials/labor/energy)</x:v>
      </x:c>
      <x:c r="D948" t="str">
        <x:v>Planning &amp; estimation / coordination complexity, Resource inefficiency (materials/labor/energy), Equipment constraints / low availability</x:v>
      </x:c>
      <x:c r="E948" t="str">
        <x:v>Planning &amp; estimation / coordination complexity</x:v>
      </x:c>
      <x:c r="F948" t="str">
        <x:v>Resource inefficiency (materials/labor/energy)</x:v>
      </x:c>
      <x:c r="G948" t="str">
        <x:v>Planning &amp; estimation / coordination complexity, Resource inefficiency (materials/labor/energy), Equipment constraints / low availability</x:v>
      </x:c>
      <x:c r="H948" t="str">
        <x:v>Cost overrun mainly linked to planning &amp; estimation / coordination complexity; schedule overrun mainly linked to planning &amp; estimation / coordination complexity.</x:v>
      </x:c>
    </x:row>
    <x:row r="949">
      <x:c r="A949" t="str">
        <x:v>PJT_948</x:v>
      </x:c>
      <x:c r="B949" t="str">
        <x:v>Unforeseen site/structural issues &amp; rework</x:v>
      </x:c>
      <x:c r="C949" t="str">
        <x:v>Weather disruption / environmental constraints</x:v>
      </x:c>
      <x:c r="D949" t="str">
        <x:v>Unforeseen site/structural issues &amp; rework, Weather disruption / environmental constraints, Equipment constraints / low availability</x:v>
      </x:c>
      <x:c r="E949" t="str">
        <x:v>Unforeseen site/structural issues &amp; rework</x:v>
      </x:c>
      <x:c r="F949" t="str">
        <x:v>Weather disruption / environmental constraints</x:v>
      </x:c>
      <x:c r="G949" t="str">
        <x:v>Unforeseen site/structural issues &amp; rework, Weather disruption / environmental constraints, Equipment constraints / low availability</x:v>
      </x:c>
      <x:c r="H949" t="str">
        <x:v>Cost overrun mainly linked to unforeseen site/structural issues &amp; rework; schedule overrun mainly linked to unforeseen site/structural issues &amp; rework.</x:v>
      </x:c>
    </x:row>
    <x:row r="950">
      <x:c r="A950" t="str">
        <x:v>PJT_949</x:v>
      </x:c>
      <x:c r="B950" t="str">
        <x:v>Material supply / logistics &amp; market disruption</x:v>
      </x:c>
      <x:c r="C950" t="str">
        <x:v>Resource inefficiency (materials/labor/energy)</x:v>
      </x:c>
      <x:c r="D950" t="str">
        <x:v>Material supply / logistics &amp; market disruption, Resource inefficiency (materials/labor/energy), Planning &amp; estimation / coordination complexity</x:v>
      </x:c>
      <x:c r="E950" t="str">
        <x:v>Material supply / logistics &amp; market disruption</x:v>
      </x:c>
      <x:c r="F950" t="str">
        <x:v>Resource inefficiency (materials/labor/energy)</x:v>
      </x:c>
      <x:c r="G950" t="str">
        <x:v>Material supply / logistics &amp; market disruption, Resource inefficiency (materials/labor/energy), Planning &amp; estimation / coordination complexity</x:v>
      </x:c>
      <x:c r="H950" t="str">
        <x:v>Cost overrun mainly linked to material supply / logistics &amp; market disruption; schedule overrun mainly linked to material supply / logistics &amp; market disruption.</x:v>
      </x:c>
    </x:row>
    <x:row r="951">
      <x:c r="A951" t="str">
        <x:v>PJT_950</x:v>
      </x:c>
      <x:c r="B951" t="str">
        <x:v>Unforeseen site/structural issues &amp; rework</x:v>
      </x:c>
      <x:c r="C951" t="str">
        <x:v>Planning &amp; estimation / coordination complexity</x:v>
      </x:c>
      <x:c r="D951" t="str">
        <x:v>Unforeseen site/structural issues &amp; rework, Planning &amp; estimation / coordination complexity, Weather disruption / environmental constraints</x:v>
      </x:c>
      <x:c r="E951" t="str">
        <x:v>Unforeseen site/structural issues &amp; rework</x:v>
      </x:c>
      <x:c r="F951" t="str">
        <x:v>Planning &amp; estimation / coordination complexity</x:v>
      </x:c>
      <x:c r="G951" t="str">
        <x:v>Unforeseen site/structural issues &amp; rework, Planning &amp; estimation / coordination complexity, Weather disruption / environmental constraints</x:v>
      </x:c>
      <x:c r="H951" t="str">
        <x:v>Cost overrun mainly linked to unforeseen site/structural issues &amp; rework; schedule overrun mainly linked to unforeseen site/structural issues &amp; rework.</x:v>
      </x:c>
    </x:row>
    <x:row r="952">
      <x:c r="A952" t="str">
        <x:v>PJT_951</x:v>
      </x:c>
      <x:c r="B952" t="str">
        <x:v>Unforeseen site/structural issues &amp; rework</x:v>
      </x:c>
      <x:c r="C952" t="str">
        <x:v>Planning &amp; estimation / coordination complexity</x:v>
      </x:c>
      <x:c r="D952" t="str">
        <x:v>Unforeseen site/structural issues &amp; rework, Planning &amp; estimation / coordination complexity, Resource inefficiency (materials/labor/energy)</x:v>
      </x:c>
      <x:c r="E952" t="str">
        <x:v>Unforeseen site/structural issues &amp; rework</x:v>
      </x:c>
      <x:c r="F952" t="str">
        <x:v>Planning &amp; estimation / coordination complexity</x:v>
      </x:c>
      <x:c r="G952" t="str">
        <x:v>Unforeseen site/structural issues &amp; rework, Planning &amp; estimation / coordination complexity, Resource inefficiency (materials/labor/energy)</x:v>
      </x:c>
      <x:c r="H952" t="str">
        <x:v>Cost overrun mainly linked to unforeseen site/structural issues &amp; rework; schedule overrun mainly linked to unforeseen site/structural issues &amp; rework.</x:v>
      </x:c>
    </x:row>
    <x:row r="953">
      <x:c r="A953" t="str">
        <x:v>PJT_952</x:v>
      </x:c>
      <x:c r="B953" t="str">
        <x:v>Equipment constraints / low availability</x:v>
      </x:c>
      <x:c r="C953" t="str">
        <x:v>Weather disruption / environmental constraints</x:v>
      </x:c>
      <x:c r="D953" t="str">
        <x:v>Equipment constraints / low availability, Weather disruption / environmental constraints, Material supply / logistics &amp; market disruption</x:v>
      </x:c>
      <x:c r="E953" t="str">
        <x:v>Equipment constraints / low availability</x:v>
      </x:c>
      <x:c r="F953" t="str">
        <x:v>Weather disruption / environmental constraints</x:v>
      </x:c>
      <x:c r="G953" t="str">
        <x:v>Equipment constraints / low availability, Weather disruption / environmental constraints, Resource inefficiency (materials/labor/energy)</x:v>
      </x:c>
      <x:c r="H953" t="str">
        <x:v>Cost overrun mainly linked to equipment constraints / low availability; schedule overrun mainly linked to equipment constraints / low availability.</x:v>
      </x:c>
    </x:row>
    <x:row r="954">
      <x:c r="A954" t="str">
        <x:v>PJT_953</x:v>
      </x:c>
      <x:c r="B954" t="str">
        <x:v>Planning &amp; estimation / coordination complexity</x:v>
      </x:c>
      <x:c r="C954" t="str">
        <x:v>Equipment constraints / low availability</x:v>
      </x:c>
      <x:c r="D954" t="str">
        <x:v>Planning &amp; estimation / coordination complexity, Equipment constraints / low availability, Unforeseen site/structural issues &amp; rework</x:v>
      </x:c>
      <x:c r="E954" t="str">
        <x:v>Planning &amp; estimation / coordination complexity</x:v>
      </x:c>
      <x:c r="F954" t="str">
        <x:v>Equipment constraints / low availability</x:v>
      </x:c>
      <x:c r="G954" t="str">
        <x:v>Planning &amp; estimation / coordination complexity, Equipment constraints / low availability, Unforeseen site/structural issues &amp; rework</x:v>
      </x:c>
      <x:c r="H954" t="str">
        <x:v>Cost overrun mainly linked to planning &amp; estimation / coordination complexity; schedule overrun mainly linked to planning &amp; estimation / coordination complexity.</x:v>
      </x:c>
    </x:row>
    <x:row r="955">
      <x:c r="A955" t="str">
        <x:v>PJT_954</x:v>
      </x:c>
      <x:c r="B955" t="str">
        <x:v>Resource inefficiency (materials/labor/energy)</x:v>
      </x:c>
      <x:c r="C955" t="str">
        <x:v>Material supply / logistics &amp; market disruption</x:v>
      </x:c>
      <x:c r="D955" t="str">
        <x:v>Resource inefficiency (materials/labor/energy), Material supply / logistics &amp; market disruption, Planning &amp; estimation / coordination complexity</x:v>
      </x:c>
      <x:c r="E955" t="str">
        <x:v>Resource inefficiency (materials/labor/energy)</x:v>
      </x:c>
      <x:c r="F955" t="str">
        <x:v>Planning &amp; estimation / coordination complexity</x:v>
      </x:c>
      <x:c r="G955" t="str">
        <x:v>Resource inefficiency (materials/labor/energy), Planning &amp; estimation / coordination complexity, Material supply / logistics &amp; market disruption</x:v>
      </x:c>
      <x:c r="H955" t="str">
        <x:v>Cost overrun mainly linked to resource inefficiency (materials/labor/energy); schedule overrun mainly linked to resource inefficiency (materials/labor/energy).</x:v>
      </x:c>
    </x:row>
    <x:row r="956">
      <x:c r="A956" t="str">
        <x:v>PJT_955</x:v>
      </x:c>
      <x:c r="B956" t="str">
        <x:v>Equipment constraints / low availability</x:v>
      </x:c>
      <x:c r="C956" t="str">
        <x:v>Resource inefficiency (materials/labor/energy)</x:v>
      </x:c>
      <x:c r="D956" t="str">
        <x:v>Equipment constraints / low availability, Resource inefficiency (materials/labor/energy), Planning &amp; estimation / coordination complexity</x:v>
      </x:c>
      <x:c r="E956" t="str">
        <x:v>Resource inefficiency (materials/labor/energy)</x:v>
      </x:c>
      <x:c r="F956" t="str">
        <x:v>Equipment constraints / low availability</x:v>
      </x:c>
      <x:c r="G956" t="str">
        <x:v>Resource inefficiency (materials/labor/energy), Equipment constraints / low availability, Planning &amp; estimation / coordination complexity</x:v>
      </x:c>
      <x:c r="H956" t="str">
        <x:v>Cost overrun mainly linked to equipment constraints / low availability; schedule overrun mainly linked to resource inefficiency (materials/labor/energy).</x:v>
      </x:c>
    </x:row>
    <x:row r="957">
      <x:c r="A957" t="str">
        <x:v>PJT_956</x:v>
      </x:c>
      <x:c r="B957" t="str">
        <x:v>Resource inefficiency (materials/labor/energy)</x:v>
      </x:c>
      <x:c r="C957" t="str">
        <x:v>Planning &amp; estimation / coordination complexity</x:v>
      </x:c>
      <x:c r="D957" t="str">
        <x:v>Resource inefficiency (materials/labor/energy), Planning &amp; estimation / coordination complexity, Material supply / logistics &amp; market disruption</x:v>
      </x:c>
      <x:c r="E957" t="str">
        <x:v>Planning &amp; estimation / coordination complexity</x:v>
      </x:c>
      <x:c r="F957" t="str">
        <x:v>Resource inefficiency (materials/labor/energy)</x:v>
      </x:c>
      <x:c r="G957" t="str">
        <x:v>Planning &amp; estimation / coordination complexity, Resource inefficiency (materials/labor/energy), Material supply / logistics &amp; market disruption</x:v>
      </x:c>
      <x:c r="H957" t="str">
        <x:v>Cost overrun mainly linked to resource inefficiency (materials/labor/energy); schedule overrun mainly linked to planning &amp; estimation / coordination complexity.</x:v>
      </x:c>
    </x:row>
    <x:row r="958">
      <x:c r="A958" t="str">
        <x:v>PJT_957</x:v>
      </x:c>
      <x:c r="B958" t="str">
        <x:v>Weather disruption / environmental constraints</x:v>
      </x:c>
      <x:c r="C958" t="str">
        <x:v>Material supply / logistics &amp; market disruption</x:v>
      </x:c>
      <x:c r="D958" t="str">
        <x:v>Weather disruption / environmental constraints, Material supply / logistics &amp; market disruption, Resource inefficiency (materials/labor/energy)</x:v>
      </x:c>
      <x:c r="E958" t="str">
        <x:v>Weather disruption / environmental constraints</x:v>
      </x:c>
      <x:c r="F958" t="str">
        <x:v>Material supply / logistics &amp; market disruption</x:v>
      </x:c>
      <x:c r="G958" t="str">
        <x:v>Weather disruption / environmental constraints, Material supply / logistics &amp; market disruption, Resource inefficiency (materials/labor/energy)</x:v>
      </x:c>
      <x:c r="H958" t="str">
        <x:v>Cost overrun mainly linked to weather disruption / environmental constraints; schedule overrun mainly linked to weather disruption / environmental constraints.</x:v>
      </x:c>
    </x:row>
    <x:row r="959">
      <x:c r="A959" t="str">
        <x:v>PJT_958</x:v>
      </x:c>
      <x:c r="B959" t="str">
        <x:v>Weather disruption / environmental constraints</x:v>
      </x:c>
      <x:c r="C959" t="str">
        <x:v>Equipment constraints / low availability</x:v>
      </x:c>
      <x:c r="D959" t="str">
        <x:v>Weather disruption / environmental constraints, Equipment constraints / low availability, Material supply / logistics &amp; market disruption</x:v>
      </x:c>
      <x:c r="E959" t="str">
        <x:v>Weather disruption / environmental constraints</x:v>
      </x:c>
      <x:c r="F959" t="str">
        <x:v>Equipment constraints / low availability</x:v>
      </x:c>
      <x:c r="G959" t="str">
        <x:v>Weather disruption / environmental constraints, Equipment constraints / low availability, Material supply / logistics &amp; market disruption</x:v>
      </x:c>
      <x:c r="H959" t="str">
        <x:v>Cost overrun mainly linked to weather disruption / environmental constraints; schedule overrun mainly linked to weather disruption / environmental constraints.</x:v>
      </x:c>
    </x:row>
    <x:row r="960">
      <x:c r="A960" t="str">
        <x:v>PJT_959</x:v>
      </x:c>
      <x:c r="B960" t="str">
        <x:v>Resource inefficiency (materials/labor/energy)</x:v>
      </x:c>
      <x:c r="C960" t="str">
        <x:v>Material supply / logistics &amp; market disruption</x:v>
      </x:c>
      <x:c r="D960" t="str">
        <x:v>Resource inefficiency (materials/labor/energy), Material supply / logistics &amp; market disruption, Planning &amp; estimation / coordination complexity</x:v>
      </x:c>
      <x:c r="E960" t="str">
        <x:v>Resource inefficiency (materials/labor/energy)</x:v>
      </x:c>
      <x:c r="F960" t="str">
        <x:v>Planning &amp; estimation / coordination complexity</x:v>
      </x:c>
      <x:c r="G960" t="str">
        <x:v>Resource inefficiency (materials/labor/energy), Planning &amp; estimation / coordination complexity, Material supply / logistics &amp; market disruption</x:v>
      </x:c>
      <x:c r="H960" t="str">
        <x:v>Cost overrun mainly linked to resource inefficiency (materials/labor/energy); schedule overrun mainly linked to resource inefficiency (materials/labor/energy).</x:v>
      </x:c>
    </x:row>
    <x:row r="961">
      <x:c r="A961" t="str">
        <x:v>PJT_960</x:v>
      </x:c>
      <x:c r="B961" t="str">
        <x:v>Planning &amp; estimation / coordination complexity</x:v>
      </x:c>
      <x:c r="C961" t="str">
        <x:v>Resource inefficiency (materials/labor/energy)</x:v>
      </x:c>
      <x:c r="D961" t="str">
        <x:v>Planning &amp; estimation / coordination complexity, Resource inefficiency (materials/labor/energy), Equipment constraints / low availability</x:v>
      </x:c>
      <x:c r="E961" t="str">
        <x:v>Planning &amp; estimation / coordination complexity</x:v>
      </x:c>
      <x:c r="F961" t="str">
        <x:v>Resource inefficiency (materials/labor/energy)</x:v>
      </x:c>
      <x:c r="G961" t="str">
        <x:v>Planning &amp; estimation / coordination complexity, Resource inefficiency (materials/labor/energy), Equipment constraints / low availability</x:v>
      </x:c>
      <x:c r="H961" t="str">
        <x:v>Cost overrun mainly linked to planning &amp; estimation / coordination complexity; schedule overrun mainly linked to planning &amp; estimation / coordination complexity.</x:v>
      </x:c>
    </x:row>
    <x:row r="962">
      <x:c r="A962" t="str">
        <x:v>PJT_961</x:v>
      </x:c>
      <x:c r="B962" t="str">
        <x:v>Resource inefficiency (materials/labor/energy)</x:v>
      </x:c>
      <x:c r="C962" t="str">
        <x:v>Material supply / logistics &amp; market disruption</x:v>
      </x:c>
      <x:c r="D962" t="str">
        <x:v>Resource inefficiency (materials/labor/energy), Material supply / logistics &amp; market disruption, Planning &amp; estimation / coordination complexity</x:v>
      </x:c>
      <x:c r="E962" t="str">
        <x:v>Resource inefficiency (materials/labor/energy)</x:v>
      </x:c>
      <x:c r="F962" t="str">
        <x:v>Planning &amp; estimation / coordination complexity</x:v>
      </x:c>
      <x:c r="G962" t="str">
        <x:v>Resource inefficiency (materials/labor/energy), Planning &amp; estimation / coordination complexity, Material supply / logistics &amp; market disruption</x:v>
      </x:c>
      <x:c r="H962" t="str">
        <x:v>Cost overrun mainly linked to resource inefficiency (materials/labor/energy); schedule overrun mainly linked to resource inefficiency (materials/labor/energy).</x:v>
      </x:c>
    </x:row>
    <x:row r="963">
      <x:c r="A963" t="str">
        <x:v>PJT_962</x:v>
      </x:c>
      <x:c r="B963" t="str">
        <x:v>Equipment constraints / low availability</x:v>
      </x:c>
      <x:c r="C963" t="str">
        <x:v>Resource inefficiency (materials/labor/energy)</x:v>
      </x:c>
      <x:c r="D963" t="str">
        <x:v>Equipment constraints / low availability, Resource inefficiency (materials/labor/energy), Planning &amp; estimation / coordination complexity</x:v>
      </x:c>
      <x:c r="E963" t="str">
        <x:v>Equipment constraints / low availability</x:v>
      </x:c>
      <x:c r="F963" t="str">
        <x:v>Resource inefficiency (materials/labor/energy)</x:v>
      </x:c>
      <x:c r="G963" t="str">
        <x:v>Equipment constraints / low availability, Resource inefficiency (materials/labor/energy), Planning &amp; estimation / coordination complexity</x:v>
      </x:c>
      <x:c r="H963" t="str">
        <x:v>Cost overrun mainly linked to equipment constraints / low availability; schedule overrun mainly linked to equipment constraints / low availability.</x:v>
      </x:c>
    </x:row>
    <x:row r="964">
      <x:c r="A964" t="str">
        <x:v>PJT_963</x:v>
      </x:c>
      <x:c r="B964" t="str">
        <x:v>Resource inefficiency (materials/labor/energy)</x:v>
      </x:c>
      <x:c r="C964" t="str">
        <x:v>Planning &amp; estimation / coordination complexity</x:v>
      </x:c>
      <x:c r="D964" t="str">
        <x:v>Resource inefficiency (materials/labor/energy), Planning &amp; estimation / coordination complexity, Material supply / logistics &amp; market disruption</x:v>
      </x:c>
      <x:c r="E964" t="str">
        <x:v>Planning &amp; estimation / coordination complexity</x:v>
      </x:c>
      <x:c r="F964" t="str">
        <x:v>Resource inefficiency (materials/labor/energy)</x:v>
      </x:c>
      <x:c r="G964" t="str">
        <x:v>Planning &amp; estimation / coordination complexity, Resource inefficiency (materials/labor/energy), Equipment constraints / low availability</x:v>
      </x:c>
      <x:c r="H964" t="str">
        <x:v>Cost overrun mainly linked to resource inefficiency (materials/labor/energy); schedule overrun mainly linked to planning &amp; estimation / coordination complexity.</x:v>
      </x:c>
    </x:row>
    <x:row r="965">
      <x:c r="A965" t="str">
        <x:v>PJT_964</x:v>
      </x:c>
      <x:c r="B965" t="str">
        <x:v>Weather disruption / environmental constraints</x:v>
      </x:c>
      <x:c r="C965" t="str">
        <x:v>Material supply / logistics &amp; market disruption</x:v>
      </x:c>
      <x:c r="D965" t="str">
        <x:v>Weather disruption / environmental constraints, Material supply / logistics &amp; market disruption, Planning &amp; estimation / coordination complexity</x:v>
      </x:c>
      <x:c r="E965" t="str">
        <x:v>Weather disruption / environmental constraints</x:v>
      </x:c>
      <x:c r="F965" t="str">
        <x:v>Material supply / logistics &amp; market disruption</x:v>
      </x:c>
      <x:c r="G965" t="str">
        <x:v>Weather disruption / environmental constraints, Material supply / logistics &amp; market disruption, Unforeseen site/structural issues &amp; rework</x:v>
      </x:c>
      <x:c r="H965" t="str">
        <x:v>Cost overrun mainly linked to weather disruption / environmental constraints; schedule overrun mainly linked to weather disruption / environmental constraints.</x:v>
      </x:c>
    </x:row>
    <x:row r="966">
      <x:c r="A966" t="str">
        <x:v>PJT_965</x:v>
      </x:c>
      <x:c r="B966" t="str">
        <x:v>Resource inefficiency (materials/labor/energy)</x:v>
      </x:c>
      <x:c r="C966" t="str">
        <x:v>Equipment constraints / low availability</x:v>
      </x:c>
      <x:c r="D966" t="str">
        <x:v>Resource inefficiency (materials/labor/energy), Equipment constraints / low availability, Material supply / logistics &amp; market disruption</x:v>
      </x:c>
      <x:c r="E966" t="str">
        <x:v>Resource inefficiency (materials/labor/energy)</x:v>
      </x:c>
      <x:c r="F966" t="str">
        <x:v>Equipment constraints / low availability</x:v>
      </x:c>
      <x:c r="G966" t="str">
        <x:v>Resource inefficiency (materials/labor/energy), Equipment constraints / low availability, Material supply / logistics &amp; market disruption</x:v>
      </x:c>
      <x:c r="H966" t="str">
        <x:v>Cost overrun mainly linked to resource inefficiency (materials/labor/energy); schedule overrun mainly linked to resource inefficiency (materials/labor/energy).</x:v>
      </x:c>
    </x:row>
    <x:row r="967">
      <x:c r="A967" t="str">
        <x:v>PJT_966</x:v>
      </x:c>
      <x:c r="B967" t="str">
        <x:v>Resource inefficiency (materials/labor/energy)</x:v>
      </x:c>
      <x:c r="C967" t="str">
        <x:v>Material supply / logistics &amp; market disruption</x:v>
      </x:c>
      <x:c r="D967" t="str">
        <x:v>Resource inefficiency (materials/labor/energy), Material supply / logistics &amp; market disruption, Planning &amp; estimation / coordination complexity</x:v>
      </x:c>
      <x:c r="E967" t="str">
        <x:v>Resource inefficiency (materials/labor/energy)</x:v>
      </x:c>
      <x:c r="F967" t="str">
        <x:v>Planning &amp; estimation / coordination complexity</x:v>
      </x:c>
      <x:c r="G967" t="str">
        <x:v>Resource inefficiency (materials/labor/energy), Planning &amp; estimation / coordination complexity, Material supply / logistics &amp; market disruption</x:v>
      </x:c>
      <x:c r="H967" t="str">
        <x:v>Cost overrun mainly linked to resource inefficiency (materials/labor/energy); schedule overrun mainly linked to resource inefficiency (materials/labor/energy).</x:v>
      </x:c>
    </x:row>
    <x:row r="968">
      <x:c r="A968" t="str">
        <x:v>PJT_967</x:v>
      </x:c>
      <x:c r="B968" t="str">
        <x:v>Unforeseen site/structural issues &amp; rework</x:v>
      </x:c>
      <x:c r="C968" t="str">
        <x:v>Planning &amp; estimation / coordination complexity</x:v>
      </x:c>
      <x:c r="D968" t="str">
        <x:v>Unforeseen site/structural issues &amp; rework, Planning &amp; estimation / coordination complexity, Resource inefficiency (materials/labor/energy)</x:v>
      </x:c>
      <x:c r="E968" t="str">
        <x:v>Unforeseen site/structural issues &amp; rework</x:v>
      </x:c>
      <x:c r="F968" t="str">
        <x:v>Planning &amp; estimation / coordination complexity</x:v>
      </x:c>
      <x:c r="G968" t="str">
        <x:v>Unforeseen site/structural issues &amp; rework, Planning &amp; estimation / coordination complexity, Resource inefficiency (materials/labor/energy)</x:v>
      </x:c>
      <x:c r="H968" t="str">
        <x:v>Cost overrun mainly linked to unforeseen site/structural issues &amp; rework; schedule overrun mainly linked to unforeseen site/structural issues &amp; rework.</x:v>
      </x:c>
    </x:row>
    <x:row r="969">
      <x:c r="A969" t="str">
        <x:v>PJT_968</x:v>
      </x:c>
      <x:c r="B969" t="str">
        <x:v>Weather disruption / environmental constraints</x:v>
      </x:c>
      <x:c r="C969" t="str">
        <x:v>Resource inefficiency (materials/labor/energy)</x:v>
      </x:c>
      <x:c r="D969" t="str">
        <x:v>Weather disruption / environmental constraints, Resource inefficiency (materials/labor/energy), Material supply / logistics &amp; market disruption</x:v>
      </x:c>
      <x:c r="E969" t="str">
        <x:v>Weather disruption / environmental constraints</x:v>
      </x:c>
      <x:c r="F969" t="str">
        <x:v>Resource inefficiency (materials/labor/energy)</x:v>
      </x:c>
      <x:c r="G969" t="str">
        <x:v>Weather disruption / environmental constraints, Resource inefficiency (materials/labor/energy), Material supply / logistics &amp; market disruption</x:v>
      </x:c>
      <x:c r="H969" t="str">
        <x:v>Cost overrun mainly linked to weather disruption / environmental constraints; schedule overrun mainly linked to weather disruption / environmental constraints.</x:v>
      </x:c>
    </x:row>
    <x:row r="970">
      <x:c r="A970" t="str">
        <x:v>PJT_969</x:v>
      </x:c>
      <x:c r="B970" t="str">
        <x:v>Material supply / logistics &amp; market disruption</x:v>
      </x:c>
      <x:c r="C970" t="str">
        <x:v>Resource inefficiency (materials/labor/energy)</x:v>
      </x:c>
      <x:c r="D970" t="str">
        <x:v>Material supply / logistics &amp; market disruption, Resource inefficiency (materials/labor/energy), Planning &amp; estimation / coordination complexity</x:v>
      </x:c>
      <x:c r="E970" t="str">
        <x:v>Material supply / logistics &amp; market disruption</x:v>
      </x:c>
      <x:c r="F970" t="str">
        <x:v>Resource inefficiency (materials/labor/energy)</x:v>
      </x:c>
      <x:c r="G970" t="str">
        <x:v>Material supply / logistics &amp; market disruption, Resource inefficiency (materials/labor/energy), Planning &amp; estimation / coordination complexity</x:v>
      </x:c>
      <x:c r="H970" t="str">
        <x:v>Cost overrun mainly linked to material supply / logistics &amp; market disruption; schedule overrun mainly linked to material supply / logistics &amp; market disruption.</x:v>
      </x:c>
    </x:row>
    <x:row r="971">
      <x:c r="A971" t="str">
        <x:v>PJT_970</x:v>
      </x:c>
      <x:c r="B971" t="str">
        <x:v>Planning &amp; estimation / coordination complexity</x:v>
      </x:c>
      <x:c r="C971" t="str">
        <x:v>Resource inefficiency (materials/labor/energy)</x:v>
      </x:c>
      <x:c r="D971" t="str">
        <x:v>Planning &amp; estimation / coordination complexity, Resource inefficiency (materials/labor/energy), Equipment constraints / low availability</x:v>
      </x:c>
      <x:c r="E971" t="str">
        <x:v>Planning &amp; estimation / coordination complexity</x:v>
      </x:c>
      <x:c r="F971" t="str">
        <x:v>Resource inefficiency (materials/labor/energy)</x:v>
      </x:c>
      <x:c r="G971" t="str">
        <x:v>Planning &amp; estimation / coordination complexity, Resource inefficiency (materials/labor/energy), Equipment constraints / low availability</x:v>
      </x:c>
      <x:c r="H971" t="str">
        <x:v>Cost overrun mainly linked to planning &amp; estimation / coordination complexity; schedule overrun mainly linked to planning &amp; estimation / coordination complexity.</x:v>
      </x:c>
    </x:row>
    <x:row r="972">
      <x:c r="A972" t="str">
        <x:v>PJT_971</x:v>
      </x:c>
      <x:c r="B972" t="str">
        <x:v>Resource inefficiency (materials/labor/energy)</x:v>
      </x:c>
      <x:c r="C972" t="str">
        <x:v>Planning &amp; estimation / coordination complexity</x:v>
      </x:c>
      <x:c r="D972" t="str">
        <x:v>Resource inefficiency (materials/labor/energy), Planning &amp; estimation / coordination complexity, Equipment constraints / low availability</x:v>
      </x:c>
      <x:c r="E972" t="str">
        <x:v>Planning &amp; estimation / coordination complexity</x:v>
      </x:c>
      <x:c r="F972" t="str">
        <x:v>Resource inefficiency (materials/labor/energy)</x:v>
      </x:c>
      <x:c r="G972" t="str">
        <x:v>Planning &amp; estimation / coordination complexity, Resource inefficiency (materials/labor/energy), Equipment constraints / low availability</x:v>
      </x:c>
      <x:c r="H972" t="str">
        <x:v>Cost overrun mainly linked to resource inefficiency (materials/labor/energy); schedule overrun mainly linked to planning &amp; estimation / coordination complexity.</x:v>
      </x:c>
    </x:row>
    <x:row r="973">
      <x:c r="A973" t="str">
        <x:v>PJT_972</x:v>
      </x:c>
      <x:c r="B973" t="str">
        <x:v>Unforeseen site/structural issues &amp; rework</x:v>
      </x:c>
      <x:c r="C973" t="str">
        <x:v>Resource inefficiency (materials/labor/energy)</x:v>
      </x:c>
      <x:c r="D973" t="str">
        <x:v>Unforeseen site/structural issues &amp; rework, Resource inefficiency (materials/labor/energy), Material supply / logistics &amp; market disruption</x:v>
      </x:c>
      <x:c r="E973" t="str">
        <x:v>Unforeseen site/structural issues &amp; rework</x:v>
      </x:c>
      <x:c r="F973" t="str">
        <x:v>Planning &amp; estimation / coordination complexity</x:v>
      </x:c>
      <x:c r="G973" t="str">
        <x:v>Unforeseen site/structural issues &amp; rework, Planning &amp; estimation / coordination complexity, Resource inefficiency (materials/labor/energy)</x:v>
      </x:c>
      <x:c r="H973" t="str">
        <x:v>Cost overrun mainly linked to unforeseen site/structural issues &amp; rework; schedule overrun mainly linked to unforeseen site/structural issues &amp; rework.</x:v>
      </x:c>
    </x:row>
    <x:row r="974">
      <x:c r="A974" t="str">
        <x:v>PJT_973</x:v>
      </x:c>
      <x:c r="B974" t="str">
        <x:v>Weather disruption / environmental constraints</x:v>
      </x:c>
      <x:c r="C974" t="str">
        <x:v>Material supply / logistics &amp; market disruption</x:v>
      </x:c>
      <x:c r="D974" t="str">
        <x:v>Weather disruption / environmental constraints, Material supply / logistics &amp; market disruption, Resource inefficiency (materials/labor/energy)</x:v>
      </x:c>
      <x:c r="E974" t="str">
        <x:v>Material supply / logistics &amp; market disruption</x:v>
      </x:c>
      <x:c r="F974" t="str">
        <x:v>Weather disruption / environmental constraints</x:v>
      </x:c>
      <x:c r="G974" t="str">
        <x:v>Material supply / logistics &amp; market disruption, Weather disruption / environmental constraints, Resource inefficiency (materials/labor/energy)</x:v>
      </x:c>
      <x:c r="H974" t="str">
        <x:v>Cost overrun mainly linked to weather disruption / environmental constraints; schedule overrun mainly linked to material supply / logistics &amp; market disruption.</x:v>
      </x:c>
    </x:row>
    <x:row r="975">
      <x:c r="A975" t="str">
        <x:v>PJT_974</x:v>
      </x:c>
      <x:c r="B975" t="str">
        <x:v>Resource inefficiency (materials/labor/energy)</x:v>
      </x:c>
      <x:c r="C975" t="str">
        <x:v>Equipment constraints / low availability</x:v>
      </x:c>
      <x:c r="D975" t="str">
        <x:v>Resource inefficiency (materials/labor/energy), Equipment constraints / low availability, Planning &amp; estimation / coordination complexity</x:v>
      </x:c>
      <x:c r="E975" t="str">
        <x:v>Resource inefficiency (materials/labor/energy)</x:v>
      </x:c>
      <x:c r="F975" t="str">
        <x:v>Equipment constraints / low availability</x:v>
      </x:c>
      <x:c r="G975" t="str">
        <x:v>Resource inefficiency (materials/labor/energy), Equipment constraints / low availability, Planning &amp; estimation / coordination complexity</x:v>
      </x:c>
      <x:c r="H975" t="str">
        <x:v>Cost overrun mainly linked to resource inefficiency (materials/labor/energy); schedule overrun mainly linked to resource inefficiency (materials/labor/energy).</x:v>
      </x:c>
    </x:row>
    <x:row r="976">
      <x:c r="A976" t="str">
        <x:v>PJT_975</x:v>
      </x:c>
      <x:c r="B976" t="str">
        <x:v>Weather disruption / environmental constraints</x:v>
      </x:c>
      <x:c r="C976" t="str">
        <x:v>Unforeseen site/structural issues &amp; rework</x:v>
      </x:c>
      <x:c r="D976" t="str">
        <x:v>Weather disruption / environmental constraints, Unforeseen site/structural issues &amp; rework, Material supply / logistics &amp; market disruption</x:v>
      </x:c>
      <x:c r="E976" t="str">
        <x:v>Weather disruption / environmental constraints</x:v>
      </x:c>
      <x:c r="F976" t="str">
        <x:v>Material supply / logistics &amp; market disruption</x:v>
      </x:c>
      <x:c r="G976" t="str">
        <x:v>Weather disruption / environmental constraints, Material supply / logistics &amp; market disruption, Unforeseen site/structural issues &amp; rework</x:v>
      </x:c>
      <x:c r="H976" t="str">
        <x:v>Cost overrun mainly linked to weather disruption / environmental constraints; schedule overrun mainly linked to weather disruption / environmental constraints.</x:v>
      </x:c>
    </x:row>
    <x:row r="977">
      <x:c r="A977" t="str">
        <x:v>PJT_976</x:v>
      </x:c>
      <x:c r="B977" t="str">
        <x:v>Equipment constraints / low availability</x:v>
      </x:c>
      <x:c r="C977" t="str">
        <x:v>Planning &amp; estimation / coordination complexity</x:v>
      </x:c>
      <x:c r="D977" t="str">
        <x:v>Equipment constraints / low availability, Planning &amp; estimation / coordination complexity, Unforeseen site/structural issues &amp; rework</x:v>
      </x:c>
      <x:c r="E977" t="str">
        <x:v>Equipment constraints / low availability</x:v>
      </x:c>
      <x:c r="F977" t="str">
        <x:v>Planning &amp; estimation / coordination complexity</x:v>
      </x:c>
      <x:c r="G977" t="str">
        <x:v>Equipment constraints / low availability, Planning &amp; estimation / coordination complexity, Unforeseen site/structural issues &amp; rework</x:v>
      </x:c>
      <x:c r="H977" t="str">
        <x:v>Cost overrun mainly linked to equipment constraints / low availability; schedule overrun mainly linked to equipment constraints / low availability.</x:v>
      </x:c>
    </x:row>
    <x:row r="978">
      <x:c r="A978" t="str">
        <x:v>PJT_977</x:v>
      </x:c>
      <x:c r="B978" t="str">
        <x:v>Planning &amp; estimation / coordination complexity</x:v>
      </x:c>
      <x:c r="C978" t="str">
        <x:v>Weather disruption / environmental constraints</x:v>
      </x:c>
      <x:c r="D978" t="str">
        <x:v>Planning &amp; estimation / coordination complexity, Weather disruption / environmental constraints, Material supply / logistics &amp; market disruption</x:v>
      </x:c>
      <x:c r="E978" t="str">
        <x:v>Planning &amp; estimation / coordination complexity</x:v>
      </x:c>
      <x:c r="F978" t="str">
        <x:v>Weather disruption / environmental constraints</x:v>
      </x:c>
      <x:c r="G978" t="str">
        <x:v>Planning &amp; estimation / coordination complexity, Weather disruption / environmental constraints, Material supply / logistics &amp; market disruption</x:v>
      </x:c>
      <x:c r="H978" t="str">
        <x:v>Cost overrun mainly linked to planning &amp; estimation / coordination complexity; schedule overrun mainly linked to planning &amp; estimation / coordination complexity.</x:v>
      </x:c>
    </x:row>
    <x:row r="979">
      <x:c r="A979" t="str">
        <x:v>PJT_978</x:v>
      </x:c>
      <x:c r="B979" t="str">
        <x:v>Resource inefficiency (materials/labor/energy)</x:v>
      </x:c>
      <x:c r="C979" t="str">
        <x:v>Material supply / logistics &amp; market disruption</x:v>
      </x:c>
      <x:c r="D979" t="str">
        <x:v>Resource inefficiency (materials/labor/energy), Material supply / logistics &amp; market disruption, Planning &amp; estimation / coordination complexity</x:v>
      </x:c>
      <x:c r="E979" t="str">
        <x:v>Resource inefficiency (materials/labor/energy)</x:v>
      </x:c>
      <x:c r="F979" t="str">
        <x:v>Material supply / logistics &amp; market disruption</x:v>
      </x:c>
      <x:c r="G979" t="str">
        <x:v>Resource inefficiency (materials/labor/energy), Material supply / logistics &amp; market disruption, Planning &amp; estimation / coordination complexity</x:v>
      </x:c>
      <x:c r="H979" t="str">
        <x:v>Cost overrun mainly linked to resource inefficiency (materials/labor/energy); schedule overrun mainly linked to resource inefficiency (materials/labor/energy).</x:v>
      </x:c>
    </x:row>
    <x:row r="980">
      <x:c r="A980" t="str">
        <x:v>PJT_979</x:v>
      </x:c>
      <x:c r="B980" t="str">
        <x:v>Planning &amp; estimation / coordination complexity</x:v>
      </x:c>
      <x:c r="C980" t="str">
        <x:v>Weather disruption / environmental constraints</x:v>
      </x:c>
      <x:c r="D980" t="str">
        <x:v>Planning &amp; estimation / coordination complexity, Weather disruption / environmental constraints, Material supply / logistics &amp; market disruption</x:v>
      </x:c>
      <x:c r="E980" t="str">
        <x:v>Planning &amp; estimation / coordination complexity</x:v>
      </x:c>
      <x:c r="F980" t="str">
        <x:v>Material supply / logistics &amp; market disruption</x:v>
      </x:c>
      <x:c r="G980" t="str">
        <x:v>Planning &amp; estimation / coordination complexity, Material supply / logistics &amp; market disruption, Weather disruption / environmental constraints</x:v>
      </x:c>
      <x:c r="H980" t="str">
        <x:v>Cost overrun mainly linked to planning &amp; estimation / coordination complexity; schedule overrun mainly linked to planning &amp; estimation / coordination complexity.</x:v>
      </x:c>
    </x:row>
    <x:row r="981">
      <x:c r="A981" t="str">
        <x:v>PJT_980</x:v>
      </x:c>
      <x:c r="B981" t="str">
        <x:v>Equipment constraints / low availability</x:v>
      </x:c>
      <x:c r="C981" t="str">
        <x:v>Weather disruption / environmental constraints</x:v>
      </x:c>
      <x:c r="D981" t="str">
        <x:v>Equipment constraints / low availability, Weather disruption / environmental constraints, Material supply / logistics &amp; market disruption</x:v>
      </x:c>
      <x:c r="E981" t="str">
        <x:v>Equipment constraints / low availability</x:v>
      </x:c>
      <x:c r="F981" t="str">
        <x:v>Weather disruption / environmental constraints</x:v>
      </x:c>
      <x:c r="G981" t="str">
        <x:v>Equipment constraints / low availability, Weather disruption / environmental constraints, Material supply / logistics &amp; market disruption</x:v>
      </x:c>
      <x:c r="H981" t="str">
        <x:v>Cost overrun mainly linked to equipment constraints / low availability; schedule overrun mainly linked to equipment constraints / low availability.</x:v>
      </x:c>
    </x:row>
    <x:row r="982">
      <x:c r="A982" t="str">
        <x:v>PJT_981</x:v>
      </x:c>
      <x:c r="B982" t="str">
        <x:v>Equipment constraints / low availability</x:v>
      </x:c>
      <x:c r="C982" t="str">
        <x:v>Weather disruption / environmental constraints</x:v>
      </x:c>
      <x:c r="D982" t="str">
        <x:v>Equipment constraints / low availability, Weather disruption / environmental constraints, Resource inefficiency (materials/labor/energy)</x:v>
      </x:c>
      <x:c r="E982" t="str">
        <x:v>Equipment constraints / low availability</x:v>
      </x:c>
      <x:c r="F982" t="str">
        <x:v>Weather disruption / environmental constraints</x:v>
      </x:c>
      <x:c r="G982" t="str">
        <x:v>Equipment constraints / low availability, Weather disruption / environmental constraints, Resource inefficiency (materials/labor/energy)</x:v>
      </x:c>
      <x:c r="H982" t="str">
        <x:v>Cost overrun mainly linked to equipment constraints / low availability; schedule overrun mainly linked to equipment constraints / low availability.</x:v>
      </x:c>
    </x:row>
    <x:row r="983">
      <x:c r="A983" t="str">
        <x:v>PJT_982</x:v>
      </x:c>
      <x:c r="B983" t="str">
        <x:v>Resource inefficiency (materials/labor/energy)</x:v>
      </x:c>
      <x:c r="C983" t="str">
        <x:v>Equipment constraints / low availability</x:v>
      </x:c>
      <x:c r="D983" t="str">
        <x:v>Resource inefficiency (materials/labor/energy), Equipment constraints / low availability, Planning &amp; estimation / coordination complexity</x:v>
      </x:c>
      <x:c r="E983" t="str">
        <x:v>Resource inefficiency (materials/labor/energy)</x:v>
      </x:c>
      <x:c r="F983" t="str">
        <x:v>Equipment constraints / low availability</x:v>
      </x:c>
      <x:c r="G983" t="str">
        <x:v>Resource inefficiency (materials/labor/energy), Equipment constraints / low availability, Planning &amp; estimation / coordination complexity</x:v>
      </x:c>
      <x:c r="H983" t="str">
        <x:v>Cost overrun mainly linked to resource inefficiency (materials/labor/energy); schedule overrun mainly linked to resource inefficiency (materials/labor/energy).</x:v>
      </x:c>
    </x:row>
    <x:row r="984">
      <x:c r="A984" t="str">
        <x:v>PJT_983</x:v>
      </x:c>
      <x:c r="B984" t="str">
        <x:v>Weather disruption / environmental constraints</x:v>
      </x:c>
      <x:c r="C984" t="str">
        <x:v>Material supply / logistics &amp; market disruption</x:v>
      </x:c>
      <x:c r="D984" t="str">
        <x:v>Weather disruption / environmental constraints, Material supply / logistics &amp; market disruption, Planning &amp; estimation / coordination complexity</x:v>
      </x:c>
      <x:c r="E984" t="str">
        <x:v>Weather disruption / environmental constraints</x:v>
      </x:c>
      <x:c r="F984" t="str">
        <x:v>Material supply / logistics &amp; market disruption</x:v>
      </x:c>
      <x:c r="G984" t="str">
        <x:v>Weather disruption / environmental constraints, Material supply / logistics &amp; market disruption, Planning &amp; estimation / coordination complexity</x:v>
      </x:c>
      <x:c r="H984" t="str">
        <x:v>Cost overrun mainly linked to weather disruption / environmental constraints; schedule overrun mainly linked to weather disruption / environmental constraints.</x:v>
      </x:c>
    </x:row>
    <x:row r="985">
      <x:c r="A985" t="str">
        <x:v>PJT_984</x:v>
      </x:c>
      <x:c r="B985" t="str">
        <x:v>Resource inefficiency (materials/labor/energy)</x:v>
      </x:c>
      <x:c r="C985" t="str">
        <x:v>Planning &amp; estimation / coordination complexity</x:v>
      </x:c>
      <x:c r="D985" t="str">
        <x:v>Resource inefficiency (materials/labor/energy), Planning &amp; estimation / coordination complexity, Equipment constraints / low availability</x:v>
      </x:c>
      <x:c r="E985" t="str">
        <x:v>Resource inefficiency (materials/labor/energy)</x:v>
      </x:c>
      <x:c r="F985" t="str">
        <x:v>Planning &amp; estimation / coordination complexity</x:v>
      </x:c>
      <x:c r="G985" t="str">
        <x:v>Resource inefficiency (materials/labor/energy), Planning &amp; estimation / coordination complexity, Equipment constraints / low availability</x:v>
      </x:c>
      <x:c r="H985" t="str">
        <x:v>Cost overrun mainly linked to resource inefficiency (materials/labor/energy); schedule overrun mainly linked to resource inefficiency (materials/labor/energy).</x:v>
      </x:c>
    </x:row>
    <x:row r="986">
      <x:c r="A986" t="str">
        <x:v>PJT_985</x:v>
      </x:c>
      <x:c r="B986" t="str">
        <x:v>Resource inefficiency (materials/labor/energy)</x:v>
      </x:c>
      <x:c r="C986" t="str">
        <x:v>Planning &amp; estimation / coordination complexity</x:v>
      </x:c>
      <x:c r="D986" t="str">
        <x:v>Resource inefficiency (materials/labor/energy), Planning &amp; estimation / coordination complexity, Equipment constraints / low availability</x:v>
      </x:c>
      <x:c r="E986" t="str">
        <x:v>Resource inefficiency (materials/labor/energy)</x:v>
      </x:c>
      <x:c r="F986" t="str">
        <x:v>Planning &amp; estimation / coordination complexity</x:v>
      </x:c>
      <x:c r="G986" t="str">
        <x:v>Resource inefficiency (materials/labor/energy), Planning &amp; estimation / coordination complexity, Equipment constraints / low availability</x:v>
      </x:c>
      <x:c r="H986" t="str">
        <x:v>Cost overrun mainly linked to resource inefficiency (materials/labor/energy); schedule overrun mainly linked to resource inefficiency (materials/labor/energy).</x:v>
      </x:c>
    </x:row>
    <x:row r="987">
      <x:c r="A987" t="str">
        <x:v>PJT_986</x:v>
      </x:c>
      <x:c r="B987" t="str">
        <x:v>Unforeseen site/structural issues &amp; rework</x:v>
      </x:c>
      <x:c r="C987" t="str">
        <x:v>Weather disruption / environmental constraints</x:v>
      </x:c>
      <x:c r="D987" t="str">
        <x:v>Unforeseen site/structural issues &amp; rework, Weather disruption / environmental constraints, Planning &amp; estimation / coordination complexity</x:v>
      </x:c>
      <x:c r="E987" t="str">
        <x:v>Unforeseen site/structural issues &amp; rework</x:v>
      </x:c>
      <x:c r="F987" t="str">
        <x:v>Weather disruption / environmental constraints</x:v>
      </x:c>
      <x:c r="G987" t="str">
        <x:v>Unforeseen site/structural issues &amp; rework, Weather disruption / environmental constraints, Planning &amp; estimation / coordination complexity</x:v>
      </x:c>
      <x:c r="H987" t="str">
        <x:v>Cost overrun mainly linked to unforeseen site/structural issues &amp; rework; schedule overrun mainly linked to unforeseen site/structural issues &amp; rework.</x:v>
      </x:c>
    </x:row>
    <x:row r="988">
      <x:c r="A988" t="str">
        <x:v>PJT_987</x:v>
      </x:c>
      <x:c r="B988" t="str">
        <x:v>Weather disruption / environmental constraints</x:v>
      </x:c>
      <x:c r="C988" t="str">
        <x:v>Material supply / logistics &amp; market disruption</x:v>
      </x:c>
      <x:c r="D988" t="str">
        <x:v>Weather disruption / environmental constraints, Material supply / logistics &amp; market disruption, Unforeseen site/structural issues &amp; rework</x:v>
      </x:c>
      <x:c r="E988" t="str">
        <x:v>Weather disruption / environmental constraints</x:v>
      </x:c>
      <x:c r="F988" t="str">
        <x:v>Material supply / logistics &amp; market disruption</x:v>
      </x:c>
      <x:c r="G988" t="str">
        <x:v>Weather disruption / environmental constraints, Material supply / logistics &amp; market disruption, Unforeseen site/structural issues &amp; rework</x:v>
      </x:c>
      <x:c r="H988" t="str">
        <x:v>Cost overrun mainly linked to weather disruption / environmental constraints; schedule overrun mainly linked to weather disruption / environmental constraints.</x:v>
      </x:c>
    </x:row>
    <x:row r="989">
      <x:c r="A989" t="str">
        <x:v>PJT_988</x:v>
      </x:c>
      <x:c r="B989" t="str">
        <x:v>Weather disruption / environmental constraints</x:v>
      </x:c>
      <x:c r="C989" t="str">
        <x:v>Unforeseen site/structural issues &amp; rework</x:v>
      </x:c>
      <x:c r="D989" t="str">
        <x:v>Weather disruption / environmental constraints, Unforeseen site/structural issues &amp; rework, Planning &amp; estimation / coordination complexity</x:v>
      </x:c>
      <x:c r="E989" t="str">
        <x:v>Weather disruption / environmental constraints</x:v>
      </x:c>
      <x:c r="F989" t="str">
        <x:v>Unforeseen site/structural issues &amp; rework</x:v>
      </x:c>
      <x:c r="G989" t="str">
        <x:v>Weather disruption / environmental constraints, Unforeseen site/structural issues &amp; rework, Material supply / logistics &amp; market disruption</x:v>
      </x:c>
      <x:c r="H989" t="str">
        <x:v>Cost overrun mainly linked to weather disruption / environmental constraints; schedule overrun mainly linked to weather disruption / environmental constraints.</x:v>
      </x:c>
    </x:row>
    <x:row r="990">
      <x:c r="A990" t="str">
        <x:v>PJT_989</x:v>
      </x:c>
      <x:c r="B990" t="str">
        <x:v>Unforeseen site/structural issues &amp; rework</x:v>
      </x:c>
      <x:c r="C990" t="str">
        <x:v>Planning &amp; estimation / coordination complexity</x:v>
      </x:c>
      <x:c r="D990" t="str">
        <x:v>Unforeseen site/structural issues &amp; rework, Planning &amp; estimation / coordination complexity, Equipment constraints / low availability</x:v>
      </x:c>
      <x:c r="E990" t="str">
        <x:v>Unforeseen site/structural issues &amp; rework</x:v>
      </x:c>
      <x:c r="F990" t="str">
        <x:v>Planning &amp; estimation / coordination complexity</x:v>
      </x:c>
      <x:c r="G990" t="str">
        <x:v>Unforeseen site/structural issues &amp; rework, Planning &amp; estimation / coordination complexity, Equipment constraints / low availability</x:v>
      </x:c>
      <x:c r="H990" t="str">
        <x:v>Cost overrun mainly linked to unforeseen site/structural issues &amp; rework; schedule overrun mainly linked to unforeseen site/structural issues &amp; rework.</x:v>
      </x:c>
    </x:row>
    <x:row r="991">
      <x:c r="A991" t="str">
        <x:v>PJT_990</x:v>
      </x:c>
      <x:c r="B991" t="str">
        <x:v>Weather disruption / environmental constraints</x:v>
      </x:c>
      <x:c r="C991" t="str">
        <x:v>Unforeseen site/structural issues &amp; rework</x:v>
      </x:c>
      <x:c r="D991" t="str">
        <x:v>Weather disruption / environmental constraints, Unforeseen site/structural issues &amp; rework, Equipment constraints / low availability</x:v>
      </x:c>
      <x:c r="E991" t="str">
        <x:v>Weather disruption / environmental constraints</x:v>
      </x:c>
      <x:c r="F991" t="str">
        <x:v>Equipment constraints / low availability</x:v>
      </x:c>
      <x:c r="G991" t="str">
        <x:v>Weather disruption / environmental constraints, Equipment constraints / low availability, Unforeseen site/structural issues &amp; rework</x:v>
      </x:c>
      <x:c r="H991" t="str">
        <x:v>Cost overrun mainly linked to weather disruption / environmental constraints; schedule overrun mainly linked to weather disruption / environmental constraints.</x:v>
      </x:c>
    </x:row>
    <x:row r="992">
      <x:c r="A992" t="str">
        <x:v>PJT_991</x:v>
      </x:c>
      <x:c r="B992" t="str">
        <x:v>Weather disruption / environmental constraints</x:v>
      </x:c>
      <x:c r="C992" t="str">
        <x:v>Unforeseen site/structural issues &amp; rework</x:v>
      </x:c>
      <x:c r="D992" t="str">
        <x:v>Weather disruption / environmental constraints, Unforeseen site/structural issues &amp; rework, Equipment constraints / low availability</x:v>
      </x:c>
      <x:c r="E992" t="str">
        <x:v>Weather disruption / environmental constraints</x:v>
      </x:c>
      <x:c r="F992" t="str">
        <x:v>Equipment constraints / low availability</x:v>
      </x:c>
      <x:c r="G992" t="str">
        <x:v>Weather disruption / environmental constraints, Equipment constraints / low availability, Resource inefficiency (materials/labor/energy)</x:v>
      </x:c>
      <x:c r="H992" t="str">
        <x:v>Cost overrun mainly linked to weather disruption / environmental constraints; schedule overrun mainly linked to weather disruption / environmental constraints.</x:v>
      </x:c>
    </x:row>
    <x:row r="993">
      <x:c r="A993" t="str">
        <x:v>PJT_992</x:v>
      </x:c>
      <x:c r="B993" t="str">
        <x:v>Unforeseen site/structural issues &amp; rework</x:v>
      </x:c>
      <x:c r="C993" t="str">
        <x:v>Equipment constraints / low availability</x:v>
      </x:c>
      <x:c r="D993" t="str">
        <x:v>Unforeseen site/structural issues &amp; rework, Equipment constraints / low availability, Resource inefficiency (materials/labor/energy)</x:v>
      </x:c>
      <x:c r="E993" t="str">
        <x:v>Equipment constraints / low availability</x:v>
      </x:c>
      <x:c r="F993" t="str">
        <x:v>Unforeseen site/structural issues &amp; rework</x:v>
      </x:c>
      <x:c r="G993" t="str">
        <x:v>Equipment constraints / low availability, Unforeseen site/structural issues &amp; rework, Resource inefficiency (materials/labor/energy)</x:v>
      </x:c>
      <x:c r="H993" t="str">
        <x:v>Cost overrun mainly linked to unforeseen site/structural issues &amp; rework; schedule overrun mainly linked to equipment constraints / low availability.</x:v>
      </x:c>
    </x:row>
    <x:row r="994">
      <x:c r="A994" t="str">
        <x:v>PJT_993</x:v>
      </x:c>
      <x:c r="B994" t="str">
        <x:v>Unforeseen site/structural issues &amp; rework</x:v>
      </x:c>
      <x:c r="C994" t="str">
        <x:v>Planning &amp; estimation / coordination complexity</x:v>
      </x:c>
      <x:c r="D994" t="str">
        <x:v>Unforeseen site/structural issues &amp; rework, Planning &amp; estimation / coordination complexity, Resource inefficiency (materials/labor/energy)</x:v>
      </x:c>
      <x:c r="E994" t="str">
        <x:v>Unforeseen site/structural issues &amp; rework</x:v>
      </x:c>
      <x:c r="F994" t="str">
        <x:v>Planning &amp; estimation / coordination complexity</x:v>
      </x:c>
      <x:c r="G994" t="str">
        <x:v>Unforeseen site/structural issues &amp; rework, Planning &amp; estimation / coordination complexity, Resource inefficiency (materials/labor/energy)</x:v>
      </x:c>
      <x:c r="H994" t="str">
        <x:v>Cost overrun mainly linked to unforeseen site/structural issues &amp; rework; schedule overrun mainly linked to unforeseen site/structural issues &amp; rework.</x:v>
      </x:c>
    </x:row>
    <x:row r="995">
      <x:c r="A995" t="str">
        <x:v>PJT_994</x:v>
      </x:c>
      <x:c r="B995" t="str">
        <x:v>Resource inefficiency (materials/labor/energy)</x:v>
      </x:c>
      <x:c r="C995" t="str">
        <x:v>Material supply / logistics &amp; market disruption</x:v>
      </x:c>
      <x:c r="D995" t="str">
        <x:v>Resource inefficiency (materials/labor/energy), Material supply / logistics &amp; market disruption, Planning &amp; estimation / coordination complexity</x:v>
      </x:c>
      <x:c r="E995" t="str">
        <x:v>Resource inefficiency (materials/labor/energy)</x:v>
      </x:c>
      <x:c r="F995" t="str">
        <x:v>Planning &amp; estimation / coordination complexity</x:v>
      </x:c>
      <x:c r="G995" t="str">
        <x:v>Resource inefficiency (materials/labor/energy), Planning &amp; estimation / coordination complexity, Material supply / logistics &amp; market disruption</x:v>
      </x:c>
      <x:c r="H995" t="str">
        <x:v>Cost overrun mainly linked to resource inefficiency (materials/labor/energy); schedule overrun mainly linked to resource inefficiency (materials/labor/energy).</x:v>
      </x:c>
    </x:row>
    <x:row r="996">
      <x:c r="A996" t="str">
        <x:v>PJT_995</x:v>
      </x:c>
      <x:c r="B996" t="str">
        <x:v>Unforeseen site/structural issues &amp; rework</x:v>
      </x:c>
      <x:c r="C996" t="str">
        <x:v>Weather disruption / environmental constraints</x:v>
      </x:c>
      <x:c r="D996" t="str">
        <x:v>Unforeseen site/structural issues &amp; rework, Weather disruption / environmental constraints, Equipment constraints / low availability</x:v>
      </x:c>
      <x:c r="E996" t="str">
        <x:v>Unforeseen site/structural issues &amp; rework</x:v>
      </x:c>
      <x:c r="F996" t="str">
        <x:v>Weather disruption / environmental constraints</x:v>
      </x:c>
      <x:c r="G996" t="str">
        <x:v>Unforeseen site/structural issues &amp; rework, Weather disruption / environmental constraints, Equipment constraints / low availability</x:v>
      </x:c>
      <x:c r="H996" t="str">
        <x:v>Cost overrun mainly linked to unforeseen site/structural issues &amp; rework; schedule overrun mainly linked to unforeseen site/structural issues &amp; rework.</x:v>
      </x:c>
    </x:row>
    <x:row r="997">
      <x:c r="A997" t="str">
        <x:v>PJT_996</x:v>
      </x:c>
      <x:c r="B997" t="str">
        <x:v>Weather disruption / environmental constraints</x:v>
      </x:c>
      <x:c r="C997" t="str">
        <x:v>Material supply / logistics &amp; market disruption</x:v>
      </x:c>
      <x:c r="D997" t="str">
        <x:v>Weather disruption / environmental constraints, Material supply / logistics &amp; market disruption, Equipment constraints / low availability</x:v>
      </x:c>
      <x:c r="E997" t="str">
        <x:v>Weather disruption / environmental constraints</x:v>
      </x:c>
      <x:c r="F997" t="str">
        <x:v>Material supply / logistics &amp; market disruption</x:v>
      </x:c>
      <x:c r="G997" t="str">
        <x:v>Weather disruption / environmental constraints, Material supply / logistics &amp; market disruption, Equipment constraints / low availability</x:v>
      </x:c>
      <x:c r="H997" t="str">
        <x:v>Cost overrun mainly linked to weather disruption / environmental constraints; schedule overrun mainly linked to weather disruption / environmental constraints.</x:v>
      </x:c>
    </x:row>
    <x:row r="998">
      <x:c r="A998" t="str">
        <x:v>PJT_997</x:v>
      </x:c>
      <x:c r="B998" t="str">
        <x:v>Material supply / logistics &amp; market disruption</x:v>
      </x:c>
      <x:c r="C998" t="str">
        <x:v>Resource inefficiency (materials/labor/energy)</x:v>
      </x:c>
      <x:c r="D998" t="str">
        <x:v>Material supply / logistics &amp; market disruption, Resource inefficiency (materials/labor/energy), Weather disruption / environmental constraints</x:v>
      </x:c>
      <x:c r="E998" t="str">
        <x:v>Material supply / logistics &amp; market disruption</x:v>
      </x:c>
      <x:c r="F998" t="str">
        <x:v>Resource inefficiency (materials/labor/energy)</x:v>
      </x:c>
      <x:c r="G998" t="str">
        <x:v>Material supply / logistics &amp; market disruption, Resource inefficiency (materials/labor/energy), Weather disruption / environmental constraints</x:v>
      </x:c>
      <x:c r="H998" t="str">
        <x:v>Cost overrun mainly linked to material supply / logistics &amp; market disruption; schedule overrun mainly linked to material supply / logistics &amp; market disruption.</x:v>
      </x:c>
    </x:row>
    <x:row r="999">
      <x:c r="A999" t="str">
        <x:v>PJT_998</x:v>
      </x:c>
      <x:c r="B999" t="str">
        <x:v>Planning &amp; estimation / coordination complexity</x:v>
      </x:c>
      <x:c r="C999" t="str">
        <x:v>Unforeseen site/structural issues &amp; rework</x:v>
      </x:c>
      <x:c r="D999" t="str">
        <x:v>Planning &amp; estimation / coordination complexity, Unforeseen site/structural issues &amp; rework, Resource inefficiency (materials/labor/energy)</x:v>
      </x:c>
      <x:c r="E999" t="str">
        <x:v>Planning &amp; estimation / coordination complexity</x:v>
      </x:c>
      <x:c r="F999" t="str">
        <x:v>Unforeseen site/structural issues &amp; rework</x:v>
      </x:c>
      <x:c r="G999" t="str">
        <x:v>Planning &amp; estimation / coordination complexity, Unforeseen site/structural issues &amp; rework, Material supply / logistics &amp; market disruption</x:v>
      </x:c>
      <x:c r="H999" t="str">
        <x:v>Cost overrun mainly linked to planning &amp; estimation / coordination complexity; schedule overrun mainly linked to planning &amp; estimation / coordination complexity.</x:v>
      </x:c>
    </x:row>
    <x:row r="1000">
      <x:c r="A1000" t="str">
        <x:v>PJT_999</x:v>
      </x:c>
      <x:c r="B1000" t="str">
        <x:v>Planning &amp; estimation / coordination complexity</x:v>
      </x:c>
      <x:c r="C1000" t="str">
        <x:v>Resource inefficiency (materials/labor/energy)</x:v>
      </x:c>
      <x:c r="D1000" t="str">
        <x:v>Planning &amp; estimation / coordination complexity, Resource inefficiency (materials/labor/energy), Unforeseen site/structural issues &amp; rework</x:v>
      </x:c>
      <x:c r="E1000" t="str">
        <x:v>Planning &amp; estimation / coordination complexity</x:v>
      </x:c>
      <x:c r="F1000" t="str">
        <x:v>Unforeseen site/structural issues &amp; rework</x:v>
      </x:c>
      <x:c r="G1000" t="str">
        <x:v>Planning &amp; estimation / coordination complexity, Unforeseen site/structural issues &amp; rework, Resource inefficiency (materials/labor/energy)</x:v>
      </x:c>
      <x:c r="H1000" t="str">
        <x:v>Cost overrun mainly linked to planning &amp; estimation / coordination complexity; schedule overrun mainly linked to planning &amp; estimation / coordination complexity.</x:v>
      </x:c>
    </x:row>
    <x:row r="1001">
      <x:c r="A1001" t="str">
        <x:v>PJT_1000</x:v>
      </x:c>
      <x:c r="B1001" t="str">
        <x:v>Unforeseen site/structural issues &amp; rework</x:v>
      </x:c>
      <x:c r="C1001" t="str">
        <x:v>Planning &amp; estimation / coordination complexity</x:v>
      </x:c>
      <x:c r="D1001" t="str">
        <x:v>Unforeseen site/structural issues &amp; rework, Planning &amp; estimation / coordination complexity, Equipment constraints / low availability</x:v>
      </x:c>
      <x:c r="E1001" t="str">
        <x:v>Unforeseen site/structural issues &amp; rework</x:v>
      </x:c>
      <x:c r="F1001" t="str">
        <x:v>Planning &amp; estimation / coordination complexity</x:v>
      </x:c>
      <x:c r="G1001" t="str">
        <x:v>Unforeseen site/structural issues &amp; rework, Planning &amp; estimation / coordination complexity, Equipment constraints / low availability</x:v>
      </x:c>
      <x:c r="H1001" t="str">
        <x:v>Cost overrun mainly linked to unforeseen site/structural issues &amp; rework; schedule overrun mainly linked to unforeseen site/structural issues &amp; rework.</x:v>
      </x:c>
    </x:row>
    <x:row r="1002">
      <x:c r="A1002" t="str">
        <x:v>PJT_1001</x:v>
      </x:c>
      <x:c r="B1002" t="str">
        <x:v>Equipment constraints / low availability</x:v>
      </x:c>
      <x:c r="C1002" t="str">
        <x:v>Resource inefficiency (materials/labor/energy)</x:v>
      </x:c>
      <x:c r="D1002" t="str">
        <x:v>Equipment constraints / low availability, Resource inefficiency (materials/labor/energy), Material supply / logistics &amp; market disruption</x:v>
      </x:c>
      <x:c r="E1002" t="str">
        <x:v>Equipment constraints / low availability</x:v>
      </x:c>
      <x:c r="F1002" t="str">
        <x:v>Resource inefficiency (materials/labor/energy)</x:v>
      </x:c>
      <x:c r="G1002" t="str">
        <x:v>Equipment constraints / low availability, Resource inefficiency (materials/labor/energy), Material supply / logistics &amp; market disruption</x:v>
      </x:c>
      <x:c r="H1002" t="str">
        <x:v>Cost overrun mainly linked to equipment constraints / low availability; schedule overrun mainly linked to equipment constraints / low availability.</x:v>
      </x:c>
    </x:row>
    <x:row r="1003">
      <x:c r="A1003" t="str">
        <x:v>PJT_1002</x:v>
      </x:c>
      <x:c r="B1003" t="str">
        <x:v>Unforeseen site/structural issues &amp; rework</x:v>
      </x:c>
      <x:c r="C1003" t="str">
        <x:v>Planning &amp; estimation / coordination complexity</x:v>
      </x:c>
      <x:c r="D1003" t="str">
        <x:v>Unforeseen site/structural issues &amp; rework, Planning &amp; estimation / coordination complexity, Resource inefficiency (materials/labor/energy)</x:v>
      </x:c>
      <x:c r="E1003" t="str">
        <x:v>Unforeseen site/structural issues &amp; rework</x:v>
      </x:c>
      <x:c r="F1003" t="str">
        <x:v>Planning &amp; estimation / coordination complexity</x:v>
      </x:c>
      <x:c r="G1003" t="str">
        <x:v>Unforeseen site/structural issues &amp; rework, Planning &amp; estimation / coordination complexity, Resource inefficiency (materials/labor/energy)</x:v>
      </x:c>
      <x:c r="H1003" t="str">
        <x:v>Cost overrun mainly linked to unforeseen site/structural issues &amp; rework; schedule overrun mainly linked to unforeseen site/structural issues &amp; rework.</x:v>
      </x:c>
    </x:row>
    <x:row r="1004">
      <x:c r="A1004" t="str">
        <x:v>PJT_1003</x:v>
      </x:c>
      <x:c r="B1004" t="str">
        <x:v>Unforeseen site/structural issues &amp; rework</x:v>
      </x:c>
      <x:c r="C1004" t="str">
        <x:v>Planning &amp; estimation / coordination complexity</x:v>
      </x:c>
      <x:c r="D1004" t="str">
        <x:v>Unforeseen site/structural issues &amp; rework, Planning &amp; estimation / coordination complexity, Equipment constraints / low availability</x:v>
      </x:c>
      <x:c r="E1004" t="str">
        <x:v>Unforeseen site/structural issues &amp; rework</x:v>
      </x:c>
      <x:c r="F1004" t="str">
        <x:v>Planning &amp; estimation / coordination complexity</x:v>
      </x:c>
      <x:c r="G1004" t="str">
        <x:v>Unforeseen site/structural issues &amp; rework, Planning &amp; estimation / coordination complexity, Equipment constraints / low availability</x:v>
      </x:c>
      <x:c r="H1004" t="str">
        <x:v>Cost overrun mainly linked to unforeseen site/structural issues &amp; rework; schedule overrun mainly linked to unforeseen site/structural issues &amp; rework.</x:v>
      </x:c>
    </x:row>
    <x:row r="1005">
      <x:c r="A1005" t="str">
        <x:v>PJT_1004</x:v>
      </x:c>
      <x:c r="B1005" t="str">
        <x:v>Resource inefficiency (materials/labor/energy)</x:v>
      </x:c>
      <x:c r="C1005" t="str">
        <x:v>Planning &amp; estimation / coordination complexity</x:v>
      </x:c>
      <x:c r="D1005" t="str">
        <x:v>Resource inefficiency (materials/labor/energy), Planning &amp; estimation / coordination complexity, Material supply / logistics &amp; market disruption</x:v>
      </x:c>
      <x:c r="E1005" t="str">
        <x:v>Resource inefficiency (materials/labor/energy)</x:v>
      </x:c>
      <x:c r="F1005" t="str">
        <x:v>Planning &amp; estimation / coordination complexity</x:v>
      </x:c>
      <x:c r="G1005" t="str">
        <x:v>Resource inefficiency (materials/labor/energy), Planning &amp; estimation / coordination complexity, Unforeseen site/structural issues &amp; rework</x:v>
      </x:c>
      <x:c r="H1005" t="str">
        <x:v>Cost overrun mainly linked to resource inefficiency (materials/labor/energy); schedule overrun mainly linked to resource inefficiency (materials/labor/energy).</x:v>
      </x:c>
    </x:row>
    <x:row r="1006">
      <x:c r="A1006" t="str">
        <x:v>PJT_1005</x:v>
      </x:c>
      <x:c r="B1006" t="str">
        <x:v>Material supply / logistics &amp; market disruption</x:v>
      </x:c>
      <x:c r="C1006" t="str">
        <x:v>Resource inefficiency (materials/labor/energy)</x:v>
      </x:c>
      <x:c r="D1006" t="str">
        <x:v>Material supply / logistics &amp; market disruption, Resource inefficiency (materials/labor/energy), Equipment constraints / low availability</x:v>
      </x:c>
      <x:c r="E1006" t="str">
        <x:v>Material supply / logistics &amp; market disruption</x:v>
      </x:c>
      <x:c r="F1006" t="str">
        <x:v>Equipment constraints / low availability</x:v>
      </x:c>
      <x:c r="G1006" t="str">
        <x:v>Material supply / logistics &amp; market disruption, Equipment constraints / low availability, Resource inefficiency (materials/labor/energy)</x:v>
      </x:c>
      <x:c r="H1006" t="str">
        <x:v>Cost overrun mainly linked to material supply / logistics &amp; market disruption; schedule overrun mainly linked to material supply / logistics &amp; market disruption.</x:v>
      </x:c>
    </x:row>
    <x:row r="1007">
      <x:c r="A1007" t="str">
        <x:v>PJT_1006</x:v>
      </x:c>
      <x:c r="B1007" t="str">
        <x:v>Equipment constraints / low availability</x:v>
      </x:c>
      <x:c r="C1007" t="str">
        <x:v>Resource inefficiency (materials/labor/energy)</x:v>
      </x:c>
      <x:c r="D1007" t="str">
        <x:v>Equipment constraints / low availability, Resource inefficiency (materials/labor/energy), Planning &amp; estimation / coordination complexity</x:v>
      </x:c>
      <x:c r="E1007" t="str">
        <x:v>Equipment constraints / low availability</x:v>
      </x:c>
      <x:c r="F1007" t="str">
        <x:v>Resource inefficiency (materials/labor/energy)</x:v>
      </x:c>
      <x:c r="G1007" t="str">
        <x:v>Equipment constraints / low availability, Resource inefficiency (materials/labor/energy), Planning &amp; estimation / coordination complexity</x:v>
      </x:c>
      <x:c r="H1007" t="str">
        <x:v>Cost overrun mainly linked to equipment constraints / low availability; schedule overrun mainly linked to equipment constraints / low availability.</x:v>
      </x:c>
    </x:row>
    <x:row r="1008">
      <x:c r="A1008" t="str">
        <x:v>PJT_1007</x:v>
      </x:c>
      <x:c r="B1008" t="str">
        <x:v>Weather disruption / environmental constraints</x:v>
      </x:c>
      <x:c r="C1008" t="str">
        <x:v>Unforeseen site/structural issues &amp; rework</x:v>
      </x:c>
      <x:c r="D1008" t="str">
        <x:v>Weather disruption / environmental constraints, Unforeseen site/structural issues &amp; rework, Material supply / logistics &amp; market disruption</x:v>
      </x:c>
      <x:c r="E1008" t="str">
        <x:v>Weather disruption / environmental constraints</x:v>
      </x:c>
      <x:c r="F1008" t="str">
        <x:v>Unforeseen site/structural issues &amp; rework</x:v>
      </x:c>
      <x:c r="G1008" t="str">
        <x:v>Weather disruption / environmental constraints, Unforeseen site/structural issues &amp; rework, Material supply / logistics &amp; market disruption</x:v>
      </x:c>
      <x:c r="H1008" t="str">
        <x:v>Cost overrun mainly linked to weather disruption / environmental constraints; schedule overrun mainly linked to weather disruption / environmental constraints.</x:v>
      </x:c>
    </x:row>
    <x:row r="1009">
      <x:c r="A1009" t="str">
        <x:v>PJT_1008</x:v>
      </x:c>
      <x:c r="B1009" t="str">
        <x:v>Unforeseen site/structural issues &amp; rework</x:v>
      </x:c>
      <x:c r="C1009" t="str">
        <x:v>Planning &amp; estimation / coordination complexity</x:v>
      </x:c>
      <x:c r="D1009" t="str">
        <x:v>Unforeseen site/structural issues &amp; rework, Planning &amp; estimation / coordination complexity, Equipment constraints / low availability</x:v>
      </x:c>
      <x:c r="E1009" t="str">
        <x:v>Unforeseen site/structural issues &amp; rework</x:v>
      </x:c>
      <x:c r="F1009" t="str">
        <x:v>Planning &amp; estimation / coordination complexity</x:v>
      </x:c>
      <x:c r="G1009" t="str">
        <x:v>Unforeseen site/structural issues &amp; rework, Planning &amp; estimation / coordination complexity, Equipment constraints / low availability</x:v>
      </x:c>
      <x:c r="H1009" t="str">
        <x:v>Cost overrun mainly linked to unforeseen site/structural issues &amp; rework; schedule overrun mainly linked to unforeseen site/structural issues &amp; rework.</x:v>
      </x:c>
    </x:row>
    <x:row r="1010">
      <x:c r="A1010" t="str">
        <x:v>PJT_1009</x:v>
      </x:c>
      <x:c r="B1010" t="str">
        <x:v>Resource inefficiency (materials/labor/energy)</x:v>
      </x:c>
      <x:c r="C1010" t="str">
        <x:v>Planning &amp; estimation / coordination complexity</x:v>
      </x:c>
      <x:c r="D1010" t="str">
        <x:v>Resource inefficiency (materials/labor/energy), Planning &amp; estimation / coordination complexity, Material supply / logistics &amp; market disruption</x:v>
      </x:c>
      <x:c r="E1010" t="str">
        <x:v>Planning &amp; estimation / coordination complexity</x:v>
      </x:c>
      <x:c r="F1010" t="str">
        <x:v>Resource inefficiency (materials/labor/energy)</x:v>
      </x:c>
      <x:c r="G1010" t="str">
        <x:v>Planning &amp; estimation / coordination complexity, Resource inefficiency (materials/labor/energy), Unforeseen site/structural issues &amp; rework</x:v>
      </x:c>
      <x:c r="H1010" t="str">
        <x:v>Cost overrun mainly linked to resource inefficiency (materials/labor/energy); schedule overrun mainly linked to planning &amp; estimation / coordination complexity.</x:v>
      </x:c>
    </x:row>
    <x:row r="1011">
      <x:c r="A1011" t="str">
        <x:v>PJT_1010</x:v>
      </x:c>
      <x:c r="B1011" t="str">
        <x:v>Planning &amp; estimation / coordination complexity</x:v>
      </x:c>
      <x:c r="C1011" t="str">
        <x:v>Unforeseen site/structural issues &amp; rework</x:v>
      </x:c>
      <x:c r="D1011" t="str">
        <x:v>Planning &amp; estimation / coordination complexity, Unforeseen site/structural issues &amp; rework, Resource inefficiency (materials/labor/energy)</x:v>
      </x:c>
      <x:c r="E1011" t="str">
        <x:v>Planning &amp; estimation / coordination complexity</x:v>
      </x:c>
      <x:c r="F1011" t="str">
        <x:v>Unforeseen site/structural issues &amp; rework</x:v>
      </x:c>
      <x:c r="G1011" t="str">
        <x:v>Planning &amp; estimation / coordination complexity, Unforeseen site/structural issues &amp; rework, Resource inefficiency (materials/labor/energy)</x:v>
      </x:c>
      <x:c r="H1011" t="str">
        <x:v>Cost overrun mainly linked to planning &amp; estimation / coordination complexity; schedule overrun mainly linked to planning &amp; estimation / coordination complexity.</x:v>
      </x:c>
    </x:row>
    <x:row r="1012">
      <x:c r="A1012" t="str">
        <x:v>PJT_1011</x:v>
      </x:c>
      <x:c r="B1012" t="str">
        <x:v>Resource inefficiency (materials/labor/energy)</x:v>
      </x:c>
      <x:c r="C1012" t="str">
        <x:v>Equipment constraints / low availability</x:v>
      </x:c>
      <x:c r="D1012" t="str">
        <x:v>Resource inefficiency (materials/labor/energy), Equipment constraints / low availability, Planning &amp; estimation / coordination complexity</x:v>
      </x:c>
      <x:c r="E1012" t="str">
        <x:v>Resource inefficiency (materials/labor/energy)</x:v>
      </x:c>
      <x:c r="F1012" t="str">
        <x:v>Equipment constraints / low availability</x:v>
      </x:c>
      <x:c r="G1012" t="str">
        <x:v>Resource inefficiency (materials/labor/energy), Equipment constraints / low availability, Planning &amp; estimation / coordination complexity</x:v>
      </x:c>
      <x:c r="H1012" t="str">
        <x:v>Cost overrun mainly linked to resource inefficiency (materials/labor/energy); schedule overrun mainly linked to resource inefficiency (materials/labor/energy).</x:v>
      </x:c>
    </x:row>
    <x:row r="1013">
      <x:c r="A1013" t="str">
        <x:v>PJT_1012</x:v>
      </x:c>
      <x:c r="B1013" t="str">
        <x:v>Unforeseen site/structural issues &amp; rework</x:v>
      </x:c>
      <x:c r="C1013" t="str">
        <x:v>Resource inefficiency (materials/labor/energy)</x:v>
      </x:c>
      <x:c r="D1013" t="str">
        <x:v>Unforeseen site/structural issues &amp; rework, Resource inefficiency (materials/labor/energy), Material supply / logistics &amp; market disruption</x:v>
      </x:c>
      <x:c r="E1013" t="str">
        <x:v>Unforeseen site/structural issues &amp; rework</x:v>
      </x:c>
      <x:c r="F1013" t="str">
        <x:v>Resource inefficiency (materials/labor/energy)</x:v>
      </x:c>
      <x:c r="G1013" t="str">
        <x:v>Unforeseen site/structural issues &amp; rework, Resource inefficiency (materials/labor/energy), Planning &amp; estimation / coordination complexity</x:v>
      </x:c>
      <x:c r="H1013" t="str">
        <x:v>Cost overrun mainly linked to unforeseen site/structural issues &amp; rework; schedule overrun mainly linked to unforeseen site/structural issues &amp; rework.</x:v>
      </x:c>
    </x:row>
    <x:row r="1014">
      <x:c r="A1014" t="str">
        <x:v>PJT_1013</x:v>
      </x:c>
      <x:c r="B1014" t="str">
        <x:v>Unforeseen site/structural issues &amp; rework</x:v>
      </x:c>
      <x:c r="C1014" t="str">
        <x:v>Resource inefficiency (materials/labor/energy)</x:v>
      </x:c>
      <x:c r="D1014" t="str">
        <x:v>Unforeseen site/structural issues &amp; rework, Resource inefficiency (materials/labor/energy), Planning &amp; estimation / coordination complexity</x:v>
      </x:c>
      <x:c r="E1014" t="str">
        <x:v>Unforeseen site/structural issues &amp; rework</x:v>
      </x:c>
      <x:c r="F1014" t="str">
        <x:v>Resource inefficiency (materials/labor/energy)</x:v>
      </x:c>
      <x:c r="G1014" t="str">
        <x:v>Unforeseen site/structural issues &amp; rework, Resource inefficiency (materials/labor/energy), Planning &amp; estimation / coordination complexity</x:v>
      </x:c>
      <x:c r="H1014" t="str">
        <x:v>Cost overrun mainly linked to unforeseen site/structural issues &amp; rework; schedule overrun mainly linked to unforeseen site/structural issues &amp; rework.</x:v>
      </x:c>
    </x:row>
    <x:row r="1015">
      <x:c r="A1015" t="str">
        <x:v>PJT_1014</x:v>
      </x:c>
      <x:c r="B1015" t="str">
        <x:v>Weather disruption / environmental constraints</x:v>
      </x:c>
      <x:c r="C1015" t="str">
        <x:v>Unforeseen site/structural issues &amp; rework</x:v>
      </x:c>
      <x:c r="D1015" t="str">
        <x:v>Weather disruption / environmental constraints, Unforeseen site/structural issues &amp; rework, Equipment constraints / low availability</x:v>
      </x:c>
      <x:c r="E1015" t="str">
        <x:v>Weather disruption / environmental constraints</x:v>
      </x:c>
      <x:c r="F1015" t="str">
        <x:v>Unforeseen site/structural issues &amp; rework</x:v>
      </x:c>
      <x:c r="G1015" t="str">
        <x:v>Weather disruption / environmental constraints, Unforeseen site/structural issues &amp; rework, Equipment constraints / low availability</x:v>
      </x:c>
      <x:c r="H1015" t="str">
        <x:v>Cost overrun mainly linked to weather disruption / environmental constraints; schedule overrun mainly linked to weather disruption / environmental constraints.</x:v>
      </x:c>
    </x:row>
    <x:row r="1016">
      <x:c r="A1016" t="str">
        <x:v>PJT_1015</x:v>
      </x:c>
      <x:c r="B1016" t="str">
        <x:v>Weather disruption / environmental constraints</x:v>
      </x:c>
      <x:c r="C1016" t="str">
        <x:v>Material supply / logistics &amp; market disruption</x:v>
      </x:c>
      <x:c r="D1016" t="str">
        <x:v>Weather disruption / environmental constraints, Material supply / logistics &amp; market disruption, Planning &amp; estimation / coordination complexity</x:v>
      </x:c>
      <x:c r="E1016" t="str">
        <x:v>Weather disruption / environmental constraints</x:v>
      </x:c>
      <x:c r="F1016" t="str">
        <x:v>Material supply / logistics &amp; market disruption</x:v>
      </x:c>
      <x:c r="G1016" t="str">
        <x:v>Weather disruption / environmental constraints, Material supply / logistics &amp; market disruption, Planning &amp; estimation / coordination complexity</x:v>
      </x:c>
      <x:c r="H1016" t="str">
        <x:v>Cost overrun mainly linked to weather disruption / environmental constraints; schedule overrun mainly linked to weather disruption / environmental constraints.</x:v>
      </x:c>
    </x:row>
    <x:row r="1017">
      <x:c r="A1017" t="str">
        <x:v>PJT_1016</x:v>
      </x:c>
      <x:c r="B1017" t="str">
        <x:v>Resource inefficiency (materials/labor/energy)</x:v>
      </x:c>
      <x:c r="C1017" t="str">
        <x:v>Unforeseen site/structural issues &amp; rework</x:v>
      </x:c>
      <x:c r="D1017" t="str">
        <x:v>Resource inefficiency (materials/labor/energy), Unforeseen site/structural issues &amp; rework, Equipment constraints / low availability</x:v>
      </x:c>
      <x:c r="E1017" t="str">
        <x:v>Resource inefficiency (materials/labor/energy)</x:v>
      </x:c>
      <x:c r="F1017" t="str">
        <x:v>Unforeseen site/structural issues &amp; rework</x:v>
      </x:c>
      <x:c r="G1017" t="str">
        <x:v>Resource inefficiency (materials/labor/energy), Unforeseen site/structural issues &amp; rework, Equipment constraints / low availability</x:v>
      </x:c>
      <x:c r="H1017" t="str">
        <x:v>Cost overrun mainly linked to resource inefficiency (materials/labor/energy); schedule overrun mainly linked to resource inefficiency (materials/labor/energy).</x:v>
      </x:c>
    </x:row>
    <x:row r="1018">
      <x:c r="A1018" t="str">
        <x:v>PJT_1017</x:v>
      </x:c>
      <x:c r="B1018" t="str">
        <x:v>Unforeseen site/structural issues &amp; rework</x:v>
      </x:c>
      <x:c r="C1018" t="str">
        <x:v>Weather disruption / environmental constraints</x:v>
      </x:c>
      <x:c r="D1018" t="str">
        <x:v>Unforeseen site/structural issues &amp; rework, Weather disruption / environmental constraints, Planning &amp; estimation / coordination complexity</x:v>
      </x:c>
      <x:c r="E1018" t="str">
        <x:v>Unforeseen site/structural issues &amp; rework</x:v>
      </x:c>
      <x:c r="F1018" t="str">
        <x:v>Planning &amp; estimation / coordination complexity</x:v>
      </x:c>
      <x:c r="G1018" t="str">
        <x:v>Unforeseen site/structural issues &amp; rework, Planning &amp; estimation / coordination complexity, Weather disruption / environmental constraints</x:v>
      </x:c>
      <x:c r="H1018" t="str">
        <x:v>Cost overrun mainly linked to unforeseen site/structural issues &amp; rework; schedule overrun mainly linked to unforeseen site/structural issues &amp; rework.</x:v>
      </x:c>
    </x:row>
    <x:row r="1019">
      <x:c r="A1019" t="str">
        <x:v>PJT_1018</x:v>
      </x:c>
      <x:c r="B1019" t="str">
        <x:v>Resource inefficiency (materials/labor/energy)</x:v>
      </x:c>
      <x:c r="C1019" t="str">
        <x:v>Planning &amp; estimation / coordination complexity</x:v>
      </x:c>
      <x:c r="D1019" t="str">
        <x:v>Resource inefficiency (materials/labor/energy), Planning &amp; estimation / coordination complexity, Material supply / logistics &amp; market disruption</x:v>
      </x:c>
      <x:c r="E1019" t="str">
        <x:v>Planning &amp; estimation / coordination complexity</x:v>
      </x:c>
      <x:c r="F1019" t="str">
        <x:v>Resource inefficiency (materials/labor/energy)</x:v>
      </x:c>
      <x:c r="G1019" t="str">
        <x:v>Planning &amp; estimation / coordination complexity, Resource inefficiency (materials/labor/energy), Unforeseen site/structural issues &amp; rework</x:v>
      </x:c>
      <x:c r="H1019" t="str">
        <x:v>Cost overrun mainly linked to resource inefficiency (materials/labor/energy); schedule overrun mainly linked to planning &amp; estimation / coordination complexity.</x:v>
      </x:c>
    </x:row>
    <x:row r="1020">
      <x:c r="A1020" t="str">
        <x:v>PJT_1019</x:v>
      </x:c>
      <x:c r="B1020" t="str">
        <x:v>Planning &amp; estimation / coordination complexity</x:v>
      </x:c>
      <x:c r="C1020" t="str">
        <x:v>Equipment constraints / low availability</x:v>
      </x:c>
      <x:c r="D1020" t="str">
        <x:v>Planning &amp; estimation / coordination complexity, Equipment constraints / low availability, Resource inefficiency (materials/labor/energy)</x:v>
      </x:c>
      <x:c r="E1020" t="str">
        <x:v>Planning &amp; estimation / coordination complexity</x:v>
      </x:c>
      <x:c r="F1020" t="str">
        <x:v>Equipment constraints / low availability</x:v>
      </x:c>
      <x:c r="G1020" t="str">
        <x:v>Planning &amp; estimation / coordination complexity, Equipment constraints / low availability, Resource inefficiency (materials/labor/energy)</x:v>
      </x:c>
      <x:c r="H1020" t="str">
        <x:v>Cost overrun mainly linked to planning &amp; estimation / coordination complexity; schedule overrun mainly linked to planning &amp; estimation / coordination complexity.</x:v>
      </x:c>
    </x:row>
    <x:row r="1021">
      <x:c r="A1021" t="str">
        <x:v>PJT_1020</x:v>
      </x:c>
      <x:c r="B1021" t="str">
        <x:v>Weather disruption / environmental constraints</x:v>
      </x:c>
      <x:c r="C1021" t="str">
        <x:v>Equipment constraints / low availability</x:v>
      </x:c>
      <x:c r="D1021" t="str">
        <x:v>Weather disruption / environmental constraints, Equipment constraints / low availability, Unforeseen site/structural issues &amp; rework</x:v>
      </x:c>
      <x:c r="E1021" t="str">
        <x:v>Weather disruption / environmental constraints</x:v>
      </x:c>
      <x:c r="F1021" t="str">
        <x:v>Equipment constraints / low availability</x:v>
      </x:c>
      <x:c r="G1021" t="str">
        <x:v>Weather disruption / environmental constraints, Equipment constraints / low availability, Unforeseen site/structural issues &amp; rework</x:v>
      </x:c>
      <x:c r="H1021" t="str">
        <x:v>Cost overrun mainly linked to weather disruption / environmental constraints; schedule overrun mainly linked to weather disruption / environmental constraints.</x:v>
      </x:c>
    </x:row>
    <x:row r="1022">
      <x:c r="A1022" t="str">
        <x:v>PJT_1021</x:v>
      </x:c>
      <x:c r="B1022" t="str">
        <x:v>Weather disruption / environmental constraints</x:v>
      </x:c>
      <x:c r="C1022" t="str">
        <x:v>Unforeseen site/structural issues &amp; rework</x:v>
      </x:c>
      <x:c r="D1022" t="str">
        <x:v>Weather disruption / environmental constraints, Unforeseen site/structural issues &amp; rework, Planning &amp; estimation / coordination complexity</x:v>
      </x:c>
      <x:c r="E1022" t="str">
        <x:v>Weather disruption / environmental constraints</x:v>
      </x:c>
      <x:c r="F1022" t="str">
        <x:v>Unforeseen site/structural issues &amp; rework</x:v>
      </x:c>
      <x:c r="G1022" t="str">
        <x:v>Weather disruption / environmental constraints, Unforeseen site/structural issues &amp; rework, Material supply / logistics &amp; market disruption</x:v>
      </x:c>
      <x:c r="H1022" t="str">
        <x:v>Cost overrun mainly linked to weather disruption / environmental constraints; schedule overrun mainly linked to weather disruption / environmental constraints.</x:v>
      </x:c>
    </x:row>
    <x:row r="1023">
      <x:c r="A1023" t="str">
        <x:v>PJT_1022</x:v>
      </x:c>
      <x:c r="B1023" t="str">
        <x:v>Planning &amp; estimation / coordination complexity</x:v>
      </x:c>
      <x:c r="C1023" t="str">
        <x:v>Resource inefficiency (materials/labor/energy)</x:v>
      </x:c>
      <x:c r="D1023" t="str">
        <x:v>Planning &amp; estimation / coordination complexity, Resource inefficiency (materials/labor/energy), Equipment constraints / low availability</x:v>
      </x:c>
      <x:c r="E1023" t="str">
        <x:v>Planning &amp; estimation / coordination complexity</x:v>
      </x:c>
      <x:c r="F1023" t="str">
        <x:v>Unforeseen site/structural issues &amp; rework</x:v>
      </x:c>
      <x:c r="G1023" t="str">
        <x:v>Planning &amp; estimation / coordination complexity, Unforeseen site/structural issues &amp; rework, Resource inefficiency (materials/labor/energy)</x:v>
      </x:c>
      <x:c r="H1023" t="str">
        <x:v>Cost overrun mainly linked to planning &amp; estimation / coordination complexity; schedule overrun mainly linked to planning &amp; estimation / coordination complexity.</x:v>
      </x:c>
    </x:row>
    <x:row r="1024">
      <x:c r="A1024" t="str">
        <x:v>PJT_1023</x:v>
      </x:c>
      <x:c r="B1024" t="str">
        <x:v>Planning &amp; estimation / coordination complexity</x:v>
      </x:c>
      <x:c r="C1024" t="str">
        <x:v>Resource inefficiency (materials/labor/energy)</x:v>
      </x:c>
      <x:c r="D1024" t="str">
        <x:v>Planning &amp; estimation / coordination complexity, Resource inefficiency (materials/labor/energy), Equipment constraints / low availability</x:v>
      </x:c>
      <x:c r="E1024" t="str">
        <x:v>Planning &amp; estimation / coordination complexity</x:v>
      </x:c>
      <x:c r="F1024" t="str">
        <x:v>Resource inefficiency (materials/labor/energy)</x:v>
      </x:c>
      <x:c r="G1024" t="str">
        <x:v>Planning &amp; estimation / coordination complexity, Resource inefficiency (materials/labor/energy), Equipment constraints / low availability</x:v>
      </x:c>
      <x:c r="H1024" t="str">
        <x:v>Cost overrun mainly linked to planning &amp; estimation / coordination complexity; schedule overrun mainly linked to planning &amp; estimation / coordination complexity.</x:v>
      </x:c>
    </x:row>
    <x:row r="1025">
      <x:c r="A1025" t="str">
        <x:v>PJT_1024</x:v>
      </x:c>
      <x:c r="B1025" t="str">
        <x:v>Equipment constraints / low availability</x:v>
      </x:c>
      <x:c r="C1025" t="str">
        <x:v>Weather disruption / environmental constraints</x:v>
      </x:c>
      <x:c r="D1025" t="str">
        <x:v>Equipment constraints / low availability, Weather disruption / environmental constraints, Material supply / logistics &amp; market disruption</x:v>
      </x:c>
      <x:c r="E1025" t="str">
        <x:v>Equipment constraints / low availability</x:v>
      </x:c>
      <x:c r="F1025" t="str">
        <x:v>Weather disruption / environmental constraints</x:v>
      </x:c>
      <x:c r="G1025" t="str">
        <x:v>Equipment constraints / low availability, Weather disruption / environmental constraints, Resource inefficiency (materials/labor/energy)</x:v>
      </x:c>
      <x:c r="H1025" t="str">
        <x:v>Cost overrun mainly linked to equipment constraints / low availability; schedule overrun mainly linked to equipment constraints / low availability.</x:v>
      </x:c>
    </x:row>
    <x:row r="1026">
      <x:c r="A1026" t="str">
        <x:v>PJT_1025</x:v>
      </x:c>
      <x:c r="B1026" t="str">
        <x:v>Planning &amp; estimation / coordination complexity</x:v>
      </x:c>
      <x:c r="C1026" t="str">
        <x:v>Resource inefficiency (materials/labor/energy)</x:v>
      </x:c>
      <x:c r="D1026" t="str">
        <x:v>Planning &amp; estimation / coordination complexity, Resource inefficiency (materials/labor/energy), Equipment constraints / low availability</x:v>
      </x:c>
      <x:c r="E1026" t="str">
        <x:v>Resource inefficiency (materials/labor/energy)</x:v>
      </x:c>
      <x:c r="F1026" t="str">
        <x:v>Planning &amp; estimation / coordination complexity</x:v>
      </x:c>
      <x:c r="G1026" t="str">
        <x:v>Resource inefficiency (materials/labor/energy), Planning &amp; estimation / coordination complexity, Equipment constraints / low availability</x:v>
      </x:c>
      <x:c r="H1026" t="str">
        <x:v>Cost overrun mainly linked to planning &amp; estimation / coordination complexity; schedule overrun mainly linked to resource inefficiency (materials/labor/energy).</x:v>
      </x:c>
    </x:row>
    <x:row r="1027">
      <x:c r="A1027" t="str">
        <x:v>PJT_1026</x:v>
      </x:c>
      <x:c r="B1027" t="str">
        <x:v>Unforeseen site/structural issues &amp; rework</x:v>
      </x:c>
      <x:c r="C1027" t="str">
        <x:v>Weather disruption / environmental constraints</x:v>
      </x:c>
      <x:c r="D1027" t="str">
        <x:v>Unforeseen site/structural issues &amp; rework, Weather disruption / environmental constraints, Planning &amp; estimation / coordination complexity</x:v>
      </x:c>
      <x:c r="E1027" t="str">
        <x:v>Unforeseen site/structural issues &amp; rework</x:v>
      </x:c>
      <x:c r="F1027" t="str">
        <x:v>Weather disruption / environmental constraints</x:v>
      </x:c>
      <x:c r="G1027" t="str">
        <x:v>Unforeseen site/structural issues &amp; rework, Weather disruption / environmental constraints, Planning &amp; estimation / coordination complexity</x:v>
      </x:c>
      <x:c r="H1027" t="str">
        <x:v>Cost overrun mainly linked to unforeseen site/structural issues &amp; rework; schedule overrun mainly linked to unforeseen site/structural issues &amp; rework.</x:v>
      </x:c>
    </x:row>
    <x:row r="1028">
      <x:c r="A1028" t="str">
        <x:v>PJT_1027</x:v>
      </x:c>
      <x:c r="B1028" t="str">
        <x:v>Resource inefficiency (materials/labor/energy)</x:v>
      </x:c>
      <x:c r="C1028" t="str">
        <x:v>Equipment constraints / low availability</x:v>
      </x:c>
      <x:c r="D1028" t="str">
        <x:v>Resource inefficiency (materials/labor/energy), Equipment constraints / low availability, Planning &amp; estimation / coordination complexity</x:v>
      </x:c>
      <x:c r="E1028" t="str">
        <x:v>Resource inefficiency (materials/labor/energy)</x:v>
      </x:c>
      <x:c r="F1028" t="str">
        <x:v>Planning &amp; estimation / coordination complexity</x:v>
      </x:c>
      <x:c r="G1028" t="str">
        <x:v>Resource inefficiency (materials/labor/energy), Planning &amp; estimation / coordination complexity, Equipment constraints / low availability</x:v>
      </x:c>
      <x:c r="H1028" t="str">
        <x:v>Cost overrun mainly linked to resource inefficiency (materials/labor/energy); schedule overrun mainly linked to resource inefficiency (materials/labor/energy).</x:v>
      </x:c>
    </x:row>
    <x:row r="1029">
      <x:c r="A1029" t="str">
        <x:v>PJT_1028</x:v>
      </x:c>
      <x:c r="B1029" t="str">
        <x:v>Equipment constraints / low availability</x:v>
      </x:c>
      <x:c r="C1029" t="str">
        <x:v>Resource inefficiency (materials/labor/energy)</x:v>
      </x:c>
      <x:c r="D1029" t="str">
        <x:v>Equipment constraints / low availability, Resource inefficiency (materials/labor/energy), Material supply / logistics &amp; market disruption</x:v>
      </x:c>
      <x:c r="E1029" t="str">
        <x:v>Equipment constraints / low availability</x:v>
      </x:c>
      <x:c r="F1029" t="str">
        <x:v>Resource inefficiency (materials/labor/energy)</x:v>
      </x:c>
      <x:c r="G1029" t="str">
        <x:v>Equipment constraints / low availability, Resource inefficiency (materials/labor/energy), Material supply / logistics &amp; market disruption</x:v>
      </x:c>
      <x:c r="H1029" t="str">
        <x:v>Cost overrun mainly linked to equipment constraints / low availability; schedule overrun mainly linked to equipment constraints / low availability.</x:v>
      </x:c>
    </x:row>
    <x:row r="1030">
      <x:c r="A1030" t="str">
        <x:v>PJT_1029</x:v>
      </x:c>
      <x:c r="B1030" t="str">
        <x:v>Equipment constraints / low availability</x:v>
      </x:c>
      <x:c r="C1030" t="str">
        <x:v>Resource inefficiency (materials/labor/energy)</x:v>
      </x:c>
      <x:c r="D1030" t="str">
        <x:v>Equipment constraints / low availability, Resource inefficiency (materials/labor/energy), Planning &amp; estimation / coordination complexity</x:v>
      </x:c>
      <x:c r="E1030" t="str">
        <x:v>Equipment constraints / low availability</x:v>
      </x:c>
      <x:c r="F1030" t="str">
        <x:v>Resource inefficiency (materials/labor/energy)</x:v>
      </x:c>
      <x:c r="G1030" t="str">
        <x:v>Equipment constraints / low availability, Resource inefficiency (materials/labor/energy), Planning &amp; estimation / coordination complexity</x:v>
      </x:c>
      <x:c r="H1030" t="str">
        <x:v>Cost overrun mainly linked to equipment constraints / low availability; schedule overrun mainly linked to equipment constraints / low availability.</x:v>
      </x:c>
    </x:row>
    <x:row r="1031">
      <x:c r="A1031" t="str">
        <x:v>PJT_1030</x:v>
      </x:c>
      <x:c r="B1031" t="str">
        <x:v>Planning &amp; estimation / coordination complexity</x:v>
      </x:c>
      <x:c r="C1031" t="str">
        <x:v>Unforeseen site/structural issues &amp; rework</x:v>
      </x:c>
      <x:c r="D1031" t="str">
        <x:v>Planning &amp; estimation / coordination complexity, Unforeseen site/structural issues &amp; rework, Equipment constraints / low availability</x:v>
      </x:c>
      <x:c r="E1031" t="str">
        <x:v>Unforeseen site/structural issues &amp; rework</x:v>
      </x:c>
      <x:c r="F1031" t="str">
        <x:v>Planning &amp; estimation / coordination complexity</x:v>
      </x:c>
      <x:c r="G1031" t="str">
        <x:v>Unforeseen site/structural issues &amp; rework, Planning &amp; estimation / coordination complexity, Equipment constraints / low availability</x:v>
      </x:c>
      <x:c r="H1031" t="str">
        <x:v>Cost overrun mainly linked to planning &amp; estimation / coordination complexity; schedule overrun mainly linked to unforeseen site/structural issues &amp; rework.</x:v>
      </x:c>
    </x:row>
    <x:row r="1032">
      <x:c r="A1032" t="str">
        <x:v>PJT_1031</x:v>
      </x:c>
      <x:c r="B1032" t="str">
        <x:v>Equipment constraints / low availability</x:v>
      </x:c>
      <x:c r="C1032" t="str">
        <x:v>Planning &amp; estimation / coordination complexity</x:v>
      </x:c>
      <x:c r="D1032" t="str">
        <x:v>Equipment constraints / low availability, Planning &amp; estimation / coordination complexity, Weather disruption / environmental constraints</x:v>
      </x:c>
      <x:c r="E1032" t="str">
        <x:v>Equipment constraints / low availability</x:v>
      </x:c>
      <x:c r="F1032" t="str">
        <x:v>Planning &amp; estimation / coordination complexity</x:v>
      </x:c>
      <x:c r="G1032" t="str">
        <x:v>Equipment constraints / low availability, Planning &amp; estimation / coordination complexity, Weather disruption / environmental constraints</x:v>
      </x:c>
      <x:c r="H1032" t="str">
        <x:v>Cost overrun mainly linked to equipment constraints / low availability; schedule overrun mainly linked to equipment constraints / low availability.</x:v>
      </x:c>
    </x:row>
    <x:row r="1033">
      <x:c r="A1033" t="str">
        <x:v>PJT_1032</x:v>
      </x:c>
      <x:c r="B1033" t="str">
        <x:v>Unforeseen site/structural issues &amp; rework</x:v>
      </x:c>
      <x:c r="C1033" t="str">
        <x:v>Planning &amp; estimation / coordination complexity</x:v>
      </x:c>
      <x:c r="D1033" t="str">
        <x:v>Unforeseen site/structural issues &amp; rework, Planning &amp; estimation / coordination complexity, Weather disruption / environmental constraints</x:v>
      </x:c>
      <x:c r="E1033" t="str">
        <x:v>Unforeseen site/structural issues &amp; rework</x:v>
      </x:c>
      <x:c r="F1033" t="str">
        <x:v>Planning &amp; estimation / coordination complexity</x:v>
      </x:c>
      <x:c r="G1033" t="str">
        <x:v>Unforeseen site/structural issues &amp; rework, Planning &amp; estimation / coordination complexity, Weather disruption / environmental constraints</x:v>
      </x:c>
      <x:c r="H1033" t="str">
        <x:v>Cost overrun mainly linked to unforeseen site/structural issues &amp; rework; schedule overrun mainly linked to unforeseen site/structural issues &amp; rework.</x:v>
      </x:c>
    </x:row>
    <x:row r="1034">
      <x:c r="A1034" t="str">
        <x:v>PJT_1033</x:v>
      </x:c>
      <x:c r="B1034" t="str">
        <x:v>Planning &amp; estimation / coordination complexity</x:v>
      </x:c>
      <x:c r="C1034" t="str">
        <x:v>Equipment constraints / low availability</x:v>
      </x:c>
      <x:c r="D1034" t="str">
        <x:v>Planning &amp; estimation / coordination complexity, Equipment constraints / low availability, Resource inefficiency (materials/labor/energy)</x:v>
      </x:c>
      <x:c r="E1034" t="str">
        <x:v>Planning &amp; estimation / coordination complexity</x:v>
      </x:c>
      <x:c r="F1034" t="str">
        <x:v>Equipment constraints / low availability</x:v>
      </x:c>
      <x:c r="G1034" t="str">
        <x:v>Planning &amp; estimation / coordination complexity, Equipment constraints / low availability, Resource inefficiency (materials/labor/energy)</x:v>
      </x:c>
      <x:c r="H1034" t="str">
        <x:v>Cost overrun mainly linked to planning &amp; estimation / coordination complexity; schedule overrun mainly linked to planning &amp; estimation / coordination complexity.</x:v>
      </x:c>
    </x:row>
    <x:row r="1035">
      <x:c r="A1035" t="str">
        <x:v>PJT_1034</x:v>
      </x:c>
      <x:c r="B1035" t="str">
        <x:v>Planning &amp; estimation / coordination complexity</x:v>
      </x:c>
      <x:c r="C1035" t="str">
        <x:v>Unforeseen site/structural issues &amp; rework</x:v>
      </x:c>
      <x:c r="D1035" t="str">
        <x:v>Planning &amp; estimation / coordination complexity, Unforeseen site/structural issues &amp; rework, Equipment constraints / low availability</x:v>
      </x:c>
      <x:c r="E1035" t="str">
        <x:v>Planning &amp; estimation / coordination complexity</x:v>
      </x:c>
      <x:c r="F1035" t="str">
        <x:v>Unforeseen site/structural issues &amp; rework</x:v>
      </x:c>
      <x:c r="G1035" t="str">
        <x:v>Planning &amp; estimation / coordination complexity, Unforeseen site/structural issues &amp; rework, Equipment constraints / low availability</x:v>
      </x:c>
      <x:c r="H1035" t="str">
        <x:v>Cost overrun mainly linked to planning &amp; estimation / coordination complexity; schedule overrun mainly linked to planning &amp; estimation / coordination complexity.</x:v>
      </x:c>
    </x:row>
    <x:row r="1036">
      <x:c r="A1036" t="str">
        <x:v>PJT_1035</x:v>
      </x:c>
      <x:c r="B1036" t="str">
        <x:v>Weather disruption / environmental constraints</x:v>
      </x:c>
      <x:c r="C1036" t="str">
        <x:v>Planning &amp; estimation / coordination complexity</x:v>
      </x:c>
      <x:c r="D1036" t="str">
        <x:v>Weather disruption / environmental constraints, Planning &amp; estimation / coordination complexity, Material supply / logistics &amp; market disruption</x:v>
      </x:c>
      <x:c r="E1036" t="str">
        <x:v>Weather disruption / environmental constraints</x:v>
      </x:c>
      <x:c r="F1036" t="str">
        <x:v>Material supply / logistics &amp; market disruption</x:v>
      </x:c>
      <x:c r="G1036" t="str">
        <x:v>Weather disruption / environmental constraints, Material supply / logistics &amp; market disruption, Planning &amp; estimation / coordination complexity</x:v>
      </x:c>
      <x:c r="H1036" t="str">
        <x:v>Cost overrun mainly linked to weather disruption / environmental constraints; schedule overrun mainly linked to weather disruption / environmental constraints.</x:v>
      </x:c>
    </x:row>
    <x:row r="1037">
      <x:c r="A1037" t="str">
        <x:v>PJT_1036</x:v>
      </x:c>
      <x:c r="B1037" t="str">
        <x:v>Equipment constraints / low availability</x:v>
      </x:c>
      <x:c r="C1037" t="str">
        <x:v>Planning &amp; estimation / coordination complexity</x:v>
      </x:c>
      <x:c r="D1037" t="str">
        <x:v>Equipment constraints / low availability, Planning &amp; estimation / coordination complexity, Resource inefficiency (materials/labor/energy)</x:v>
      </x:c>
      <x:c r="E1037" t="str">
        <x:v>Equipment constraints / low availability</x:v>
      </x:c>
      <x:c r="F1037" t="str">
        <x:v>Resource inefficiency (materials/labor/energy)</x:v>
      </x:c>
      <x:c r="G1037" t="str">
        <x:v>Equipment constraints / low availability, Resource inefficiency (materials/labor/energy), Planning &amp; estimation / coordination complexity</x:v>
      </x:c>
      <x:c r="H1037" t="str">
        <x:v>Cost overrun mainly linked to equipment constraints / low availability; schedule overrun mainly linked to equipment constraints / low availability.</x:v>
      </x:c>
    </x:row>
    <x:row r="1038">
      <x:c r="A1038" t="str">
        <x:v>PJT_1037</x:v>
      </x:c>
      <x:c r="B1038" t="str">
        <x:v>Resource inefficiency (materials/labor/energy)</x:v>
      </x:c>
      <x:c r="C1038" t="str">
        <x:v>Planning &amp; estimation / coordination complexity</x:v>
      </x:c>
      <x:c r="D1038" t="str">
        <x:v>Resource inefficiency (materials/labor/energy), Planning &amp; estimation / coordination complexity, Material supply / logistics &amp; market disruption</x:v>
      </x:c>
      <x:c r="E1038" t="str">
        <x:v>Planning &amp; estimation / coordination complexity</x:v>
      </x:c>
      <x:c r="F1038" t="str">
        <x:v>Resource inefficiency (materials/labor/energy)</x:v>
      </x:c>
      <x:c r="G1038" t="str">
        <x:v>Planning &amp; estimation / coordination complexity, Resource inefficiency (materials/labor/energy), Unforeseen site/structural issues &amp; rework</x:v>
      </x:c>
      <x:c r="H1038" t="str">
        <x:v>Cost overrun mainly linked to resource inefficiency (materials/labor/energy); schedule overrun mainly linked to planning &amp; estimation / coordination complexity.</x:v>
      </x:c>
    </x:row>
    <x:row r="1039">
      <x:c r="A1039" t="str">
        <x:v>PJT_1038</x:v>
      </x:c>
      <x:c r="B1039" t="str">
        <x:v>Weather disruption / environmental constraints</x:v>
      </x:c>
      <x:c r="C1039" t="str">
        <x:v>Material supply / logistics &amp; market disruption</x:v>
      </x:c>
      <x:c r="D1039" t="str">
        <x:v>Weather disruption / environmental constraints, Material supply / logistics &amp; market disruption, Equipment constraints / low availability</x:v>
      </x:c>
      <x:c r="E1039" t="str">
        <x:v>Weather disruption / environmental constraints</x:v>
      </x:c>
      <x:c r="F1039" t="str">
        <x:v>Material supply / logistics &amp; market disruption</x:v>
      </x:c>
      <x:c r="G1039" t="str">
        <x:v>Weather disruption / environmental constraints, Material supply / logistics &amp; market disruption, Resource inefficiency (materials/labor/energy)</x:v>
      </x:c>
      <x:c r="H1039" t="str">
        <x:v>Cost overrun mainly linked to weather disruption / environmental constraints; schedule overrun mainly linked to weather disruption / environmental constraints.</x:v>
      </x:c>
    </x:row>
    <x:row r="1040">
      <x:c r="A1040" t="str">
        <x:v>PJT_1039</x:v>
      </x:c>
      <x:c r="B1040" t="str">
        <x:v>Resource inefficiency (materials/labor/energy)</x:v>
      </x:c>
      <x:c r="C1040" t="str">
        <x:v>Planning &amp; estimation / coordination complexity</x:v>
      </x:c>
      <x:c r="D1040" t="str">
        <x:v>Resource inefficiency (materials/labor/energy), Planning &amp; estimation / coordination complexity, Material supply / logistics &amp; market disruption</x:v>
      </x:c>
      <x:c r="E1040" t="str">
        <x:v>Planning &amp; estimation / coordination complexity</x:v>
      </x:c>
      <x:c r="F1040" t="str">
        <x:v>Resource inefficiency (materials/labor/energy)</x:v>
      </x:c>
      <x:c r="G1040" t="str">
        <x:v>Planning &amp; estimation / coordination complexity, Resource inefficiency (materials/labor/energy), Unforeseen site/structural issues &amp; rework</x:v>
      </x:c>
      <x:c r="H1040" t="str">
        <x:v>Cost overrun mainly linked to resource inefficiency (materials/labor/energy); schedule overrun mainly linked to planning &amp; estimation / coordination complexity.</x:v>
      </x:c>
    </x:row>
    <x:row r="1041">
      <x:c r="A1041" t="str">
        <x:v>PJT_1040</x:v>
      </x:c>
      <x:c r="B1041" t="str">
        <x:v>Equipment constraints / low availability</x:v>
      </x:c>
      <x:c r="C1041" t="str">
        <x:v>Planning &amp; estimation / coordination complexity</x:v>
      </x:c>
      <x:c r="D1041" t="str">
        <x:v>Equipment constraints / low availability, Planning &amp; estimation / coordination complexity, Weather disruption / environmental constraints</x:v>
      </x:c>
      <x:c r="E1041" t="str">
        <x:v>Equipment constraints / low availability</x:v>
      </x:c>
      <x:c r="F1041" t="str">
        <x:v>Weather disruption / environmental constraints</x:v>
      </x:c>
      <x:c r="G1041" t="str">
        <x:v>Equipment constraints / low availability, Weather disruption / environmental constraints, Planning &amp; estimation / coordination complexity</x:v>
      </x:c>
      <x:c r="H1041" t="str">
        <x:v>Cost overrun mainly linked to equipment constraints / low availability; schedule overrun mainly linked to equipment constraints / low availability.</x:v>
      </x:c>
    </x:row>
    <x:row r="1042">
      <x:c r="A1042" t="str">
        <x:v>PJT_1041</x:v>
      </x:c>
      <x:c r="B1042" t="str">
        <x:v>Resource inefficiency (materials/labor/energy)</x:v>
      </x:c>
      <x:c r="C1042" t="str">
        <x:v>Planning &amp; estimation / coordination complexity</x:v>
      </x:c>
      <x:c r="D1042" t="str">
        <x:v>Resource inefficiency (materials/labor/energy), Planning &amp; estimation / coordination complexity, Material supply / logistics &amp; market disruption</x:v>
      </x:c>
      <x:c r="E1042" t="str">
        <x:v>Resource inefficiency (materials/labor/energy)</x:v>
      </x:c>
      <x:c r="F1042" t="str">
        <x:v>Planning &amp; estimation / coordination complexity</x:v>
      </x:c>
      <x:c r="G1042" t="str">
        <x:v>Resource inefficiency (materials/labor/energy), Planning &amp; estimation / coordination complexity, Equipment constraints / low availability</x:v>
      </x:c>
      <x:c r="H1042" t="str">
        <x:v>Cost overrun mainly linked to resource inefficiency (materials/labor/energy); schedule overrun mainly linked to resource inefficiency (materials/labor/energy).</x:v>
      </x:c>
    </x:row>
    <x:row r="1043">
      <x:c r="A1043" t="str">
        <x:v>PJT_1042</x:v>
      </x:c>
      <x:c r="B1043" t="str">
        <x:v>Material supply / logistics &amp; market disruption</x:v>
      </x:c>
      <x:c r="C1043" t="str">
        <x:v>Resource inefficiency (materials/labor/energy)</x:v>
      </x:c>
      <x:c r="D1043" t="str">
        <x:v>Material supply / logistics &amp; market disruption, Resource inefficiency (materials/labor/energy), Equipment constraints / low availability</x:v>
      </x:c>
      <x:c r="E1043" t="str">
        <x:v>Resource inefficiency (materials/labor/energy)</x:v>
      </x:c>
      <x:c r="F1043" t="str">
        <x:v>Material supply / logistics &amp; market disruption</x:v>
      </x:c>
      <x:c r="G1043" t="str">
        <x:v>Resource inefficiency (materials/labor/energy), Material supply / logistics &amp; market disruption, Equipment constraints / low availability</x:v>
      </x:c>
      <x:c r="H1043" t="str">
        <x:v>Cost overrun mainly linked to material supply / logistics &amp; market disruption; schedule overrun mainly linked to resource inefficiency (materials/labor/energy).</x:v>
      </x:c>
    </x:row>
    <x:row r="1044">
      <x:c r="A1044" t="str">
        <x:v>PJT_1043</x:v>
      </x:c>
      <x:c r="B1044" t="str">
        <x:v>Unforeseen site/structural issues &amp; rework</x:v>
      </x:c>
      <x:c r="C1044" t="str">
        <x:v>Resource inefficiency (materials/labor/energy)</x:v>
      </x:c>
      <x:c r="D1044" t="str">
        <x:v>Unforeseen site/structural issues &amp; rework, Resource inefficiency (materials/labor/energy), Planning &amp; estimation / coordination complexity</x:v>
      </x:c>
      <x:c r="E1044" t="str">
        <x:v>Unforeseen site/structural issues &amp; rework</x:v>
      </x:c>
      <x:c r="F1044" t="str">
        <x:v>Resource inefficiency (materials/labor/energy)</x:v>
      </x:c>
      <x:c r="G1044" t="str">
        <x:v>Unforeseen site/structural issues &amp; rework, Resource inefficiency (materials/labor/energy), Planning &amp; estimation / coordination complexity</x:v>
      </x:c>
      <x:c r="H1044" t="str">
        <x:v>Cost overrun mainly linked to unforeseen site/structural issues &amp; rework; schedule overrun mainly linked to unforeseen site/structural issues &amp; rework.</x:v>
      </x:c>
    </x:row>
    <x:row r="1045">
      <x:c r="A1045" t="str">
        <x:v>PJT_1044</x:v>
      </x:c>
      <x:c r="B1045" t="str">
        <x:v>Unforeseen site/structural issues &amp; rework</x:v>
      </x:c>
      <x:c r="C1045" t="str">
        <x:v>Planning &amp; estimation / coordination complexity</x:v>
      </x:c>
      <x:c r="D1045" t="str">
        <x:v>Unforeseen site/structural issues &amp; rework, Planning &amp; estimation / coordination complexity, Equipment constraints / low availability</x:v>
      </x:c>
      <x:c r="E1045" t="str">
        <x:v>Unforeseen site/structural issues &amp; rework</x:v>
      </x:c>
      <x:c r="F1045" t="str">
        <x:v>Planning &amp; estimation / coordination complexity</x:v>
      </x:c>
      <x:c r="G1045" t="str">
        <x:v>Unforeseen site/structural issues &amp; rework, Planning &amp; estimation / coordination complexity, Equipment constraints / low availability</x:v>
      </x:c>
      <x:c r="H1045" t="str">
        <x:v>Cost overrun mainly linked to unforeseen site/structural issues &amp; rework; schedule overrun mainly linked to unforeseen site/structural issues &amp; rework.</x:v>
      </x:c>
    </x:row>
    <x:row r="1046">
      <x:c r="A1046" t="str">
        <x:v>PJT_1045</x:v>
      </x:c>
      <x:c r="B1046" t="str">
        <x:v>Planning &amp; estimation / coordination complexity</x:v>
      </x:c>
      <x:c r="C1046" t="str">
        <x:v>Resource inefficiency (materials/labor/energy)</x:v>
      </x:c>
      <x:c r="D1046" t="str">
        <x:v>Planning &amp; estimation / coordination complexity, Resource inefficiency (materials/labor/energy), Unforeseen site/structural issues &amp; rework</x:v>
      </x:c>
      <x:c r="E1046" t="str">
        <x:v>Planning &amp; estimation / coordination complexity</x:v>
      </x:c>
      <x:c r="F1046" t="str">
        <x:v>Unforeseen site/structural issues &amp; rework</x:v>
      </x:c>
      <x:c r="G1046" t="str">
        <x:v>Planning &amp; estimation / coordination complexity, Unforeseen site/structural issues &amp; rework, Resource inefficiency (materials/labor/energy)</x:v>
      </x:c>
      <x:c r="H1046" t="str">
        <x:v>Cost overrun mainly linked to planning &amp; estimation / coordination complexity; schedule overrun mainly linked to planning &amp; estimation / coordination complexity.</x:v>
      </x:c>
    </x:row>
    <x:row r="1047">
      <x:c r="A1047" t="str">
        <x:v>PJT_1046</x:v>
      </x:c>
      <x:c r="B1047" t="str">
        <x:v>Equipment constraints / low availability</x:v>
      </x:c>
      <x:c r="C1047" t="str">
        <x:v>Resource inefficiency (materials/labor/energy)</x:v>
      </x:c>
      <x:c r="D1047" t="str">
        <x:v>Equipment constraints / low availability, Resource inefficiency (materials/labor/energy), Planning &amp; estimation / coordination complexity</x:v>
      </x:c>
      <x:c r="E1047" t="str">
        <x:v>Equipment constraints / low availability</x:v>
      </x:c>
      <x:c r="F1047" t="str">
        <x:v>Resource inefficiency (materials/labor/energy)</x:v>
      </x:c>
      <x:c r="G1047" t="str">
        <x:v>Equipment constraints / low availability, Resource inefficiency (materials/labor/energy), Planning &amp; estimation / coordination complexity</x:v>
      </x:c>
      <x:c r="H1047" t="str">
        <x:v>Cost overrun mainly linked to equipment constraints / low availability; schedule overrun mainly linked to equipment constraints / low availability.</x:v>
      </x:c>
    </x:row>
    <x:row r="1048">
      <x:c r="A1048" t="str">
        <x:v>PJT_1047</x:v>
      </x:c>
      <x:c r="B1048" t="str">
        <x:v>Planning &amp; estimation / coordination complexity</x:v>
      </x:c>
      <x:c r="C1048" t="str">
        <x:v>Weather disruption / environmental constraints</x:v>
      </x:c>
      <x:c r="D1048" t="str">
        <x:v>Planning &amp; estimation / coordination complexity, Weather disruption / environmental constraints, Equipment constraints / low availability</x:v>
      </x:c>
      <x:c r="E1048" t="str">
        <x:v>Planning &amp; estimation / coordination complexity</x:v>
      </x:c>
      <x:c r="F1048" t="str">
        <x:v>Unforeseen site/structural issues &amp; rework</x:v>
      </x:c>
      <x:c r="G1048" t="str">
        <x:v>Planning &amp; estimation / coordination complexity, Unforeseen site/structural issues &amp; rework, Weather disruption / environmental constraints</x:v>
      </x:c>
      <x:c r="H1048" t="str">
        <x:v>Cost overrun mainly linked to planning &amp; estimation / coordination complexity; schedule overrun mainly linked to planning &amp; estimation / coordination complexity.</x:v>
      </x:c>
    </x:row>
    <x:row r="1049">
      <x:c r="A1049" t="str">
        <x:v>PJT_1048</x:v>
      </x:c>
      <x:c r="B1049" t="str">
        <x:v>Material supply / logistics &amp; market disruption</x:v>
      </x:c>
      <x:c r="C1049" t="str">
        <x:v>Resource inefficiency (materials/labor/energy)</x:v>
      </x:c>
      <x:c r="D1049" t="str">
        <x:v>Material supply / logistics &amp; market disruption, Resource inefficiency (materials/labor/energy), Unforeseen site/structural issues &amp; rework</x:v>
      </x:c>
      <x:c r="E1049" t="str">
        <x:v>Material supply / logistics &amp; market disruption</x:v>
      </x:c>
      <x:c r="F1049" t="str">
        <x:v>Resource inefficiency (materials/labor/energy)</x:v>
      </x:c>
      <x:c r="G1049" t="str">
        <x:v>Material supply / logistics &amp; market disruption, Resource inefficiency (materials/labor/energy), Weather disruption / environmental constraints</x:v>
      </x:c>
      <x:c r="H1049" t="str">
        <x:v>Cost overrun mainly linked to material supply / logistics &amp; market disruption; schedule overrun mainly linked to material supply / logistics &amp; market disruption.</x:v>
      </x:c>
    </x:row>
    <x:row r="1050">
      <x:c r="A1050" t="str">
        <x:v>PJT_1049</x:v>
      </x:c>
      <x:c r="B1050" t="str">
        <x:v>Unforeseen site/structural issues &amp; rework</x:v>
      </x:c>
      <x:c r="C1050" t="str">
        <x:v>Planning &amp; estimation / coordination complexity</x:v>
      </x:c>
      <x:c r="D1050" t="str">
        <x:v>Unforeseen site/structural issues &amp; rework, Planning &amp; estimation / coordination complexity, Weather disruption / environmental constraints</x:v>
      </x:c>
      <x:c r="E1050" t="str">
        <x:v>Unforeseen site/structural issues &amp; rework</x:v>
      </x:c>
      <x:c r="F1050" t="str">
        <x:v>Weather disruption / environmental constraints</x:v>
      </x:c>
      <x:c r="G1050" t="str">
        <x:v>Unforeseen site/structural issues &amp; rework, Weather disruption / environmental constraints, Planning &amp; estimation / coordination complexity</x:v>
      </x:c>
      <x:c r="H1050" t="str">
        <x:v>Cost overrun mainly linked to unforeseen site/structural issues &amp; rework; schedule overrun mainly linked to unforeseen site/structural issues &amp; rework.</x:v>
      </x:c>
    </x:row>
    <x:row r="1051">
      <x:c r="A1051" t="str">
        <x:v>PJT_1050</x:v>
      </x:c>
      <x:c r="B1051" t="str">
        <x:v>Resource inefficiency (materials/labor/energy)</x:v>
      </x:c>
      <x:c r="C1051" t="str">
        <x:v>Planning &amp; estimation / coordination complexity</x:v>
      </x:c>
      <x:c r="D1051" t="str">
        <x:v>Resource inefficiency (materials/labor/energy), Planning &amp; estimation / coordination complexity, Material supply / logistics &amp; market disruption</x:v>
      </x:c>
      <x:c r="E1051" t="str">
        <x:v>Planning &amp; estimation / coordination complexity</x:v>
      </x:c>
      <x:c r="F1051" t="str">
        <x:v>Resource inefficiency (materials/labor/energy)</x:v>
      </x:c>
      <x:c r="G1051" t="str">
        <x:v>Planning &amp; estimation / coordination complexity, Resource inefficiency (materials/labor/energy), Equipment constraints / low availability</x:v>
      </x:c>
      <x:c r="H1051" t="str">
        <x:v>Cost overrun mainly linked to resource inefficiency (materials/labor/energy); schedule overrun mainly linked to planning &amp; estimation / coordination complexity.</x:v>
      </x:c>
    </x:row>
    <x:row r="1052">
      <x:c r="A1052" t="str">
        <x:v>PJT_1051</x:v>
      </x:c>
      <x:c r="B1052" t="str">
        <x:v>Unforeseen site/structural issues &amp; rework</x:v>
      </x:c>
      <x:c r="C1052" t="str">
        <x:v>Resource inefficiency (materials/labor/energy)</x:v>
      </x:c>
      <x:c r="D1052" t="str">
        <x:v>Unforeseen site/structural issues &amp; rework, Resource inefficiency (materials/labor/energy), Planning &amp; estimation / coordination complexity</x:v>
      </x:c>
      <x:c r="E1052" t="str">
        <x:v>Unforeseen site/structural issues &amp; rework</x:v>
      </x:c>
      <x:c r="F1052" t="str">
        <x:v>Planning &amp; estimation / coordination complexity</x:v>
      </x:c>
      <x:c r="G1052" t="str">
        <x:v>Unforeseen site/structural issues &amp; rework, Planning &amp; estimation / coordination complexity, Resource inefficiency (materials/labor/energy)</x:v>
      </x:c>
      <x:c r="H1052" t="str">
        <x:v>Cost overrun mainly linked to unforeseen site/structural issues &amp; rework; schedule overrun mainly linked to unforeseen site/structural issues &amp; rework.</x:v>
      </x:c>
    </x:row>
    <x:row r="1053">
      <x:c r="A1053" t="str">
        <x:v>PJT_1052</x:v>
      </x:c>
      <x:c r="B1053" t="str">
        <x:v>Weather disruption / environmental constraints</x:v>
      </x:c>
      <x:c r="C1053" t="str">
        <x:v>Material supply / logistics &amp; market disruption</x:v>
      </x:c>
      <x:c r="D1053" t="str">
        <x:v>Weather disruption / environmental constraints, Material supply / logistics &amp; market disruption, Planning &amp; estimation / coordination complexity</x:v>
      </x:c>
      <x:c r="E1053" t="str">
        <x:v>Weather disruption / environmental constraints</x:v>
      </x:c>
      <x:c r="F1053" t="str">
        <x:v>Material supply / logistics &amp; market disruption</x:v>
      </x:c>
      <x:c r="G1053" t="str">
        <x:v>Weather disruption / environmental constraints, Material supply / logistics &amp; market disruption, Planning &amp; estimation / coordination complexity</x:v>
      </x:c>
      <x:c r="H1053" t="str">
        <x:v>Cost overrun mainly linked to weather disruption / environmental constraints; schedule overrun mainly linked to weather disruption / environmental constraints.</x:v>
      </x:c>
    </x:row>
    <x:row r="1054">
      <x:c r="A1054" t="str">
        <x:v>PJT_1053</x:v>
      </x:c>
      <x:c r="B1054" t="str">
        <x:v>Planning &amp; estimation / coordination complexity</x:v>
      </x:c>
      <x:c r="C1054" t="str">
        <x:v>Resource inefficiency (materials/labor/energy)</x:v>
      </x:c>
      <x:c r="D1054" t="str">
        <x:v>Planning &amp; estimation / coordination complexity, Resource inefficiency (materials/labor/energy), Unforeseen site/structural issues &amp; rework</x:v>
      </x:c>
      <x:c r="E1054" t="str">
        <x:v>Planning &amp; estimation / coordination complexity</x:v>
      </x:c>
      <x:c r="F1054" t="str">
        <x:v>Resource inefficiency (materials/labor/energy)</x:v>
      </x:c>
      <x:c r="G1054" t="str">
        <x:v>Planning &amp; estimation / coordination complexity, Resource inefficiency (materials/labor/energy), Unforeseen site/structural issues &amp; rework</x:v>
      </x:c>
      <x:c r="H1054" t="str">
        <x:v>Cost overrun mainly linked to planning &amp; estimation / coordination complexity; schedule overrun mainly linked to planning &amp; estimation / coordination complexity.</x:v>
      </x:c>
    </x:row>
    <x:row r="1055">
      <x:c r="A1055" t="str">
        <x:v>PJT_1054</x:v>
      </x:c>
      <x:c r="B1055" t="str">
        <x:v>Unforeseen site/structural issues &amp; rework</x:v>
      </x:c>
      <x:c r="C1055" t="str">
        <x:v>Weather disruption / environmental constraints</x:v>
      </x:c>
      <x:c r="D1055" t="str">
        <x:v>Unforeseen site/structural issues &amp; rework, Weather disruption / environmental constraints, Planning &amp; estimation / coordination complexity</x:v>
      </x:c>
      <x:c r="E1055" t="str">
        <x:v>Unforeseen site/structural issues &amp; rework</x:v>
      </x:c>
      <x:c r="F1055" t="str">
        <x:v>Weather disruption / environmental constraints</x:v>
      </x:c>
      <x:c r="G1055" t="str">
        <x:v>Unforeseen site/structural issues &amp; rework, Weather disruption / environmental constraints, Planning &amp; estimation / coordination complexity</x:v>
      </x:c>
      <x:c r="H1055" t="str">
        <x:v>Cost overrun mainly linked to unforeseen site/structural issues &amp; rework; schedule overrun mainly linked to unforeseen site/structural issues &amp; rework.</x:v>
      </x:c>
    </x:row>
    <x:row r="1056">
      <x:c r="A1056" t="str">
        <x:v>PJT_1055</x:v>
      </x:c>
      <x:c r="B1056" t="str">
        <x:v>Planning &amp; estimation / coordination complexity</x:v>
      </x:c>
      <x:c r="C1056" t="str">
        <x:v>Resource inefficiency (materials/labor/energy)</x:v>
      </x:c>
      <x:c r="D1056" t="str">
        <x:v>Planning &amp; estimation / coordination complexity, Resource inefficiency (materials/labor/energy), Material supply / logistics &amp; market disruption</x:v>
      </x:c>
      <x:c r="E1056" t="str">
        <x:v>Planning &amp; estimation / coordination complexity</x:v>
      </x:c>
      <x:c r="F1056" t="str">
        <x:v>Resource inefficiency (materials/labor/energy)</x:v>
      </x:c>
      <x:c r="G1056" t="str">
        <x:v>Planning &amp; estimation / coordination complexity, Resource inefficiency (materials/labor/energy), Unforeseen site/structural issues &amp; rework</x:v>
      </x:c>
      <x:c r="H1056" t="str">
        <x:v>Cost overrun mainly linked to planning &amp; estimation / coordination complexity; schedule overrun mainly linked to planning &amp; estimation / coordination complexity.</x:v>
      </x:c>
    </x:row>
    <x:row r="1057">
      <x:c r="A1057" t="str">
        <x:v>PJT_1056</x:v>
      </x:c>
      <x:c r="B1057" t="str">
        <x:v>Planning &amp; estimation / coordination complexity</x:v>
      </x:c>
      <x:c r="C1057" t="str">
        <x:v>Resource inefficiency (materials/labor/energy)</x:v>
      </x:c>
      <x:c r="D1057" t="str">
        <x:v>Planning &amp; estimation / coordination complexity, Resource inefficiency (materials/labor/energy), Equipment constraints / low availability</x:v>
      </x:c>
      <x:c r="E1057" t="str">
        <x:v>Planning &amp; estimation / coordination complexity</x:v>
      </x:c>
      <x:c r="F1057" t="str">
        <x:v>Resource inefficiency (materials/labor/energy)</x:v>
      </x:c>
      <x:c r="G1057" t="str">
        <x:v>Planning &amp; estimation / coordination complexity, Resource inefficiency (materials/labor/energy), Unforeseen site/structural issues &amp; rework</x:v>
      </x:c>
      <x:c r="H1057" t="str">
        <x:v>Cost overrun mainly linked to planning &amp; estimation / coordination complexity; schedule overrun mainly linked to planning &amp; estimation / coordination complexity.</x:v>
      </x:c>
    </x:row>
    <x:row r="1058">
      <x:c r="A1058" t="str">
        <x:v>PJT_1057</x:v>
      </x:c>
      <x:c r="B1058" t="str">
        <x:v>Resource inefficiency (materials/labor/energy)</x:v>
      </x:c>
      <x:c r="C1058" t="str">
        <x:v>Material supply / logistics &amp; market disruption</x:v>
      </x:c>
      <x:c r="D1058" t="str">
        <x:v>Resource inefficiency (materials/labor/energy), Material supply / logistics &amp; market disruption, Planning &amp; estimation / coordination complexity</x:v>
      </x:c>
      <x:c r="E1058" t="str">
        <x:v>Resource inefficiency (materials/labor/energy)</x:v>
      </x:c>
      <x:c r="F1058" t="str">
        <x:v>Planning &amp; estimation / coordination complexity</x:v>
      </x:c>
      <x:c r="G1058" t="str">
        <x:v>Resource inefficiency (materials/labor/energy), Planning &amp; estimation / coordination complexity, Material supply / logistics &amp; market disruption</x:v>
      </x:c>
      <x:c r="H1058" t="str">
        <x:v>Cost overrun mainly linked to resource inefficiency (materials/labor/energy); schedule overrun mainly linked to resource inefficiency (materials/labor/energy).</x:v>
      </x:c>
    </x:row>
    <x:row r="1059">
      <x:c r="A1059" t="str">
        <x:v>PJT_1058</x:v>
      </x:c>
      <x:c r="B1059" t="str">
        <x:v>Equipment constraints / low availability</x:v>
      </x:c>
      <x:c r="C1059" t="str">
        <x:v>Resource inefficiency (materials/labor/energy)</x:v>
      </x:c>
      <x:c r="D1059" t="str">
        <x:v>Equipment constraints / low availability, Resource inefficiency (materials/labor/energy), Planning &amp; estimation / coordination complexity</x:v>
      </x:c>
      <x:c r="E1059" t="str">
        <x:v>Equipment constraints / low availability</x:v>
      </x:c>
      <x:c r="F1059" t="str">
        <x:v>Resource inefficiency (materials/labor/energy)</x:v>
      </x:c>
      <x:c r="G1059" t="str">
        <x:v>Equipment constraints / low availability, Resource inefficiency (materials/labor/energy), Planning &amp; estimation / coordination complexity</x:v>
      </x:c>
      <x:c r="H1059" t="str">
        <x:v>Cost overrun mainly linked to equipment constraints / low availability; schedule overrun mainly linked to equipment constraints / low availability.</x:v>
      </x:c>
    </x:row>
    <x:row r="1060">
      <x:c r="A1060" t="str">
        <x:v>PJT_1059</x:v>
      </x:c>
      <x:c r="B1060" t="str">
        <x:v>Resource inefficiency (materials/labor/energy)</x:v>
      </x:c>
      <x:c r="C1060" t="str">
        <x:v>Material supply / logistics &amp; market disruption</x:v>
      </x:c>
      <x:c r="D1060" t="str">
        <x:v>Resource inefficiency (materials/labor/energy), Material supply / logistics &amp; market disruption, Planning &amp; estimation / coordination complexity</x:v>
      </x:c>
      <x:c r="E1060" t="str">
        <x:v>Resource inefficiency (materials/labor/energy)</x:v>
      </x:c>
      <x:c r="F1060" t="str">
        <x:v>Planning &amp; estimation / coordination complexity</x:v>
      </x:c>
      <x:c r="G1060" t="str">
        <x:v>Resource inefficiency (materials/labor/energy), Planning &amp; estimation / coordination complexity, Material supply / logistics &amp; market disruption</x:v>
      </x:c>
      <x:c r="H1060" t="str">
        <x:v>Cost overrun mainly linked to resource inefficiency (materials/labor/energy); schedule overrun mainly linked to resource inefficiency (materials/labor/energy).</x:v>
      </x:c>
    </x:row>
    <x:row r="1061">
      <x:c r="A1061" t="str">
        <x:v>PJT_1060</x:v>
      </x:c>
      <x:c r="B1061" t="str">
        <x:v>Unforeseen site/structural issues &amp; rework</x:v>
      </x:c>
      <x:c r="C1061" t="str">
        <x:v>Planning &amp; estimation / coordination complexity</x:v>
      </x:c>
      <x:c r="D1061" t="str">
        <x:v>Unforeseen site/structural issues &amp; rework, Planning &amp; estimation / coordination complexity, Equipment constraints / low availability</x:v>
      </x:c>
      <x:c r="E1061" t="str">
        <x:v>Unforeseen site/structural issues &amp; rework</x:v>
      </x:c>
      <x:c r="F1061" t="str">
        <x:v>Planning &amp; estimation / coordination complexity</x:v>
      </x:c>
      <x:c r="G1061" t="str">
        <x:v>Unforeseen site/structural issues &amp; rework, Planning &amp; estimation / coordination complexity, Equipment constraints / low availability</x:v>
      </x:c>
      <x:c r="H1061" t="str">
        <x:v>Cost overrun mainly linked to unforeseen site/structural issues &amp; rework; schedule overrun mainly linked to unforeseen site/structural issues &amp; rework.</x:v>
      </x:c>
    </x:row>
    <x:row r="1062">
      <x:c r="A1062" t="str">
        <x:v>PJT_1061</x:v>
      </x:c>
      <x:c r="B1062" t="str">
        <x:v>Equipment constraints / low availability</x:v>
      </x:c>
      <x:c r="C1062" t="str">
        <x:v>Resource inefficiency (materials/labor/energy)</x:v>
      </x:c>
      <x:c r="D1062" t="str">
        <x:v>Equipment constraints / low availability, Resource inefficiency (materials/labor/energy), Material supply / logistics &amp; market disruption</x:v>
      </x:c>
      <x:c r="E1062" t="str">
        <x:v>Resource inefficiency (materials/labor/energy)</x:v>
      </x:c>
      <x:c r="F1062" t="str">
        <x:v>Equipment constraints / low availability</x:v>
      </x:c>
      <x:c r="G1062" t="str">
        <x:v>Resource inefficiency (materials/labor/energy), Equipment constraints / low availability, Material supply / logistics &amp; market disruption</x:v>
      </x:c>
      <x:c r="H1062" t="str">
        <x:v>Cost overrun mainly linked to equipment constraints / low availability; schedule overrun mainly linked to resource inefficiency (materials/labor/energy).</x:v>
      </x:c>
    </x:row>
    <x:row r="1063">
      <x:c r="A1063" t="str">
        <x:v>PJT_1062</x:v>
      </x:c>
      <x:c r="B1063" t="str">
        <x:v>Resource inefficiency (materials/labor/energy)</x:v>
      </x:c>
      <x:c r="C1063" t="str">
        <x:v>Material supply / logistics &amp; market disruption</x:v>
      </x:c>
      <x:c r="D1063" t="str">
        <x:v>Resource inefficiency (materials/labor/energy), Material supply / logistics &amp; market disruption, Planning &amp; estimation / coordination complexity</x:v>
      </x:c>
      <x:c r="E1063" t="str">
        <x:v>Resource inefficiency (materials/labor/energy)</x:v>
      </x:c>
      <x:c r="F1063" t="str">
        <x:v>Material supply / logistics &amp; market disruption</x:v>
      </x:c>
      <x:c r="G1063" t="str">
        <x:v>Resource inefficiency (materials/labor/energy), Material supply / logistics &amp; market disruption, Planning &amp; estimation / coordination complexity</x:v>
      </x:c>
      <x:c r="H1063" t="str">
        <x:v>Cost overrun mainly linked to resource inefficiency (materials/labor/energy); schedule overrun mainly linked to resource inefficiency (materials/labor/energy).</x:v>
      </x:c>
    </x:row>
    <x:row r="1064">
      <x:c r="A1064" t="str">
        <x:v>PJT_1063</x:v>
      </x:c>
      <x:c r="B1064" t="str">
        <x:v>Unforeseen site/structural issues &amp; rework</x:v>
      </x:c>
      <x:c r="C1064" t="str">
        <x:v>Weather disruption / environmental constraints</x:v>
      </x:c>
      <x:c r="D1064" t="str">
        <x:v>Unforeseen site/structural issues &amp; rework, Weather disruption / environmental constraints, Planning &amp; estimation / coordination complexity</x:v>
      </x:c>
      <x:c r="E1064" t="str">
        <x:v>Unforeseen site/structural issues &amp; rework</x:v>
      </x:c>
      <x:c r="F1064" t="str">
        <x:v>Planning &amp; estimation / coordination complexity</x:v>
      </x:c>
      <x:c r="G1064" t="str">
        <x:v>Unforeseen site/structural issues &amp; rework, Planning &amp; estimation / coordination complexity, Weather disruption / environmental constraints</x:v>
      </x:c>
      <x:c r="H1064" t="str">
        <x:v>Cost overrun mainly linked to unforeseen site/structural issues &amp; rework; schedule overrun mainly linked to unforeseen site/structural issues &amp; rework.</x:v>
      </x:c>
    </x:row>
    <x:row r="1065">
      <x:c r="A1065" t="str">
        <x:v>PJT_1064</x:v>
      </x:c>
      <x:c r="B1065" t="str">
        <x:v>Resource inefficiency (materials/labor/energy)</x:v>
      </x:c>
      <x:c r="C1065" t="str">
        <x:v>Planning &amp; estimation / coordination complexity</x:v>
      </x:c>
      <x:c r="D1065" t="str">
        <x:v>Resource inefficiency (materials/labor/energy), Planning &amp; estimation / coordination complexity, Material supply / logistics &amp; market disruption</x:v>
      </x:c>
      <x:c r="E1065" t="str">
        <x:v>Resource inefficiency (materials/labor/energy)</x:v>
      </x:c>
      <x:c r="F1065" t="str">
        <x:v>Planning &amp; estimation / coordination complexity</x:v>
      </x:c>
      <x:c r="G1065" t="str">
        <x:v>Resource inefficiency (materials/labor/energy), Planning &amp; estimation / coordination complexity, Equipment constraints / low availability</x:v>
      </x:c>
      <x:c r="H1065" t="str">
        <x:v>Cost overrun mainly linked to resource inefficiency (materials/labor/energy); schedule overrun mainly linked to resource inefficiency (materials/labor/energy).</x:v>
      </x:c>
    </x:row>
    <x:row r="1066">
      <x:c r="A1066" t="str">
        <x:v>PJT_1065</x:v>
      </x:c>
      <x:c r="B1066" t="str">
        <x:v>Equipment constraints / low availability</x:v>
      </x:c>
      <x:c r="C1066" t="str">
        <x:v>Resource inefficiency (materials/labor/energy)</x:v>
      </x:c>
      <x:c r="D1066" t="str">
        <x:v>Equipment constraints / low availability, Resource inefficiency (materials/labor/energy), Planning &amp; estimation / coordination complexity</x:v>
      </x:c>
      <x:c r="E1066" t="str">
        <x:v>Equipment constraints / low availability</x:v>
      </x:c>
      <x:c r="F1066" t="str">
        <x:v>Resource inefficiency (materials/labor/energy)</x:v>
      </x:c>
      <x:c r="G1066" t="str">
        <x:v>Equipment constraints / low availability, Resource inefficiency (materials/labor/energy), Planning &amp; estimation / coordination complexity</x:v>
      </x:c>
      <x:c r="H1066" t="str">
        <x:v>Cost overrun mainly linked to equipment constraints / low availability; schedule overrun mainly linked to equipment constraints / low availability.</x:v>
      </x:c>
    </x:row>
    <x:row r="1067">
      <x:c r="A1067" t="str">
        <x:v>PJT_1066</x:v>
      </x:c>
      <x:c r="B1067" t="str">
        <x:v>Planning &amp; estimation / coordination complexity</x:v>
      </x:c>
      <x:c r="C1067" t="str">
        <x:v>Equipment constraints / low availability</x:v>
      </x:c>
      <x:c r="D1067" t="str">
        <x:v>Planning &amp; estimation / coordination complexity, Equipment constraints / low availability, Resource inefficiency (materials/labor/energy)</x:v>
      </x:c>
      <x:c r="E1067" t="str">
        <x:v>Planning &amp; estimation / coordination complexity</x:v>
      </x:c>
      <x:c r="F1067" t="str">
        <x:v>Equipment constraints / low availability</x:v>
      </x:c>
      <x:c r="G1067" t="str">
        <x:v>Planning &amp; estimation / coordination complexity, Equipment constraints / low availability, Resource inefficiency (materials/labor/energy)</x:v>
      </x:c>
      <x:c r="H1067" t="str">
        <x:v>Cost overrun mainly linked to planning &amp; estimation / coordination complexity; schedule overrun mainly linked to planning &amp; estimation / coordination complexity.</x:v>
      </x:c>
    </x:row>
    <x:row r="1068">
      <x:c r="A1068" t="str">
        <x:v>PJT_1067</x:v>
      </x:c>
      <x:c r="B1068" t="str">
        <x:v>Unforeseen site/structural issues &amp; rework</x:v>
      </x:c>
      <x:c r="C1068" t="str">
        <x:v>Planning &amp; estimation / coordination complexity</x:v>
      </x:c>
      <x:c r="D1068" t="str">
        <x:v>Unforeseen site/structural issues &amp; rework, Planning &amp; estimation / coordination complexity, Equipment constraints / low availability</x:v>
      </x:c>
      <x:c r="E1068" t="str">
        <x:v>Unforeseen site/structural issues &amp; rework</x:v>
      </x:c>
      <x:c r="F1068" t="str">
        <x:v>Planning &amp; estimation / coordination complexity</x:v>
      </x:c>
      <x:c r="G1068" t="str">
        <x:v>Unforeseen site/structural issues &amp; rework, Planning &amp; estimation / coordination complexity, Equipment constraints / low availability</x:v>
      </x:c>
      <x:c r="H1068" t="str">
        <x:v>Cost overrun mainly linked to unforeseen site/structural issues &amp; rework; schedule overrun mainly linked to unforeseen site/structural issues &amp; rework.</x:v>
      </x:c>
    </x:row>
    <x:row r="1069">
      <x:c r="A1069" t="str">
        <x:v>PJT_1068</x:v>
      </x:c>
      <x:c r="B1069" t="str">
        <x:v>Resource inefficiency (materials/labor/energy)</x:v>
      </x:c>
      <x:c r="C1069" t="str">
        <x:v>Planning &amp; estimation / coordination complexity</x:v>
      </x:c>
      <x:c r="D1069" t="str">
        <x:v>Resource inefficiency (materials/labor/energy), Planning &amp; estimation / coordination complexity, Equipment constraints / low availability</x:v>
      </x:c>
      <x:c r="E1069" t="str">
        <x:v>Resource inefficiency (materials/labor/energy)</x:v>
      </x:c>
      <x:c r="F1069" t="str">
        <x:v>Planning &amp; estimation / coordination complexity</x:v>
      </x:c>
      <x:c r="G1069" t="str">
        <x:v>Resource inefficiency (materials/labor/energy), Planning &amp; estimation / coordination complexity, Equipment constraints / low availability</x:v>
      </x:c>
      <x:c r="H1069" t="str">
        <x:v>Cost overrun mainly linked to resource inefficiency (materials/labor/energy); schedule overrun mainly linked to resource inefficiency (materials/labor/energy).</x:v>
      </x:c>
    </x:row>
    <x:row r="1070">
      <x:c r="A1070" t="str">
        <x:v>PJT_1069</x:v>
      </x:c>
      <x:c r="B1070" t="str">
        <x:v>Resource inefficiency (materials/labor/energy)</x:v>
      </x:c>
      <x:c r="C1070" t="str">
        <x:v>Material supply / logistics &amp; market disruption</x:v>
      </x:c>
      <x:c r="D1070" t="str">
        <x:v>Resource inefficiency (materials/labor/energy), Material supply / logistics &amp; market disruption, Equipment constraints / low availability</x:v>
      </x:c>
      <x:c r="E1070" t="str">
        <x:v>Resource inefficiency (materials/labor/energy)</x:v>
      </x:c>
      <x:c r="F1070" t="str">
        <x:v>Equipment constraints / low availability</x:v>
      </x:c>
      <x:c r="G1070" t="str">
        <x:v>Resource inefficiency (materials/labor/energy), Equipment constraints / low availability, Material supply / logistics &amp; market disruption</x:v>
      </x:c>
      <x:c r="H1070" t="str">
        <x:v>Cost overrun mainly linked to resource inefficiency (materials/labor/energy); schedule overrun mainly linked to resource inefficiency (materials/labor/energy).</x:v>
      </x:c>
    </x:row>
    <x:row r="1071">
      <x:c r="A1071" t="str">
        <x:v>PJT_1070</x:v>
      </x:c>
      <x:c r="B1071" t="str">
        <x:v>Material supply / logistics &amp; market disruption</x:v>
      </x:c>
      <x:c r="C1071" t="str">
        <x:v>Planning &amp; estimation / coordination complexity</x:v>
      </x:c>
      <x:c r="D1071" t="str">
        <x:v>Material supply / logistics &amp; market disruption, Planning &amp; estimation / coordination complexity, Unforeseen site/structural issues &amp; rework</x:v>
      </x:c>
      <x:c r="E1071" t="str">
        <x:v>Unforeseen site/structural issues &amp; rework</x:v>
      </x:c>
      <x:c r="F1071" t="str">
        <x:v>Planning &amp; estimation / coordination complexity</x:v>
      </x:c>
      <x:c r="G1071" t="str">
        <x:v>Unforeseen site/structural issues &amp; rework, Planning &amp; estimation / coordination complexity, Material supply / logistics &amp; market disruption</x:v>
      </x:c>
      <x:c r="H1071" t="str">
        <x:v>Cost overrun mainly linked to material supply / logistics &amp; market disruption; schedule overrun mainly linked to unforeseen site/structural issues &amp; rework.</x:v>
      </x:c>
    </x:row>
    <x:row r="1072">
      <x:c r="A1072" t="str">
        <x:v>PJT_1071</x:v>
      </x:c>
      <x:c r="B1072" t="str">
        <x:v>Unforeseen site/structural issues &amp; rework</x:v>
      </x:c>
      <x:c r="C1072" t="str">
        <x:v>Weather disruption / environmental constraints</x:v>
      </x:c>
      <x:c r="D1072" t="str">
        <x:v>Unforeseen site/structural issues &amp; rework, Weather disruption / environmental constraints, Material supply / logistics &amp; market disruption</x:v>
      </x:c>
      <x:c r="E1072" t="str">
        <x:v>Unforeseen site/structural issues &amp; rework</x:v>
      </x:c>
      <x:c r="F1072" t="str">
        <x:v>Weather disruption / environmental constraints</x:v>
      </x:c>
      <x:c r="G1072" t="str">
        <x:v>Unforeseen site/structural issues &amp; rework, Weather disruption / environmental constraints, Material supply / logistics &amp; market disruption</x:v>
      </x:c>
      <x:c r="H1072" t="str">
        <x:v>Cost overrun mainly linked to unforeseen site/structural issues &amp; rework; schedule overrun mainly linked to unforeseen site/structural issues &amp; rework.</x:v>
      </x:c>
    </x:row>
    <x:row r="1073">
      <x:c r="A1073" t="str">
        <x:v>PJT_1072</x:v>
      </x:c>
      <x:c r="B1073" t="str">
        <x:v>Planning &amp; estimation / coordination complexity</x:v>
      </x:c>
      <x:c r="C1073" t="str">
        <x:v>Weather disruption / environmental constraints</x:v>
      </x:c>
      <x:c r="D1073" t="str">
        <x:v>Planning &amp; estimation / coordination complexity, Weather disruption / environmental constraints, Unforeseen site/structural issues &amp; rework</x:v>
      </x:c>
      <x:c r="E1073" t="str">
        <x:v>Planning &amp; estimation / coordination complexity</x:v>
      </x:c>
      <x:c r="F1073" t="str">
        <x:v>Unforeseen site/structural issues &amp; rework</x:v>
      </x:c>
      <x:c r="G1073" t="str">
        <x:v>Planning &amp; estimation / coordination complexity, Unforeseen site/structural issues &amp; rework, Weather disruption / environmental constraints</x:v>
      </x:c>
      <x:c r="H1073" t="str">
        <x:v>Cost overrun mainly linked to planning &amp; estimation / coordination complexity; schedule overrun mainly linked to planning &amp; estimation / coordination complexity.</x:v>
      </x:c>
    </x:row>
    <x:row r="1074">
      <x:c r="A1074" t="str">
        <x:v>PJT_1073</x:v>
      </x:c>
      <x:c r="B1074" t="str">
        <x:v>Planning &amp; estimation / coordination complexity</x:v>
      </x:c>
      <x:c r="C1074" t="str">
        <x:v>Resource inefficiency (materials/labor/energy)</x:v>
      </x:c>
      <x:c r="D1074" t="str">
        <x:v>Planning &amp; estimation / coordination complexity, Resource inefficiency (materials/labor/energy), Equipment constraints / low availability</x:v>
      </x:c>
      <x:c r="E1074" t="str">
        <x:v>Planning &amp; estimation / coordination complexity</x:v>
      </x:c>
      <x:c r="F1074" t="str">
        <x:v>Resource inefficiency (materials/labor/energy)</x:v>
      </x:c>
      <x:c r="G1074" t="str">
        <x:v>Planning &amp; estimation / coordination complexity, Resource inefficiency (materials/labor/energy), Equipment constraints / low availability</x:v>
      </x:c>
      <x:c r="H1074" t="str">
        <x:v>Cost overrun mainly linked to planning &amp; estimation / coordination complexity; schedule overrun mainly linked to planning &amp; estimation / coordination complexity.</x:v>
      </x:c>
    </x:row>
    <x:row r="1075">
      <x:c r="A1075" t="str">
        <x:v>PJT_1074</x:v>
      </x:c>
      <x:c r="B1075" t="str">
        <x:v>Material supply / logistics &amp; market disruption</x:v>
      </x:c>
      <x:c r="C1075" t="str">
        <x:v>Resource inefficiency (materials/labor/energy)</x:v>
      </x:c>
      <x:c r="D1075" t="str">
        <x:v>Material supply / logistics &amp; market disruption, Resource inefficiency (materials/labor/energy), Weather disruption / environmental constraints</x:v>
      </x:c>
      <x:c r="E1075" t="str">
        <x:v>Material supply / logistics &amp; market disruption</x:v>
      </x:c>
      <x:c r="F1075" t="str">
        <x:v>Resource inefficiency (materials/labor/energy)</x:v>
      </x:c>
      <x:c r="G1075" t="str">
        <x:v>Material supply / logistics &amp; market disruption, Resource inefficiency (materials/labor/energy), Weather disruption / environmental constraints</x:v>
      </x:c>
      <x:c r="H1075" t="str">
        <x:v>Cost overrun mainly linked to material supply / logistics &amp; market disruption; schedule overrun mainly linked to material supply / logistics &amp; market disruption.</x:v>
      </x:c>
    </x:row>
    <x:row r="1076">
      <x:c r="A1076" t="str">
        <x:v>PJT_1075</x:v>
      </x:c>
      <x:c r="B1076" t="str">
        <x:v>Resource inefficiency (materials/labor/energy)</x:v>
      </x:c>
      <x:c r="C1076" t="str">
        <x:v>Material supply / logistics &amp; market disruption</x:v>
      </x:c>
      <x:c r="D1076" t="str">
        <x:v>Resource inefficiency (materials/labor/energy), Material supply / logistics &amp; market disruption, Equipment constraints / low availability</x:v>
      </x:c>
      <x:c r="E1076" t="str">
        <x:v>Resource inefficiency (materials/labor/energy)</x:v>
      </x:c>
      <x:c r="F1076" t="str">
        <x:v>Equipment constraints / low availability</x:v>
      </x:c>
      <x:c r="G1076" t="str">
        <x:v>Resource inefficiency (materials/labor/energy), Equipment constraints / low availability, Planning &amp; estimation / coordination complexity</x:v>
      </x:c>
      <x:c r="H1076" t="str">
        <x:v>Cost overrun mainly linked to resource inefficiency (materials/labor/energy); schedule overrun mainly linked to resource inefficiency (materials/labor/energy).</x:v>
      </x:c>
    </x:row>
    <x:row r="1077">
      <x:c r="A1077" t="str">
        <x:v>PJT_1076</x:v>
      </x:c>
      <x:c r="B1077" t="str">
        <x:v>Planning &amp; estimation / coordination complexity</x:v>
      </x:c>
      <x:c r="C1077" t="str">
        <x:v>Unforeseen site/structural issues &amp; rework</x:v>
      </x:c>
      <x:c r="D1077" t="str">
        <x:v>Planning &amp; estimation / coordination complexity, Unforeseen site/structural issues &amp; rework, Material supply / logistics &amp; market disruption</x:v>
      </x:c>
      <x:c r="E1077" t="str">
        <x:v>Planning &amp; estimation / coordination complexity</x:v>
      </x:c>
      <x:c r="F1077" t="str">
        <x:v>Unforeseen site/structural issues &amp; rework</x:v>
      </x:c>
      <x:c r="G1077" t="str">
        <x:v>Planning &amp; estimation / coordination complexity, Unforeseen site/structural issues &amp; rework, Material supply / logistics &amp; market disruption</x:v>
      </x:c>
      <x:c r="H1077" t="str">
        <x:v>Cost overrun mainly linked to planning &amp; estimation / coordination complexity; schedule overrun mainly linked to planning &amp; estimation / coordination complexity.</x:v>
      </x:c>
    </x:row>
    <x:row r="1078">
      <x:c r="A1078" t="str">
        <x:v>PJT_1077</x:v>
      </x:c>
      <x:c r="B1078" t="str">
        <x:v>Resource inefficiency (materials/labor/energy)</x:v>
      </x:c>
      <x:c r="C1078" t="str">
        <x:v>Equipment constraints / low availability</x:v>
      </x:c>
      <x:c r="D1078" t="str">
        <x:v>Resource inefficiency (materials/labor/energy), Equipment constraints / low availability, Planning &amp; estimation / coordination complexity</x:v>
      </x:c>
      <x:c r="E1078" t="str">
        <x:v>Resource inefficiency (materials/labor/energy)</x:v>
      </x:c>
      <x:c r="F1078" t="str">
        <x:v>Equipment constraints / low availability</x:v>
      </x:c>
      <x:c r="G1078" t="str">
        <x:v>Resource inefficiency (materials/labor/energy), Equipment constraints / low availability, Planning &amp; estimation / coordination complexity</x:v>
      </x:c>
      <x:c r="H1078" t="str">
        <x:v>Cost overrun mainly linked to resource inefficiency (materials/labor/energy); schedule overrun mainly linked to resource inefficiency (materials/labor/energy).</x:v>
      </x:c>
    </x:row>
    <x:row r="1079">
      <x:c r="A1079" t="str">
        <x:v>PJT_1078</x:v>
      </x:c>
      <x:c r="B1079" t="str">
        <x:v>Equipment constraints / low availability</x:v>
      </x:c>
      <x:c r="C1079" t="str">
        <x:v>Resource inefficiency (materials/labor/energy)</x:v>
      </x:c>
      <x:c r="D1079" t="str">
        <x:v>Equipment constraints / low availability, Resource inefficiency (materials/labor/energy), Planning &amp; estimation / coordination complexity</x:v>
      </x:c>
      <x:c r="E1079" t="str">
        <x:v>Equipment constraints / low availability</x:v>
      </x:c>
      <x:c r="F1079" t="str">
        <x:v>Resource inefficiency (materials/labor/energy)</x:v>
      </x:c>
      <x:c r="G1079" t="str">
        <x:v>Equipment constraints / low availability, Resource inefficiency (materials/labor/energy), Planning &amp; estimation / coordination complexity</x:v>
      </x:c>
      <x:c r="H1079" t="str">
        <x:v>Cost overrun mainly linked to equipment constraints / low availability; schedule overrun mainly linked to equipment constraints / low availability.</x:v>
      </x:c>
    </x:row>
    <x:row r="1080">
      <x:c r="A1080" t="str">
        <x:v>PJT_1079</x:v>
      </x:c>
      <x:c r="B1080" t="str">
        <x:v>Resource inefficiency (materials/labor/energy)</x:v>
      </x:c>
      <x:c r="C1080" t="str">
        <x:v>Equipment constraints / low availability</x:v>
      </x:c>
      <x:c r="D1080" t="str">
        <x:v>Resource inefficiency (materials/labor/energy), Equipment constraints / low availability, Planning &amp; estimation / coordination complexity</x:v>
      </x:c>
      <x:c r="E1080" t="str">
        <x:v>Resource inefficiency (materials/labor/energy)</x:v>
      </x:c>
      <x:c r="F1080" t="str">
        <x:v>Planning &amp; estimation / coordination complexity</x:v>
      </x:c>
      <x:c r="G1080" t="str">
        <x:v>Resource inefficiency (materials/labor/energy), Planning &amp; estimation / coordination complexity, Equipment constraints / low availability</x:v>
      </x:c>
      <x:c r="H1080" t="str">
        <x:v>Cost overrun mainly linked to resource inefficiency (materials/labor/energy); schedule overrun mainly linked to resource inefficiency (materials/labor/energy).</x:v>
      </x:c>
    </x:row>
    <x:row r="1081">
      <x:c r="A1081" t="str">
        <x:v>PJT_1080</x:v>
      </x:c>
      <x:c r="B1081" t="str">
        <x:v>Equipment constraints / low availability</x:v>
      </x:c>
      <x:c r="C1081" t="str">
        <x:v>Planning &amp; estimation / coordination complexity</x:v>
      </x:c>
      <x:c r="D1081" t="str">
        <x:v>Equipment constraints / low availability, Planning &amp; estimation / coordination complexity, Resource inefficiency (materials/labor/energy)</x:v>
      </x:c>
      <x:c r="E1081" t="str">
        <x:v>Equipment constraints / low availability</x:v>
      </x:c>
      <x:c r="F1081" t="str">
        <x:v>Resource inefficiency (materials/labor/energy)</x:v>
      </x:c>
      <x:c r="G1081" t="str">
        <x:v>Equipment constraints / low availability, Resource inefficiency (materials/labor/energy), Planning &amp; estimation / coordination complexity</x:v>
      </x:c>
      <x:c r="H1081" t="str">
        <x:v>Cost overrun mainly linked to equipment constraints / low availability; schedule overrun mainly linked to equipment constraints / low availability.</x:v>
      </x:c>
    </x:row>
    <x:row r="1082">
      <x:c r="A1082" t="str">
        <x:v>PJT_1081</x:v>
      </x:c>
      <x:c r="B1082" t="str">
        <x:v>Unforeseen site/structural issues &amp; rework</x:v>
      </x:c>
      <x:c r="C1082" t="str">
        <x:v>Equipment constraints / low availability</x:v>
      </x:c>
      <x:c r="D1082" t="str">
        <x:v>Unforeseen site/structural issues &amp; rework, Equipment constraints / low availability, Resource inefficiency (materials/labor/energy)</x:v>
      </x:c>
      <x:c r="E1082" t="str">
        <x:v>Unforeseen site/structural issues &amp; rework</x:v>
      </x:c>
      <x:c r="F1082" t="str">
        <x:v>Equipment constraints / low availability</x:v>
      </x:c>
      <x:c r="G1082" t="str">
        <x:v>Unforeseen site/structural issues &amp; rework, Equipment constraints / low availability, Resource inefficiency (materials/labor/energy)</x:v>
      </x:c>
      <x:c r="H1082" t="str">
        <x:v>Cost overrun mainly linked to unforeseen site/structural issues &amp; rework; schedule overrun mainly linked to unforeseen site/structural issues &amp; rework.</x:v>
      </x:c>
    </x:row>
    <x:row r="1083">
      <x:c r="A1083" t="str">
        <x:v>PJT_1082</x:v>
      </x:c>
      <x:c r="B1083" t="str">
        <x:v>Weather disruption / environmental constraints</x:v>
      </x:c>
      <x:c r="C1083" t="str">
        <x:v>Unforeseen site/structural issues &amp; rework</x:v>
      </x:c>
      <x:c r="D1083" t="str">
        <x:v>Weather disruption / environmental constraints, Unforeseen site/structural issues &amp; rework, Equipment constraints / low availability</x:v>
      </x:c>
      <x:c r="E1083" t="str">
        <x:v>Weather disruption / environmental constraints</x:v>
      </x:c>
      <x:c r="F1083" t="str">
        <x:v>Unforeseen site/structural issues &amp; rework</x:v>
      </x:c>
      <x:c r="G1083" t="str">
        <x:v>Weather disruption / environmental constraints, Unforeseen site/structural issues &amp; rework, Equipment constraints / low availability</x:v>
      </x:c>
      <x:c r="H1083" t="str">
        <x:v>Cost overrun mainly linked to weather disruption / environmental constraints; schedule overrun mainly linked to weather disruption / environmental constraints.</x:v>
      </x:c>
    </x:row>
    <x:row r="1084">
      <x:c r="A1084" t="str">
        <x:v>PJT_1083</x:v>
      </x:c>
      <x:c r="B1084" t="str">
        <x:v>Unforeseen site/structural issues &amp; rework</x:v>
      </x:c>
      <x:c r="C1084" t="str">
        <x:v>Planning &amp; estimation / coordination complexity</x:v>
      </x:c>
      <x:c r="D1084" t="str">
        <x:v>Unforeseen site/structural issues &amp; rework, Planning &amp; estimation / coordination complexity, Equipment constraints / low availability</x:v>
      </x:c>
      <x:c r="E1084" t="str">
        <x:v>Unforeseen site/structural issues &amp; rework</x:v>
      </x:c>
      <x:c r="F1084" t="str">
        <x:v>Planning &amp; estimation / coordination complexity</x:v>
      </x:c>
      <x:c r="G1084" t="str">
        <x:v>Unforeseen site/structural issues &amp; rework, Planning &amp; estimation / coordination complexity, Equipment constraints / low availability</x:v>
      </x:c>
      <x:c r="H1084" t="str">
        <x:v>Cost overrun mainly linked to unforeseen site/structural issues &amp; rework; schedule overrun mainly linked to unforeseen site/structural issues &amp; rework.</x:v>
      </x:c>
    </x:row>
    <x:row r="1085">
      <x:c r="A1085" t="str">
        <x:v>PJT_1084</x:v>
      </x:c>
      <x:c r="B1085" t="str">
        <x:v>Resource inefficiency (materials/labor/energy)</x:v>
      </x:c>
      <x:c r="C1085" t="str">
        <x:v>Material supply / logistics &amp; market disruption</x:v>
      </x:c>
      <x:c r="D1085" t="str">
        <x:v>Resource inefficiency (materials/labor/energy), Material supply / logistics &amp; market disruption, Equipment constraints / low availability</x:v>
      </x:c>
      <x:c r="E1085" t="str">
        <x:v>Resource inefficiency (materials/labor/energy)</x:v>
      </x:c>
      <x:c r="F1085" t="str">
        <x:v>Equipment constraints / low availability</x:v>
      </x:c>
      <x:c r="G1085" t="str">
        <x:v>Resource inefficiency (materials/labor/energy), Equipment constraints / low availability, Material supply / logistics &amp; market disruption</x:v>
      </x:c>
      <x:c r="H1085" t="str">
        <x:v>Cost overrun mainly linked to resource inefficiency (materials/labor/energy); schedule overrun mainly linked to resource inefficiency (materials/labor/energy).</x:v>
      </x:c>
    </x:row>
    <x:row r="1086">
      <x:c r="A1086" t="str">
        <x:v>PJT_1085</x:v>
      </x:c>
      <x:c r="B1086" t="str">
        <x:v>Resource inefficiency (materials/labor/energy)</x:v>
      </x:c>
      <x:c r="C1086" t="str">
        <x:v>Material supply / logistics &amp; market disruption</x:v>
      </x:c>
      <x:c r="D1086" t="str">
        <x:v>Resource inefficiency (materials/labor/energy), Material supply / logistics &amp; market disruption, Equipment constraints / low availability</x:v>
      </x:c>
      <x:c r="E1086" t="str">
        <x:v>Resource inefficiency (materials/labor/energy)</x:v>
      </x:c>
      <x:c r="F1086" t="str">
        <x:v>Material supply / logistics &amp; market disruption</x:v>
      </x:c>
      <x:c r="G1086" t="str">
        <x:v>Resource inefficiency (materials/labor/energy), Material supply / logistics &amp; market disruption, Equipment constraints / low availability</x:v>
      </x:c>
      <x:c r="H1086" t="str">
        <x:v>Cost overrun mainly linked to resource inefficiency (materials/labor/energy); schedule overrun mainly linked to resource inefficiency (materials/labor/energy).</x:v>
      </x:c>
    </x:row>
    <x:row r="1087">
      <x:c r="A1087" t="str">
        <x:v>PJT_1086</x:v>
      </x:c>
      <x:c r="B1087" t="str">
        <x:v>Equipment constraints / low availability</x:v>
      </x:c>
      <x:c r="C1087" t="str">
        <x:v>Resource inefficiency (materials/labor/energy)</x:v>
      </x:c>
      <x:c r="D1087" t="str">
        <x:v>Equipment constraints / low availability, Resource inefficiency (materials/labor/energy), Material supply / logistics &amp; market disruption</x:v>
      </x:c>
      <x:c r="E1087" t="str">
        <x:v>Equipment constraints / low availability</x:v>
      </x:c>
      <x:c r="F1087" t="str">
        <x:v>Resource inefficiency (materials/labor/energy)</x:v>
      </x:c>
      <x:c r="G1087" t="str">
        <x:v>Equipment constraints / low availability, Resource inefficiency (materials/labor/energy), Material supply / logistics &amp; market disruption</x:v>
      </x:c>
      <x:c r="H1087" t="str">
        <x:v>Cost overrun mainly linked to equipment constraints / low availability; schedule overrun mainly linked to equipment constraints / low availability.</x:v>
      </x:c>
    </x:row>
    <x:row r="1088">
      <x:c r="A1088" t="str">
        <x:v>PJT_1087</x:v>
      </x:c>
      <x:c r="B1088" t="str">
        <x:v>Planning &amp; estimation / coordination complexity</x:v>
      </x:c>
      <x:c r="C1088" t="str">
        <x:v>Unforeseen site/structural issues &amp; rework</x:v>
      </x:c>
      <x:c r="D1088" t="str">
        <x:v>Planning &amp; estimation / coordination complexity, Unforeseen site/structural issues &amp; rework, Material supply / logistics &amp; market disruption</x:v>
      </x:c>
      <x:c r="E1088" t="str">
        <x:v>Planning &amp; estimation / coordination complexity</x:v>
      </x:c>
      <x:c r="F1088" t="str">
        <x:v>Unforeseen site/structural issues &amp; rework</x:v>
      </x:c>
      <x:c r="G1088" t="str">
        <x:v>Planning &amp; estimation / coordination complexity, Unforeseen site/structural issues &amp; rework, Material supply / logistics &amp; market disruption</x:v>
      </x:c>
      <x:c r="H1088" t="str">
        <x:v>Cost overrun mainly linked to planning &amp; estimation / coordination complexity; schedule overrun mainly linked to planning &amp; estimation / coordination complexity.</x:v>
      </x:c>
    </x:row>
    <x:row r="1089">
      <x:c r="A1089" t="str">
        <x:v>PJT_1088</x:v>
      </x:c>
      <x:c r="B1089" t="str">
        <x:v>Unforeseen site/structural issues &amp; rework</x:v>
      </x:c>
      <x:c r="C1089" t="str">
        <x:v>Weather disruption / environmental constraints</x:v>
      </x:c>
      <x:c r="D1089" t="str">
        <x:v>Unforeseen site/structural issues &amp; rework, Weather disruption / environmental constraints, Planning &amp; estimation / coordination complexity</x:v>
      </x:c>
      <x:c r="E1089" t="str">
        <x:v>Unforeseen site/structural issues &amp; rework</x:v>
      </x:c>
      <x:c r="F1089" t="str">
        <x:v>Weather disruption / environmental constraints</x:v>
      </x:c>
      <x:c r="G1089" t="str">
        <x:v>Unforeseen site/structural issues &amp; rework, Weather disruption / environmental constraints, Planning &amp; estimation / coordination complexity</x:v>
      </x:c>
      <x:c r="H1089" t="str">
        <x:v>Cost overrun mainly linked to unforeseen site/structural issues &amp; rework; schedule overrun mainly linked to unforeseen site/structural issues &amp; rework.</x:v>
      </x:c>
    </x:row>
    <x:row r="1090">
      <x:c r="A1090" t="str">
        <x:v>PJT_1089</x:v>
      </x:c>
      <x:c r="B1090" t="str">
        <x:v>Equipment constraints / low availability</x:v>
      </x:c>
      <x:c r="C1090" t="str">
        <x:v>Resource inefficiency (materials/labor/energy)</x:v>
      </x:c>
      <x:c r="D1090" t="str">
        <x:v>Equipment constraints / low availability, Resource inefficiency (materials/labor/energy), Material supply / logistics &amp; market disruption</x:v>
      </x:c>
      <x:c r="E1090" t="str">
        <x:v>Equipment constraints / low availability</x:v>
      </x:c>
      <x:c r="F1090" t="str">
        <x:v>Resource inefficiency (materials/labor/energy)</x:v>
      </x:c>
      <x:c r="G1090" t="str">
        <x:v>Equipment constraints / low availability, Resource inefficiency (materials/labor/energy), Material supply / logistics &amp; market disruption</x:v>
      </x:c>
      <x:c r="H1090" t="str">
        <x:v>Cost overrun mainly linked to equipment constraints / low availability; schedule overrun mainly linked to equipment constraints / low availability.</x:v>
      </x:c>
    </x:row>
    <x:row r="1091">
      <x:c r="A1091" t="str">
        <x:v>PJT_1090</x:v>
      </x:c>
      <x:c r="B1091" t="str">
        <x:v>Equipment constraints / low availability</x:v>
      </x:c>
      <x:c r="C1091" t="str">
        <x:v>Planning &amp; estimation / coordination complexity</x:v>
      </x:c>
      <x:c r="D1091" t="str">
        <x:v>Equipment constraints / low availability, Planning &amp; estimation / coordination complexity, Resource inefficiency (materials/labor/energy)</x:v>
      </x:c>
      <x:c r="E1091" t="str">
        <x:v>Planning &amp; estimation / coordination complexity</x:v>
      </x:c>
      <x:c r="F1091" t="str">
        <x:v>Equipment constraints / low availability</x:v>
      </x:c>
      <x:c r="G1091" t="str">
        <x:v>Planning &amp; estimation / coordination complexity, Equipment constraints / low availability, Resource inefficiency (materials/labor/energy)</x:v>
      </x:c>
      <x:c r="H1091" t="str">
        <x:v>Cost overrun mainly linked to equipment constraints / low availability; schedule overrun mainly linked to planning &amp; estimation / coordination complexity.</x:v>
      </x:c>
    </x:row>
    <x:row r="1092">
      <x:c r="A1092" t="str">
        <x:v>PJT_1091</x:v>
      </x:c>
      <x:c r="B1092" t="str">
        <x:v>Unforeseen site/structural issues &amp; rework</x:v>
      </x:c>
      <x:c r="C1092" t="str">
        <x:v>Planning &amp; estimation / coordination complexity</x:v>
      </x:c>
      <x:c r="D1092" t="str">
        <x:v>Unforeseen site/structural issues &amp; rework, Planning &amp; estimation / coordination complexity, Material supply / logistics &amp; market disruption</x:v>
      </x:c>
      <x:c r="E1092" t="str">
        <x:v>Unforeseen site/structural issues &amp; rework</x:v>
      </x:c>
      <x:c r="F1092" t="str">
        <x:v>Planning &amp; estimation / coordination complexity</x:v>
      </x:c>
      <x:c r="G1092" t="str">
        <x:v>Unforeseen site/structural issues &amp; rework, Planning &amp; estimation / coordination complexity, Material supply / logistics &amp; market disruption</x:v>
      </x:c>
      <x:c r="H1092" t="str">
        <x:v>Cost overrun mainly linked to unforeseen site/structural issues &amp; rework; schedule overrun mainly linked to unforeseen site/structural issues &amp; rework.</x:v>
      </x:c>
    </x:row>
    <x:row r="1093">
      <x:c r="A1093" t="str">
        <x:v>PJT_1092</x:v>
      </x:c>
      <x:c r="B1093" t="str">
        <x:v>Material supply / logistics &amp; market disruption</x:v>
      </x:c>
      <x:c r="C1093" t="str">
        <x:v>Resource inefficiency (materials/labor/energy)</x:v>
      </x:c>
      <x:c r="D1093" t="str">
        <x:v>Material supply / logistics &amp; market disruption, Resource inefficiency (materials/labor/energy), Planning &amp; estimation / coordination complexity</x:v>
      </x:c>
      <x:c r="E1093" t="str">
        <x:v>Resource inefficiency (materials/labor/energy)</x:v>
      </x:c>
      <x:c r="F1093" t="str">
        <x:v>Material supply / logistics &amp; market disruption</x:v>
      </x:c>
      <x:c r="G1093" t="str">
        <x:v>Resource inefficiency (materials/labor/energy), Material supply / logistics &amp; market disruption, Planning &amp; estimation / coordination complexity</x:v>
      </x:c>
      <x:c r="H1093" t="str">
        <x:v>Cost overrun mainly linked to material supply / logistics &amp; market disruption; schedule overrun mainly linked to resource inefficiency (materials/labor/energy).</x:v>
      </x:c>
    </x:row>
    <x:row r="1094">
      <x:c r="A1094" t="str">
        <x:v>PJT_1093</x:v>
      </x:c>
      <x:c r="B1094" t="str">
        <x:v>Unforeseen site/structural issues &amp; rework</x:v>
      </x:c>
      <x:c r="C1094" t="str">
        <x:v>Weather disruption / environmental constraints</x:v>
      </x:c>
      <x:c r="D1094" t="str">
        <x:v>Unforeseen site/structural issues &amp; rework, Weather disruption / environmental constraints, Equipment constraints / low availability</x:v>
      </x:c>
      <x:c r="E1094" t="str">
        <x:v>Weather disruption / environmental constraints</x:v>
      </x:c>
      <x:c r="F1094" t="str">
        <x:v>Unforeseen site/structural issues &amp; rework</x:v>
      </x:c>
      <x:c r="G1094" t="str">
        <x:v>Weather disruption / environmental constraints, Unforeseen site/structural issues &amp; rework, Equipment constraints / low availability</x:v>
      </x:c>
      <x:c r="H1094" t="str">
        <x:v>Cost overrun mainly linked to unforeseen site/structural issues &amp; rework; schedule overrun mainly linked to weather disruption / environmental constraints.</x:v>
      </x:c>
    </x:row>
    <x:row r="1095">
      <x:c r="A1095" t="str">
        <x:v>PJT_1094</x:v>
      </x:c>
      <x:c r="B1095" t="str">
        <x:v>Planning &amp; estimation / coordination complexity</x:v>
      </x:c>
      <x:c r="C1095" t="str">
        <x:v>Resource inefficiency (materials/labor/energy)</x:v>
      </x:c>
      <x:c r="D1095" t="str">
        <x:v>Planning &amp; estimation / coordination complexity, Resource inefficiency (materials/labor/energy), Equipment constraints / low availability</x:v>
      </x:c>
      <x:c r="E1095" t="str">
        <x:v>Planning &amp; estimation / coordination complexity</x:v>
      </x:c>
      <x:c r="F1095" t="str">
        <x:v>Resource inefficiency (materials/labor/energy)</x:v>
      </x:c>
      <x:c r="G1095" t="str">
        <x:v>Planning &amp; estimation / coordination complexity, Resource inefficiency (materials/labor/energy), Unforeseen site/structural issues &amp; rework</x:v>
      </x:c>
      <x:c r="H1095" t="str">
        <x:v>Cost overrun mainly linked to planning &amp; estimation / coordination complexity; schedule overrun mainly linked to planning &amp; estimation / coordination complexity.</x:v>
      </x:c>
    </x:row>
    <x:row r="1096">
      <x:c r="A1096" t="str">
        <x:v>PJT_1095</x:v>
      </x:c>
      <x:c r="B1096" t="str">
        <x:v>Resource inefficiency (materials/labor/energy)</x:v>
      </x:c>
      <x:c r="C1096" t="str">
        <x:v>Planning &amp; estimation / coordination complexity</x:v>
      </x:c>
      <x:c r="D1096" t="str">
        <x:v>Resource inefficiency (materials/labor/energy), Planning &amp; estimation / coordination complexity, Equipment constraints / low availability</x:v>
      </x:c>
      <x:c r="E1096" t="str">
        <x:v>Planning &amp; estimation / coordination complexity</x:v>
      </x:c>
      <x:c r="F1096" t="str">
        <x:v>Resource inefficiency (materials/labor/energy)</x:v>
      </x:c>
      <x:c r="G1096" t="str">
        <x:v>Planning &amp; estimation / coordination complexity, Resource inefficiency (materials/labor/energy), Equipment constraints / low availability</x:v>
      </x:c>
      <x:c r="H1096" t="str">
        <x:v>Cost overrun mainly linked to resource inefficiency (materials/labor/energy); schedule overrun mainly linked to planning &amp; estimation / coordination complexity.</x:v>
      </x:c>
    </x:row>
    <x:row r="1097">
      <x:c r="A1097" t="str">
        <x:v>PJT_1096</x:v>
      </x:c>
      <x:c r="B1097" t="str">
        <x:v>Unforeseen site/structural issues &amp; rework</x:v>
      </x:c>
      <x:c r="C1097" t="str">
        <x:v>Planning &amp; estimation / coordination complexity</x:v>
      </x:c>
      <x:c r="D1097" t="str">
        <x:v>Unforeseen site/structural issues &amp; rework, Planning &amp; estimation / coordination complexity, Equipment constraints / low availability</x:v>
      </x:c>
      <x:c r="E1097" t="str">
        <x:v>Unforeseen site/structural issues &amp; rework</x:v>
      </x:c>
      <x:c r="F1097" t="str">
        <x:v>Planning &amp; estimation / coordination complexity</x:v>
      </x:c>
      <x:c r="G1097" t="str">
        <x:v>Unforeseen site/structural issues &amp; rework, Planning &amp; estimation / coordination complexity, Equipment constraints / low availability</x:v>
      </x:c>
      <x:c r="H1097" t="str">
        <x:v>Cost overrun mainly linked to unforeseen site/structural issues &amp; rework; schedule overrun mainly linked to unforeseen site/structural issues &amp; rework.</x:v>
      </x:c>
    </x:row>
    <x:row r="1098">
      <x:c r="A1098" t="str">
        <x:v>PJT_1097</x:v>
      </x:c>
      <x:c r="B1098" t="str">
        <x:v>Planning &amp; estimation / coordination complexity</x:v>
      </x:c>
      <x:c r="C1098" t="str">
        <x:v>Unforeseen site/structural issues &amp; rework</x:v>
      </x:c>
      <x:c r="D1098" t="str">
        <x:v>Planning &amp; estimation / coordination complexity, Unforeseen site/structural issues &amp; rework, Equipment constraints / low availability</x:v>
      </x:c>
      <x:c r="E1098" t="str">
        <x:v>Planning &amp; estimation / coordination complexity</x:v>
      </x:c>
      <x:c r="F1098" t="str">
        <x:v>Unforeseen site/structural issues &amp; rework</x:v>
      </x:c>
      <x:c r="G1098" t="str">
        <x:v>Planning &amp; estimation / coordination complexity, Unforeseen site/structural issues &amp; rework, Equipment constraints / low availability</x:v>
      </x:c>
      <x:c r="H1098" t="str">
        <x:v>Cost overrun mainly linked to planning &amp; estimation / coordination complexity; schedule overrun mainly linked to planning &amp; estimation / coordination complexity.</x:v>
      </x:c>
    </x:row>
    <x:row r="1099">
      <x:c r="A1099" t="str">
        <x:v>PJT_1098</x:v>
      </x:c>
      <x:c r="B1099" t="str">
        <x:v>Planning &amp; estimation / coordination complexity</x:v>
      </x:c>
      <x:c r="C1099" t="str">
        <x:v>Resource inefficiency (materials/labor/energy)</x:v>
      </x:c>
      <x:c r="D1099" t="str">
        <x:v>Planning &amp; estimation / coordination complexity, Resource inefficiency (materials/labor/energy), Equipment constraints / low availability</x:v>
      </x:c>
      <x:c r="E1099" t="str">
        <x:v>Planning &amp; estimation / coordination complexity</x:v>
      </x:c>
      <x:c r="F1099" t="str">
        <x:v>Resource inefficiency (materials/labor/energy)</x:v>
      </x:c>
      <x:c r="G1099" t="str">
        <x:v>Planning &amp; estimation / coordination complexity, Resource inefficiency (materials/labor/energy), Equipment constraints / low availability</x:v>
      </x:c>
      <x:c r="H1099" t="str">
        <x:v>Cost overrun mainly linked to planning &amp; estimation / coordination complexity; schedule overrun mainly linked to planning &amp; estimation / coordination complexity.</x:v>
      </x:c>
    </x:row>
    <x:row r="1100">
      <x:c r="A1100" t="str">
        <x:v>PJT_1099</x:v>
      </x:c>
      <x:c r="B1100" t="str">
        <x:v>Weather disruption / environmental constraints</x:v>
      </x:c>
      <x:c r="C1100" t="str">
        <x:v>Unforeseen site/structural issues &amp; rework</x:v>
      </x:c>
      <x:c r="D1100" t="str">
        <x:v>Weather disruption / environmental constraints, Unforeseen site/structural issues &amp; rework, Material supply / logistics &amp; market disruption</x:v>
      </x:c>
      <x:c r="E1100" t="str">
        <x:v>Weather disruption / environmental constraints</x:v>
      </x:c>
      <x:c r="F1100" t="str">
        <x:v>Unforeseen site/structural issues &amp; rework</x:v>
      </x:c>
      <x:c r="G1100" t="str">
        <x:v>Weather disruption / environmental constraints, Unforeseen site/structural issues &amp; rework, Material supply / logistics &amp; market disruption</x:v>
      </x:c>
      <x:c r="H1100" t="str">
        <x:v>Cost overrun mainly linked to weather disruption / environmental constraints; schedule overrun mainly linked to weather disruption / environmental constraints.</x:v>
      </x:c>
    </x:row>
    <x:row r="1101">
      <x:c r="A1101" t="str">
        <x:v>PJT_1100</x:v>
      </x:c>
      <x:c r="B1101" t="str">
        <x:v>Resource inefficiency (materials/labor/energy)</x:v>
      </x:c>
      <x:c r="C1101" t="str">
        <x:v>Planning &amp; estimation / coordination complexity</x:v>
      </x:c>
      <x:c r="D1101" t="str">
        <x:v>Resource inefficiency (materials/labor/energy), Planning &amp; estimation / coordination complexity, Equipment constraints / low availability</x:v>
      </x:c>
      <x:c r="E1101" t="str">
        <x:v>Resource inefficiency (materials/labor/energy)</x:v>
      </x:c>
      <x:c r="F1101" t="str">
        <x:v>Planning &amp; estimation / coordination complexity</x:v>
      </x:c>
      <x:c r="G1101" t="str">
        <x:v>Resource inefficiency (materials/labor/energy), Planning &amp; estimation / coordination complexity, Equipment constraints / low availability</x:v>
      </x:c>
      <x:c r="H1101" t="str">
        <x:v>Cost overrun mainly linked to resource inefficiency (materials/labor/energy); schedule overrun mainly linked to resource inefficiency (materials/labor/energy).</x:v>
      </x:c>
    </x:row>
    <x:row r="1102">
      <x:c r="A1102" t="str">
        <x:v>PJT_1101</x:v>
      </x:c>
      <x:c r="B1102" t="str">
        <x:v>Weather disruption / environmental constraints</x:v>
      </x:c>
      <x:c r="C1102" t="str">
        <x:v>Material supply / logistics &amp; market disruption</x:v>
      </x:c>
      <x:c r="D1102" t="str">
        <x:v>Weather disruption / environmental constraints, Material supply / logistics &amp; market disruption, Equipment constraints / low availability</x:v>
      </x:c>
      <x:c r="E1102" t="str">
        <x:v>Weather disruption / environmental constraints</x:v>
      </x:c>
      <x:c r="F1102" t="str">
        <x:v>Material supply / logistics &amp; market disruption</x:v>
      </x:c>
      <x:c r="G1102" t="str">
        <x:v>Weather disruption / environmental constraints, Material supply / logistics &amp; market disruption, Equipment constraints / low availability</x:v>
      </x:c>
      <x:c r="H1102" t="str">
        <x:v>Cost overrun mainly linked to weather disruption / environmental constraints; schedule overrun mainly linked to weather disruption / environmental constraints.</x:v>
      </x:c>
    </x:row>
    <x:row r="1103">
      <x:c r="A1103" t="str">
        <x:v>PJT_1102</x:v>
      </x:c>
      <x:c r="B1103" t="str">
        <x:v>Unforeseen site/structural issues &amp; rework</x:v>
      </x:c>
      <x:c r="C1103" t="str">
        <x:v>Weather disruption / environmental constraints</x:v>
      </x:c>
      <x:c r="D1103" t="str">
        <x:v>Unforeseen site/structural issues &amp; rework, Weather disruption / environmental constraints, Material supply / logistics &amp; market disruption</x:v>
      </x:c>
      <x:c r="E1103" t="str">
        <x:v>Unforeseen site/structural issues &amp; rework</x:v>
      </x:c>
      <x:c r="F1103" t="str">
        <x:v>Weather disruption / environmental constraints</x:v>
      </x:c>
      <x:c r="G1103" t="str">
        <x:v>Unforeseen site/structural issues &amp; rework, Weather disruption / environmental constraints, Planning &amp; estimation / coordination complexity</x:v>
      </x:c>
      <x:c r="H1103" t="str">
        <x:v>Cost overrun mainly linked to unforeseen site/structural issues &amp; rework; schedule overrun mainly linked to unforeseen site/structural issues &amp; rework.</x:v>
      </x:c>
    </x:row>
    <x:row r="1104">
      <x:c r="A1104" t="str">
        <x:v>PJT_1103</x:v>
      </x:c>
      <x:c r="B1104" t="str">
        <x:v>Planning &amp; estimation / coordination complexity</x:v>
      </x:c>
      <x:c r="C1104" t="str">
        <x:v>Equipment constraints / low availability</x:v>
      </x:c>
      <x:c r="D1104" t="str">
        <x:v>Planning &amp; estimation / coordination complexity, Equipment constraints / low availability, Weather disruption / environmental constraints</x:v>
      </x:c>
      <x:c r="E1104" t="str">
        <x:v>Planning &amp; estimation / coordination complexity</x:v>
      </x:c>
      <x:c r="F1104" t="str">
        <x:v>Equipment constraints / low availability</x:v>
      </x:c>
      <x:c r="G1104" t="str">
        <x:v>Planning &amp; estimation / coordination complexity, Equipment constraints / low availability, Material supply / logistics &amp; market disruption</x:v>
      </x:c>
      <x:c r="H1104" t="str">
        <x:v>Cost overrun mainly linked to planning &amp; estimation / coordination complexity; schedule overrun mainly linked to planning &amp; estimation / coordination complexity.</x:v>
      </x:c>
    </x:row>
    <x:row r="1105">
      <x:c r="A1105" t="str">
        <x:v>PJT_1104</x:v>
      </x:c>
      <x:c r="B1105" t="str">
        <x:v>Resource inefficiency (materials/labor/energy)</x:v>
      </x:c>
      <x:c r="C1105" t="str">
        <x:v>Planning &amp; estimation / coordination complexity</x:v>
      </x:c>
      <x:c r="D1105" t="str">
        <x:v>Resource inefficiency (materials/labor/energy), Planning &amp; estimation / coordination complexity, Equipment constraints / low availability</x:v>
      </x:c>
      <x:c r="E1105" t="str">
        <x:v>Resource inefficiency (materials/labor/energy)</x:v>
      </x:c>
      <x:c r="F1105" t="str">
        <x:v>Planning &amp; estimation / coordination complexity</x:v>
      </x:c>
      <x:c r="G1105" t="str">
        <x:v>Resource inefficiency (materials/labor/energy), Planning &amp; estimation / coordination complexity, Equipment constraints / low availability</x:v>
      </x:c>
      <x:c r="H1105" t="str">
        <x:v>Cost overrun mainly linked to resource inefficiency (materials/labor/energy); schedule overrun mainly linked to resource inefficiency (materials/labor/energy).</x:v>
      </x:c>
    </x:row>
    <x:row r="1106">
      <x:c r="A1106" t="str">
        <x:v>PJT_1105</x:v>
      </x:c>
      <x:c r="B1106" t="str">
        <x:v>Equipment constraints / low availability</x:v>
      </x:c>
      <x:c r="C1106" t="str">
        <x:v>Planning &amp; estimation / coordination complexity</x:v>
      </x:c>
      <x:c r="D1106" t="str">
        <x:v>Equipment constraints / low availability, Planning &amp; estimation / coordination complexity, Resource inefficiency (materials/labor/energy)</x:v>
      </x:c>
      <x:c r="E1106" t="str">
        <x:v>Equipment constraints / low availability</x:v>
      </x:c>
      <x:c r="F1106" t="str">
        <x:v>Resource inefficiency (materials/labor/energy)</x:v>
      </x:c>
      <x:c r="G1106" t="str">
        <x:v>Equipment constraints / low availability, Resource inefficiency (materials/labor/energy), Planning &amp; estimation / coordination complexity</x:v>
      </x:c>
      <x:c r="H1106" t="str">
        <x:v>Cost overrun mainly linked to equipment constraints / low availability; schedule overrun mainly linked to equipment constraints / low availability.</x:v>
      </x:c>
    </x:row>
    <x:row r="1107">
      <x:c r="A1107" t="str">
        <x:v>PJT_1106</x:v>
      </x:c>
      <x:c r="B1107" t="str">
        <x:v>Weather disruption / environmental constraints</x:v>
      </x:c>
      <x:c r="C1107" t="str">
        <x:v>Unforeseen site/structural issues &amp; rework</x:v>
      </x:c>
      <x:c r="D1107" t="str">
        <x:v>Weather disruption / environmental constraints, Unforeseen site/structural issues &amp; rework, Material supply / logistics &amp; market disruption</x:v>
      </x:c>
      <x:c r="E1107" t="str">
        <x:v>Weather disruption / environmental constraints</x:v>
      </x:c>
      <x:c r="F1107" t="str">
        <x:v>Unforeseen site/structural issues &amp; rework</x:v>
      </x:c>
      <x:c r="G1107" t="str">
        <x:v>Weather disruption / environmental constraints, Unforeseen site/structural issues &amp; rework, Material supply / logistics &amp; market disruption</x:v>
      </x:c>
      <x:c r="H1107" t="str">
        <x:v>Cost overrun mainly linked to weather disruption / environmental constraints; schedule overrun mainly linked to weather disruption / environmental constraints.</x:v>
      </x:c>
    </x:row>
    <x:row r="1108">
      <x:c r="A1108" t="str">
        <x:v>PJT_1107</x:v>
      </x:c>
      <x:c r="B1108" t="str">
        <x:v>Unforeseen site/structural issues &amp; rework</x:v>
      </x:c>
      <x:c r="C1108" t="str">
        <x:v>Planning &amp; estimation / coordination complexity</x:v>
      </x:c>
      <x:c r="D1108" t="str">
        <x:v>Unforeseen site/structural issues &amp; rework, Planning &amp; estimation / coordination complexity, Weather disruption / environmental constraints</x:v>
      </x:c>
      <x:c r="E1108" t="str">
        <x:v>Unforeseen site/structural issues &amp; rework</x:v>
      </x:c>
      <x:c r="F1108" t="str">
        <x:v>Planning &amp; estimation / coordination complexity</x:v>
      </x:c>
      <x:c r="G1108" t="str">
        <x:v>Unforeseen site/structural issues &amp; rework, Planning &amp; estimation / coordination complexity, Weather disruption / environmental constraints</x:v>
      </x:c>
      <x:c r="H1108" t="str">
        <x:v>Cost overrun mainly linked to unforeseen site/structural issues &amp; rework; schedule overrun mainly linked to unforeseen site/structural issues &amp; rework.</x:v>
      </x:c>
    </x:row>
    <x:row r="1109">
      <x:c r="A1109" t="str">
        <x:v>PJT_1108</x:v>
      </x:c>
      <x:c r="B1109" t="str">
        <x:v>Equipment constraints / low availability</x:v>
      </x:c>
      <x:c r="C1109" t="str">
        <x:v>Resource inefficiency (materials/labor/energy)</x:v>
      </x:c>
      <x:c r="D1109" t="str">
        <x:v>Equipment constraints / low availability, Resource inefficiency (materials/labor/energy), Planning &amp; estimation / coordination complexity</x:v>
      </x:c>
      <x:c r="E1109" t="str">
        <x:v>Equipment constraints / low availability</x:v>
      </x:c>
      <x:c r="F1109" t="str">
        <x:v>Resource inefficiency (materials/labor/energy)</x:v>
      </x:c>
      <x:c r="G1109" t="str">
        <x:v>Equipment constraints / low availability, Resource inefficiency (materials/labor/energy), Planning &amp; estimation / coordination complexity</x:v>
      </x:c>
      <x:c r="H1109" t="str">
        <x:v>Cost overrun mainly linked to equipment constraints / low availability; schedule overrun mainly linked to equipment constraints / low availability.</x:v>
      </x:c>
    </x:row>
    <x:row r="1110">
      <x:c r="A1110" t="str">
        <x:v>PJT_1109</x:v>
      </x:c>
      <x:c r="B1110" t="str">
        <x:v>Resource inefficiency (materials/labor/energy)</x:v>
      </x:c>
      <x:c r="C1110" t="str">
        <x:v>Equipment constraints / low availability</x:v>
      </x:c>
      <x:c r="D1110" t="str">
        <x:v>Resource inefficiency (materials/labor/energy), Equipment constraints / low availability, Material supply / logistics &amp; market disruption</x:v>
      </x:c>
      <x:c r="E1110" t="str">
        <x:v>Resource inefficiency (materials/labor/energy)</x:v>
      </x:c>
      <x:c r="F1110" t="str">
        <x:v>Equipment constraints / low availability</x:v>
      </x:c>
      <x:c r="G1110" t="str">
        <x:v>Resource inefficiency (materials/labor/energy), Equipment constraints / low availability, Material supply / logistics &amp; market disruption</x:v>
      </x:c>
      <x:c r="H1110" t="str">
        <x:v>Cost overrun mainly linked to resource inefficiency (materials/labor/energy); schedule overrun mainly linked to resource inefficiency (materials/labor/energy).</x:v>
      </x:c>
    </x:row>
    <x:row r="1111">
      <x:c r="A1111" t="str">
        <x:v>PJT_1110</x:v>
      </x:c>
      <x:c r="B1111" t="str">
        <x:v>Unforeseen site/structural issues &amp; rework</x:v>
      </x:c>
      <x:c r="C1111" t="str">
        <x:v>Resource inefficiency (materials/labor/energy)</x:v>
      </x:c>
      <x:c r="D1111" t="str">
        <x:v>Unforeseen site/structural issues &amp; rework, Resource inefficiency (materials/labor/energy), Planning &amp; estimation / coordination complexity</x:v>
      </x:c>
      <x:c r="E1111" t="str">
        <x:v>Unforeseen site/structural issues &amp; rework</x:v>
      </x:c>
      <x:c r="F1111" t="str">
        <x:v>Planning &amp; estimation / coordination complexity</x:v>
      </x:c>
      <x:c r="G1111" t="str">
        <x:v>Unforeseen site/structural issues &amp; rework, Planning &amp; estimation / coordination complexity, Resource inefficiency (materials/labor/energy)</x:v>
      </x:c>
      <x:c r="H1111" t="str">
        <x:v>Cost overrun mainly linked to unforeseen site/structural issues &amp; rework; schedule overrun mainly linked to unforeseen site/structural issues &amp; rework.</x:v>
      </x:c>
    </x:row>
    <x:row r="1112">
      <x:c r="A1112" t="str">
        <x:v>PJT_1111</x:v>
      </x:c>
      <x:c r="B1112" t="str">
        <x:v>Material supply / logistics &amp; market disruption</x:v>
      </x:c>
      <x:c r="C1112" t="str">
        <x:v>Equipment constraints / low availability</x:v>
      </x:c>
      <x:c r="D1112" t="str">
        <x:v>Material supply / logistics &amp; market disruption, Equipment constraints / low availability, Resource inefficiency (materials/labor/energy)</x:v>
      </x:c>
      <x:c r="E1112" t="str">
        <x:v>Material supply / logistics &amp; market disruption</x:v>
      </x:c>
      <x:c r="F1112" t="str">
        <x:v>Resource inefficiency (materials/labor/energy)</x:v>
      </x:c>
      <x:c r="G1112" t="str">
        <x:v>Material supply / logistics &amp; market disruption, Resource inefficiency (materials/labor/energy), Equipment constraints / low availability</x:v>
      </x:c>
      <x:c r="H1112" t="str">
        <x:v>Cost overrun mainly linked to material supply / logistics &amp; market disruption; schedule overrun mainly linked to material supply / logistics &amp; market disruption.</x:v>
      </x:c>
    </x:row>
    <x:row r="1113">
      <x:c r="A1113" t="str">
        <x:v>PJT_1112</x:v>
      </x:c>
      <x:c r="B1113" t="str">
        <x:v>Resource inefficiency (materials/labor/energy)</x:v>
      </x:c>
      <x:c r="C1113" t="str">
        <x:v>Planning &amp; estimation / coordination complexity</x:v>
      </x:c>
      <x:c r="D1113" t="str">
        <x:v>Resource inefficiency (materials/labor/energy), Planning &amp; estimation / coordination complexity, Equipment constraints / low availability</x:v>
      </x:c>
      <x:c r="E1113" t="str">
        <x:v>Resource inefficiency (materials/labor/energy)</x:v>
      </x:c>
      <x:c r="F1113" t="str">
        <x:v>Equipment constraints / low availability</x:v>
      </x:c>
      <x:c r="G1113" t="str">
        <x:v>Resource inefficiency (materials/labor/energy), Equipment constraints / low availability, Planning &amp; estimation / coordination complexity</x:v>
      </x:c>
      <x:c r="H1113" t="str">
        <x:v>Cost overrun mainly linked to resource inefficiency (materials/labor/energy); schedule overrun mainly linked to resource inefficiency (materials/labor/energy).</x:v>
      </x:c>
    </x:row>
    <x:row r="1114">
      <x:c r="A1114" t="str">
        <x:v>PJT_1113</x:v>
      </x:c>
      <x:c r="B1114" t="str">
        <x:v>Resource inefficiency (materials/labor/energy)</x:v>
      </x:c>
      <x:c r="C1114" t="str">
        <x:v>Planning &amp; estimation / coordination complexity</x:v>
      </x:c>
      <x:c r="D1114" t="str">
        <x:v>Resource inefficiency (materials/labor/energy), Planning &amp; estimation / coordination complexity, Equipment constraints / low availability</x:v>
      </x:c>
      <x:c r="E1114" t="str">
        <x:v>Resource inefficiency (materials/labor/energy)</x:v>
      </x:c>
      <x:c r="F1114" t="str">
        <x:v>Planning &amp; estimation / coordination complexity</x:v>
      </x:c>
      <x:c r="G1114" t="str">
        <x:v>Resource inefficiency (materials/labor/energy), Planning &amp; estimation / coordination complexity, Equipment constraints / low availability</x:v>
      </x:c>
      <x:c r="H1114" t="str">
        <x:v>Cost overrun mainly linked to resource inefficiency (materials/labor/energy); schedule overrun mainly linked to resource inefficiency (materials/labor/energy).</x:v>
      </x:c>
    </x:row>
    <x:row r="1115">
      <x:c r="A1115" t="str">
        <x:v>PJT_1114</x:v>
      </x:c>
      <x:c r="B1115" t="str">
        <x:v>Resource inefficiency (materials/labor/energy)</x:v>
      </x:c>
      <x:c r="C1115" t="str">
        <x:v>Equipment constraints / low availability</x:v>
      </x:c>
      <x:c r="D1115" t="str">
        <x:v>Resource inefficiency (materials/labor/energy), Equipment constraints / low availability, Planning &amp; estimation / coordination complexity</x:v>
      </x:c>
      <x:c r="E1115" t="str">
        <x:v>Resource inefficiency (materials/labor/energy)</x:v>
      </x:c>
      <x:c r="F1115" t="str">
        <x:v>Equipment constraints / low availability</x:v>
      </x:c>
      <x:c r="G1115" t="str">
        <x:v>Resource inefficiency (materials/labor/energy), Equipment constraints / low availability, Planning &amp; estimation / coordination complexity</x:v>
      </x:c>
      <x:c r="H1115" t="str">
        <x:v>Cost overrun mainly linked to resource inefficiency (materials/labor/energy); schedule overrun mainly linked to resource inefficiency (materials/labor/energy).</x:v>
      </x:c>
    </x:row>
    <x:row r="1116">
      <x:c r="A1116" t="str">
        <x:v>PJT_1115</x:v>
      </x:c>
      <x:c r="B1116" t="str">
        <x:v>Unforeseen site/structural issues &amp; rework</x:v>
      </x:c>
      <x:c r="C1116" t="str">
        <x:v>Planning &amp; estimation / coordination complexity</x:v>
      </x:c>
      <x:c r="D1116" t="str">
        <x:v>Unforeseen site/structural issues &amp; rework, Planning &amp; estimation / coordination complexity, Weather disruption / environmental constraints</x:v>
      </x:c>
      <x:c r="E1116" t="str">
        <x:v>Unforeseen site/structural issues &amp; rework</x:v>
      </x:c>
      <x:c r="F1116" t="str">
        <x:v>Planning &amp; estimation / coordination complexity</x:v>
      </x:c>
      <x:c r="G1116" t="str">
        <x:v>Unforeseen site/structural issues &amp; rework, Planning &amp; estimation / coordination complexity, Weather disruption / environmental constraints</x:v>
      </x:c>
      <x:c r="H1116" t="str">
        <x:v>Cost overrun mainly linked to unforeseen site/structural issues &amp; rework; schedule overrun mainly linked to unforeseen site/structural issues &amp; rework.</x:v>
      </x:c>
    </x:row>
    <x:row r="1117">
      <x:c r="A1117" t="str">
        <x:v>PJT_1116</x:v>
      </x:c>
      <x:c r="B1117" t="str">
        <x:v>Resource inefficiency (materials/labor/energy)</x:v>
      </x:c>
      <x:c r="C1117" t="str">
        <x:v>Equipment constraints / low availability</x:v>
      </x:c>
      <x:c r="D1117" t="str">
        <x:v>Resource inefficiency (materials/labor/energy), Equipment constraints / low availability, Material supply / logistics &amp; market disruption</x:v>
      </x:c>
      <x:c r="E1117" t="str">
        <x:v>Resource inefficiency (materials/labor/energy)</x:v>
      </x:c>
      <x:c r="F1117" t="str">
        <x:v>Equipment constraints / low availability</x:v>
      </x:c>
      <x:c r="G1117" t="str">
        <x:v>Resource inefficiency (materials/labor/energy), Equipment constraints / low availability, Material supply / logistics &amp; market disruption</x:v>
      </x:c>
      <x:c r="H1117" t="str">
        <x:v>Cost overrun mainly linked to resource inefficiency (materials/labor/energy); schedule overrun mainly linked to resource inefficiency (materials/labor/energy).</x:v>
      </x:c>
    </x:row>
    <x:row r="1118">
      <x:c r="A1118" t="str">
        <x:v>PJT_1117</x:v>
      </x:c>
      <x:c r="B1118" t="str">
        <x:v>Equipment constraints / low availability</x:v>
      </x:c>
      <x:c r="C1118" t="str">
        <x:v>Resource inefficiency (materials/labor/energy)</x:v>
      </x:c>
      <x:c r="D1118" t="str">
        <x:v>Equipment constraints / low availability, Resource inefficiency (materials/labor/energy), Planning &amp; estimation / coordination complexity</x:v>
      </x:c>
      <x:c r="E1118" t="str">
        <x:v>Equipment constraints / low availability</x:v>
      </x:c>
      <x:c r="F1118" t="str">
        <x:v>Resource inefficiency (materials/labor/energy)</x:v>
      </x:c>
      <x:c r="G1118" t="str">
        <x:v>Equipment constraints / low availability, Resource inefficiency (materials/labor/energy), Material supply / logistics &amp; market disruption</x:v>
      </x:c>
      <x:c r="H1118" t="str">
        <x:v>Cost overrun mainly linked to equipment constraints / low availability; schedule overrun mainly linked to equipment constraints / low availability.</x:v>
      </x:c>
    </x:row>
    <x:row r="1119">
      <x:c r="A1119" t="str">
        <x:v>PJT_1118</x:v>
      </x:c>
      <x:c r="B1119" t="str">
        <x:v>Weather disruption / environmental constraints</x:v>
      </x:c>
      <x:c r="C1119" t="str">
        <x:v>Planning &amp; estimation / coordination complexity</x:v>
      </x:c>
      <x:c r="D1119" t="str">
        <x:v>Weather disruption / environmental constraints, Planning &amp; estimation / coordination complexity, Unforeseen site/structural issues &amp; rework</x:v>
      </x:c>
      <x:c r="E1119" t="str">
        <x:v>Weather disruption / environmental constraints</x:v>
      </x:c>
      <x:c r="F1119" t="str">
        <x:v>Unforeseen site/structural issues &amp; rework</x:v>
      </x:c>
      <x:c r="G1119" t="str">
        <x:v>Weather disruption / environmental constraints, Unforeseen site/structural issues &amp; rework, Planning &amp; estimation / coordination complexity</x:v>
      </x:c>
      <x:c r="H1119" t="str">
        <x:v>Cost overrun mainly linked to weather disruption / environmental constraints; schedule overrun mainly linked to weather disruption / environmental constraints.</x:v>
      </x:c>
    </x:row>
    <x:row r="1120">
      <x:c r="A1120" t="str">
        <x:v>PJT_1119</x:v>
      </x:c>
      <x:c r="B1120" t="str">
        <x:v>Weather disruption / environmental constraints</x:v>
      </x:c>
      <x:c r="C1120" t="str">
        <x:v>Material supply / logistics &amp; market disruption</x:v>
      </x:c>
      <x:c r="D1120" t="str">
        <x:v>Weather disruption / environmental constraints, Material supply / logistics &amp; market disruption, Equipment constraints / low availability</x:v>
      </x:c>
      <x:c r="E1120" t="str">
        <x:v>Weather disruption / environmental constraints</x:v>
      </x:c>
      <x:c r="F1120" t="str">
        <x:v>Material supply / logistics &amp; market disruption</x:v>
      </x:c>
      <x:c r="G1120" t="str">
        <x:v>Weather disruption / environmental constraints, Material supply / logistics &amp; market disruption, Equipment constraints / low availability</x:v>
      </x:c>
      <x:c r="H1120" t="str">
        <x:v>Cost overrun mainly linked to weather disruption / environmental constraints; schedule overrun mainly linked to weather disruption / environmental constraints.</x:v>
      </x:c>
    </x:row>
    <x:row r="1121">
      <x:c r="A1121" t="str">
        <x:v>PJT_1120</x:v>
      </x:c>
      <x:c r="B1121" t="str">
        <x:v>Planning &amp; estimation / coordination complexity</x:v>
      </x:c>
      <x:c r="C1121" t="str">
        <x:v>Equipment constraints / low availability</x:v>
      </x:c>
      <x:c r="D1121" t="str">
        <x:v>Planning &amp; estimation / coordination complexity, Equipment constraints / low availability, Resource inefficiency (materials/labor/energy)</x:v>
      </x:c>
      <x:c r="E1121" t="str">
        <x:v>Planning &amp; estimation / coordination complexity</x:v>
      </x:c>
      <x:c r="F1121" t="str">
        <x:v>Equipment constraints / low availability</x:v>
      </x:c>
      <x:c r="G1121" t="str">
        <x:v>Planning &amp; estimation / coordination complexity, Equipment constraints / low availability, Resource inefficiency (materials/labor/energy)</x:v>
      </x:c>
      <x:c r="H1121" t="str">
        <x:v>Cost overrun mainly linked to planning &amp; estimation / coordination complexity; schedule overrun mainly linked to planning &amp; estimation / coordination complexity.</x:v>
      </x:c>
    </x:row>
    <x:row r="1122">
      <x:c r="A1122" t="str">
        <x:v>PJT_1121</x:v>
      </x:c>
      <x:c r="B1122" t="str">
        <x:v>Equipment constraints / low availability</x:v>
      </x:c>
      <x:c r="C1122" t="str">
        <x:v>Resource inefficiency (materials/labor/energy)</x:v>
      </x:c>
      <x:c r="D1122" t="str">
        <x:v>Equipment constraints / low availability, Resource inefficiency (materials/labor/energy), Planning &amp; estimation / coordination complexity</x:v>
      </x:c>
      <x:c r="E1122" t="str">
        <x:v>Equipment constraints / low availability</x:v>
      </x:c>
      <x:c r="F1122" t="str">
        <x:v>Resource inefficiency (materials/labor/energy)</x:v>
      </x:c>
      <x:c r="G1122" t="str">
        <x:v>Equipment constraints / low availability, Resource inefficiency (materials/labor/energy), Planning &amp; estimation / coordination complexity</x:v>
      </x:c>
      <x:c r="H1122" t="str">
        <x:v>Cost overrun mainly linked to equipment constraints / low availability; schedule overrun mainly linked to equipment constraints / low availability.</x:v>
      </x:c>
    </x:row>
    <x:row r="1123">
      <x:c r="A1123" t="str">
        <x:v>PJT_1122</x:v>
      </x:c>
      <x:c r="B1123" t="str">
        <x:v>Equipment constraints / low availability</x:v>
      </x:c>
      <x:c r="C1123" t="str">
        <x:v>Unforeseen site/structural issues &amp; rework</x:v>
      </x:c>
      <x:c r="D1123" t="str">
        <x:v>Equipment constraints / low availability, Unforeseen site/structural issues &amp; rework, Weather disruption / environmental constraints</x:v>
      </x:c>
      <x:c r="E1123" t="str">
        <x:v>Equipment constraints / low availability</x:v>
      </x:c>
      <x:c r="F1123" t="str">
        <x:v>Unforeseen site/structural issues &amp; rework</x:v>
      </x:c>
      <x:c r="G1123" t="str">
        <x:v>Equipment constraints / low availability, Unforeseen site/structural issues &amp; rework, Weather disruption / environmental constraints</x:v>
      </x:c>
      <x:c r="H1123" t="str">
        <x:v>Cost overrun mainly linked to equipment constraints / low availability; schedule overrun mainly linked to equipment constraints / low availability.</x:v>
      </x:c>
    </x:row>
    <x:row r="1124">
      <x:c r="A1124" t="str">
        <x:v>PJT_1123</x:v>
      </x:c>
      <x:c r="B1124" t="str">
        <x:v>Unforeseen site/structural issues &amp; rework</x:v>
      </x:c>
      <x:c r="C1124" t="str">
        <x:v>Planning &amp; estimation / coordination complexity</x:v>
      </x:c>
      <x:c r="D1124" t="str">
        <x:v>Unforeseen site/structural issues &amp; rework, Planning &amp; estimation / coordination complexity, Equipment constraints / low availability</x:v>
      </x:c>
      <x:c r="E1124" t="str">
        <x:v>Unforeseen site/structural issues &amp; rework</x:v>
      </x:c>
      <x:c r="F1124" t="str">
        <x:v>Planning &amp; estimation / coordination complexity</x:v>
      </x:c>
      <x:c r="G1124" t="str">
        <x:v>Unforeseen site/structural issues &amp; rework, Planning &amp; estimation / coordination complexity, Equipment constraints / low availability</x:v>
      </x:c>
      <x:c r="H1124" t="str">
        <x:v>Cost overrun mainly linked to unforeseen site/structural issues &amp; rework; schedule overrun mainly linked to unforeseen site/structural issues &amp; rework.</x:v>
      </x:c>
    </x:row>
    <x:row r="1125">
      <x:c r="A1125" t="str">
        <x:v>PJT_1124</x:v>
      </x:c>
      <x:c r="B1125" t="str">
        <x:v>Unforeseen site/structural issues &amp; rework</x:v>
      </x:c>
      <x:c r="C1125" t="str">
        <x:v>Planning &amp; estimation / coordination complexity</x:v>
      </x:c>
      <x:c r="D1125" t="str">
        <x:v>Unforeseen site/structural issues &amp; rework, Planning &amp; estimation / coordination complexity, Equipment constraints / low availability</x:v>
      </x:c>
      <x:c r="E1125" t="str">
        <x:v>Unforeseen site/structural issues &amp; rework</x:v>
      </x:c>
      <x:c r="F1125" t="str">
        <x:v>Planning &amp; estimation / coordination complexity</x:v>
      </x:c>
      <x:c r="G1125" t="str">
        <x:v>Unforeseen site/structural issues &amp; rework, Planning &amp; estimation / coordination complexity, Equipment constraints / low availability</x:v>
      </x:c>
      <x:c r="H1125" t="str">
        <x:v>Cost overrun mainly linked to unforeseen site/structural issues &amp; rework; schedule overrun mainly linked to unforeseen site/structural issues &amp; rework.</x:v>
      </x:c>
    </x:row>
    <x:row r="1126">
      <x:c r="A1126" t="str">
        <x:v>PJT_1125</x:v>
      </x:c>
      <x:c r="B1126" t="str">
        <x:v>Weather disruption / environmental constraints</x:v>
      </x:c>
      <x:c r="C1126" t="str">
        <x:v>Equipment constraints / low availability</x:v>
      </x:c>
      <x:c r="D1126" t="str">
        <x:v>Weather disruption / environmental constraints, Equipment constraints / low availability, Unforeseen site/structural issues &amp; rework</x:v>
      </x:c>
      <x:c r="E1126" t="str">
        <x:v>Weather disruption / environmental constraints</x:v>
      </x:c>
      <x:c r="F1126" t="str">
        <x:v>Equipment constraints / low availability</x:v>
      </x:c>
      <x:c r="G1126" t="str">
        <x:v>Weather disruption / environmental constraints, Equipment constraints / low availability, Material supply / logistics &amp; market disruption</x:v>
      </x:c>
      <x:c r="H1126" t="str">
        <x:v>Cost overrun mainly linked to weather disruption / environmental constraints; schedule overrun mainly linked to weather disruption / environmental constraints.</x:v>
      </x:c>
    </x:row>
    <x:row r="1127">
      <x:c r="A1127" t="str">
        <x:v>PJT_1126</x:v>
      </x:c>
      <x:c r="B1127" t="str">
        <x:v>Resource inefficiency (materials/labor/energy)</x:v>
      </x:c>
      <x:c r="C1127" t="str">
        <x:v>Planning &amp; estimation / coordination complexity</x:v>
      </x:c>
      <x:c r="D1127" t="str">
        <x:v>Resource inefficiency (materials/labor/energy), Planning &amp; estimation / coordination complexity, Equipment constraints / low availability</x:v>
      </x:c>
      <x:c r="E1127" t="str">
        <x:v>Resource inefficiency (materials/labor/energy)</x:v>
      </x:c>
      <x:c r="F1127" t="str">
        <x:v>Planning &amp; estimation / coordination complexity</x:v>
      </x:c>
      <x:c r="G1127" t="str">
        <x:v>Resource inefficiency (materials/labor/energy), Planning &amp; estimation / coordination complexity, Unforeseen site/structural issues &amp; rework</x:v>
      </x:c>
      <x:c r="H1127" t="str">
        <x:v>Cost overrun mainly linked to resource inefficiency (materials/labor/energy); schedule overrun mainly linked to resource inefficiency (materials/labor/energy).</x:v>
      </x:c>
    </x:row>
    <x:row r="1128">
      <x:c r="A1128" t="str">
        <x:v>PJT_1127</x:v>
      </x:c>
      <x:c r="B1128" t="str">
        <x:v>Resource inefficiency (materials/labor/energy)</x:v>
      </x:c>
      <x:c r="C1128" t="str">
        <x:v>Material supply / logistics &amp; market disruption</x:v>
      </x:c>
      <x:c r="D1128" t="str">
        <x:v>Resource inefficiency (materials/labor/energy), Material supply / logistics &amp; market disruption, Planning &amp; estimation / coordination complexity</x:v>
      </x:c>
      <x:c r="E1128" t="str">
        <x:v>Resource inefficiency (materials/labor/energy)</x:v>
      </x:c>
      <x:c r="F1128" t="str">
        <x:v>Planning &amp; estimation / coordination complexity</x:v>
      </x:c>
      <x:c r="G1128" t="str">
        <x:v>Resource inefficiency (materials/labor/energy), Planning &amp; estimation / coordination complexity, Material supply / logistics &amp; market disruption</x:v>
      </x:c>
      <x:c r="H1128" t="str">
        <x:v>Cost overrun mainly linked to resource inefficiency (materials/labor/energy); schedule overrun mainly linked to resource inefficiency (materials/labor/energy).</x:v>
      </x:c>
    </x:row>
    <x:row r="1129">
      <x:c r="A1129" t="str">
        <x:v>PJT_1128</x:v>
      </x:c>
      <x:c r="B1129" t="str">
        <x:v>Resource inefficiency (materials/labor/energy)</x:v>
      </x:c>
      <x:c r="C1129" t="str">
        <x:v>Planning &amp; estimation / coordination complexity</x:v>
      </x:c>
      <x:c r="D1129" t="str">
        <x:v>Resource inefficiency (materials/labor/energy), Planning &amp; estimation / coordination complexity, Material supply / logistics &amp; market disruption</x:v>
      </x:c>
      <x:c r="E1129" t="str">
        <x:v>Resource inefficiency (materials/labor/energy)</x:v>
      </x:c>
      <x:c r="F1129" t="str">
        <x:v>Planning &amp; estimation / coordination complexity</x:v>
      </x:c>
      <x:c r="G1129" t="str">
        <x:v>Resource inefficiency (materials/labor/energy), Planning &amp; estimation / coordination complexity, Material supply / logistics &amp; market disruption</x:v>
      </x:c>
      <x:c r="H1129" t="str">
        <x:v>Cost overrun mainly linked to resource inefficiency (materials/labor/energy); schedule overrun mainly linked to resource inefficiency (materials/labor/energy).</x:v>
      </x:c>
    </x:row>
    <x:row r="1130">
      <x:c r="A1130" t="str">
        <x:v>PJT_1129</x:v>
      </x:c>
      <x:c r="B1130" t="str">
        <x:v>Unforeseen site/structural issues &amp; rework</x:v>
      </x:c>
      <x:c r="C1130" t="str">
        <x:v>Planning &amp; estimation / coordination complexity</x:v>
      </x:c>
      <x:c r="D1130" t="str">
        <x:v>Unforeseen site/structural issues &amp; rework, Planning &amp; estimation / coordination complexity, Material supply / logistics &amp; market disruption</x:v>
      </x:c>
      <x:c r="E1130" t="str">
        <x:v>Unforeseen site/structural issues &amp; rework</x:v>
      </x:c>
      <x:c r="F1130" t="str">
        <x:v>Planning &amp; estimation / coordination complexity</x:v>
      </x:c>
      <x:c r="G1130" t="str">
        <x:v>Unforeseen site/structural issues &amp; rework, Planning &amp; estimation / coordination complexity, Material supply / logistics &amp; market disruption</x:v>
      </x:c>
      <x:c r="H1130" t="str">
        <x:v>Cost overrun mainly linked to unforeseen site/structural issues &amp; rework; schedule overrun mainly linked to unforeseen site/structural issues &amp; rework.</x:v>
      </x:c>
    </x:row>
    <x:row r="1131">
      <x:c r="A1131" t="str">
        <x:v>PJT_1130</x:v>
      </x:c>
      <x:c r="B1131" t="str">
        <x:v>Weather disruption / environmental constraints</x:v>
      </x:c>
      <x:c r="C1131" t="str">
        <x:v>Unforeseen site/structural issues &amp; rework</x:v>
      </x:c>
      <x:c r="D1131" t="str">
        <x:v>Weather disruption / environmental constraints, Unforeseen site/structural issues &amp; rework, Material supply / logistics &amp; market disruption</x:v>
      </x:c>
      <x:c r="E1131" t="str">
        <x:v>Weather disruption / environmental constraints</x:v>
      </x:c>
      <x:c r="F1131" t="str">
        <x:v>Material supply / logistics &amp; market disruption</x:v>
      </x:c>
      <x:c r="G1131" t="str">
        <x:v>Weather disruption / environmental constraints, Material supply / logistics &amp; market disruption, Unforeseen site/structural issues &amp; rework</x:v>
      </x:c>
      <x:c r="H1131" t="str">
        <x:v>Cost overrun mainly linked to weather disruption / environmental constraints; schedule overrun mainly linked to weather disruption / environmental constraints.</x:v>
      </x:c>
    </x:row>
    <x:row r="1132">
      <x:c r="A1132" t="str">
        <x:v>PJT_1131</x:v>
      </x:c>
      <x:c r="B1132" t="str">
        <x:v>Planning &amp; estimation / coordination complexity</x:v>
      </x:c>
      <x:c r="C1132" t="str">
        <x:v>Equipment constraints / low availability</x:v>
      </x:c>
      <x:c r="D1132" t="str">
        <x:v>Planning &amp; estimation / coordination complexity, Equipment constraints / low availability, Resource inefficiency (materials/labor/energy)</x:v>
      </x:c>
      <x:c r="E1132" t="str">
        <x:v>Planning &amp; estimation / coordination complexity</x:v>
      </x:c>
      <x:c r="F1132" t="str">
        <x:v>Equipment constraints / low availability</x:v>
      </x:c>
      <x:c r="G1132" t="str">
        <x:v>Planning &amp; estimation / coordination complexity, Equipment constraints / low availability, Resource inefficiency (materials/labor/energy)</x:v>
      </x:c>
      <x:c r="H1132" t="str">
        <x:v>Cost overrun mainly linked to planning &amp; estimation / coordination complexity; schedule overrun mainly linked to planning &amp; estimation / coordination complexity.</x:v>
      </x:c>
    </x:row>
    <x:row r="1133">
      <x:c r="A1133" t="str">
        <x:v>PJT_1132</x:v>
      </x:c>
      <x:c r="B1133" t="str">
        <x:v>Planning &amp; estimation / coordination complexity</x:v>
      </x:c>
      <x:c r="C1133" t="str">
        <x:v>Resource inefficiency (materials/labor/energy)</x:v>
      </x:c>
      <x:c r="D1133" t="str">
        <x:v>Planning &amp; estimation / coordination complexity, Resource inefficiency (materials/labor/energy), Unforeseen site/structural issues &amp; rework</x:v>
      </x:c>
      <x:c r="E1133" t="str">
        <x:v>Planning &amp; estimation / coordination complexity</x:v>
      </x:c>
      <x:c r="F1133" t="str">
        <x:v>Resource inefficiency (materials/labor/energy)</x:v>
      </x:c>
      <x:c r="G1133" t="str">
        <x:v>Planning &amp; estimation / coordination complexity, Resource inefficiency (materials/labor/energy), Unforeseen site/structural issues &amp; rework</x:v>
      </x:c>
      <x:c r="H1133" t="str">
        <x:v>Cost overrun mainly linked to planning &amp; estimation / coordination complexity; schedule overrun mainly linked to planning &amp; estimation / coordination complexity.</x:v>
      </x:c>
    </x:row>
    <x:row r="1134">
      <x:c r="A1134" t="str">
        <x:v>PJT_1133</x:v>
      </x:c>
      <x:c r="B1134" t="str">
        <x:v>Unforeseen site/structural issues &amp; rework</x:v>
      </x:c>
      <x:c r="C1134" t="str">
        <x:v>Weather disruption / environmental constraints</x:v>
      </x:c>
      <x:c r="D1134" t="str">
        <x:v>Unforeseen site/structural issues &amp; rework, Weather disruption / environmental constraints, Equipment constraints / low availability</x:v>
      </x:c>
      <x:c r="E1134" t="str">
        <x:v>Unforeseen site/structural issues &amp; rework</x:v>
      </x:c>
      <x:c r="F1134" t="str">
        <x:v>Weather disruption / environmental constraints</x:v>
      </x:c>
      <x:c r="G1134" t="str">
        <x:v>Unforeseen site/structural issues &amp; rework, Weather disruption / environmental constraints, Equipment constraints / low availability</x:v>
      </x:c>
      <x:c r="H1134" t="str">
        <x:v>Cost overrun mainly linked to unforeseen site/structural issues &amp; rework; schedule overrun mainly linked to unforeseen site/structural issues &amp; rework.</x:v>
      </x:c>
    </x:row>
    <x:row r="1135">
      <x:c r="A1135" t="str">
        <x:v>PJT_1134</x:v>
      </x:c>
      <x:c r="B1135" t="str">
        <x:v>Material supply / logistics &amp; market disruption</x:v>
      </x:c>
      <x:c r="C1135" t="str">
        <x:v>Resource inefficiency (materials/labor/energy)</x:v>
      </x:c>
      <x:c r="D1135" t="str">
        <x:v>Material supply / logistics &amp; market disruption, Resource inefficiency (materials/labor/energy), Weather disruption / environmental constraints</x:v>
      </x:c>
      <x:c r="E1135" t="str">
        <x:v>Material supply / logistics &amp; market disruption</x:v>
      </x:c>
      <x:c r="F1135" t="str">
        <x:v>Resource inefficiency (materials/labor/energy)</x:v>
      </x:c>
      <x:c r="G1135" t="str">
        <x:v>Material supply / logistics &amp; market disruption, Resource inefficiency (materials/labor/energy), Weather disruption / environmental constraints</x:v>
      </x:c>
      <x:c r="H1135" t="str">
        <x:v>Cost overrun mainly linked to material supply / logistics &amp; market disruption; schedule overrun mainly linked to material supply / logistics &amp; market disruption.</x:v>
      </x:c>
    </x:row>
    <x:row r="1136">
      <x:c r="A1136" t="str">
        <x:v>PJT_1135</x:v>
      </x:c>
      <x:c r="B1136" t="str">
        <x:v>Resource inefficiency (materials/labor/energy)</x:v>
      </x:c>
      <x:c r="C1136" t="str">
        <x:v>Material supply / logistics &amp; market disruption</x:v>
      </x:c>
      <x:c r="D1136" t="str">
        <x:v>Resource inefficiency (materials/labor/energy), Material supply / logistics &amp; market disruption, Planning &amp; estimation / coordination complexity</x:v>
      </x:c>
      <x:c r="E1136" t="str">
        <x:v>Resource inefficiency (materials/labor/energy)</x:v>
      </x:c>
      <x:c r="F1136" t="str">
        <x:v>Planning &amp; estimation / coordination complexity</x:v>
      </x:c>
      <x:c r="G1136" t="str">
        <x:v>Resource inefficiency (materials/labor/energy), Planning &amp; estimation / coordination complexity, Equipment constraints / low availability</x:v>
      </x:c>
      <x:c r="H1136" t="str">
        <x:v>Cost overrun mainly linked to resource inefficiency (materials/labor/energy); schedule overrun mainly linked to resource inefficiency (materials/labor/energy).</x:v>
      </x:c>
    </x:row>
    <x:row r="1137">
      <x:c r="A1137" t="str">
        <x:v>PJT_1136</x:v>
      </x:c>
      <x:c r="B1137" t="str">
        <x:v>Planning &amp; estimation / coordination complexity</x:v>
      </x:c>
      <x:c r="C1137" t="str">
        <x:v>Equipment constraints / low availability</x:v>
      </x:c>
      <x:c r="D1137" t="str">
        <x:v>Planning &amp; estimation / coordination complexity, Equipment constraints / low availability, Resource inefficiency (materials/labor/energy)</x:v>
      </x:c>
      <x:c r="E1137" t="str">
        <x:v>Planning &amp; estimation / coordination complexity</x:v>
      </x:c>
      <x:c r="F1137" t="str">
        <x:v>Equipment constraints / low availability</x:v>
      </x:c>
      <x:c r="G1137" t="str">
        <x:v>Planning &amp; estimation / coordination complexity, Equipment constraints / low availability, Resource inefficiency (materials/labor/energy)</x:v>
      </x:c>
      <x:c r="H1137" t="str">
        <x:v>Cost overrun mainly linked to planning &amp; estimation / coordination complexity; schedule overrun mainly linked to planning &amp; estimation / coordination complexity.</x:v>
      </x:c>
    </x:row>
    <x:row r="1138">
      <x:c r="A1138" t="str">
        <x:v>PJT_1137</x:v>
      </x:c>
      <x:c r="B1138" t="str">
        <x:v>Weather disruption / environmental constraints</x:v>
      </x:c>
      <x:c r="C1138" t="str">
        <x:v>Unforeseen site/structural issues &amp; rework</x:v>
      </x:c>
      <x:c r="D1138" t="str">
        <x:v>Weather disruption / environmental constraints, Unforeseen site/structural issues &amp; rework, Material supply / logistics &amp; market disruption</x:v>
      </x:c>
      <x:c r="E1138" t="str">
        <x:v>Weather disruption / environmental constraints</x:v>
      </x:c>
      <x:c r="F1138" t="str">
        <x:v>Material supply / logistics &amp; market disruption</x:v>
      </x:c>
      <x:c r="G1138" t="str">
        <x:v>Weather disruption / environmental constraints, Material supply / logistics &amp; market disruption, Unforeseen site/structural issues &amp; rework</x:v>
      </x:c>
      <x:c r="H1138" t="str">
        <x:v>Cost overrun mainly linked to weather disruption / environmental constraints; schedule overrun mainly linked to weather disruption / environmental constraints.</x:v>
      </x:c>
    </x:row>
    <x:row r="1139">
      <x:c r="A1139" t="str">
        <x:v>PJT_1138</x:v>
      </x:c>
      <x:c r="B1139" t="str">
        <x:v>Resource inefficiency (materials/labor/energy)</x:v>
      </x:c>
      <x:c r="C1139" t="str">
        <x:v>Equipment constraints / low availability</x:v>
      </x:c>
      <x:c r="D1139" t="str">
        <x:v>Resource inefficiency (materials/labor/energy), Equipment constraints / low availability, Planning &amp; estimation / coordination complexity</x:v>
      </x:c>
      <x:c r="E1139" t="str">
        <x:v>Resource inefficiency (materials/labor/energy)</x:v>
      </x:c>
      <x:c r="F1139" t="str">
        <x:v>Equipment constraints / low availability</x:v>
      </x:c>
      <x:c r="G1139" t="str">
        <x:v>Resource inefficiency (materials/labor/energy), Equipment constraints / low availability, Planning &amp; estimation / coordination complexity</x:v>
      </x:c>
      <x:c r="H1139" t="str">
        <x:v>Cost overrun mainly linked to resource inefficiency (materials/labor/energy); schedule overrun mainly linked to resource inefficiency (materials/labor/energy).</x:v>
      </x:c>
    </x:row>
    <x:row r="1140">
      <x:c r="A1140" t="str">
        <x:v>PJT_1139</x:v>
      </x:c>
      <x:c r="B1140" t="str">
        <x:v>Unforeseen site/structural issues &amp; rework</x:v>
      </x:c>
      <x:c r="C1140" t="str">
        <x:v>Weather disruption / environmental constraints</x:v>
      </x:c>
      <x:c r="D1140" t="str">
        <x:v>Unforeseen site/structural issues &amp; rework, Weather disruption / environmental constraints, Material supply / logistics &amp; market disruption</x:v>
      </x:c>
      <x:c r="E1140" t="str">
        <x:v>Unforeseen site/structural issues &amp; rework</x:v>
      </x:c>
      <x:c r="F1140" t="str">
        <x:v>Weather disruption / environmental constraints</x:v>
      </x:c>
      <x:c r="G1140" t="str">
        <x:v>Unforeseen site/structural issues &amp; rework, Weather disruption / environmental constraints, Planning &amp; estimation / coordination complexity</x:v>
      </x:c>
      <x:c r="H1140" t="str">
        <x:v>Cost overrun mainly linked to unforeseen site/structural issues &amp; rework; schedule overrun mainly linked to unforeseen site/structural issues &amp; rework.</x:v>
      </x:c>
    </x:row>
    <x:row r="1141">
      <x:c r="A1141" t="str">
        <x:v>PJT_1140</x:v>
      </x:c>
      <x:c r="B1141" t="str">
        <x:v>Unforeseen site/structural issues &amp; rework</x:v>
      </x:c>
      <x:c r="C1141" t="str">
        <x:v>Material supply / logistics &amp; market disruption</x:v>
      </x:c>
      <x:c r="D1141" t="str">
        <x:v>Unforeseen site/structural issues &amp; rework, Material supply / logistics &amp; market disruption, Planning &amp; estimation / coordination complexity</x:v>
      </x:c>
      <x:c r="E1141" t="str">
        <x:v>Unforeseen site/structural issues &amp; rework</x:v>
      </x:c>
      <x:c r="F1141" t="str">
        <x:v>Material supply / logistics &amp; market disruption</x:v>
      </x:c>
      <x:c r="G1141" t="str">
        <x:v>Unforeseen site/structural issues &amp; rework, Material supply / logistics &amp; market disruption, Planning &amp; estimation / coordination complexity</x:v>
      </x:c>
      <x:c r="H1141" t="str">
        <x:v>Cost overrun mainly linked to unforeseen site/structural issues &amp; rework; schedule overrun mainly linked to unforeseen site/structural issues &amp; rework.</x:v>
      </x:c>
    </x:row>
    <x:row r="1142">
      <x:c r="A1142" t="str">
        <x:v>PJT_1141</x:v>
      </x:c>
      <x:c r="B1142" t="str">
        <x:v>Planning &amp; estimation / coordination complexity</x:v>
      </x:c>
      <x:c r="C1142" t="str">
        <x:v>Unforeseen site/structural issues &amp; rework</x:v>
      </x:c>
      <x:c r="D1142" t="str">
        <x:v>Planning &amp; estimation / coordination complexity, Unforeseen site/structural issues &amp; rework, Resource inefficiency (materials/labor/energy)</x:v>
      </x:c>
      <x:c r="E1142" t="str">
        <x:v>Planning &amp; estimation / coordination complexity</x:v>
      </x:c>
      <x:c r="F1142" t="str">
        <x:v>Unforeseen site/structural issues &amp; rework</x:v>
      </x:c>
      <x:c r="G1142" t="str">
        <x:v>Planning &amp; estimation / coordination complexity, Unforeseen site/structural issues &amp; rework, Resource inefficiency (materials/labor/energy)</x:v>
      </x:c>
      <x:c r="H1142" t="str">
        <x:v>Cost overrun mainly linked to planning &amp; estimation / coordination complexity; schedule overrun mainly linked to planning &amp; estimation / coordination complexity.</x:v>
      </x:c>
    </x:row>
    <x:row r="1143">
      <x:c r="A1143" t="str">
        <x:v>PJT_1142</x:v>
      </x:c>
      <x:c r="B1143" t="str">
        <x:v>Planning &amp; estimation / coordination complexity</x:v>
      </x:c>
      <x:c r="C1143" t="str">
        <x:v>Unforeseen site/structural issues &amp; rework</x:v>
      </x:c>
      <x:c r="D1143" t="str">
        <x:v>Planning &amp; estimation / coordination complexity, Unforeseen site/structural issues &amp; rework, Resource inefficiency (materials/labor/energy)</x:v>
      </x:c>
      <x:c r="E1143" t="str">
        <x:v>Planning &amp; estimation / coordination complexity</x:v>
      </x:c>
      <x:c r="F1143" t="str">
        <x:v>Unforeseen site/structural issues &amp; rework</x:v>
      </x:c>
      <x:c r="G1143" t="str">
        <x:v>Planning &amp; estimation / coordination complexity, Unforeseen site/structural issues &amp; rework, Resource inefficiency (materials/labor/energy)</x:v>
      </x:c>
      <x:c r="H1143" t="str">
        <x:v>Cost overrun mainly linked to planning &amp; estimation / coordination complexity; schedule overrun mainly linked to planning &amp; estimation / coordination complexity.</x:v>
      </x:c>
    </x:row>
    <x:row r="1144">
      <x:c r="A1144" t="str">
        <x:v>PJT_1143</x:v>
      </x:c>
      <x:c r="B1144" t="str">
        <x:v>Equipment constraints / low availability</x:v>
      </x:c>
      <x:c r="C1144" t="str">
        <x:v>Weather disruption / environmental constraints</x:v>
      </x:c>
      <x:c r="D1144" t="str">
        <x:v>Equipment constraints / low availability, Weather disruption / environmental constraints, Planning &amp; estimation / coordination complexity</x:v>
      </x:c>
      <x:c r="E1144" t="str">
        <x:v>Equipment constraints / low availability</x:v>
      </x:c>
      <x:c r="F1144" t="str">
        <x:v>Weather disruption / environmental constraints</x:v>
      </x:c>
      <x:c r="G1144" t="str">
        <x:v>Equipment constraints / low availability, Weather disruption / environmental constraints, Planning &amp; estimation / coordination complexity</x:v>
      </x:c>
      <x:c r="H1144" t="str">
        <x:v>Cost overrun mainly linked to equipment constraints / low availability; schedule overrun mainly linked to equipment constraints / low availability.</x:v>
      </x:c>
    </x:row>
    <x:row r="1145">
      <x:c r="A1145" t="str">
        <x:v>PJT_1144</x:v>
      </x:c>
      <x:c r="B1145" t="str">
        <x:v>Unforeseen site/structural issues &amp; rework</x:v>
      </x:c>
      <x:c r="C1145" t="str">
        <x:v>Planning &amp; estimation / coordination complexity</x:v>
      </x:c>
      <x:c r="D1145" t="str">
        <x:v>Unforeseen site/structural issues &amp; rework, Planning &amp; estimation / coordination complexity, Material supply / logistics &amp; market disruption</x:v>
      </x:c>
      <x:c r="E1145" t="str">
        <x:v>Unforeseen site/structural issues &amp; rework</x:v>
      </x:c>
      <x:c r="F1145" t="str">
        <x:v>Planning &amp; estimation / coordination complexity</x:v>
      </x:c>
      <x:c r="G1145" t="str">
        <x:v>Unforeseen site/structural issues &amp; rework, Planning &amp; estimation / coordination complexity, Weather disruption / environmental constraints</x:v>
      </x:c>
      <x:c r="H1145" t="str">
        <x:v>Cost overrun mainly linked to unforeseen site/structural issues &amp; rework; schedule overrun mainly linked to unforeseen site/structural issues &amp; rework.</x:v>
      </x:c>
    </x:row>
    <x:row r="1146">
      <x:c r="A1146" t="str">
        <x:v>PJT_1145</x:v>
      </x:c>
      <x:c r="B1146" t="str">
        <x:v>Weather disruption / environmental constraints</x:v>
      </x:c>
      <x:c r="C1146" t="str">
        <x:v>Equipment constraints / low availability</x:v>
      </x:c>
      <x:c r="D1146" t="str">
        <x:v>Weather disruption / environmental constraints, Equipment constraints / low availability, Unforeseen site/structural issues &amp; rework</x:v>
      </x:c>
      <x:c r="E1146" t="str">
        <x:v>Weather disruption / environmental constraints</x:v>
      </x:c>
      <x:c r="F1146" t="str">
        <x:v>Equipment constraints / low availability</x:v>
      </x:c>
      <x:c r="G1146" t="str">
        <x:v>Weather disruption / environmental constraints, Equipment constraints / low availability, Material supply / logistics &amp; market disruption</x:v>
      </x:c>
      <x:c r="H1146" t="str">
        <x:v>Cost overrun mainly linked to weather disruption / environmental constraints; schedule overrun mainly linked to weather disruption / environmental constraints.</x:v>
      </x:c>
    </x:row>
    <x:row r="1147">
      <x:c r="A1147" t="str">
        <x:v>PJT_1146</x:v>
      </x:c>
      <x:c r="B1147" t="str">
        <x:v>Resource inefficiency (materials/labor/energy)</x:v>
      </x:c>
      <x:c r="C1147" t="str">
        <x:v>Material supply / logistics &amp; market disruption</x:v>
      </x:c>
      <x:c r="D1147" t="str">
        <x:v>Resource inefficiency (materials/labor/energy), Material supply / logistics &amp; market disruption, Planning &amp; estimation / coordination complexity</x:v>
      </x:c>
      <x:c r="E1147" t="str">
        <x:v>Resource inefficiency (materials/labor/energy)</x:v>
      </x:c>
      <x:c r="F1147" t="str">
        <x:v>Planning &amp; estimation / coordination complexity</x:v>
      </x:c>
      <x:c r="G1147" t="str">
        <x:v>Resource inefficiency (materials/labor/energy), Planning &amp; estimation / coordination complexity, Material supply / logistics &amp; market disruption</x:v>
      </x:c>
      <x:c r="H1147" t="str">
        <x:v>Cost overrun mainly linked to resource inefficiency (materials/labor/energy); schedule overrun mainly linked to resource inefficiency (materials/labor/energy).</x:v>
      </x:c>
    </x:row>
    <x:row r="1148">
      <x:c r="A1148" t="str">
        <x:v>PJT_1147</x:v>
      </x:c>
      <x:c r="B1148" t="str">
        <x:v>Unforeseen site/structural issues &amp; rework</x:v>
      </x:c>
      <x:c r="C1148" t="str">
        <x:v>Resource inefficiency (materials/labor/energy)</x:v>
      </x:c>
      <x:c r="D1148" t="str">
        <x:v>Unforeseen site/structural issues &amp; rework, Resource inefficiency (materials/labor/energy), Planning &amp; estimation / coordination complexity</x:v>
      </x:c>
      <x:c r="E1148" t="str">
        <x:v>Unforeseen site/structural issues &amp; rework</x:v>
      </x:c>
      <x:c r="F1148" t="str">
        <x:v>Resource inefficiency (materials/labor/energy)</x:v>
      </x:c>
      <x:c r="G1148" t="str">
        <x:v>Unforeseen site/structural issues &amp; rework, Resource inefficiency (materials/labor/energy), Planning &amp; estimation / coordination complexity</x:v>
      </x:c>
      <x:c r="H1148" t="str">
        <x:v>Cost overrun mainly linked to unforeseen site/structural issues &amp; rework; schedule overrun mainly linked to unforeseen site/structural issues &amp; rework.</x:v>
      </x:c>
    </x:row>
    <x:row r="1149">
      <x:c r="A1149" t="str">
        <x:v>PJT_1148</x:v>
      </x:c>
      <x:c r="B1149" t="str">
        <x:v>Resource inefficiency (materials/labor/energy)</x:v>
      </x:c>
      <x:c r="C1149" t="str">
        <x:v>Equipment constraints / low availability</x:v>
      </x:c>
      <x:c r="D1149" t="str">
        <x:v>Resource inefficiency (materials/labor/energy), Equipment constraints / low availability, Material supply / logistics &amp; market disruption</x:v>
      </x:c>
      <x:c r="E1149" t="str">
        <x:v>Resource inefficiency (materials/labor/energy)</x:v>
      </x:c>
      <x:c r="F1149" t="str">
        <x:v>Equipment constraints / low availability</x:v>
      </x:c>
      <x:c r="G1149" t="str">
        <x:v>Resource inefficiency (materials/labor/energy), Equipment constraints / low availability, Material supply / logistics &amp; market disruption</x:v>
      </x:c>
      <x:c r="H1149" t="str">
        <x:v>Cost overrun mainly linked to resource inefficiency (materials/labor/energy); schedule overrun mainly linked to resource inefficiency (materials/labor/energy).</x:v>
      </x:c>
    </x:row>
    <x:row r="1150">
      <x:c r="A1150" t="str">
        <x:v>PJT_1149</x:v>
      </x:c>
      <x:c r="B1150" t="str">
        <x:v>Resource inefficiency (materials/labor/energy)</x:v>
      </x:c>
      <x:c r="C1150" t="str">
        <x:v>Material supply / logistics &amp; market disruption</x:v>
      </x:c>
      <x:c r="D1150" t="str">
        <x:v>Resource inefficiency (materials/labor/energy), Material supply / logistics &amp; market disruption, Equipment constraints / low availability</x:v>
      </x:c>
      <x:c r="E1150" t="str">
        <x:v>Resource inefficiency (materials/labor/energy)</x:v>
      </x:c>
      <x:c r="F1150" t="str">
        <x:v>Material supply / logistics &amp; market disruption</x:v>
      </x:c>
      <x:c r="G1150" t="str">
        <x:v>Resource inefficiency (materials/labor/energy), Material supply / logistics &amp; market disruption, Equipment constraints / low availability</x:v>
      </x:c>
      <x:c r="H1150" t="str">
        <x:v>Cost overrun mainly linked to resource inefficiency (materials/labor/energy); schedule overrun mainly linked to resource inefficiency (materials/labor/energy).</x:v>
      </x:c>
    </x:row>
    <x:row r="1151">
      <x:c r="A1151" t="str">
        <x:v>PJT_1150</x:v>
      </x:c>
      <x:c r="B1151" t="str">
        <x:v>Resource inefficiency (materials/labor/energy)</x:v>
      </x:c>
      <x:c r="C1151" t="str">
        <x:v>Planning &amp; estimation / coordination complexity</x:v>
      </x:c>
      <x:c r="D1151" t="str">
        <x:v>Resource inefficiency (materials/labor/energy), Planning &amp; estimation / coordination complexity, Equipment constraints / low availability</x:v>
      </x:c>
      <x:c r="E1151" t="str">
        <x:v>Planning &amp; estimation / coordination complexity</x:v>
      </x:c>
      <x:c r="F1151" t="str">
        <x:v>Resource inefficiency (materials/labor/energy)</x:v>
      </x:c>
      <x:c r="G1151" t="str">
        <x:v>Planning &amp; estimation / coordination complexity, Resource inefficiency (materials/labor/energy), Unforeseen site/structural issues &amp; rework</x:v>
      </x:c>
      <x:c r="H1151" t="str">
        <x:v>Cost overrun mainly linked to resource inefficiency (materials/labor/energy); schedule overrun mainly linked to planning &amp; estimation / coordination complexity.</x:v>
      </x:c>
    </x:row>
    <x:row r="1152">
      <x:c r="A1152" t="str">
        <x:v>PJT_1151</x:v>
      </x:c>
      <x:c r="B1152" t="str">
        <x:v>Weather disruption / environmental constraints</x:v>
      </x:c>
      <x:c r="C1152" t="str">
        <x:v>Planning &amp; estimation / coordination complexity</x:v>
      </x:c>
      <x:c r="D1152" t="str">
        <x:v>Weather disruption / environmental constraints, Planning &amp; estimation / coordination complexity, Material supply / logistics &amp; market disruption</x:v>
      </x:c>
      <x:c r="E1152" t="str">
        <x:v>Weather disruption / environmental constraints</x:v>
      </x:c>
      <x:c r="F1152" t="str">
        <x:v>Planning &amp; estimation / coordination complexity</x:v>
      </x:c>
      <x:c r="G1152" t="str">
        <x:v>Weather disruption / environmental constraints, Planning &amp; estimation / coordination complexity, Material supply / logistics &amp; market disruption</x:v>
      </x:c>
      <x:c r="H1152" t="str">
        <x:v>Cost overrun mainly linked to weather disruption / environmental constraints; schedule overrun mainly linked to weather disruption / environmental constraints.</x:v>
      </x:c>
    </x:row>
    <x:row r="1153">
      <x:c r="A1153" t="str">
        <x:v>PJT_1152</x:v>
      </x:c>
      <x:c r="B1153" t="str">
        <x:v>Unforeseen site/structural issues &amp; rework</x:v>
      </x:c>
      <x:c r="C1153" t="str">
        <x:v>Equipment constraints / low availability</x:v>
      </x:c>
      <x:c r="D1153" t="str">
        <x:v>Unforeseen site/structural issues &amp; rework, Equipment constraints / low availability, Planning &amp; estimation / coordination complexity</x:v>
      </x:c>
      <x:c r="E1153" t="str">
        <x:v>Unforeseen site/structural issues &amp; rework</x:v>
      </x:c>
      <x:c r="F1153" t="str">
        <x:v>Equipment constraints / low availability</x:v>
      </x:c>
      <x:c r="G1153" t="str">
        <x:v>Unforeseen site/structural issues &amp; rework, Equipment constraints / low availability, Planning &amp; estimation / coordination complexity</x:v>
      </x:c>
      <x:c r="H1153" t="str">
        <x:v>Cost overrun mainly linked to unforeseen site/structural issues &amp; rework; schedule overrun mainly linked to unforeseen site/structural issues &amp; rework.</x:v>
      </x:c>
    </x:row>
    <x:row r="1154">
      <x:c r="A1154" t="str">
        <x:v>PJT_1153</x:v>
      </x:c>
      <x:c r="B1154" t="str">
        <x:v>Planning &amp; estimation / coordination complexity</x:v>
      </x:c>
      <x:c r="C1154" t="str">
        <x:v>Unforeseen site/structural issues &amp; rework</x:v>
      </x:c>
      <x:c r="D1154" t="str">
        <x:v>Planning &amp; estimation / coordination complexity, Unforeseen site/structural issues &amp; rework, Equipment constraints / low availability</x:v>
      </x:c>
      <x:c r="E1154" t="str">
        <x:v>Unforeseen site/structural issues &amp; rework</x:v>
      </x:c>
      <x:c r="F1154" t="str">
        <x:v>Planning &amp; estimation / coordination complexity</x:v>
      </x:c>
      <x:c r="G1154" t="str">
        <x:v>Unforeseen site/structural issues &amp; rework, Planning &amp; estimation / coordination complexity, Equipment constraints / low availability</x:v>
      </x:c>
      <x:c r="H1154" t="str">
        <x:v>Cost overrun mainly linked to planning &amp; estimation / coordination complexity; schedule overrun mainly linked to unforeseen site/structural issues &amp; rework.</x:v>
      </x:c>
    </x:row>
    <x:row r="1155">
      <x:c r="A1155" t="str">
        <x:v>PJT_1154</x:v>
      </x:c>
      <x:c r="B1155" t="str">
        <x:v>Unforeseen site/structural issues &amp; rework</x:v>
      </x:c>
      <x:c r="C1155" t="str">
        <x:v>Planning &amp; estimation / coordination complexity</x:v>
      </x:c>
      <x:c r="D1155" t="str">
        <x:v>Unforeseen site/structural issues &amp; rework, Planning &amp; estimation / coordination complexity, Equipment constraints / low availability</x:v>
      </x:c>
      <x:c r="E1155" t="str">
        <x:v>Unforeseen site/structural issues &amp; rework</x:v>
      </x:c>
      <x:c r="F1155" t="str">
        <x:v>Planning &amp; estimation / coordination complexity</x:v>
      </x:c>
      <x:c r="G1155" t="str">
        <x:v>Unforeseen site/structural issues &amp; rework, Planning &amp; estimation / coordination complexity, Equipment constraints / low availability</x:v>
      </x:c>
      <x:c r="H1155" t="str">
        <x:v>Cost overrun mainly linked to unforeseen site/structural issues &amp; rework; schedule overrun mainly linked to unforeseen site/structural issues &amp; rework.</x:v>
      </x:c>
    </x:row>
    <x:row r="1156">
      <x:c r="A1156" t="str">
        <x:v>PJT_1155</x:v>
      </x:c>
      <x:c r="B1156" t="str">
        <x:v>Material supply / logistics &amp; market disruption</x:v>
      </x:c>
      <x:c r="C1156" t="str">
        <x:v>Resource inefficiency (materials/labor/energy)</x:v>
      </x:c>
      <x:c r="D1156" t="str">
        <x:v>Material supply / logistics &amp; market disruption, Resource inefficiency (materials/labor/energy), Weather disruption / environmental constraints</x:v>
      </x:c>
      <x:c r="E1156" t="str">
        <x:v>Material supply / logistics &amp; market disruption</x:v>
      </x:c>
      <x:c r="F1156" t="str">
        <x:v>Resource inefficiency (materials/labor/energy)</x:v>
      </x:c>
      <x:c r="G1156" t="str">
        <x:v>Material supply / logistics &amp; market disruption, Resource inefficiency (materials/labor/energy), Weather disruption / environmental constraints</x:v>
      </x:c>
      <x:c r="H1156" t="str">
        <x:v>Cost overrun mainly linked to material supply / logistics &amp; market disruption; schedule overrun mainly linked to material supply / logistics &amp; market disruption.</x:v>
      </x:c>
    </x:row>
    <x:row r="1157">
      <x:c r="A1157" t="str">
        <x:v>PJT_1156</x:v>
      </x:c>
      <x:c r="B1157" t="str">
        <x:v>Unforeseen site/structural issues &amp; rework</x:v>
      </x:c>
      <x:c r="C1157" t="str">
        <x:v>Planning &amp; estimation / coordination complexity</x:v>
      </x:c>
      <x:c r="D1157" t="str">
        <x:v>Unforeseen site/structural issues &amp; rework, Planning &amp; estimation / coordination complexity, Equipment constraints / low availability</x:v>
      </x:c>
      <x:c r="E1157" t="str">
        <x:v>Unforeseen site/structural issues &amp; rework</x:v>
      </x:c>
      <x:c r="F1157" t="str">
        <x:v>Planning &amp; estimation / coordination complexity</x:v>
      </x:c>
      <x:c r="G1157" t="str">
        <x:v>Unforeseen site/structural issues &amp; rework, Planning &amp; estimation / coordination complexity, Equipment constraints / low availability</x:v>
      </x:c>
      <x:c r="H1157" t="str">
        <x:v>Cost overrun mainly linked to unforeseen site/structural issues &amp; rework; schedule overrun mainly linked to unforeseen site/structural issues &amp; rework.</x:v>
      </x:c>
    </x:row>
    <x:row r="1158">
      <x:c r="A1158" t="str">
        <x:v>PJT_1157</x:v>
      </x:c>
      <x:c r="B1158" t="str">
        <x:v>Weather disruption / environmental constraints</x:v>
      </x:c>
      <x:c r="C1158" t="str">
        <x:v>Unforeseen site/structural issues &amp; rework</x:v>
      </x:c>
      <x:c r="D1158" t="str">
        <x:v>Weather disruption / environmental constraints, Unforeseen site/structural issues &amp; rework, Equipment constraints / low availability</x:v>
      </x:c>
      <x:c r="E1158" t="str">
        <x:v>Weather disruption / environmental constraints</x:v>
      </x:c>
      <x:c r="F1158" t="str">
        <x:v>Unforeseen site/structural issues &amp; rework</x:v>
      </x:c>
      <x:c r="G1158" t="str">
        <x:v>Weather disruption / environmental constraints, Unforeseen site/structural issues &amp; rework, Equipment constraints / low availability</x:v>
      </x:c>
      <x:c r="H1158" t="str">
        <x:v>Cost overrun mainly linked to weather disruption / environmental constraints; schedule overrun mainly linked to weather disruption / environmental constraints.</x:v>
      </x:c>
    </x:row>
    <x:row r="1159">
      <x:c r="A1159" t="str">
        <x:v>PJT_1158</x:v>
      </x:c>
      <x:c r="B1159" t="str">
        <x:v>Planning &amp; estimation / coordination complexity</x:v>
      </x:c>
      <x:c r="C1159" t="str">
        <x:v>Resource inefficiency (materials/labor/energy)</x:v>
      </x:c>
      <x:c r="D1159" t="str">
        <x:v>Planning &amp; estimation / coordination complexity, Resource inefficiency (materials/labor/energy), Equipment constraints / low availability</x:v>
      </x:c>
      <x:c r="E1159" t="str">
        <x:v>Planning &amp; estimation / coordination complexity</x:v>
      </x:c>
      <x:c r="F1159" t="str">
        <x:v>Resource inefficiency (materials/labor/energy)</x:v>
      </x:c>
      <x:c r="G1159" t="str">
        <x:v>Planning &amp; estimation / coordination complexity, Resource inefficiency (materials/labor/energy), Equipment constraints / low availability</x:v>
      </x:c>
      <x:c r="H1159" t="str">
        <x:v>Cost overrun mainly linked to planning &amp; estimation / coordination complexity; schedule overrun mainly linked to planning &amp; estimation / coordination complexity.</x:v>
      </x:c>
    </x:row>
    <x:row r="1160">
      <x:c r="A1160" t="str">
        <x:v>PJT_1159</x:v>
      </x:c>
      <x:c r="B1160" t="str">
        <x:v>Planning &amp; estimation / coordination complexity</x:v>
      </x:c>
      <x:c r="C1160" t="str">
        <x:v>Unforeseen site/structural issues &amp; rework</x:v>
      </x:c>
      <x:c r="D1160" t="str">
        <x:v>Planning &amp; estimation / coordination complexity, Unforeseen site/structural issues &amp; rework, Material supply / logistics &amp; market disruption</x:v>
      </x:c>
      <x:c r="E1160" t="str">
        <x:v>Planning &amp; estimation / coordination complexity</x:v>
      </x:c>
      <x:c r="F1160" t="str">
        <x:v>Unforeseen site/structural issues &amp; rework</x:v>
      </x:c>
      <x:c r="G1160" t="str">
        <x:v>Planning &amp; estimation / coordination complexity, Unforeseen site/structural issues &amp; rework, Material supply / logistics &amp; market disruption</x:v>
      </x:c>
      <x:c r="H1160" t="str">
        <x:v>Cost overrun mainly linked to planning &amp; estimation / coordination complexity; schedule overrun mainly linked to planning &amp; estimation / coordination complexity.</x:v>
      </x:c>
    </x:row>
    <x:row r="1161">
      <x:c r="A1161" t="str">
        <x:v>PJT_1160</x:v>
      </x:c>
      <x:c r="B1161" t="str">
        <x:v>Planning &amp; estimation / coordination complexity</x:v>
      </x:c>
      <x:c r="C1161" t="str">
        <x:v>Resource inefficiency (materials/labor/energy)</x:v>
      </x:c>
      <x:c r="D1161" t="str">
        <x:v>Planning &amp; estimation / coordination complexity, Resource inefficiency (materials/labor/energy), Unforeseen site/structural issues &amp; rework</x:v>
      </x:c>
      <x:c r="E1161" t="str">
        <x:v>Planning &amp; estimation / coordination complexity</x:v>
      </x:c>
      <x:c r="F1161" t="str">
        <x:v>Resource inefficiency (materials/labor/energy)</x:v>
      </x:c>
      <x:c r="G1161" t="str">
        <x:v>Planning &amp; estimation / coordination complexity, Resource inefficiency (materials/labor/energy), Unforeseen site/structural issues &amp; rework</x:v>
      </x:c>
      <x:c r="H1161" t="str">
        <x:v>Cost overrun mainly linked to planning &amp; estimation / coordination complexity; schedule overrun mainly linked to planning &amp; estimation / coordination complexity.</x:v>
      </x:c>
    </x:row>
    <x:row r="1162">
      <x:c r="A1162" t="str">
        <x:v>PJT_1161</x:v>
      </x:c>
      <x:c r="B1162" t="str">
        <x:v>Weather disruption / environmental constraints</x:v>
      </x:c>
      <x:c r="C1162" t="str">
        <x:v>Equipment constraints / low availability</x:v>
      </x:c>
      <x:c r="D1162" t="str">
        <x:v>Weather disruption / environmental constraints, Equipment constraints / low availability, Unforeseen site/structural issues &amp; rework</x:v>
      </x:c>
      <x:c r="E1162" t="str">
        <x:v>Weather disruption / environmental constraints</x:v>
      </x:c>
      <x:c r="F1162" t="str">
        <x:v>Equipment constraints / low availability</x:v>
      </x:c>
      <x:c r="G1162" t="str">
        <x:v>Weather disruption / environmental constraints, Equipment constraints / low availability, Unforeseen site/structural issues &amp; rework</x:v>
      </x:c>
      <x:c r="H1162" t="str">
        <x:v>Cost overrun mainly linked to weather disruption / environmental constraints; schedule overrun mainly linked to weather disruption / environmental constraints.</x:v>
      </x:c>
    </x:row>
    <x:row r="1163">
      <x:c r="A1163" t="str">
        <x:v>PJT_1162</x:v>
      </x:c>
      <x:c r="B1163" t="str">
        <x:v>Resource inefficiency (materials/labor/energy)</x:v>
      </x:c>
      <x:c r="C1163" t="str">
        <x:v>Material supply / logistics &amp; market disruption</x:v>
      </x:c>
      <x:c r="D1163" t="str">
        <x:v>Resource inefficiency (materials/labor/energy), Material supply / logistics &amp; market disruption, Planning &amp; estimation / coordination complexity</x:v>
      </x:c>
      <x:c r="E1163" t="str">
        <x:v>Resource inefficiency (materials/labor/energy)</x:v>
      </x:c>
      <x:c r="F1163" t="str">
        <x:v>Planning &amp; estimation / coordination complexity</x:v>
      </x:c>
      <x:c r="G1163" t="str">
        <x:v>Resource inefficiency (materials/labor/energy), Planning &amp; estimation / coordination complexity, Material supply / logistics &amp; market disruption</x:v>
      </x:c>
      <x:c r="H1163" t="str">
        <x:v>Cost overrun mainly linked to resource inefficiency (materials/labor/energy); schedule overrun mainly linked to resource inefficiency (materials/labor/energy).</x:v>
      </x:c>
    </x:row>
    <x:row r="1164">
      <x:c r="A1164" t="str">
        <x:v>PJT_1163</x:v>
      </x:c>
      <x:c r="B1164" t="str">
        <x:v>Weather disruption / environmental constraints</x:v>
      </x:c>
      <x:c r="C1164" t="str">
        <x:v>Unforeseen site/structural issues &amp; rework</x:v>
      </x:c>
      <x:c r="D1164" t="str">
        <x:v>Weather disruption / environmental constraints, Unforeseen site/structural issues &amp; rework, Material supply / logistics &amp; market disruption</x:v>
      </x:c>
      <x:c r="E1164" t="str">
        <x:v>Weather disruption / environmental constraints</x:v>
      </x:c>
      <x:c r="F1164" t="str">
        <x:v>Material supply / logistics &amp; market disruption</x:v>
      </x:c>
      <x:c r="G1164" t="str">
        <x:v>Weather disruption / environmental constraints, Material supply / logistics &amp; market disruption, Unforeseen site/structural issues &amp; rework</x:v>
      </x:c>
      <x:c r="H1164" t="str">
        <x:v>Cost overrun mainly linked to weather disruption / environmental constraints; schedule overrun mainly linked to weather disruption / environmental constraints.</x:v>
      </x:c>
    </x:row>
    <x:row r="1165">
      <x:c r="A1165" t="str">
        <x:v>PJT_1164</x:v>
      </x:c>
      <x:c r="B1165" t="str">
        <x:v>Weather disruption / environmental constraints</x:v>
      </x:c>
      <x:c r="C1165" t="str">
        <x:v>Unforeseen site/structural issues &amp; rework</x:v>
      </x:c>
      <x:c r="D1165" t="str">
        <x:v>Weather disruption / environmental constraints, Unforeseen site/structural issues &amp; rework, Material supply / logistics &amp; market disruption</x:v>
      </x:c>
      <x:c r="E1165" t="str">
        <x:v>Weather disruption / environmental constraints</x:v>
      </x:c>
      <x:c r="F1165" t="str">
        <x:v>Unforeseen site/structural issues &amp; rework</x:v>
      </x:c>
      <x:c r="G1165" t="str">
        <x:v>Weather disruption / environmental constraints, Unforeseen site/structural issues &amp; rework, Material supply / logistics &amp; market disruption</x:v>
      </x:c>
      <x:c r="H1165" t="str">
        <x:v>Cost overrun mainly linked to weather disruption / environmental constraints; schedule overrun mainly linked to weather disruption / environmental constraints.</x:v>
      </x:c>
    </x:row>
    <x:row r="1166">
      <x:c r="A1166" t="str">
        <x:v>PJT_1165</x:v>
      </x:c>
      <x:c r="B1166" t="str">
        <x:v>Unforeseen site/structural issues &amp; rework</x:v>
      </x:c>
      <x:c r="C1166" t="str">
        <x:v>Planning &amp; estimation / coordination complexity</x:v>
      </x:c>
      <x:c r="D1166" t="str">
        <x:v>Unforeseen site/structural issues &amp; rework, Planning &amp; estimation / coordination complexity, Equipment constraints / low availability</x:v>
      </x:c>
      <x:c r="E1166" t="str">
        <x:v>Unforeseen site/structural issues &amp; rework</x:v>
      </x:c>
      <x:c r="F1166" t="str">
        <x:v>Planning &amp; estimation / coordination complexity</x:v>
      </x:c>
      <x:c r="G1166" t="str">
        <x:v>Unforeseen site/structural issues &amp; rework, Planning &amp; estimation / coordination complexity, Equipment constraints / low availability</x:v>
      </x:c>
      <x:c r="H1166" t="str">
        <x:v>Cost overrun mainly linked to unforeseen site/structural issues &amp; rework; schedule overrun mainly linked to unforeseen site/structural issues &amp; rework.</x:v>
      </x:c>
    </x:row>
    <x:row r="1167">
      <x:c r="A1167" t="str">
        <x:v>PJT_1166</x:v>
      </x:c>
      <x:c r="B1167" t="str">
        <x:v>Equipment constraints / low availability</x:v>
      </x:c>
      <x:c r="C1167" t="str">
        <x:v>Planning &amp; estimation / coordination complexity</x:v>
      </x:c>
      <x:c r="D1167" t="str">
        <x:v>Equipment constraints / low availability, Planning &amp; estimation / coordination complexity, Resource inefficiency (materials/labor/energy)</x:v>
      </x:c>
      <x:c r="E1167" t="str">
        <x:v>Equipment constraints / low availability</x:v>
      </x:c>
      <x:c r="F1167" t="str">
        <x:v>Planning &amp; estimation / coordination complexity</x:v>
      </x:c>
      <x:c r="G1167" t="str">
        <x:v>Equipment constraints / low availability, Planning &amp; estimation / coordination complexity, Resource inefficiency (materials/labor/energy)</x:v>
      </x:c>
      <x:c r="H1167" t="str">
        <x:v>Cost overrun mainly linked to equipment constraints / low availability; schedule overrun mainly linked to equipment constraints / low availability.</x:v>
      </x:c>
    </x:row>
    <x:row r="1168">
      <x:c r="A1168" t="str">
        <x:v>PJT_1167</x:v>
      </x:c>
      <x:c r="B1168" t="str">
        <x:v>Resource inefficiency (materials/labor/energy)</x:v>
      </x:c>
      <x:c r="C1168" t="str">
        <x:v>Planning &amp; estimation / coordination complexity</x:v>
      </x:c>
      <x:c r="D1168" t="str">
        <x:v>Resource inefficiency (materials/labor/energy), Planning &amp; estimation / coordination complexity, Equipment constraints / low availability</x:v>
      </x:c>
      <x:c r="E1168" t="str">
        <x:v>Planning &amp; estimation / coordination complexity</x:v>
      </x:c>
      <x:c r="F1168" t="str">
        <x:v>Resource inefficiency (materials/labor/energy)</x:v>
      </x:c>
      <x:c r="G1168" t="str">
        <x:v>Planning &amp; estimation / coordination complexity, Resource inefficiency (materials/labor/energy), Equipment constraints / low availability</x:v>
      </x:c>
      <x:c r="H1168" t="str">
        <x:v>Cost overrun mainly linked to resource inefficiency (materials/labor/energy); schedule overrun mainly linked to planning &amp; estimation / coordination complexity.</x:v>
      </x:c>
    </x:row>
    <x:row r="1169">
      <x:c r="A1169" t="str">
        <x:v>PJT_1168</x:v>
      </x:c>
      <x:c r="B1169" t="str">
        <x:v>Unforeseen site/structural issues &amp; rework</x:v>
      </x:c>
      <x:c r="C1169" t="str">
        <x:v>Planning &amp; estimation / coordination complexity</x:v>
      </x:c>
      <x:c r="D1169" t="str">
        <x:v>Unforeseen site/structural issues &amp; rework, Planning &amp; estimation / coordination complexity, Equipment constraints / low availability</x:v>
      </x:c>
      <x:c r="E1169" t="str">
        <x:v>Unforeseen site/structural issues &amp; rework</x:v>
      </x:c>
      <x:c r="F1169" t="str">
        <x:v>Planning &amp; estimation / coordination complexity</x:v>
      </x:c>
      <x:c r="G1169" t="str">
        <x:v>Unforeseen site/structural issues &amp; rework, Planning &amp; estimation / coordination complexity, Equipment constraints / low availability</x:v>
      </x:c>
      <x:c r="H1169" t="str">
        <x:v>Cost overrun mainly linked to unforeseen site/structural issues &amp; rework; schedule overrun mainly linked to unforeseen site/structural issues &amp; rework.</x:v>
      </x:c>
    </x:row>
    <x:row r="1170">
      <x:c r="A1170" t="str">
        <x:v>PJT_1169</x:v>
      </x:c>
      <x:c r="B1170" t="str">
        <x:v>Planning &amp; estimation / coordination complexity</x:v>
      </x:c>
      <x:c r="C1170" t="str">
        <x:v>Equipment constraints / low availability</x:v>
      </x:c>
      <x:c r="D1170" t="str">
        <x:v>Planning &amp; estimation / coordination complexity, Equipment constraints / low availability, Unforeseen site/structural issues &amp; rework</x:v>
      </x:c>
      <x:c r="E1170" t="str">
        <x:v>Planning &amp; estimation / coordination complexity</x:v>
      </x:c>
      <x:c r="F1170" t="str">
        <x:v>Unforeseen site/structural issues &amp; rework</x:v>
      </x:c>
      <x:c r="G1170" t="str">
        <x:v>Planning &amp; estimation / coordination complexity, Unforeseen site/structural issues &amp; rework, Equipment constraints / low availability</x:v>
      </x:c>
      <x:c r="H1170" t="str">
        <x:v>Cost overrun mainly linked to planning &amp; estimation / coordination complexity; schedule overrun mainly linked to planning &amp; estimation / coordination complexity.</x:v>
      </x:c>
    </x:row>
    <x:row r="1171">
      <x:c r="A1171" t="str">
        <x:v>PJT_1170</x:v>
      </x:c>
      <x:c r="B1171" t="str">
        <x:v>Weather disruption / environmental constraints</x:v>
      </x:c>
      <x:c r="C1171" t="str">
        <x:v>Unforeseen site/structural issues &amp; rework</x:v>
      </x:c>
      <x:c r="D1171" t="str">
        <x:v>Weather disruption / environmental constraints, Unforeseen site/structural issues &amp; rework, Equipment constraints / low availability</x:v>
      </x:c>
      <x:c r="E1171" t="str">
        <x:v>Weather disruption / environmental constraints</x:v>
      </x:c>
      <x:c r="F1171" t="str">
        <x:v>Unforeseen site/structural issues &amp; rework</x:v>
      </x:c>
      <x:c r="G1171" t="str">
        <x:v>Weather disruption / environmental constraints, Unforeseen site/structural issues &amp; rework, Equipment constraints / low availability</x:v>
      </x:c>
      <x:c r="H1171" t="str">
        <x:v>Cost overrun mainly linked to weather disruption / environmental constraints; schedule overrun mainly linked to weather disruption / environmental constraints.</x:v>
      </x:c>
    </x:row>
    <x:row r="1172">
      <x:c r="A1172" t="str">
        <x:v>PJT_1171</x:v>
      </x:c>
      <x:c r="B1172" t="str">
        <x:v>Equipment constraints / low availability</x:v>
      </x:c>
      <x:c r="C1172" t="str">
        <x:v>Resource inefficiency (materials/labor/energy)</x:v>
      </x:c>
      <x:c r="D1172" t="str">
        <x:v>Equipment constraints / low availability, Resource inefficiency (materials/labor/energy), Planning &amp; estimation / coordination complexity</x:v>
      </x:c>
      <x:c r="E1172" t="str">
        <x:v>Equipment constraints / low availability</x:v>
      </x:c>
      <x:c r="F1172" t="str">
        <x:v>Resource inefficiency (materials/labor/energy)</x:v>
      </x:c>
      <x:c r="G1172" t="str">
        <x:v>Equipment constraints / low availability, Resource inefficiency (materials/labor/energy), Planning &amp; estimation / coordination complexity</x:v>
      </x:c>
      <x:c r="H1172" t="str">
        <x:v>Cost overrun mainly linked to equipment constraints / low availability; schedule overrun mainly linked to equipment constraints / low availability.</x:v>
      </x:c>
    </x:row>
    <x:row r="1173">
      <x:c r="A1173" t="str">
        <x:v>PJT_1172</x:v>
      </x:c>
      <x:c r="B1173" t="str">
        <x:v>Equipment constraints / low availability</x:v>
      </x:c>
      <x:c r="C1173" t="str">
        <x:v>Planning &amp; estimation / coordination complexity</x:v>
      </x:c>
      <x:c r="D1173" t="str">
        <x:v>Equipment constraints / low availability, Planning &amp; estimation / coordination complexity, Material supply / logistics &amp; market disruption</x:v>
      </x:c>
      <x:c r="E1173" t="str">
        <x:v>Equipment constraints / low availability</x:v>
      </x:c>
      <x:c r="F1173" t="str">
        <x:v>Planning &amp; estimation / coordination complexity</x:v>
      </x:c>
      <x:c r="G1173" t="str">
        <x:v>Equipment constraints / low availability, Planning &amp; estimation / coordination complexity, Resource inefficiency (materials/labor/energy)</x:v>
      </x:c>
      <x:c r="H1173" t="str">
        <x:v>Cost overrun mainly linked to equipment constraints / low availability; schedule overrun mainly linked to equipment constraints / low availability.</x:v>
      </x:c>
    </x:row>
    <x:row r="1174">
      <x:c r="A1174" t="str">
        <x:v>PJT_1173</x:v>
      </x:c>
      <x:c r="B1174" t="str">
        <x:v>Equipment constraints / low availability</x:v>
      </x:c>
      <x:c r="C1174" t="str">
        <x:v>Resource inefficiency (materials/labor/energy)</x:v>
      </x:c>
      <x:c r="D1174" t="str">
        <x:v>Equipment constraints / low availability, Resource inefficiency (materials/labor/energy), Planning &amp; estimation / coordination complexity</x:v>
      </x:c>
      <x:c r="E1174" t="str">
        <x:v>Equipment constraints / low availability</x:v>
      </x:c>
      <x:c r="F1174" t="str">
        <x:v>Resource inefficiency (materials/labor/energy)</x:v>
      </x:c>
      <x:c r="G1174" t="str">
        <x:v>Equipment constraints / low availability, Resource inefficiency (materials/labor/energy), Material supply / logistics &amp; market disruption</x:v>
      </x:c>
      <x:c r="H1174" t="str">
        <x:v>Cost overrun mainly linked to equipment constraints / low availability; schedule overrun mainly linked to equipment constraints / low availability.</x:v>
      </x:c>
    </x:row>
    <x:row r="1175">
      <x:c r="A1175" t="str">
        <x:v>PJT_1174</x:v>
      </x:c>
      <x:c r="B1175" t="str">
        <x:v>Equipment constraints / low availability</x:v>
      </x:c>
      <x:c r="C1175" t="str">
        <x:v>Planning &amp; estimation / coordination complexity</x:v>
      </x:c>
      <x:c r="D1175" t="str">
        <x:v>Equipment constraints / low availability, Planning &amp; estimation / coordination complexity, Resource inefficiency (materials/labor/energy)</x:v>
      </x:c>
      <x:c r="E1175" t="str">
        <x:v>Equipment constraints / low availability</x:v>
      </x:c>
      <x:c r="F1175" t="str">
        <x:v>Resource inefficiency (materials/labor/energy)</x:v>
      </x:c>
      <x:c r="G1175" t="str">
        <x:v>Equipment constraints / low availability, Resource inefficiency (materials/labor/energy), Planning &amp; estimation / coordination complexity</x:v>
      </x:c>
      <x:c r="H1175" t="str">
        <x:v>Cost overrun mainly linked to equipment constraints / low availability; schedule overrun mainly linked to equipment constraints / low availability.</x:v>
      </x:c>
    </x:row>
    <x:row r="1176">
      <x:c r="A1176" t="str">
        <x:v>PJT_1175</x:v>
      </x:c>
      <x:c r="B1176" t="str">
        <x:v>Weather disruption / environmental constraints</x:v>
      </x:c>
      <x:c r="C1176" t="str">
        <x:v>Unforeseen site/structural issues &amp; rework</x:v>
      </x:c>
      <x:c r="D1176" t="str">
        <x:v>Weather disruption / environmental constraints, Unforeseen site/structural issues &amp; rework, Planning &amp; estimation / coordination complexity</x:v>
      </x:c>
      <x:c r="E1176" t="str">
        <x:v>Weather disruption / environmental constraints</x:v>
      </x:c>
      <x:c r="F1176" t="str">
        <x:v>Unforeseen site/structural issues &amp; rework</x:v>
      </x:c>
      <x:c r="G1176" t="str">
        <x:v>Weather disruption / environmental constraints, Unforeseen site/structural issues &amp; rework, Material supply / logistics &amp; market disruption</x:v>
      </x:c>
      <x:c r="H1176" t="str">
        <x:v>Cost overrun mainly linked to weather disruption / environmental constraints; schedule overrun mainly linked to weather disruption / environmental constraints.</x:v>
      </x:c>
    </x:row>
    <x:row r="1177">
      <x:c r="A1177" t="str">
        <x:v>PJT_1176</x:v>
      </x:c>
      <x:c r="B1177" t="str">
        <x:v>Equipment constraints / low availability</x:v>
      </x:c>
      <x:c r="C1177" t="str">
        <x:v>Planning &amp; estimation / coordination complexity</x:v>
      </x:c>
      <x:c r="D1177" t="str">
        <x:v>Equipment constraints / low availability, Planning &amp; estimation / coordination complexity, Resource inefficiency (materials/labor/energy)</x:v>
      </x:c>
      <x:c r="E1177" t="str">
        <x:v>Equipment constraints / low availability</x:v>
      </x:c>
      <x:c r="F1177" t="str">
        <x:v>Resource inefficiency (materials/labor/energy)</x:v>
      </x:c>
      <x:c r="G1177" t="str">
        <x:v>Equipment constraints / low availability, Resource inefficiency (materials/labor/energy), Planning &amp; estimation / coordination complexity</x:v>
      </x:c>
      <x:c r="H1177" t="str">
        <x:v>Cost overrun mainly linked to equipment constraints / low availability; schedule overrun mainly linked to equipment constraints / low availability.</x:v>
      </x:c>
    </x:row>
    <x:row r="1178">
      <x:c r="A1178" t="str">
        <x:v>PJT_1177</x:v>
      </x:c>
      <x:c r="B1178" t="str">
        <x:v>Resource inefficiency (materials/labor/energy)</x:v>
      </x:c>
      <x:c r="C1178" t="str">
        <x:v>Equipment constraints / low availability</x:v>
      </x:c>
      <x:c r="D1178" t="str">
        <x:v>Resource inefficiency (materials/labor/energy), Equipment constraints / low availability, Planning &amp; estimation / coordination complexity</x:v>
      </x:c>
      <x:c r="E1178" t="str">
        <x:v>Resource inefficiency (materials/labor/energy)</x:v>
      </x:c>
      <x:c r="F1178" t="str">
        <x:v>Equipment constraints / low availability</x:v>
      </x:c>
      <x:c r="G1178" t="str">
        <x:v>Resource inefficiency (materials/labor/energy), Equipment constraints / low availability, Planning &amp; estimation / coordination complexity</x:v>
      </x:c>
      <x:c r="H1178" t="str">
        <x:v>Cost overrun mainly linked to resource inefficiency (materials/labor/energy); schedule overrun mainly linked to resource inefficiency (materials/labor/energy).</x:v>
      </x:c>
    </x:row>
    <x:row r="1179">
      <x:c r="A1179" t="str">
        <x:v>PJT_1178</x:v>
      </x:c>
      <x:c r="B1179" t="str">
        <x:v>Unforeseen site/structural issues &amp; rework</x:v>
      </x:c>
      <x:c r="C1179" t="str">
        <x:v>Planning &amp; estimation / coordination complexity</x:v>
      </x:c>
      <x:c r="D1179" t="str">
        <x:v>Unforeseen site/structural issues &amp; rework, Planning &amp; estimation / coordination complexity, Weather disruption / environmental constraints</x:v>
      </x:c>
      <x:c r="E1179" t="str">
        <x:v>Unforeseen site/structural issues &amp; rework</x:v>
      </x:c>
      <x:c r="F1179" t="str">
        <x:v>Planning &amp; estimation / coordination complexity</x:v>
      </x:c>
      <x:c r="G1179" t="str">
        <x:v>Unforeseen site/structural issues &amp; rework, Planning &amp; estimation / coordination complexity, Weather disruption / environmental constraints</x:v>
      </x:c>
      <x:c r="H1179" t="str">
        <x:v>Cost overrun mainly linked to unforeseen site/structural issues &amp; rework; schedule overrun mainly linked to unforeseen site/structural issues &amp; rework.</x:v>
      </x:c>
    </x:row>
    <x:row r="1180">
      <x:c r="A1180" t="str">
        <x:v>PJT_1179</x:v>
      </x:c>
      <x:c r="B1180" t="str">
        <x:v>Weather disruption / environmental constraints</x:v>
      </x:c>
      <x:c r="C1180" t="str">
        <x:v>Equipment constraints / low availability</x:v>
      </x:c>
      <x:c r="D1180" t="str">
        <x:v>Weather disruption / environmental constraints, Equipment constraints / low availability, Planning &amp; estimation / coordination complexity</x:v>
      </x:c>
      <x:c r="E1180" t="str">
        <x:v>Weather disruption / environmental constraints</x:v>
      </x:c>
      <x:c r="F1180" t="str">
        <x:v>Equipment constraints / low availability</x:v>
      </x:c>
      <x:c r="G1180" t="str">
        <x:v>Weather disruption / environmental constraints, Equipment constraints / low availability, Planning &amp; estimation / coordination complexity</x:v>
      </x:c>
      <x:c r="H1180" t="str">
        <x:v>Cost overrun mainly linked to weather disruption / environmental constraints; schedule overrun mainly linked to weather disruption / environmental constraints.</x:v>
      </x:c>
    </x:row>
    <x:row r="1181">
      <x:c r="A1181" t="str">
        <x:v>PJT_1180</x:v>
      </x:c>
      <x:c r="B1181" t="str">
        <x:v>Equipment constraints / low availability</x:v>
      </x:c>
      <x:c r="C1181" t="str">
        <x:v>Resource inefficiency (materials/labor/energy)</x:v>
      </x:c>
      <x:c r="D1181" t="str">
        <x:v>Equipment constraints / low availability, Resource inefficiency (materials/labor/energy), Planning &amp; estimation / coordination complexity</x:v>
      </x:c>
      <x:c r="E1181" t="str">
        <x:v>Equipment constraints / low availability</x:v>
      </x:c>
      <x:c r="F1181" t="str">
        <x:v>Resource inefficiency (materials/labor/energy)</x:v>
      </x:c>
      <x:c r="G1181" t="str">
        <x:v>Equipment constraints / low availability, Resource inefficiency (materials/labor/energy), Planning &amp; estimation / coordination complexity</x:v>
      </x:c>
      <x:c r="H1181" t="str">
        <x:v>Cost overrun mainly linked to equipment constraints / low availability; schedule overrun mainly linked to equipment constraints / low availability.</x:v>
      </x:c>
    </x:row>
    <x:row r="1182">
      <x:c r="A1182" t="str">
        <x:v>PJT_1181</x:v>
      </x:c>
      <x:c r="B1182" t="str">
        <x:v>Unforeseen site/structural issues &amp; rework</x:v>
      </x:c>
      <x:c r="C1182" t="str">
        <x:v>Weather disruption / environmental constraints</x:v>
      </x:c>
      <x:c r="D1182" t="str">
        <x:v>Unforeseen site/structural issues &amp; rework, Weather disruption / environmental constraints, Planning &amp; estimation / coordination complexity</x:v>
      </x:c>
      <x:c r="E1182" t="str">
        <x:v>Unforeseen site/structural issues &amp; rework</x:v>
      </x:c>
      <x:c r="F1182" t="str">
        <x:v>Weather disruption / environmental constraints</x:v>
      </x:c>
      <x:c r="G1182" t="str">
        <x:v>Unforeseen site/structural issues &amp; rework, Weather disruption / environmental constraints, Planning &amp; estimation / coordination complexity</x:v>
      </x:c>
      <x:c r="H1182" t="str">
        <x:v>Cost overrun mainly linked to unforeseen site/structural issues &amp; rework; schedule overrun mainly linked to unforeseen site/structural issues &amp; rework.</x:v>
      </x:c>
    </x:row>
    <x:row r="1183">
      <x:c r="A1183" t="str">
        <x:v>PJT_1182</x:v>
      </x:c>
      <x:c r="B1183" t="str">
        <x:v>Weather disruption / environmental constraints</x:v>
      </x:c>
      <x:c r="C1183" t="str">
        <x:v>Unforeseen site/structural issues &amp; rework</x:v>
      </x:c>
      <x:c r="D1183" t="str">
        <x:v>Weather disruption / environmental constraints, Unforeseen site/structural issues &amp; rework, Material supply / logistics &amp; market disruption</x:v>
      </x:c>
      <x:c r="E1183" t="str">
        <x:v>Weather disruption / environmental constraints</x:v>
      </x:c>
      <x:c r="F1183" t="str">
        <x:v>Unforeseen site/structural issues &amp; rework</x:v>
      </x:c>
      <x:c r="G1183" t="str">
        <x:v>Weather disruption / environmental constraints, Unforeseen site/structural issues &amp; rework, Material supply / logistics &amp; market disruption</x:v>
      </x:c>
      <x:c r="H1183" t="str">
        <x:v>Cost overrun mainly linked to weather disruption / environmental constraints; schedule overrun mainly linked to weather disruption / environmental constraints.</x:v>
      </x:c>
    </x:row>
    <x:row r="1184">
      <x:c r="A1184" t="str">
        <x:v>PJT_1183</x:v>
      </x:c>
      <x:c r="B1184" t="str">
        <x:v>Planning &amp; estimation / coordination complexity</x:v>
      </x:c>
      <x:c r="C1184" t="str">
        <x:v>Weather disruption / environmental constraints</x:v>
      </x:c>
      <x:c r="D1184" t="str">
        <x:v>Planning &amp; estimation / coordination complexity, Weather disruption / environmental constraints, Equipment constraints / low availability</x:v>
      </x:c>
      <x:c r="E1184" t="str">
        <x:v>Weather disruption / environmental constraints</x:v>
      </x:c>
      <x:c r="F1184" t="str">
        <x:v>Planning &amp; estimation / coordination complexity</x:v>
      </x:c>
      <x:c r="G1184" t="str">
        <x:v>Weather disruption / environmental constraints, Planning &amp; estimation / coordination complexity, Material supply / logistics &amp; market disruption</x:v>
      </x:c>
      <x:c r="H1184" t="str">
        <x:v>Cost overrun mainly linked to planning &amp; estimation / coordination complexity; schedule overrun mainly linked to weather disruption / environmental constraints.</x:v>
      </x:c>
    </x:row>
    <x:row r="1185">
      <x:c r="A1185" t="str">
        <x:v>PJT_1184</x:v>
      </x:c>
      <x:c r="B1185" t="str">
        <x:v>Resource inefficiency (materials/labor/energy)</x:v>
      </x:c>
      <x:c r="C1185" t="str">
        <x:v>Equipment constraints / low availability</x:v>
      </x:c>
      <x:c r="D1185" t="str">
        <x:v>Resource inefficiency (materials/labor/energy), Equipment constraints / low availability, Planning &amp; estimation / coordination complexity</x:v>
      </x:c>
      <x:c r="E1185" t="str">
        <x:v>Resource inefficiency (materials/labor/energy)</x:v>
      </x:c>
      <x:c r="F1185" t="str">
        <x:v>Equipment constraints / low availability</x:v>
      </x:c>
      <x:c r="G1185" t="str">
        <x:v>Resource inefficiency (materials/labor/energy), Equipment constraints / low availability, Planning &amp; estimation / coordination complexity</x:v>
      </x:c>
      <x:c r="H1185" t="str">
        <x:v>Cost overrun mainly linked to resource inefficiency (materials/labor/energy); schedule overrun mainly linked to resource inefficiency (materials/labor/energy).</x:v>
      </x:c>
    </x:row>
    <x:row r="1186">
      <x:c r="A1186" t="str">
        <x:v>PJT_1185</x:v>
      </x:c>
      <x:c r="B1186" t="str">
        <x:v>Unforeseen site/structural issues &amp; rework</x:v>
      </x:c>
      <x:c r="C1186" t="str">
        <x:v>Weather disruption / environmental constraints</x:v>
      </x:c>
      <x:c r="D1186" t="str">
        <x:v>Unforeseen site/structural issues &amp; rework, Weather disruption / environmental constraints, Planning &amp; estimation / coordination complexity</x:v>
      </x:c>
      <x:c r="E1186" t="str">
        <x:v>Unforeseen site/structural issues &amp; rework</x:v>
      </x:c>
      <x:c r="F1186" t="str">
        <x:v>Weather disruption / environmental constraints</x:v>
      </x:c>
      <x:c r="G1186" t="str">
        <x:v>Unforeseen site/structural issues &amp; rework, Weather disruption / environmental constraints, Planning &amp; estimation / coordination complexity</x:v>
      </x:c>
      <x:c r="H1186" t="str">
        <x:v>Cost overrun mainly linked to unforeseen site/structural issues &amp; rework; schedule overrun mainly linked to unforeseen site/structural issues &amp; rework.</x:v>
      </x:c>
    </x:row>
    <x:row r="1187">
      <x:c r="A1187" t="str">
        <x:v>PJT_1186</x:v>
      </x:c>
      <x:c r="B1187" t="str">
        <x:v>Weather disruption / environmental constraints</x:v>
      </x:c>
      <x:c r="C1187" t="str">
        <x:v>Material supply / logistics &amp; market disruption</x:v>
      </x:c>
      <x:c r="D1187" t="str">
        <x:v>Weather disruption / environmental constraints, Material supply / logistics &amp; market disruption, Equipment constraints / low availability</x:v>
      </x:c>
      <x:c r="E1187" t="str">
        <x:v>Weather disruption / environmental constraints</x:v>
      </x:c>
      <x:c r="F1187" t="str">
        <x:v>Material supply / logistics &amp; market disruption</x:v>
      </x:c>
      <x:c r="G1187" t="str">
        <x:v>Weather disruption / environmental constraints, Material supply / logistics &amp; market disruption, Resource inefficiency (materials/labor/energy)</x:v>
      </x:c>
      <x:c r="H1187" t="str">
        <x:v>Cost overrun mainly linked to weather disruption / environmental constraints; schedule overrun mainly linked to weather disruption / environmental constraints.</x:v>
      </x:c>
    </x:row>
    <x:row r="1188">
      <x:c r="A1188" t="str">
        <x:v>PJT_1187</x:v>
      </x:c>
      <x:c r="B1188" t="str">
        <x:v>Equipment constraints / low availability</x:v>
      </x:c>
      <x:c r="C1188" t="str">
        <x:v>Weather disruption / environmental constraints</x:v>
      </x:c>
      <x:c r="D1188" t="str">
        <x:v>Equipment constraints / low availability, Weather disruption / environmental constraints, Material supply / logistics &amp; market disruption</x:v>
      </x:c>
      <x:c r="E1188" t="str">
        <x:v>Equipment constraints / low availability</x:v>
      </x:c>
      <x:c r="F1188" t="str">
        <x:v>Weather disruption / environmental constraints</x:v>
      </x:c>
      <x:c r="G1188" t="str">
        <x:v>Equipment constraints / low availability, Weather disruption / environmental constraints, Material supply / logistics &amp; market disruption</x:v>
      </x:c>
      <x:c r="H1188" t="str">
        <x:v>Cost overrun mainly linked to equipment constraints / low availability; schedule overrun mainly linked to equipment constraints / low availability.</x:v>
      </x:c>
    </x:row>
    <x:row r="1189">
      <x:c r="A1189" t="str">
        <x:v>PJT_1188</x:v>
      </x:c>
      <x:c r="B1189" t="str">
        <x:v>Material supply / logistics &amp; market disruption</x:v>
      </x:c>
      <x:c r="C1189" t="str">
        <x:v>Equipment constraints / low availability</x:v>
      </x:c>
      <x:c r="D1189" t="str">
        <x:v>Material supply / logistics &amp; market disruption, Equipment constraints / low availability, Resource inefficiency (materials/labor/energy)</x:v>
      </x:c>
      <x:c r="E1189" t="str">
        <x:v>Material supply / logistics &amp; market disruption</x:v>
      </x:c>
      <x:c r="F1189" t="str">
        <x:v>Equipment constraints / low availability</x:v>
      </x:c>
      <x:c r="G1189" t="str">
        <x:v>Material supply / logistics &amp; market disruption, Equipment constraints / low availability, Resource inefficiency (materials/labor/energy)</x:v>
      </x:c>
      <x:c r="H1189" t="str">
        <x:v>Cost overrun mainly linked to material supply / logistics &amp; market disruption; schedule overrun mainly linked to material supply / logistics &amp; market disruption.</x:v>
      </x:c>
    </x:row>
    <x:row r="1190">
      <x:c r="A1190" t="str">
        <x:v>PJT_1189</x:v>
      </x:c>
      <x:c r="B1190" t="str">
        <x:v>Unforeseen site/structural issues &amp; rework</x:v>
      </x:c>
      <x:c r="C1190" t="str">
        <x:v>Weather disruption / environmental constraints</x:v>
      </x:c>
      <x:c r="D1190" t="str">
        <x:v>Unforeseen site/structural issues &amp; rework, Weather disruption / environmental constraints, Resource inefficiency (materials/labor/energy)</x:v>
      </x:c>
      <x:c r="E1190" t="str">
        <x:v>Unforeseen site/structural issues &amp; rework</x:v>
      </x:c>
      <x:c r="F1190" t="str">
        <x:v>Weather disruption / environmental constraints</x:v>
      </x:c>
      <x:c r="G1190" t="str">
        <x:v>Unforeseen site/structural issues &amp; rework, Weather disruption / environmental constraints, Planning &amp; estimation / coordination complexity</x:v>
      </x:c>
      <x:c r="H1190" t="str">
        <x:v>Cost overrun mainly linked to unforeseen site/structural issues &amp; rework; schedule overrun mainly linked to unforeseen site/structural issues &amp; rework.</x:v>
      </x:c>
    </x:row>
    <x:row r="1191">
      <x:c r="A1191" t="str">
        <x:v>PJT_1190</x:v>
      </x:c>
      <x:c r="B1191" t="str">
        <x:v>Planning &amp; estimation / coordination complexity</x:v>
      </x:c>
      <x:c r="C1191" t="str">
        <x:v>Resource inefficiency (materials/labor/energy)</x:v>
      </x:c>
      <x:c r="D1191" t="str">
        <x:v>Planning &amp; estimation / coordination complexity, Resource inefficiency (materials/labor/energy), Equipment constraints / low availability</x:v>
      </x:c>
      <x:c r="E1191" t="str">
        <x:v>Planning &amp; estimation / coordination complexity</x:v>
      </x:c>
      <x:c r="F1191" t="str">
        <x:v>Resource inefficiency (materials/labor/energy)</x:v>
      </x:c>
      <x:c r="G1191" t="str">
        <x:v>Planning &amp; estimation / coordination complexity, Resource inefficiency (materials/labor/energy), Unforeseen site/structural issues &amp; rework</x:v>
      </x:c>
      <x:c r="H1191" t="str">
        <x:v>Cost overrun mainly linked to planning &amp; estimation / coordination complexity; schedule overrun mainly linked to planning &amp; estimation / coordination complexity.</x:v>
      </x:c>
    </x:row>
    <x:row r="1192">
      <x:c r="A1192" t="str">
        <x:v>PJT_1191</x:v>
      </x:c>
      <x:c r="B1192" t="str">
        <x:v>Unforeseen site/structural issues &amp; rework</x:v>
      </x:c>
      <x:c r="C1192" t="str">
        <x:v>Planning &amp; estimation / coordination complexity</x:v>
      </x:c>
      <x:c r="D1192" t="str">
        <x:v>Unforeseen site/structural issues &amp; rework, Planning &amp; estimation / coordination complexity, Equipment constraints / low availability</x:v>
      </x:c>
      <x:c r="E1192" t="str">
        <x:v>Unforeseen site/structural issues &amp; rework</x:v>
      </x:c>
      <x:c r="F1192" t="str">
        <x:v>Planning &amp; estimation / coordination complexity</x:v>
      </x:c>
      <x:c r="G1192" t="str">
        <x:v>Unforeseen site/structural issues &amp; rework, Planning &amp; estimation / coordination complexity, Equipment constraints / low availability</x:v>
      </x:c>
      <x:c r="H1192" t="str">
        <x:v>Cost overrun mainly linked to unforeseen site/structural issues &amp; rework; schedule overrun mainly linked to unforeseen site/structural issues &amp; rework.</x:v>
      </x:c>
    </x:row>
    <x:row r="1193">
      <x:c r="A1193" t="str">
        <x:v>PJT_1192</x:v>
      </x:c>
      <x:c r="B1193" t="str">
        <x:v>Material supply / logistics &amp; market disruption</x:v>
      </x:c>
      <x:c r="C1193" t="str">
        <x:v>Resource inefficiency (materials/labor/energy)</x:v>
      </x:c>
      <x:c r="D1193" t="str">
        <x:v>Material supply / logistics &amp; market disruption, Resource inefficiency (materials/labor/energy), Equipment constraints / low availability</x:v>
      </x:c>
      <x:c r="E1193" t="str">
        <x:v>Material supply / logistics &amp; market disruption</x:v>
      </x:c>
      <x:c r="F1193" t="str">
        <x:v>Resource inefficiency (materials/labor/energy)</x:v>
      </x:c>
      <x:c r="G1193" t="str">
        <x:v>Material supply / logistics &amp; market disruption, Resource inefficiency (materials/labor/energy), Equipment constraints / low availability</x:v>
      </x:c>
      <x:c r="H1193" t="str">
        <x:v>Cost overrun mainly linked to material supply / logistics &amp; market disruption; schedule overrun mainly linked to material supply / logistics &amp; market disruption.</x:v>
      </x:c>
    </x:row>
    <x:row r="1194">
      <x:c r="A1194" t="str">
        <x:v>PJT_1193</x:v>
      </x:c>
      <x:c r="B1194" t="str">
        <x:v>Weather disruption / environmental constraints</x:v>
      </x:c>
      <x:c r="C1194" t="str">
        <x:v>Unforeseen site/structural issues &amp; rework</x:v>
      </x:c>
      <x:c r="D1194" t="str">
        <x:v>Weather disruption / environmental constraints, Unforeseen site/structural issues &amp; rework, Planning &amp; estimation / coordination complexity</x:v>
      </x:c>
      <x:c r="E1194" t="str">
        <x:v>Weather disruption / environmental constraints</x:v>
      </x:c>
      <x:c r="F1194" t="str">
        <x:v>Unforeseen site/structural issues &amp; rework</x:v>
      </x:c>
      <x:c r="G1194" t="str">
        <x:v>Weather disruption / environmental constraints, Unforeseen site/structural issues &amp; rework, Planning &amp; estimation / coordination complexity</x:v>
      </x:c>
      <x:c r="H1194" t="str">
        <x:v>Cost overrun mainly linked to weather disruption / environmental constraints; schedule overrun mainly linked to weather disruption / environmental constraints.</x:v>
      </x:c>
    </x:row>
    <x:row r="1195">
      <x:c r="A1195" t="str">
        <x:v>PJT_1194</x:v>
      </x:c>
      <x:c r="B1195" t="str">
        <x:v>Unforeseen site/structural issues &amp; rework</x:v>
      </x:c>
      <x:c r="C1195" t="str">
        <x:v>Planning &amp; estimation / coordination complexity</x:v>
      </x:c>
      <x:c r="D1195" t="str">
        <x:v>Unforeseen site/structural issues &amp; rework, Planning &amp; estimation / coordination complexity, Equipment constraints / low availability</x:v>
      </x:c>
      <x:c r="E1195" t="str">
        <x:v>Unforeseen site/structural issues &amp; rework</x:v>
      </x:c>
      <x:c r="F1195" t="str">
        <x:v>Planning &amp; estimation / coordination complexity</x:v>
      </x:c>
      <x:c r="G1195" t="str">
        <x:v>Unforeseen site/structural issues &amp; rework, Planning &amp; estimation / coordination complexity, Equipment constraints / low availability</x:v>
      </x:c>
      <x:c r="H1195" t="str">
        <x:v>Cost overrun mainly linked to unforeseen site/structural issues &amp; rework; schedule overrun mainly linked to unforeseen site/structural issues &amp; rework.</x:v>
      </x:c>
    </x:row>
    <x:row r="1196">
      <x:c r="A1196" t="str">
        <x:v>PJT_1195</x:v>
      </x:c>
      <x:c r="B1196" t="str">
        <x:v>Unforeseen site/structural issues &amp; rework</x:v>
      </x:c>
      <x:c r="C1196" t="str">
        <x:v>Weather disruption / environmental constraints</x:v>
      </x:c>
      <x:c r="D1196" t="str">
        <x:v>Unforeseen site/structural issues &amp; rework, Weather disruption / environmental constraints, Equipment constraints / low availability</x:v>
      </x:c>
      <x:c r="E1196" t="str">
        <x:v>Unforeseen site/structural issues &amp; rework</x:v>
      </x:c>
      <x:c r="F1196" t="str">
        <x:v>Weather disruption / environmental constraints</x:v>
      </x:c>
      <x:c r="G1196" t="str">
        <x:v>Unforeseen site/structural issues &amp; rework, Weather disruption / environmental constraints, Equipment constraints / low availability</x:v>
      </x:c>
      <x:c r="H1196" t="str">
        <x:v>Cost overrun mainly linked to unforeseen site/structural issues &amp; rework; schedule overrun mainly linked to unforeseen site/structural issues &amp; rework.</x:v>
      </x:c>
    </x:row>
    <x:row r="1197">
      <x:c r="A1197" t="str">
        <x:v>PJT_1196</x:v>
      </x:c>
      <x:c r="B1197" t="str">
        <x:v>Unforeseen site/structural issues &amp; rework</x:v>
      </x:c>
      <x:c r="C1197" t="str">
        <x:v>Planning &amp; estimation / coordination complexity</x:v>
      </x:c>
      <x:c r="D1197" t="str">
        <x:v>Unforeseen site/structural issues &amp; rework, Planning &amp; estimation / coordination complexity, Resource inefficiency (materials/labor/energy)</x:v>
      </x:c>
      <x:c r="E1197" t="str">
        <x:v>Unforeseen site/structural issues &amp; rework</x:v>
      </x:c>
      <x:c r="F1197" t="str">
        <x:v>Planning &amp; estimation / coordination complexity</x:v>
      </x:c>
      <x:c r="G1197" t="str">
        <x:v>Unforeseen site/structural issues &amp; rework, Planning &amp; estimation / coordination complexity, Resource inefficiency (materials/labor/energy)</x:v>
      </x:c>
      <x:c r="H1197" t="str">
        <x:v>Cost overrun mainly linked to unforeseen site/structural issues &amp; rework; schedule overrun mainly linked to unforeseen site/structural issues &amp; rework.</x:v>
      </x:c>
    </x:row>
    <x:row r="1198">
      <x:c r="A1198" t="str">
        <x:v>PJT_1197</x:v>
      </x:c>
      <x:c r="B1198" t="str">
        <x:v>Resource inefficiency (materials/labor/energy)</x:v>
      </x:c>
      <x:c r="C1198" t="str">
        <x:v>Equipment constraints / low availability</x:v>
      </x:c>
      <x:c r="D1198" t="str">
        <x:v>Resource inefficiency (materials/labor/energy), Equipment constraints / low availability, Material supply / logistics &amp; market disruption</x:v>
      </x:c>
      <x:c r="E1198" t="str">
        <x:v>Resource inefficiency (materials/labor/energy)</x:v>
      </x:c>
      <x:c r="F1198" t="str">
        <x:v>Equipment constraints / low availability</x:v>
      </x:c>
      <x:c r="G1198" t="str">
        <x:v>Resource inefficiency (materials/labor/energy), Equipment constraints / low availability, Planning &amp; estimation / coordination complexity</x:v>
      </x:c>
      <x:c r="H1198" t="str">
        <x:v>Cost overrun mainly linked to resource inefficiency (materials/labor/energy); schedule overrun mainly linked to resource inefficiency (materials/labor/energy).</x:v>
      </x:c>
    </x:row>
    <x:row r="1199">
      <x:c r="A1199" t="str">
        <x:v>PJT_1198</x:v>
      </x:c>
      <x:c r="B1199" t="str">
        <x:v>Equipment constraints / low availability</x:v>
      </x:c>
      <x:c r="C1199" t="str">
        <x:v>Planning &amp; estimation / coordination complexity</x:v>
      </x:c>
      <x:c r="D1199" t="str">
        <x:v>Equipment constraints / low availability, Planning &amp; estimation / coordination complexity, Resource inefficiency (materials/labor/energy)</x:v>
      </x:c>
      <x:c r="E1199" t="str">
        <x:v>Equipment constraints / low availability</x:v>
      </x:c>
      <x:c r="F1199" t="str">
        <x:v>Resource inefficiency (materials/labor/energy)</x:v>
      </x:c>
      <x:c r="G1199" t="str">
        <x:v>Equipment constraints / low availability, Resource inefficiency (materials/labor/energy), Planning &amp; estimation / coordination complexity</x:v>
      </x:c>
      <x:c r="H1199" t="str">
        <x:v>Cost overrun mainly linked to equipment constraints / low availability; schedule overrun mainly linked to equipment constraints / low availability.</x:v>
      </x:c>
    </x:row>
    <x:row r="1200">
      <x:c r="A1200" t="str">
        <x:v>PJT_1199</x:v>
      </x:c>
      <x:c r="B1200" t="str">
        <x:v>Equipment constraints / low availability</x:v>
      </x:c>
      <x:c r="C1200" t="str">
        <x:v>Planning &amp; estimation / coordination complexity</x:v>
      </x:c>
      <x:c r="D1200" t="str">
        <x:v>Equipment constraints / low availability, Planning &amp; estimation / coordination complexity, Resource inefficiency (materials/labor/energy)</x:v>
      </x:c>
      <x:c r="E1200" t="str">
        <x:v>Equipment constraints / low availability</x:v>
      </x:c>
      <x:c r="F1200" t="str">
        <x:v>Planning &amp; estimation / coordination complexity</x:v>
      </x:c>
      <x:c r="G1200" t="str">
        <x:v>Equipment constraints / low availability, Planning &amp; estimation / coordination complexity, Resource inefficiency (materials/labor/energy)</x:v>
      </x:c>
      <x:c r="H1200" t="str">
        <x:v>Cost overrun mainly linked to equipment constraints / low availability; schedule overrun mainly linked to equipment constraints / low availability.</x:v>
      </x:c>
    </x:row>
    <x:row r="1201">
      <x:c r="A1201" t="str">
        <x:v>PJT_1200</x:v>
      </x:c>
      <x:c r="B1201" t="str">
        <x:v>Equipment constraints / low availability</x:v>
      </x:c>
      <x:c r="C1201" t="str">
        <x:v>Resource inefficiency (materials/labor/energy)</x:v>
      </x:c>
      <x:c r="D1201" t="str">
        <x:v>Equipment constraints / low availability, Resource inefficiency (materials/labor/energy), Material supply / logistics &amp; market disruption</x:v>
      </x:c>
      <x:c r="E1201" t="str">
        <x:v>Resource inefficiency (materials/labor/energy)</x:v>
      </x:c>
      <x:c r="F1201" t="str">
        <x:v>Equipment constraints / low availability</x:v>
      </x:c>
      <x:c r="G1201" t="str">
        <x:v>Resource inefficiency (materials/labor/energy), Equipment constraints / low availability, Material supply / logistics &amp; market disruption</x:v>
      </x:c>
      <x:c r="H1201" t="str">
        <x:v>Cost overrun mainly linked to equipment constraints / low availability; schedule overrun mainly linked to resource inefficiency (materials/labor/energy).</x:v>
      </x:c>
    </x:row>
    <x:row r="1202">
      <x:c r="A1202" t="str">
        <x:v>PJT_1201</x:v>
      </x:c>
      <x:c r="B1202" t="str">
        <x:v>Material supply / logistics &amp; market disruption</x:v>
      </x:c>
      <x:c r="C1202" t="str">
        <x:v>Resource inefficiency (materials/labor/energy)</x:v>
      </x:c>
      <x:c r="D1202" t="str">
        <x:v>Material supply / logistics &amp; market disruption, Resource inefficiency (materials/labor/energy), Equipment constraints / low availability</x:v>
      </x:c>
      <x:c r="E1202" t="str">
        <x:v>Resource inefficiency (materials/labor/energy)</x:v>
      </x:c>
      <x:c r="F1202" t="str">
        <x:v>Material supply / logistics &amp; market disruption</x:v>
      </x:c>
      <x:c r="G1202" t="str">
        <x:v>Resource inefficiency (materials/labor/energy), Material supply / logistics &amp; market disruption, Equipment constraints / low availability</x:v>
      </x:c>
      <x:c r="H1202" t="str">
        <x:v>Cost overrun mainly linked to material supply / logistics &amp; market disruption; schedule overrun mainly linked to resource inefficiency (materials/labor/energy).</x:v>
      </x:c>
    </x:row>
    <x:row r="1203">
      <x:c r="A1203" t="str">
        <x:v>PJT_1202</x:v>
      </x:c>
      <x:c r="B1203" t="str">
        <x:v>Unforeseen site/structural issues &amp; rework</x:v>
      </x:c>
      <x:c r="C1203" t="str">
        <x:v>Equipment constraints / low availability</x:v>
      </x:c>
      <x:c r="D1203" t="str">
        <x:v>Unforeseen site/structural issues &amp; rework, Equipment constraints / low availability, Weather disruption / environmental constraints</x:v>
      </x:c>
      <x:c r="E1203" t="str">
        <x:v>Unforeseen site/structural issues &amp; rework</x:v>
      </x:c>
      <x:c r="F1203" t="str">
        <x:v>Equipment constraints / low availability</x:v>
      </x:c>
      <x:c r="G1203" t="str">
        <x:v>Unforeseen site/structural issues &amp; rework, Equipment constraints / low availability, Weather disruption / environmental constraints</x:v>
      </x:c>
      <x:c r="H1203" t="str">
        <x:v>Cost overrun mainly linked to unforeseen site/structural issues &amp; rework; schedule overrun mainly linked to unforeseen site/structural issues &amp; rework.</x:v>
      </x:c>
    </x:row>
    <x:row r="1204">
      <x:c r="A1204" t="str">
        <x:v>PJT_1203</x:v>
      </x:c>
      <x:c r="B1204" t="str">
        <x:v>Resource inefficiency (materials/labor/energy)</x:v>
      </x:c>
      <x:c r="C1204" t="str">
        <x:v>Equipment constraints / low availability</x:v>
      </x:c>
      <x:c r="D1204" t="str">
        <x:v>Resource inefficiency (materials/labor/energy), Equipment constraints / low availability, Material supply / logistics &amp; market disruption</x:v>
      </x:c>
      <x:c r="E1204" t="str">
        <x:v>Resource inefficiency (materials/labor/energy)</x:v>
      </x:c>
      <x:c r="F1204" t="str">
        <x:v>Equipment constraints / low availability</x:v>
      </x:c>
      <x:c r="G1204" t="str">
        <x:v>Resource inefficiency (materials/labor/energy), Equipment constraints / low availability, Material supply / logistics &amp; market disruption</x:v>
      </x:c>
      <x:c r="H1204" t="str">
        <x:v>Cost overrun mainly linked to resource inefficiency (materials/labor/energy); schedule overrun mainly linked to resource inefficiency (materials/labor/energy).</x:v>
      </x:c>
    </x:row>
    <x:row r="1205">
      <x:c r="A1205" t="str">
        <x:v>PJT_1204</x:v>
      </x:c>
      <x:c r="B1205" t="str">
        <x:v>Planning &amp; estimation / coordination complexity</x:v>
      </x:c>
      <x:c r="C1205" t="str">
        <x:v>Unforeseen site/structural issues &amp; rework</x:v>
      </x:c>
      <x:c r="D1205" t="str">
        <x:v>Planning &amp; estimation / coordination complexity, Unforeseen site/structural issues &amp; rework, Resource inefficiency (materials/labor/energy)</x:v>
      </x:c>
      <x:c r="E1205" t="str">
        <x:v>Planning &amp; estimation / coordination complexity</x:v>
      </x:c>
      <x:c r="F1205" t="str">
        <x:v>Unforeseen site/structural issues &amp; rework</x:v>
      </x:c>
      <x:c r="G1205" t="str">
        <x:v>Planning &amp; estimation / coordination complexity, Unforeseen site/structural issues &amp; rework, Resource inefficiency (materials/labor/energy)</x:v>
      </x:c>
      <x:c r="H1205" t="str">
        <x:v>Cost overrun mainly linked to planning &amp; estimation / coordination complexity; schedule overrun mainly linked to planning &amp; estimation / coordination complexity.</x:v>
      </x:c>
    </x:row>
    <x:row r="1206">
      <x:c r="A1206" t="str">
        <x:v>PJT_1205</x:v>
      </x:c>
      <x:c r="B1206" t="str">
        <x:v>Unforeseen site/structural issues &amp; rework</x:v>
      </x:c>
      <x:c r="C1206" t="str">
        <x:v>Resource inefficiency (materials/labor/energy)</x:v>
      </x:c>
      <x:c r="D1206" t="str">
        <x:v>Unforeseen site/structural issues &amp; rework, Resource inefficiency (materials/labor/energy), Material supply / logistics &amp; market disruption</x:v>
      </x:c>
      <x:c r="E1206" t="str">
        <x:v>Unforeseen site/structural issues &amp; rework</x:v>
      </x:c>
      <x:c r="F1206" t="str">
        <x:v>Resource inefficiency (materials/labor/energy)</x:v>
      </x:c>
      <x:c r="G1206" t="str">
        <x:v>Unforeseen site/structural issues &amp; rework, Resource inefficiency (materials/labor/energy), Planning &amp; estimation / coordination complexity</x:v>
      </x:c>
      <x:c r="H1206" t="str">
        <x:v>Cost overrun mainly linked to unforeseen site/structural issues &amp; rework; schedule overrun mainly linked to unforeseen site/structural issues &amp; rework.</x:v>
      </x:c>
    </x:row>
    <x:row r="1207">
      <x:c r="A1207" t="str">
        <x:v>PJT_1206</x:v>
      </x:c>
      <x:c r="B1207" t="str">
        <x:v>Weather disruption / environmental constraints</x:v>
      </x:c>
      <x:c r="C1207" t="str">
        <x:v>Unforeseen site/structural issues &amp; rework</x:v>
      </x:c>
      <x:c r="D1207" t="str">
        <x:v>Weather disruption / environmental constraints, Unforeseen site/structural issues &amp; rework, Equipment constraints / low availability</x:v>
      </x:c>
      <x:c r="E1207" t="str">
        <x:v>Weather disruption / environmental constraints</x:v>
      </x:c>
      <x:c r="F1207" t="str">
        <x:v>Unforeseen site/structural issues &amp; rework</x:v>
      </x:c>
      <x:c r="G1207" t="str">
        <x:v>Weather disruption / environmental constraints, Unforeseen site/structural issues &amp; rework, Equipment constraints / low availability</x:v>
      </x:c>
      <x:c r="H1207" t="str">
        <x:v>Cost overrun mainly linked to weather disruption / environmental constraints; schedule overrun mainly linked to weather disruption / environmental constraints.</x:v>
      </x:c>
    </x:row>
    <x:row r="1208">
      <x:c r="A1208" t="str">
        <x:v>PJT_1207</x:v>
      </x:c>
      <x:c r="B1208" t="str">
        <x:v>Resource inefficiency (materials/labor/energy)</x:v>
      </x:c>
      <x:c r="C1208" t="str">
        <x:v>Material supply / logistics &amp; market disruption</x:v>
      </x:c>
      <x:c r="D1208" t="str">
        <x:v>Resource inefficiency (materials/labor/energy), Material supply / logistics &amp; market disruption, Equipment constraints / low availability</x:v>
      </x:c>
      <x:c r="E1208" t="str">
        <x:v>Resource inefficiency (materials/labor/energy)</x:v>
      </x:c>
      <x:c r="F1208" t="str">
        <x:v>Material supply / logistics &amp; market disruption</x:v>
      </x:c>
      <x:c r="G1208" t="str">
        <x:v>Resource inefficiency (materials/labor/energy), Material supply / logistics &amp; market disruption, Equipment constraints / low availability</x:v>
      </x:c>
      <x:c r="H1208" t="str">
        <x:v>Cost overrun mainly linked to resource inefficiency (materials/labor/energy); schedule overrun mainly linked to resource inefficiency (materials/labor/energy).</x:v>
      </x:c>
    </x:row>
    <x:row r="1209">
      <x:c r="A1209" t="str">
        <x:v>PJT_1208</x:v>
      </x:c>
      <x:c r="B1209" t="str">
        <x:v>Resource inefficiency (materials/labor/energy)</x:v>
      </x:c>
      <x:c r="C1209" t="str">
        <x:v>Planning &amp; estimation / coordination complexity</x:v>
      </x:c>
      <x:c r="D1209" t="str">
        <x:v>Resource inefficiency (materials/labor/energy), Planning &amp; estimation / coordination complexity, Equipment constraints / low availability</x:v>
      </x:c>
      <x:c r="E1209" t="str">
        <x:v>Resource inefficiency (materials/labor/energy)</x:v>
      </x:c>
      <x:c r="F1209" t="str">
        <x:v>Planning &amp; estimation / coordination complexity</x:v>
      </x:c>
      <x:c r="G1209" t="str">
        <x:v>Resource inefficiency (materials/labor/energy), Planning &amp; estimation / coordination complexity, Equipment constraints / low availability</x:v>
      </x:c>
      <x:c r="H1209" t="str">
        <x:v>Cost overrun mainly linked to resource inefficiency (materials/labor/energy); schedule overrun mainly linked to resource inefficiency (materials/labor/energy).</x:v>
      </x:c>
    </x:row>
    <x:row r="1210">
      <x:c r="A1210" t="str">
        <x:v>PJT_1209</x:v>
      </x:c>
      <x:c r="B1210" t="str">
        <x:v>Weather disruption / environmental constraints</x:v>
      </x:c>
      <x:c r="C1210" t="str">
        <x:v>Unforeseen site/structural issues &amp; rework</x:v>
      </x:c>
      <x:c r="D1210" t="str">
        <x:v>Weather disruption / environmental constraints, Unforeseen site/structural issues &amp; rework, Material supply / logistics &amp; market disruption</x:v>
      </x:c>
      <x:c r="E1210" t="str">
        <x:v>Weather disruption / environmental constraints</x:v>
      </x:c>
      <x:c r="F1210" t="str">
        <x:v>Unforeseen site/structural issues &amp; rework</x:v>
      </x:c>
      <x:c r="G1210" t="str">
        <x:v>Weather disruption / environmental constraints, Unforeseen site/structural issues &amp; rework, Material supply / logistics &amp; market disruption</x:v>
      </x:c>
      <x:c r="H1210" t="str">
        <x:v>Cost overrun mainly linked to weather disruption / environmental constraints; schedule overrun mainly linked to weather disruption / environmental constraints.</x:v>
      </x:c>
    </x:row>
    <x:row r="1211">
      <x:c r="A1211" t="str">
        <x:v>PJT_1210</x:v>
      </x:c>
      <x:c r="B1211" t="str">
        <x:v>Unforeseen site/structural issues &amp; rework</x:v>
      </x:c>
      <x:c r="C1211" t="str">
        <x:v>Weather disruption / environmental constraints</x:v>
      </x:c>
      <x:c r="D1211" t="str">
        <x:v>Unforeseen site/structural issues &amp; rework, Weather disruption / environmental constraints, Equipment constraints / low availability</x:v>
      </x:c>
      <x:c r="E1211" t="str">
        <x:v>Unforeseen site/structural issues &amp; rework</x:v>
      </x:c>
      <x:c r="F1211" t="str">
        <x:v>Weather disruption / environmental constraints</x:v>
      </x:c>
      <x:c r="G1211" t="str">
        <x:v>Unforeseen site/structural issues &amp; rework, Weather disruption / environmental constraints, Equipment constraints / low availability</x:v>
      </x:c>
      <x:c r="H1211" t="str">
        <x:v>Cost overrun mainly linked to unforeseen site/structural issues &amp; rework; schedule overrun mainly linked to unforeseen site/structural issues &amp; rework.</x:v>
      </x:c>
    </x:row>
    <x:row r="1212">
      <x:c r="A1212" t="str">
        <x:v>PJT_1211</x:v>
      </x:c>
      <x:c r="B1212" t="str">
        <x:v>Unforeseen site/structural issues &amp; rework</x:v>
      </x:c>
      <x:c r="C1212" t="str">
        <x:v>Weather disruption / environmental constraints</x:v>
      </x:c>
      <x:c r="D1212" t="str">
        <x:v>Unforeseen site/structural issues &amp; rework, Weather disruption / environmental constraints, Equipment constraints / low availability</x:v>
      </x:c>
      <x:c r="E1212" t="str">
        <x:v>Unforeseen site/structural issues &amp; rework</x:v>
      </x:c>
      <x:c r="F1212" t="str">
        <x:v>Weather disruption / environmental constraints</x:v>
      </x:c>
      <x:c r="G1212" t="str">
        <x:v>Unforeseen site/structural issues &amp; rework, Weather disruption / environmental constraints, Equipment constraints / low availability</x:v>
      </x:c>
      <x:c r="H1212" t="str">
        <x:v>Cost overrun mainly linked to unforeseen site/structural issues &amp; rework; schedule overrun mainly linked to unforeseen site/structural issues &amp; rework.</x:v>
      </x:c>
    </x:row>
    <x:row r="1213">
      <x:c r="A1213" t="str">
        <x:v>PJT_1212</x:v>
      </x:c>
      <x:c r="B1213" t="str">
        <x:v>Weather disruption / environmental constraints</x:v>
      </x:c>
      <x:c r="C1213" t="str">
        <x:v>Planning &amp; estimation / coordination complexity</x:v>
      </x:c>
      <x:c r="D1213" t="str">
        <x:v>Weather disruption / environmental constraints, Planning &amp; estimation / coordination complexity, Equipment constraints / low availability</x:v>
      </x:c>
      <x:c r="E1213" t="str">
        <x:v>Weather disruption / environmental constraints</x:v>
      </x:c>
      <x:c r="F1213" t="str">
        <x:v>Material supply / logistics &amp; market disruption</x:v>
      </x:c>
      <x:c r="G1213" t="str">
        <x:v>Weather disruption / environmental constraints, Material supply / logistics &amp; market disruption, Planning &amp; estimation / coordination complexity</x:v>
      </x:c>
      <x:c r="H1213" t="str">
        <x:v>Cost overrun mainly linked to weather disruption / environmental constraints; schedule overrun mainly linked to weather disruption / environmental constraints.</x:v>
      </x:c>
    </x:row>
    <x:row r="1214">
      <x:c r="A1214" t="str">
        <x:v>PJT_1213</x:v>
      </x:c>
      <x:c r="B1214" t="str">
        <x:v>Unforeseen site/structural issues &amp; rework</x:v>
      </x:c>
      <x:c r="C1214" t="str">
        <x:v>Resource inefficiency (materials/labor/energy)</x:v>
      </x:c>
      <x:c r="D1214" t="str">
        <x:v>Unforeseen site/structural issues &amp; rework, Resource inefficiency (materials/labor/energy), Planning &amp; estimation / coordination complexity</x:v>
      </x:c>
      <x:c r="E1214" t="str">
        <x:v>Unforeseen site/structural issues &amp; rework</x:v>
      </x:c>
      <x:c r="F1214" t="str">
        <x:v>Planning &amp; estimation / coordination complexity</x:v>
      </x:c>
      <x:c r="G1214" t="str">
        <x:v>Unforeseen site/structural issues &amp; rework, Planning &amp; estimation / coordination complexity, Resource inefficiency (materials/labor/energy)</x:v>
      </x:c>
      <x:c r="H1214" t="str">
        <x:v>Cost overrun mainly linked to unforeseen site/structural issues &amp; rework; schedule overrun mainly linked to unforeseen site/structural issues &amp; rework.</x:v>
      </x:c>
    </x:row>
    <x:row r="1215">
      <x:c r="A1215" t="str">
        <x:v>PJT_1214</x:v>
      </x:c>
      <x:c r="B1215" t="str">
        <x:v>Unforeseen site/structural issues &amp; rework</x:v>
      </x:c>
      <x:c r="C1215" t="str">
        <x:v>Weather disruption / environmental constraints</x:v>
      </x:c>
      <x:c r="D1215" t="str">
        <x:v>Unforeseen site/structural issues &amp; rework, Weather disruption / environmental constraints, Planning &amp; estimation / coordination complexity</x:v>
      </x:c>
      <x:c r="E1215" t="str">
        <x:v>Unforeseen site/structural issues &amp; rework</x:v>
      </x:c>
      <x:c r="F1215" t="str">
        <x:v>Weather disruption / environmental constraints</x:v>
      </x:c>
      <x:c r="G1215" t="str">
        <x:v>Unforeseen site/structural issues &amp; rework, Weather disruption / environmental constraints, Planning &amp; estimation / coordination complexity</x:v>
      </x:c>
      <x:c r="H1215" t="str">
        <x:v>Cost overrun mainly linked to unforeseen site/structural issues &amp; rework; schedule overrun mainly linked to unforeseen site/structural issues &amp; rework.</x:v>
      </x:c>
    </x:row>
    <x:row r="1216">
      <x:c r="A1216" t="str">
        <x:v>PJT_1215</x:v>
      </x:c>
      <x:c r="B1216" t="str">
        <x:v>Equipment constraints / low availability</x:v>
      </x:c>
      <x:c r="C1216" t="str">
        <x:v>Resource inefficiency (materials/labor/energy)</x:v>
      </x:c>
      <x:c r="D1216" t="str">
        <x:v>Equipment constraints / low availability, Resource inefficiency (materials/labor/energy), Planning &amp; estimation / coordination complexity</x:v>
      </x:c>
      <x:c r="E1216" t="str">
        <x:v>Equipment constraints / low availability</x:v>
      </x:c>
      <x:c r="F1216" t="str">
        <x:v>Resource inefficiency (materials/labor/energy)</x:v>
      </x:c>
      <x:c r="G1216" t="str">
        <x:v>Equipment constraints / low availability, Resource inefficiency (materials/labor/energy), Planning &amp; estimation / coordination complexity</x:v>
      </x:c>
      <x:c r="H1216" t="str">
        <x:v>Cost overrun mainly linked to equipment constraints / low availability; schedule overrun mainly linked to equipment constraints / low availability.</x:v>
      </x:c>
    </x:row>
    <x:row r="1217">
      <x:c r="A1217" t="str">
        <x:v>PJT_1216</x:v>
      </x:c>
      <x:c r="B1217" t="str">
        <x:v>Unforeseen site/structural issues &amp; rework</x:v>
      </x:c>
      <x:c r="C1217" t="str">
        <x:v>Planning &amp; estimation / coordination complexity</x:v>
      </x:c>
      <x:c r="D1217" t="str">
        <x:v>Unforeseen site/structural issues &amp; rework, Planning &amp; estimation / coordination complexity, Resource inefficiency (materials/labor/energy)</x:v>
      </x:c>
      <x:c r="E1217" t="str">
        <x:v>Unforeseen site/structural issues &amp; rework</x:v>
      </x:c>
      <x:c r="F1217" t="str">
        <x:v>Planning &amp; estimation / coordination complexity</x:v>
      </x:c>
      <x:c r="G1217" t="str">
        <x:v>Unforeseen site/structural issues &amp; rework, Planning &amp; estimation / coordination complexity, Resource inefficiency (materials/labor/energy)</x:v>
      </x:c>
      <x:c r="H1217" t="str">
        <x:v>Cost overrun mainly linked to unforeseen site/structural issues &amp; rework; schedule overrun mainly linked to unforeseen site/structural issues &amp; rework.</x:v>
      </x:c>
    </x:row>
    <x:row r="1218">
      <x:c r="A1218" t="str">
        <x:v>PJT_1217</x:v>
      </x:c>
      <x:c r="B1218" t="str">
        <x:v>Equipment constraints / low availability</x:v>
      </x:c>
      <x:c r="C1218" t="str">
        <x:v>Planning &amp; estimation / coordination complexity</x:v>
      </x:c>
      <x:c r="D1218" t="str">
        <x:v>Equipment constraints / low availability, Planning &amp; estimation / coordination complexity, Weather disruption / environmental constraints</x:v>
      </x:c>
      <x:c r="E1218" t="str">
        <x:v>Equipment constraints / low availability</x:v>
      </x:c>
      <x:c r="F1218" t="str">
        <x:v>Weather disruption / environmental constraints</x:v>
      </x:c>
      <x:c r="G1218" t="str">
        <x:v>Equipment constraints / low availability, Weather disruption / environmental constraints, Planning &amp; estimation / coordination complexity</x:v>
      </x:c>
      <x:c r="H1218" t="str">
        <x:v>Cost overrun mainly linked to equipment constraints / low availability; schedule overrun mainly linked to equipment constraints / low availability.</x:v>
      </x:c>
    </x:row>
    <x:row r="1219">
      <x:c r="A1219" t="str">
        <x:v>PJT_1218</x:v>
      </x:c>
      <x:c r="B1219" t="str">
        <x:v>Equipment constraints / low availability</x:v>
      </x:c>
      <x:c r="C1219" t="str">
        <x:v>Planning &amp; estimation / coordination complexity</x:v>
      </x:c>
      <x:c r="D1219" t="str">
        <x:v>Equipment constraints / low availability, Planning &amp; estimation / coordination complexity, Weather disruption / environmental constraints</x:v>
      </x:c>
      <x:c r="E1219" t="str">
        <x:v>Equipment constraints / low availability</x:v>
      </x:c>
      <x:c r="F1219" t="str">
        <x:v>Planning &amp; estimation / coordination complexity</x:v>
      </x:c>
      <x:c r="G1219" t="str">
        <x:v>Equipment constraints / low availability, Planning &amp; estimation / coordination complexity, Weather disruption / environmental constraints</x:v>
      </x:c>
      <x:c r="H1219" t="str">
        <x:v>Cost overrun mainly linked to equipment constraints / low availability; schedule overrun mainly linked to equipment constraints / low availability.</x:v>
      </x:c>
    </x:row>
    <x:row r="1220">
      <x:c r="A1220" t="str">
        <x:v>PJT_1219</x:v>
      </x:c>
      <x:c r="B1220" t="str">
        <x:v>Equipment constraints / low availability</x:v>
      </x:c>
      <x:c r="C1220" t="str">
        <x:v>Unforeseen site/structural issues &amp; rework</x:v>
      </x:c>
      <x:c r="D1220" t="str">
        <x:v>Equipment constraints / low availability, Unforeseen site/structural issues &amp; rework, Planning &amp; estimation / coordination complexity</x:v>
      </x:c>
      <x:c r="E1220" t="str">
        <x:v>Equipment constraints / low availability</x:v>
      </x:c>
      <x:c r="F1220" t="str">
        <x:v>Unforeseen site/structural issues &amp; rework</x:v>
      </x:c>
      <x:c r="G1220" t="str">
        <x:v>Equipment constraints / low availability, Unforeseen site/structural issues &amp; rework, Planning &amp; estimation / coordination complexity</x:v>
      </x:c>
      <x:c r="H1220" t="str">
        <x:v>Cost overrun mainly linked to equipment constraints / low availability; schedule overrun mainly linked to equipment constraints / low availability.</x:v>
      </x:c>
    </x:row>
    <x:row r="1221">
      <x:c r="A1221" t="str">
        <x:v>PJT_1220</x:v>
      </x:c>
      <x:c r="B1221" t="str">
        <x:v>Resource inefficiency (materials/labor/energy)</x:v>
      </x:c>
      <x:c r="C1221" t="str">
        <x:v>Planning &amp; estimation / coordination complexity</x:v>
      </x:c>
      <x:c r="D1221" t="str">
        <x:v>Resource inefficiency (materials/labor/energy), Planning &amp; estimation / coordination complexity, Equipment constraints / low availability</x:v>
      </x:c>
      <x:c r="E1221" t="str">
        <x:v>Resource inefficiency (materials/labor/energy)</x:v>
      </x:c>
      <x:c r="F1221" t="str">
        <x:v>Planning &amp; estimation / coordination complexity</x:v>
      </x:c>
      <x:c r="G1221" t="str">
        <x:v>Resource inefficiency (materials/labor/energy), Planning &amp; estimation / coordination complexity, Equipment constraints / low availability</x:v>
      </x:c>
      <x:c r="H1221" t="str">
        <x:v>Cost overrun mainly linked to resource inefficiency (materials/labor/energy); schedule overrun mainly linked to resource inefficiency (materials/labor/energy).</x:v>
      </x:c>
    </x:row>
    <x:row r="1222">
      <x:c r="A1222" t="str">
        <x:v>PJT_1221</x:v>
      </x:c>
      <x:c r="B1222" t="str">
        <x:v>Weather disruption / environmental constraints</x:v>
      </x:c>
      <x:c r="C1222" t="str">
        <x:v>Equipment constraints / low availability</x:v>
      </x:c>
      <x:c r="D1222" t="str">
        <x:v>Weather disruption / environmental constraints, Equipment constraints / low availability, Planning &amp; estimation / coordination complexity</x:v>
      </x:c>
      <x:c r="E1222" t="str">
        <x:v>Weather disruption / environmental constraints</x:v>
      </x:c>
      <x:c r="F1222" t="str">
        <x:v>Equipment constraints / low availability</x:v>
      </x:c>
      <x:c r="G1222" t="str">
        <x:v>Weather disruption / environmental constraints, Equipment constraints / low availability, Planning &amp; estimation / coordination complexity</x:v>
      </x:c>
      <x:c r="H1222" t="str">
        <x:v>Cost overrun mainly linked to weather disruption / environmental constraints; schedule overrun mainly linked to weather disruption / environmental constraints.</x:v>
      </x:c>
    </x:row>
    <x:row r="1223">
      <x:c r="A1223" t="str">
        <x:v>PJT_1222</x:v>
      </x:c>
      <x:c r="B1223" t="str">
        <x:v>Equipment constraints / low availability</x:v>
      </x:c>
      <x:c r="C1223" t="str">
        <x:v>Planning &amp; estimation / coordination complexity</x:v>
      </x:c>
      <x:c r="D1223" t="str">
        <x:v>Equipment constraints / low availability, Planning &amp; estimation / coordination complexity, Resource inefficiency (materials/labor/energy)</x:v>
      </x:c>
      <x:c r="E1223" t="str">
        <x:v>Equipment constraints / low availability</x:v>
      </x:c>
      <x:c r="F1223" t="str">
        <x:v>Planning &amp; estimation / coordination complexity</x:v>
      </x:c>
      <x:c r="G1223" t="str">
        <x:v>Equipment constraints / low availability, Planning &amp; estimation / coordination complexity, Resource inefficiency (materials/labor/energy)</x:v>
      </x:c>
      <x:c r="H1223" t="str">
        <x:v>Cost overrun mainly linked to equipment constraints / low availability; schedule overrun mainly linked to equipment constraints / low availability.</x:v>
      </x:c>
    </x:row>
    <x:row r="1224">
      <x:c r="A1224" t="str">
        <x:v>PJT_1223</x:v>
      </x:c>
      <x:c r="B1224" t="str">
        <x:v>Resource inefficiency (materials/labor/energy)</x:v>
      </x:c>
      <x:c r="C1224" t="str">
        <x:v>Material supply / logistics &amp; market disruption</x:v>
      </x:c>
      <x:c r="D1224" t="str">
        <x:v>Resource inefficiency (materials/labor/energy), Material supply / logistics &amp; market disruption, Planning &amp; estimation / coordination complexity</x:v>
      </x:c>
      <x:c r="E1224" t="str">
        <x:v>Resource inefficiency (materials/labor/energy)</x:v>
      </x:c>
      <x:c r="F1224" t="str">
        <x:v>Material supply / logistics &amp; market disruption</x:v>
      </x:c>
      <x:c r="G1224" t="str">
        <x:v>Resource inefficiency (materials/labor/energy), Material supply / logistics &amp; market disruption, Planning &amp; estimation / coordination complexity</x:v>
      </x:c>
      <x:c r="H1224" t="str">
        <x:v>Cost overrun mainly linked to resource inefficiency (materials/labor/energy); schedule overrun mainly linked to resource inefficiency (materials/labor/energy).</x:v>
      </x:c>
    </x:row>
    <x:row r="1225">
      <x:c r="A1225" t="str">
        <x:v>PJT_1224</x:v>
      </x:c>
      <x:c r="B1225" t="str">
        <x:v>Unforeseen site/structural issues &amp; rework</x:v>
      </x:c>
      <x:c r="C1225" t="str">
        <x:v>Planning &amp; estimation / coordination complexity</x:v>
      </x:c>
      <x:c r="D1225" t="str">
        <x:v>Unforeseen site/structural issues &amp; rework, Planning &amp; estimation / coordination complexity, Weather disruption / environmental constraints</x:v>
      </x:c>
      <x:c r="E1225" t="str">
        <x:v>Unforeseen site/structural issues &amp; rework</x:v>
      </x:c>
      <x:c r="F1225" t="str">
        <x:v>Planning &amp; estimation / coordination complexity</x:v>
      </x:c>
      <x:c r="G1225" t="str">
        <x:v>Unforeseen site/structural issues &amp; rework, Planning &amp; estimation / coordination complexity, Weather disruption / environmental constraints</x:v>
      </x:c>
      <x:c r="H1225" t="str">
        <x:v>Cost overrun mainly linked to unforeseen site/structural issues &amp; rework; schedule overrun mainly linked to unforeseen site/structural issues &amp; rework.</x:v>
      </x:c>
    </x:row>
    <x:row r="1226">
      <x:c r="A1226" t="str">
        <x:v>PJT_1225</x:v>
      </x:c>
      <x:c r="B1226" t="str">
        <x:v>Resource inefficiency (materials/labor/energy)</x:v>
      </x:c>
      <x:c r="C1226" t="str">
        <x:v>Material supply / logistics &amp; market disruption</x:v>
      </x:c>
      <x:c r="D1226" t="str">
        <x:v>Resource inefficiency (materials/labor/energy), Material supply / logistics &amp; market disruption, Planning &amp; estimation / coordination complexity</x:v>
      </x:c>
      <x:c r="E1226" t="str">
        <x:v>Resource inefficiency (materials/labor/energy)</x:v>
      </x:c>
      <x:c r="F1226" t="str">
        <x:v>Planning &amp; estimation / coordination complexity</x:v>
      </x:c>
      <x:c r="G1226" t="str">
        <x:v>Resource inefficiency (materials/labor/energy), Planning &amp; estimation / coordination complexity, Material supply / logistics &amp; market disruption</x:v>
      </x:c>
      <x:c r="H1226" t="str">
        <x:v>Cost overrun mainly linked to resource inefficiency (materials/labor/energy); schedule overrun mainly linked to resource inefficiency (materials/labor/energy).</x:v>
      </x:c>
    </x:row>
    <x:row r="1227">
      <x:c r="A1227" t="str">
        <x:v>PJT_1226</x:v>
      </x:c>
      <x:c r="B1227" t="str">
        <x:v>Planning &amp; estimation / coordination complexity</x:v>
      </x:c>
      <x:c r="C1227" t="str">
        <x:v>Unforeseen site/structural issues &amp; rework</x:v>
      </x:c>
      <x:c r="D1227" t="str">
        <x:v>Planning &amp; estimation / coordination complexity, Unforeseen site/structural issues &amp; rework, Resource inefficiency (materials/labor/energy)</x:v>
      </x:c>
      <x:c r="E1227" t="str">
        <x:v>Planning &amp; estimation / coordination complexity</x:v>
      </x:c>
      <x:c r="F1227" t="str">
        <x:v>Unforeseen site/structural issues &amp; rework</x:v>
      </x:c>
      <x:c r="G1227" t="str">
        <x:v>Planning &amp; estimation / coordination complexity, Unforeseen site/structural issues &amp; rework, Equipment constraints / low availability</x:v>
      </x:c>
      <x:c r="H1227" t="str">
        <x:v>Cost overrun mainly linked to planning &amp; estimation / coordination complexity; schedule overrun mainly linked to planning &amp; estimation / coordination complexity.</x:v>
      </x:c>
    </x:row>
    <x:row r="1228">
      <x:c r="A1228" t="str">
        <x:v>PJT_1227</x:v>
      </x:c>
      <x:c r="B1228" t="str">
        <x:v>Equipment constraints / low availability</x:v>
      </x:c>
      <x:c r="C1228" t="str">
        <x:v>Resource inefficiency (materials/labor/energy)</x:v>
      </x:c>
      <x:c r="D1228" t="str">
        <x:v>Equipment constraints / low availability, Resource inefficiency (materials/labor/energy), Planning &amp; estimation / coordination complexity</x:v>
      </x:c>
      <x:c r="E1228" t="str">
        <x:v>Equipment constraints / low availability</x:v>
      </x:c>
      <x:c r="F1228" t="str">
        <x:v>Resource inefficiency (materials/labor/energy)</x:v>
      </x:c>
      <x:c r="G1228" t="str">
        <x:v>Equipment constraints / low availability, Resource inefficiency (materials/labor/energy), Planning &amp; estimation / coordination complexity</x:v>
      </x:c>
      <x:c r="H1228" t="str">
        <x:v>Cost overrun mainly linked to equipment constraints / low availability; schedule overrun mainly linked to equipment constraints / low availability.</x:v>
      </x:c>
    </x:row>
    <x:row r="1229">
      <x:c r="A1229" t="str">
        <x:v>PJT_1228</x:v>
      </x:c>
      <x:c r="B1229" t="str">
        <x:v>Weather disruption / environmental constraints</x:v>
      </x:c>
      <x:c r="C1229" t="str">
        <x:v>Unforeseen site/structural issues &amp; rework</x:v>
      </x:c>
      <x:c r="D1229" t="str">
        <x:v>Weather disruption / environmental constraints, Unforeseen site/structural issues &amp; rework, Equipment constraints / low availability</x:v>
      </x:c>
      <x:c r="E1229" t="str">
        <x:v>Weather disruption / environmental constraints</x:v>
      </x:c>
      <x:c r="F1229" t="str">
        <x:v>Unforeseen site/structural issues &amp; rework</x:v>
      </x:c>
      <x:c r="G1229" t="str">
        <x:v>Weather disruption / environmental constraints, Unforeseen site/structural issues &amp; rework, Material supply / logistics &amp; market disruption</x:v>
      </x:c>
      <x:c r="H1229" t="str">
        <x:v>Cost overrun mainly linked to weather disruption / environmental constraints; schedule overrun mainly linked to weather disruption / environmental constraints.</x:v>
      </x:c>
    </x:row>
    <x:row r="1230">
      <x:c r="A1230" t="str">
        <x:v>PJT_1229</x:v>
      </x:c>
      <x:c r="B1230" t="str">
        <x:v>Weather disruption / environmental constraints</x:v>
      </x:c>
      <x:c r="C1230" t="str">
        <x:v>Unforeseen site/structural issues &amp; rework</x:v>
      </x:c>
      <x:c r="D1230" t="str">
        <x:v>Weather disruption / environmental constraints, Unforeseen site/structural issues &amp; rework, Equipment constraints / low availability</x:v>
      </x:c>
      <x:c r="E1230" t="str">
        <x:v>Weather disruption / environmental constraints</x:v>
      </x:c>
      <x:c r="F1230" t="str">
        <x:v>Unforeseen site/structural issues &amp; rework</x:v>
      </x:c>
      <x:c r="G1230" t="str">
        <x:v>Weather disruption / environmental constraints, Unforeseen site/structural issues &amp; rework, Equipment constraints / low availability</x:v>
      </x:c>
      <x:c r="H1230" t="str">
        <x:v>Cost overrun mainly linked to weather disruption / environmental constraints; schedule overrun mainly linked to weather disruption / environmental constraints.</x:v>
      </x:c>
    </x:row>
    <x:row r="1231">
      <x:c r="A1231" t="str">
        <x:v>PJT_1230</x:v>
      </x:c>
      <x:c r="B1231" t="str">
        <x:v>Resource inefficiency (materials/labor/energy)</x:v>
      </x:c>
      <x:c r="C1231" t="str">
        <x:v>Material supply / logistics &amp; market disruption</x:v>
      </x:c>
      <x:c r="D1231" t="str">
        <x:v>Resource inefficiency (materials/labor/energy), Material supply / logistics &amp; market disruption, Planning &amp; estimation / coordination complexity</x:v>
      </x:c>
      <x:c r="E1231" t="str">
        <x:v>Resource inefficiency (materials/labor/energy)</x:v>
      </x:c>
      <x:c r="F1231" t="str">
        <x:v>Material supply / logistics &amp; market disruption</x:v>
      </x:c>
      <x:c r="G1231" t="str">
        <x:v>Resource inefficiency (materials/labor/energy), Material supply / logistics &amp; market disruption, Planning &amp; estimation / coordination complexity</x:v>
      </x:c>
      <x:c r="H1231" t="str">
        <x:v>Cost overrun mainly linked to resource inefficiency (materials/labor/energy); schedule overrun mainly linked to resource inefficiency (materials/labor/energy).</x:v>
      </x:c>
    </x:row>
    <x:row r="1232">
      <x:c r="A1232" t="str">
        <x:v>PJT_1231</x:v>
      </x:c>
      <x:c r="B1232" t="str">
        <x:v>Weather disruption / environmental constraints</x:v>
      </x:c>
      <x:c r="C1232" t="str">
        <x:v>Equipment constraints / low availability</x:v>
      </x:c>
      <x:c r="D1232" t="str">
        <x:v>Weather disruption / environmental constraints, Equipment constraints / low availability, Planning &amp; estimation / coordination complexity</x:v>
      </x:c>
      <x:c r="E1232" t="str">
        <x:v>Weather disruption / environmental constraints</x:v>
      </x:c>
      <x:c r="F1232" t="str">
        <x:v>Equipment constraints / low availability</x:v>
      </x:c>
      <x:c r="G1232" t="str">
        <x:v>Weather disruption / environmental constraints, Equipment constraints / low availability, Planning &amp; estimation / coordination complexity</x:v>
      </x:c>
      <x:c r="H1232" t="str">
        <x:v>Cost overrun mainly linked to weather disruption / environmental constraints; schedule overrun mainly linked to weather disruption / environmental constraints.</x:v>
      </x:c>
    </x:row>
    <x:row r="1233">
      <x:c r="A1233" t="str">
        <x:v>PJT_1232</x:v>
      </x:c>
      <x:c r="B1233" t="str">
        <x:v>Unforeseen site/structural issues &amp; rework</x:v>
      </x:c>
      <x:c r="C1233" t="str">
        <x:v>Weather disruption / environmental constraints</x:v>
      </x:c>
      <x:c r="D1233" t="str">
        <x:v>Unforeseen site/structural issues &amp; rework, Weather disruption / environmental constraints, Material supply / logistics &amp; market disruption</x:v>
      </x:c>
      <x:c r="E1233" t="str">
        <x:v>Unforeseen site/structural issues &amp; rework</x:v>
      </x:c>
      <x:c r="F1233" t="str">
        <x:v>Weather disruption / environmental constraints</x:v>
      </x:c>
      <x:c r="G1233" t="str">
        <x:v>Unforeseen site/structural issues &amp; rework, Weather disruption / environmental constraints, Material supply / logistics &amp; market disruption</x:v>
      </x:c>
      <x:c r="H1233" t="str">
        <x:v>Cost overrun mainly linked to unforeseen site/structural issues &amp; rework; schedule overrun mainly linked to unforeseen site/structural issues &amp; rework.</x:v>
      </x:c>
    </x:row>
    <x:row r="1234">
      <x:c r="A1234" t="str">
        <x:v>PJT_1233</x:v>
      </x:c>
      <x:c r="B1234" t="str">
        <x:v>Unforeseen site/structural issues &amp; rework</x:v>
      </x:c>
      <x:c r="C1234" t="str">
        <x:v>Planning &amp; estimation / coordination complexity</x:v>
      </x:c>
      <x:c r="D1234" t="str">
        <x:v>Unforeseen site/structural issues &amp; rework, Planning &amp; estimation / coordination complexity, Resource inefficiency (materials/labor/energy)</x:v>
      </x:c>
      <x:c r="E1234" t="str">
        <x:v>Unforeseen site/structural issues &amp; rework</x:v>
      </x:c>
      <x:c r="F1234" t="str">
        <x:v>Planning &amp; estimation / coordination complexity</x:v>
      </x:c>
      <x:c r="G1234" t="str">
        <x:v>Unforeseen site/structural issues &amp; rework, Planning &amp; estimation / coordination complexity, Resource inefficiency (materials/labor/energy)</x:v>
      </x:c>
      <x:c r="H1234" t="str">
        <x:v>Cost overrun mainly linked to unforeseen site/structural issues &amp; rework; schedule overrun mainly linked to unforeseen site/structural issues &amp; rework.</x:v>
      </x:c>
    </x:row>
    <x:row r="1235">
      <x:c r="A1235" t="str">
        <x:v>PJT_1234</x:v>
      </x:c>
      <x:c r="B1235" t="str">
        <x:v>Unforeseen site/structural issues &amp; rework</x:v>
      </x:c>
      <x:c r="C1235" t="str">
        <x:v>Resource inefficiency (materials/labor/energy)</x:v>
      </x:c>
      <x:c r="D1235" t="str">
        <x:v>Unforeseen site/structural issues &amp; rework, Resource inefficiency (materials/labor/energy), Planning &amp; estimation / coordination complexity</x:v>
      </x:c>
      <x:c r="E1235" t="str">
        <x:v>Unforeseen site/structural issues &amp; rework</x:v>
      </x:c>
      <x:c r="F1235" t="str">
        <x:v>Resource inefficiency (materials/labor/energy)</x:v>
      </x:c>
      <x:c r="G1235" t="str">
        <x:v>Unforeseen site/structural issues &amp; rework, Resource inefficiency (materials/labor/energy), Planning &amp; estimation / coordination complexity</x:v>
      </x:c>
      <x:c r="H1235" t="str">
        <x:v>Cost overrun mainly linked to unforeseen site/structural issues &amp; rework; schedule overrun mainly linked to unforeseen site/structural issues &amp; rework.</x:v>
      </x:c>
    </x:row>
    <x:row r="1236">
      <x:c r="A1236" t="str">
        <x:v>PJT_1235</x:v>
      </x:c>
      <x:c r="B1236" t="str">
        <x:v>Unforeseen site/structural issues &amp; rework</x:v>
      </x:c>
      <x:c r="C1236" t="str">
        <x:v>Weather disruption / environmental constraints</x:v>
      </x:c>
      <x:c r="D1236" t="str">
        <x:v>Unforeseen site/structural issues &amp; rework, Weather disruption / environmental constraints, Equipment constraints / low availability</x:v>
      </x:c>
      <x:c r="E1236" t="str">
        <x:v>Weather disruption / environmental constraints</x:v>
      </x:c>
      <x:c r="F1236" t="str">
        <x:v>Equipment constraints / low availability</x:v>
      </x:c>
      <x:c r="G1236" t="str">
        <x:v>Weather disruption / environmental constraints, Equipment constraints / low availability, Unforeseen site/structural issues &amp; rework</x:v>
      </x:c>
      <x:c r="H1236" t="str">
        <x:v>Cost overrun mainly linked to unforeseen site/structural issues &amp; rework; schedule overrun mainly linked to weather disruption / environmental constraints.</x:v>
      </x:c>
    </x:row>
    <x:row r="1237">
      <x:c r="A1237" t="str">
        <x:v>PJT_1236</x:v>
      </x:c>
      <x:c r="B1237" t="str">
        <x:v>Equipment constraints / low availability</x:v>
      </x:c>
      <x:c r="C1237" t="str">
        <x:v>Planning &amp; estimation / coordination complexity</x:v>
      </x:c>
      <x:c r="D1237" t="str">
        <x:v>Equipment constraints / low availability, Planning &amp; estimation / coordination complexity, Resource inefficiency (materials/labor/energy)</x:v>
      </x:c>
      <x:c r="E1237" t="str">
        <x:v>Equipment constraints / low availability</x:v>
      </x:c>
      <x:c r="F1237" t="str">
        <x:v>Planning &amp; estimation / coordination complexity</x:v>
      </x:c>
      <x:c r="G1237" t="str">
        <x:v>Equipment constraints / low availability, Planning &amp; estimation / coordination complexity, Resource inefficiency (materials/labor/energy)</x:v>
      </x:c>
      <x:c r="H1237" t="str">
        <x:v>Cost overrun mainly linked to equipment constraints / low availability; schedule overrun mainly linked to equipment constraints / low availability.</x:v>
      </x:c>
    </x:row>
    <x:row r="1238">
      <x:c r="A1238" t="str">
        <x:v>PJT_1237</x:v>
      </x:c>
      <x:c r="B1238" t="str">
        <x:v>Planning &amp; estimation / coordination complexity</x:v>
      </x:c>
      <x:c r="C1238" t="str">
        <x:v>Resource inefficiency (materials/labor/energy)</x:v>
      </x:c>
      <x:c r="D1238" t="str">
        <x:v>Planning &amp; estimation / coordination complexity, Resource inefficiency (materials/labor/energy), Unforeseen site/structural issues &amp; rework</x:v>
      </x:c>
      <x:c r="E1238" t="str">
        <x:v>Planning &amp; estimation / coordination complexity</x:v>
      </x:c>
      <x:c r="F1238" t="str">
        <x:v>Unforeseen site/structural issues &amp; rework</x:v>
      </x:c>
      <x:c r="G1238" t="str">
        <x:v>Planning &amp; estimation / coordination complexity, Unforeseen site/structural issues &amp; rework, Resource inefficiency (materials/labor/energy)</x:v>
      </x:c>
      <x:c r="H1238" t="str">
        <x:v>Cost overrun mainly linked to planning &amp; estimation / coordination complexity; schedule overrun mainly linked to planning &amp; estimation / coordination complexity.</x:v>
      </x:c>
    </x:row>
    <x:row r="1239">
      <x:c r="A1239" t="str">
        <x:v>PJT_1238</x:v>
      </x:c>
      <x:c r="B1239" t="str">
        <x:v>Weather disruption / environmental constraints</x:v>
      </x:c>
      <x:c r="C1239" t="str">
        <x:v>Material supply / logistics &amp; market disruption</x:v>
      </x:c>
      <x:c r="D1239" t="str">
        <x:v>Weather disruption / environmental constraints, Material supply / logistics &amp; market disruption, Equipment constraints / low availability</x:v>
      </x:c>
      <x:c r="E1239" t="str">
        <x:v>Weather disruption / environmental constraints</x:v>
      </x:c>
      <x:c r="F1239" t="str">
        <x:v>Material supply / logistics &amp; market disruption</x:v>
      </x:c>
      <x:c r="G1239" t="str">
        <x:v>Weather disruption / environmental constraints, Material supply / logistics &amp; market disruption, Equipment constraints / low availability</x:v>
      </x:c>
      <x:c r="H1239" t="str">
        <x:v>Cost overrun mainly linked to weather disruption / environmental constraints; schedule overrun mainly linked to weather disruption / environmental constraints.</x:v>
      </x:c>
    </x:row>
    <x:row r="1240">
      <x:c r="A1240" t="str">
        <x:v>PJT_1239</x:v>
      </x:c>
      <x:c r="B1240" t="str">
        <x:v>Resource inefficiency (materials/labor/energy)</x:v>
      </x:c>
      <x:c r="C1240" t="str">
        <x:v>Planning &amp; estimation / coordination complexity</x:v>
      </x:c>
      <x:c r="D1240" t="str">
        <x:v>Resource inefficiency (materials/labor/energy), Planning &amp; estimation / coordination complexity, Material supply / logistics &amp; market disruption</x:v>
      </x:c>
      <x:c r="E1240" t="str">
        <x:v>Planning &amp; estimation / coordination complexity</x:v>
      </x:c>
      <x:c r="F1240" t="str">
        <x:v>Resource inefficiency (materials/labor/energy)</x:v>
      </x:c>
      <x:c r="G1240" t="str">
        <x:v>Planning &amp; estimation / coordination complexity, Resource inefficiency (materials/labor/energy), Material supply / logistics &amp; market disruption</x:v>
      </x:c>
      <x:c r="H1240" t="str">
        <x:v>Cost overrun mainly linked to resource inefficiency (materials/labor/energy); schedule overrun mainly linked to planning &amp; estimation / coordination complexity.</x:v>
      </x:c>
    </x:row>
    <x:row r="1241">
      <x:c r="A1241" t="str">
        <x:v>PJT_1240</x:v>
      </x:c>
      <x:c r="B1241" t="str">
        <x:v>Resource inefficiency (materials/labor/energy)</x:v>
      </x:c>
      <x:c r="C1241" t="str">
        <x:v>Material supply / logistics &amp; market disruption</x:v>
      </x:c>
      <x:c r="D1241" t="str">
        <x:v>Resource inefficiency (materials/labor/energy), Material supply / logistics &amp; market disruption, Planning &amp; estimation / coordination complexity</x:v>
      </x:c>
      <x:c r="E1241" t="str">
        <x:v>Resource inefficiency (materials/labor/energy)</x:v>
      </x:c>
      <x:c r="F1241" t="str">
        <x:v>Material supply / logistics &amp; market disruption</x:v>
      </x:c>
      <x:c r="G1241" t="str">
        <x:v>Resource inefficiency (materials/labor/energy), Material supply / logistics &amp; market disruption, Planning &amp; estimation / coordination complexity</x:v>
      </x:c>
      <x:c r="H1241" t="str">
        <x:v>Cost overrun mainly linked to resource inefficiency (materials/labor/energy); schedule overrun mainly linked to resource inefficiency (materials/labor/energy).</x:v>
      </x:c>
    </x:row>
    <x:row r="1242">
      <x:c r="A1242" t="str">
        <x:v>PJT_1241</x:v>
      </x:c>
      <x:c r="B1242" t="str">
        <x:v>Material supply / logistics &amp; market disruption</x:v>
      </x:c>
      <x:c r="C1242" t="str">
        <x:v>Weather disruption / environmental constraints</x:v>
      </x:c>
      <x:c r="D1242" t="str">
        <x:v>Material supply / logistics &amp; market disruption, Weather disruption / environmental constraints, Equipment constraints / low availability</x:v>
      </x:c>
      <x:c r="E1242" t="str">
        <x:v>Material supply / logistics &amp; market disruption</x:v>
      </x:c>
      <x:c r="F1242" t="str">
        <x:v>Weather disruption / environmental constraints</x:v>
      </x:c>
      <x:c r="G1242" t="str">
        <x:v>Material supply / logistics &amp; market disruption, Weather disruption / environmental constraints, Resource inefficiency (materials/labor/energy)</x:v>
      </x:c>
      <x:c r="H1242" t="str">
        <x:v>Cost overrun mainly linked to material supply / logistics &amp; market disruption; schedule overrun mainly linked to material supply / logistics &amp; market disruption.</x:v>
      </x:c>
    </x:row>
    <x:row r="1243">
      <x:c r="A1243" t="str">
        <x:v>PJT_1242</x:v>
      </x:c>
      <x:c r="B1243" t="str">
        <x:v>Resource inefficiency (materials/labor/energy)</x:v>
      </x:c>
      <x:c r="C1243" t="str">
        <x:v>Material supply / logistics &amp; market disruption</x:v>
      </x:c>
      <x:c r="D1243" t="str">
        <x:v>Resource inefficiency (materials/labor/energy), Material supply / logistics &amp; market disruption, Planning &amp; estimation / coordination complexity</x:v>
      </x:c>
      <x:c r="E1243" t="str">
        <x:v>Resource inefficiency (materials/labor/energy)</x:v>
      </x:c>
      <x:c r="F1243" t="str">
        <x:v>Material supply / logistics &amp; market disruption</x:v>
      </x:c>
      <x:c r="G1243" t="str">
        <x:v>Resource inefficiency (materials/labor/energy), Material supply / logistics &amp; market disruption, Planning &amp; estimation / coordination complexity</x:v>
      </x:c>
      <x:c r="H1243" t="str">
        <x:v>Cost overrun mainly linked to resource inefficiency (materials/labor/energy); schedule overrun mainly linked to resource inefficiency (materials/labor/energy).</x:v>
      </x:c>
    </x:row>
    <x:row r="1244">
      <x:c r="A1244" t="str">
        <x:v>PJT_1243</x:v>
      </x:c>
      <x:c r="B1244" t="str">
        <x:v>Unforeseen site/structural issues &amp; rework</x:v>
      </x:c>
      <x:c r="C1244" t="str">
        <x:v>Equipment constraints / low availability</x:v>
      </x:c>
      <x:c r="D1244" t="str">
        <x:v>Unforeseen site/structural issues &amp; rework, Equipment constraints / low availability, Weather disruption / environmental constraints</x:v>
      </x:c>
      <x:c r="E1244" t="str">
        <x:v>Unforeseen site/structural issues &amp; rework</x:v>
      </x:c>
      <x:c r="F1244" t="str">
        <x:v>Weather disruption / environmental constraints</x:v>
      </x:c>
      <x:c r="G1244" t="str">
        <x:v>Unforeseen site/structural issues &amp; rework, Weather disruption / environmental constraints, Equipment constraints / low availability</x:v>
      </x:c>
      <x:c r="H1244" t="str">
        <x:v>Cost overrun mainly linked to unforeseen site/structural issues &amp; rework; schedule overrun mainly linked to unforeseen site/structural issues &amp; rework.</x:v>
      </x:c>
    </x:row>
    <x:row r="1245">
      <x:c r="A1245" t="str">
        <x:v>PJT_1244</x:v>
      </x:c>
      <x:c r="B1245" t="str">
        <x:v>Resource inefficiency (materials/labor/energy)</x:v>
      </x:c>
      <x:c r="C1245" t="str">
        <x:v>Planning &amp; estimation / coordination complexity</x:v>
      </x:c>
      <x:c r="D1245" t="str">
        <x:v>Resource inefficiency (materials/labor/energy), Planning &amp; estimation / coordination complexity, Unforeseen site/structural issues &amp; rework</x:v>
      </x:c>
      <x:c r="E1245" t="str">
        <x:v>Planning &amp; estimation / coordination complexity</x:v>
      </x:c>
      <x:c r="F1245" t="str">
        <x:v>Resource inefficiency (materials/labor/energy)</x:v>
      </x:c>
      <x:c r="G1245" t="str">
        <x:v>Planning &amp; estimation / coordination complexity, Resource inefficiency (materials/labor/energy), Unforeseen site/structural issues &amp; rework</x:v>
      </x:c>
      <x:c r="H1245" t="str">
        <x:v>Cost overrun mainly linked to resource inefficiency (materials/labor/energy); schedule overrun mainly linked to planning &amp; estimation / coordination complexity.</x:v>
      </x:c>
    </x:row>
    <x:row r="1246">
      <x:c r="A1246" t="str">
        <x:v>PJT_1245</x:v>
      </x:c>
      <x:c r="B1246" t="str">
        <x:v>Unforeseen site/structural issues &amp; rework</x:v>
      </x:c>
      <x:c r="C1246" t="str">
        <x:v>Weather disruption / environmental constraints</x:v>
      </x:c>
      <x:c r="D1246" t="str">
        <x:v>Unforeseen site/structural issues &amp; rework, Weather disruption / environmental constraints, Material supply / logistics &amp; market disruption</x:v>
      </x:c>
      <x:c r="E1246" t="str">
        <x:v>Weather disruption / environmental constraints</x:v>
      </x:c>
      <x:c r="F1246" t="str">
        <x:v>Unforeseen site/structural issues &amp; rework</x:v>
      </x:c>
      <x:c r="G1246" t="str">
        <x:v>Weather disruption / environmental constraints, Unforeseen site/structural issues &amp; rework, Material supply / logistics &amp; market disruption</x:v>
      </x:c>
      <x:c r="H1246" t="str">
        <x:v>Cost overrun mainly linked to unforeseen site/structural issues &amp; rework; schedule overrun mainly linked to weather disruption / environmental constraints.</x:v>
      </x:c>
    </x:row>
    <x:row r="1247">
      <x:c r="A1247" t="str">
        <x:v>PJT_1246</x:v>
      </x:c>
      <x:c r="B1247" t="str">
        <x:v>Unforeseen site/structural issues &amp; rework</x:v>
      </x:c>
      <x:c r="C1247" t="str">
        <x:v>Weather disruption / environmental constraints</x:v>
      </x:c>
      <x:c r="D1247" t="str">
        <x:v>Unforeseen site/structural issues &amp; rework, Weather disruption / environmental constraints, Planning &amp; estimation / coordination complexity</x:v>
      </x:c>
      <x:c r="E1247" t="str">
        <x:v>Unforeseen site/structural issues &amp; rework</x:v>
      </x:c>
      <x:c r="F1247" t="str">
        <x:v>Weather disruption / environmental constraints</x:v>
      </x:c>
      <x:c r="G1247" t="str">
        <x:v>Unforeseen site/structural issues &amp; rework, Weather disruption / environmental constraints, Planning &amp; estimation / coordination complexity</x:v>
      </x:c>
      <x:c r="H1247" t="str">
        <x:v>Cost overrun mainly linked to unforeseen site/structural issues &amp; rework; schedule overrun mainly linked to unforeseen site/structural issues &amp; rework.</x:v>
      </x:c>
    </x:row>
    <x:row r="1248">
      <x:c r="A1248" t="str">
        <x:v>PJT_1247</x:v>
      </x:c>
      <x:c r="B1248" t="str">
        <x:v>Weather disruption / environmental constraints</x:v>
      </x:c>
      <x:c r="C1248" t="str">
        <x:v>Unforeseen site/structural issues &amp; rework</x:v>
      </x:c>
      <x:c r="D1248" t="str">
        <x:v>Weather disruption / environmental constraints, Unforeseen site/structural issues &amp; rework, Material supply / logistics &amp; market disruption</x:v>
      </x:c>
      <x:c r="E1248" t="str">
        <x:v>Weather disruption / environmental constraints</x:v>
      </x:c>
      <x:c r="F1248" t="str">
        <x:v>Unforeseen site/structural issues &amp; rework</x:v>
      </x:c>
      <x:c r="G1248" t="str">
        <x:v>Weather disruption / environmental constraints, Unforeseen site/structural issues &amp; rework, Material supply / logistics &amp; market disruption</x:v>
      </x:c>
      <x:c r="H1248" t="str">
        <x:v>Cost overrun mainly linked to weather disruption / environmental constraints; schedule overrun mainly linked to weather disruption / environmental constraints.</x:v>
      </x:c>
    </x:row>
    <x:row r="1249">
      <x:c r="A1249" t="str">
        <x:v>PJT_1248</x:v>
      </x:c>
      <x:c r="B1249" t="str">
        <x:v>Resource inefficiency (materials/labor/energy)</x:v>
      </x:c>
      <x:c r="C1249" t="str">
        <x:v>Material supply / logistics &amp; market disruption</x:v>
      </x:c>
      <x:c r="D1249" t="str">
        <x:v>Resource inefficiency (materials/labor/energy), Material supply / logistics &amp; market disruption, Equipment constraints / low availability</x:v>
      </x:c>
      <x:c r="E1249" t="str">
        <x:v>Resource inefficiency (materials/labor/energy)</x:v>
      </x:c>
      <x:c r="F1249" t="str">
        <x:v>Material supply / logistics &amp; market disruption</x:v>
      </x:c>
      <x:c r="G1249" t="str">
        <x:v>Resource inefficiency (materials/labor/energy), Material supply / logistics &amp; market disruption, Equipment constraints / low availability</x:v>
      </x:c>
      <x:c r="H1249" t="str">
        <x:v>Cost overrun mainly linked to resource inefficiency (materials/labor/energy); schedule overrun mainly linked to resource inefficiency (materials/labor/energy).</x:v>
      </x:c>
    </x:row>
    <x:row r="1250">
      <x:c r="A1250" t="str">
        <x:v>PJT_1249</x:v>
      </x:c>
      <x:c r="B1250" t="str">
        <x:v>Resource inefficiency (materials/labor/energy)</x:v>
      </x:c>
      <x:c r="C1250" t="str">
        <x:v>Planning &amp; estimation / coordination complexity</x:v>
      </x:c>
      <x:c r="D1250" t="str">
        <x:v>Resource inefficiency (materials/labor/energy), Planning &amp; estimation / coordination complexity, Equipment constraints / low availability</x:v>
      </x:c>
      <x:c r="E1250" t="str">
        <x:v>Planning &amp; estimation / coordination complexity</x:v>
      </x:c>
      <x:c r="F1250" t="str">
        <x:v>Resource inefficiency (materials/labor/energy)</x:v>
      </x:c>
      <x:c r="G1250" t="str">
        <x:v>Planning &amp; estimation / coordination complexity, Resource inefficiency (materials/labor/energy), Unforeseen site/structural issues &amp; rework</x:v>
      </x:c>
      <x:c r="H1250" t="str">
        <x:v>Cost overrun mainly linked to resource inefficiency (materials/labor/energy); schedule overrun mainly linked to planning &amp; estimation / coordination complexity.</x:v>
      </x:c>
    </x:row>
    <x:row r="1251">
      <x:c r="A1251" t="str">
        <x:v>PJT_1250</x:v>
      </x:c>
      <x:c r="B1251" t="str">
        <x:v>Resource inefficiency (materials/labor/energy)</x:v>
      </x:c>
      <x:c r="C1251" t="str">
        <x:v>Material supply / logistics &amp; market disruption</x:v>
      </x:c>
      <x:c r="D1251" t="str">
        <x:v>Resource inefficiency (materials/labor/energy), Material supply / logistics &amp; market disruption, Equipment constraints / low availability</x:v>
      </x:c>
      <x:c r="E1251" t="str">
        <x:v>Resource inefficiency (materials/labor/energy)</x:v>
      </x:c>
      <x:c r="F1251" t="str">
        <x:v>Equipment constraints / low availability</x:v>
      </x:c>
      <x:c r="G1251" t="str">
        <x:v>Resource inefficiency (materials/labor/energy), Equipment constraints / low availability, Material supply / logistics &amp; market disruption</x:v>
      </x:c>
      <x:c r="H1251" t="str">
        <x:v>Cost overrun mainly linked to resource inefficiency (materials/labor/energy); schedule overrun mainly linked to resource inefficiency (materials/labor/energy).</x:v>
      </x:c>
    </x:row>
    <x:row r="1252">
      <x:c r="A1252" t="str">
        <x:v>PJT_1251</x:v>
      </x:c>
      <x:c r="B1252" t="str">
        <x:v>Weather disruption / environmental constraints</x:v>
      </x:c>
      <x:c r="C1252" t="str">
        <x:v>Unforeseen site/structural issues &amp; rework</x:v>
      </x:c>
      <x:c r="D1252" t="str">
        <x:v>Weather disruption / environmental constraints, Unforeseen site/structural issues &amp; rework, Material supply / logistics &amp; market disruption</x:v>
      </x:c>
      <x:c r="E1252" t="str">
        <x:v>Weather disruption / environmental constraints</x:v>
      </x:c>
      <x:c r="F1252" t="str">
        <x:v>Material supply / logistics &amp; market disruption</x:v>
      </x:c>
      <x:c r="G1252" t="str">
        <x:v>Weather disruption / environmental constraints, Material supply / logistics &amp; market disruption, Unforeseen site/structural issues &amp; rework</x:v>
      </x:c>
      <x:c r="H1252" t="str">
        <x:v>Cost overrun mainly linked to weather disruption / environmental constraints; schedule overrun mainly linked to weather disruption / environmental constraints.</x:v>
      </x:c>
    </x:row>
    <x:row r="1253">
      <x:c r="A1253" t="str">
        <x:v>PJT_1252</x:v>
      </x:c>
      <x:c r="B1253" t="str">
        <x:v>Weather disruption / environmental constraints</x:v>
      </x:c>
      <x:c r="C1253" t="str">
        <x:v>Equipment constraints / low availability</x:v>
      </x:c>
      <x:c r="D1253" t="str">
        <x:v>Weather disruption / environmental constraints, Equipment constraints / low availability, Unforeseen site/structural issues &amp; rework</x:v>
      </x:c>
      <x:c r="E1253" t="str">
        <x:v>Weather disruption / environmental constraints</x:v>
      </x:c>
      <x:c r="F1253" t="str">
        <x:v>Equipment constraints / low availability</x:v>
      </x:c>
      <x:c r="G1253" t="str">
        <x:v>Weather disruption / environmental constraints, Equipment constraints / low availability, Unforeseen site/structural issues &amp; rework</x:v>
      </x:c>
      <x:c r="H1253" t="str">
        <x:v>Cost overrun mainly linked to weather disruption / environmental constraints; schedule overrun mainly linked to weather disruption / environmental constraints.</x:v>
      </x:c>
    </x:row>
    <x:row r="1254">
      <x:c r="A1254" t="str">
        <x:v>PJT_1253</x:v>
      </x:c>
      <x:c r="B1254" t="str">
        <x:v>Unforeseen site/structural issues &amp; rework</x:v>
      </x:c>
      <x:c r="C1254" t="str">
        <x:v>Resource inefficiency (materials/labor/energy)</x:v>
      </x:c>
      <x:c r="D1254" t="str">
        <x:v>Unforeseen site/structural issues &amp; rework, Resource inefficiency (materials/labor/energy), Planning &amp; estimation / coordination complexity</x:v>
      </x:c>
      <x:c r="E1254" t="str">
        <x:v>Unforeseen site/structural issues &amp; rework</x:v>
      </x:c>
      <x:c r="F1254" t="str">
        <x:v>Planning &amp; estimation / coordination complexity</x:v>
      </x:c>
      <x:c r="G1254" t="str">
        <x:v>Unforeseen site/structural issues &amp; rework, Planning &amp; estimation / coordination complexity, Resource inefficiency (materials/labor/energy)</x:v>
      </x:c>
      <x:c r="H1254" t="str">
        <x:v>Cost overrun mainly linked to unforeseen site/structural issues &amp; rework; schedule overrun mainly linked to unforeseen site/structural issues &amp; rework.</x:v>
      </x:c>
    </x:row>
    <x:row r="1255">
      <x:c r="A1255" t="str">
        <x:v>PJT_1254</x:v>
      </x:c>
      <x:c r="B1255" t="str">
        <x:v>Unforeseen site/structural issues &amp; rework</x:v>
      </x:c>
      <x:c r="C1255" t="str">
        <x:v>Weather disruption / environmental constraints</x:v>
      </x:c>
      <x:c r="D1255" t="str">
        <x:v>Unforeseen site/structural issues &amp; rework, Weather disruption / environmental constraints, Planning &amp; estimation / coordination complexity</x:v>
      </x:c>
      <x:c r="E1255" t="str">
        <x:v>Unforeseen site/structural issues &amp; rework</x:v>
      </x:c>
      <x:c r="F1255" t="str">
        <x:v>Weather disruption / environmental constraints</x:v>
      </x:c>
      <x:c r="G1255" t="str">
        <x:v>Unforeseen site/structural issues &amp; rework, Weather disruption / environmental constraints, Planning &amp; estimation / coordination complexity</x:v>
      </x:c>
      <x:c r="H1255" t="str">
        <x:v>Cost overrun mainly linked to unforeseen site/structural issues &amp; rework; schedule overrun mainly linked to unforeseen site/structural issues &amp; rework.</x:v>
      </x:c>
    </x:row>
    <x:row r="1256">
      <x:c r="A1256" t="str">
        <x:v>PJT_1255</x:v>
      </x:c>
      <x:c r="B1256" t="str">
        <x:v>Unforeseen site/structural issues &amp; rework</x:v>
      </x:c>
      <x:c r="C1256" t="str">
        <x:v>Planning &amp; estimation / coordination complexity</x:v>
      </x:c>
      <x:c r="D1256" t="str">
        <x:v>Unforeseen site/structural issues &amp; rework, Planning &amp; estimation / coordination complexity, Equipment constraints / low availability</x:v>
      </x:c>
      <x:c r="E1256" t="str">
        <x:v>Unforeseen site/structural issues &amp; rework</x:v>
      </x:c>
      <x:c r="F1256" t="str">
        <x:v>Planning &amp; estimation / coordination complexity</x:v>
      </x:c>
      <x:c r="G1256" t="str">
        <x:v>Unforeseen site/structural issues &amp; rework, Planning &amp; estimation / coordination complexity, Equipment constraints / low availability</x:v>
      </x:c>
      <x:c r="H1256" t="str">
        <x:v>Cost overrun mainly linked to unforeseen site/structural issues &amp; rework; schedule overrun mainly linked to unforeseen site/structural issues &amp; rework.</x:v>
      </x:c>
    </x:row>
    <x:row r="1257">
      <x:c r="A1257" t="str">
        <x:v>PJT_1256</x:v>
      </x:c>
      <x:c r="B1257" t="str">
        <x:v>Planning &amp; estimation / coordination complexity</x:v>
      </x:c>
      <x:c r="C1257" t="str">
        <x:v>Unforeseen site/structural issues &amp; rework</x:v>
      </x:c>
      <x:c r="D1257" t="str">
        <x:v>Planning &amp; estimation / coordination complexity, Unforeseen site/structural issues &amp; rework, Resource inefficiency (materials/labor/energy)</x:v>
      </x:c>
      <x:c r="E1257" t="str">
        <x:v>Planning &amp; estimation / coordination complexity</x:v>
      </x:c>
      <x:c r="F1257" t="str">
        <x:v>Unforeseen site/structural issues &amp; rework</x:v>
      </x:c>
      <x:c r="G1257" t="str">
        <x:v>Planning &amp; estimation / coordination complexity, Unforeseen site/structural issues &amp; rework, Resource inefficiency (materials/labor/energy)</x:v>
      </x:c>
      <x:c r="H1257" t="str">
        <x:v>Cost overrun mainly linked to planning &amp; estimation / coordination complexity; schedule overrun mainly linked to planning &amp; estimation / coordination complexity.</x:v>
      </x:c>
    </x:row>
    <x:row r="1258">
      <x:c r="A1258" t="str">
        <x:v>PJT_1257</x:v>
      </x:c>
      <x:c r="B1258" t="str">
        <x:v>Planning &amp; estimation / coordination complexity</x:v>
      </x:c>
      <x:c r="C1258" t="str">
        <x:v>Resource inefficiency (materials/labor/energy)</x:v>
      </x:c>
      <x:c r="D1258" t="str">
        <x:v>Planning &amp; estimation / coordination complexity, Resource inefficiency (materials/labor/energy), Unforeseen site/structural issues &amp; rework</x:v>
      </x:c>
      <x:c r="E1258" t="str">
        <x:v>Planning &amp; estimation / coordination complexity</x:v>
      </x:c>
      <x:c r="F1258" t="str">
        <x:v>Unforeseen site/structural issues &amp; rework</x:v>
      </x:c>
      <x:c r="G1258" t="str">
        <x:v>Planning &amp; estimation / coordination complexity, Unforeseen site/structural issues &amp; rework, Resource inefficiency (materials/labor/energy)</x:v>
      </x:c>
      <x:c r="H1258" t="str">
        <x:v>Cost overrun mainly linked to planning &amp; estimation / coordination complexity; schedule overrun mainly linked to planning &amp; estimation / coordination complexity.</x:v>
      </x:c>
    </x:row>
    <x:row r="1259">
      <x:c r="A1259" t="str">
        <x:v>PJT_1258</x:v>
      </x:c>
      <x:c r="B1259" t="str">
        <x:v>Resource inefficiency (materials/labor/energy)</x:v>
      </x:c>
      <x:c r="C1259" t="str">
        <x:v>Equipment constraints / low availability</x:v>
      </x:c>
      <x:c r="D1259" t="str">
        <x:v>Resource inefficiency (materials/labor/energy), Equipment constraints / low availability, Planning &amp; estimation / coordination complexity</x:v>
      </x:c>
      <x:c r="E1259" t="str">
        <x:v>Resource inefficiency (materials/labor/energy)</x:v>
      </x:c>
      <x:c r="F1259" t="str">
        <x:v>Equipment constraints / low availability</x:v>
      </x:c>
      <x:c r="G1259" t="str">
        <x:v>Resource inefficiency (materials/labor/energy), Equipment constraints / low availability, Planning &amp; estimation / coordination complexity</x:v>
      </x:c>
      <x:c r="H1259" t="str">
        <x:v>Cost overrun mainly linked to resource inefficiency (materials/labor/energy); schedule overrun mainly linked to resource inefficiency (materials/labor/energy).</x:v>
      </x:c>
    </x:row>
    <x:row r="1260">
      <x:c r="A1260" t="str">
        <x:v>PJT_1259</x:v>
      </x:c>
      <x:c r="B1260" t="str">
        <x:v>Unforeseen site/structural issues &amp; rework</x:v>
      </x:c>
      <x:c r="C1260" t="str">
        <x:v>Planning &amp; estimation / coordination complexity</x:v>
      </x:c>
      <x:c r="D1260" t="str">
        <x:v>Unforeseen site/structural issues &amp; rework, Planning &amp; estimation / coordination complexity, Weather disruption / environmental constraints</x:v>
      </x:c>
      <x:c r="E1260" t="str">
        <x:v>Unforeseen site/structural issues &amp; rework</x:v>
      </x:c>
      <x:c r="F1260" t="str">
        <x:v>Planning &amp; estimation / coordination complexity</x:v>
      </x:c>
      <x:c r="G1260" t="str">
        <x:v>Unforeseen site/structural issues &amp; rework, Planning &amp; estimation / coordination complexity, Weather disruption / environmental constraints</x:v>
      </x:c>
      <x:c r="H1260" t="str">
        <x:v>Cost overrun mainly linked to unforeseen site/structural issues &amp; rework; schedule overrun mainly linked to unforeseen site/structural issues &amp; rework.</x:v>
      </x:c>
    </x:row>
    <x:row r="1261">
      <x:c r="A1261" t="str">
        <x:v>PJT_1260</x:v>
      </x:c>
      <x:c r="B1261" t="str">
        <x:v>Weather disruption / environmental constraints</x:v>
      </x:c>
      <x:c r="C1261" t="str">
        <x:v>Unforeseen site/structural issues &amp; rework</x:v>
      </x:c>
      <x:c r="D1261" t="str">
        <x:v>Weather disruption / environmental constraints, Unforeseen site/structural issues &amp; rework, Material supply / logistics &amp; market disruption</x:v>
      </x:c>
      <x:c r="E1261" t="str">
        <x:v>Weather disruption / environmental constraints</x:v>
      </x:c>
      <x:c r="F1261" t="str">
        <x:v>Unforeseen site/structural issues &amp; rework</x:v>
      </x:c>
      <x:c r="G1261" t="str">
        <x:v>Weather disruption / environmental constraints, Unforeseen site/structural issues &amp; rework, Material supply / logistics &amp; market disruption</x:v>
      </x:c>
      <x:c r="H1261" t="str">
        <x:v>Cost overrun mainly linked to weather disruption / environmental constraints; schedule overrun mainly linked to weather disruption / environmental constraints.</x:v>
      </x:c>
    </x:row>
    <x:row r="1262">
      <x:c r="A1262" t="str">
        <x:v>PJT_1261</x:v>
      </x:c>
      <x:c r="B1262" t="str">
        <x:v>Planning &amp; estimation / coordination complexity</x:v>
      </x:c>
      <x:c r="C1262" t="str">
        <x:v>Material supply / logistics &amp; market disruption</x:v>
      </x:c>
      <x:c r="D1262" t="str">
        <x:v>Planning &amp; estimation / coordination complexity, Material supply / logistics &amp; market disruption, Resource inefficiency (materials/labor/energy)</x:v>
      </x:c>
      <x:c r="E1262" t="str">
        <x:v>Planning &amp; estimation / coordination complexity</x:v>
      </x:c>
      <x:c r="F1262" t="str">
        <x:v>Material supply / logistics &amp; market disruption</x:v>
      </x:c>
      <x:c r="G1262" t="str">
        <x:v>Planning &amp; estimation / coordination complexity, Material supply / logistics &amp; market disruption, Unforeseen site/structural issues &amp; rework</x:v>
      </x:c>
      <x:c r="H1262" t="str">
        <x:v>Cost overrun mainly linked to planning &amp; estimation / coordination complexity; schedule overrun mainly linked to planning &amp; estimation / coordination complexity.</x:v>
      </x:c>
    </x:row>
    <x:row r="1263">
      <x:c r="A1263" t="str">
        <x:v>PJT_1262</x:v>
      </x:c>
      <x:c r="B1263" t="str">
        <x:v>Resource inefficiency (materials/labor/energy)</x:v>
      </x:c>
      <x:c r="C1263" t="str">
        <x:v>Planning &amp; estimation / coordination complexity</x:v>
      </x:c>
      <x:c r="D1263" t="str">
        <x:v>Resource inefficiency (materials/labor/energy), Planning &amp; estimation / coordination complexity, Unforeseen site/structural issues &amp; rework</x:v>
      </x:c>
      <x:c r="E1263" t="str">
        <x:v>Planning &amp; estimation / coordination complexity</x:v>
      </x:c>
      <x:c r="F1263" t="str">
        <x:v>Resource inefficiency (materials/labor/energy)</x:v>
      </x:c>
      <x:c r="G1263" t="str">
        <x:v>Planning &amp; estimation / coordination complexity, Resource inefficiency (materials/labor/energy), Unforeseen site/structural issues &amp; rework</x:v>
      </x:c>
      <x:c r="H1263" t="str">
        <x:v>Cost overrun mainly linked to resource inefficiency (materials/labor/energy); schedule overrun mainly linked to planning &amp; estimation / coordination complexity.</x:v>
      </x:c>
    </x:row>
    <x:row r="1264">
      <x:c r="A1264" t="str">
        <x:v>PJT_1263</x:v>
      </x:c>
      <x:c r="B1264" t="str">
        <x:v>Equipment constraints / low availability</x:v>
      </x:c>
      <x:c r="C1264" t="str">
        <x:v>Resource inefficiency (materials/labor/energy)</x:v>
      </x:c>
      <x:c r="D1264" t="str">
        <x:v>Equipment constraints / low availability, Resource inefficiency (materials/labor/energy), Material supply / logistics &amp; market disruption</x:v>
      </x:c>
      <x:c r="E1264" t="str">
        <x:v>Equipment constraints / low availability</x:v>
      </x:c>
      <x:c r="F1264" t="str">
        <x:v>Resource inefficiency (materials/labor/energy)</x:v>
      </x:c>
      <x:c r="G1264" t="str">
        <x:v>Equipment constraints / low availability, Resource inefficiency (materials/labor/energy), Material supply / logistics &amp; market disruption</x:v>
      </x:c>
      <x:c r="H1264" t="str">
        <x:v>Cost overrun mainly linked to equipment constraints / low availability; schedule overrun mainly linked to equipment constraints / low availability.</x:v>
      </x:c>
    </x:row>
    <x:row r="1265">
      <x:c r="A1265" t="str">
        <x:v>PJT_1264</x:v>
      </x:c>
      <x:c r="B1265" t="str">
        <x:v>Resource inefficiency (materials/labor/energy)</x:v>
      </x:c>
      <x:c r="C1265" t="str">
        <x:v>Planning &amp; estimation / coordination complexity</x:v>
      </x:c>
      <x:c r="D1265" t="str">
        <x:v>Resource inefficiency (materials/labor/energy), Planning &amp; estimation / coordination complexity, Equipment constraints / low availability</x:v>
      </x:c>
      <x:c r="E1265" t="str">
        <x:v>Resource inefficiency (materials/labor/energy)</x:v>
      </x:c>
      <x:c r="F1265" t="str">
        <x:v>Planning &amp; estimation / coordination complexity</x:v>
      </x:c>
      <x:c r="G1265" t="str">
        <x:v>Resource inefficiency (materials/labor/energy), Planning &amp; estimation / coordination complexity, Equipment constraints / low availability</x:v>
      </x:c>
      <x:c r="H1265" t="str">
        <x:v>Cost overrun mainly linked to resource inefficiency (materials/labor/energy); schedule overrun mainly linked to resource inefficiency (materials/labor/energy).</x:v>
      </x:c>
    </x:row>
    <x:row r="1266">
      <x:c r="A1266" t="str">
        <x:v>PJT_1265</x:v>
      </x:c>
      <x:c r="B1266" t="str">
        <x:v>Weather disruption / environmental constraints</x:v>
      </x:c>
      <x:c r="C1266" t="str">
        <x:v>Material supply / logistics &amp; market disruption</x:v>
      </x:c>
      <x:c r="D1266" t="str">
        <x:v>Weather disruption / environmental constraints, Material supply / logistics &amp; market disruption, Unforeseen site/structural issues &amp; rework</x:v>
      </x:c>
      <x:c r="E1266" t="str">
        <x:v>Weather disruption / environmental constraints</x:v>
      </x:c>
      <x:c r="F1266" t="str">
        <x:v>Material supply / logistics &amp; market disruption</x:v>
      </x:c>
      <x:c r="G1266" t="str">
        <x:v>Weather disruption / environmental constraints, Material supply / logistics &amp; market disruption, Unforeseen site/structural issues &amp; rework</x:v>
      </x:c>
      <x:c r="H1266" t="str">
        <x:v>Cost overrun mainly linked to weather disruption / environmental constraints; schedule overrun mainly linked to weather disruption / environmental constraints.</x:v>
      </x:c>
    </x:row>
    <x:row r="1267">
      <x:c r="A1267" t="str">
        <x:v>PJT_1266</x:v>
      </x:c>
      <x:c r="B1267" t="str">
        <x:v>Unforeseen site/structural issues &amp; rework</x:v>
      </x:c>
      <x:c r="C1267" t="str">
        <x:v>Planning &amp; estimation / coordination complexity</x:v>
      </x:c>
      <x:c r="D1267" t="str">
        <x:v>Unforeseen site/structural issues &amp; rework, Planning &amp; estimation / coordination complexity, Equipment constraints / low availability</x:v>
      </x:c>
      <x:c r="E1267" t="str">
        <x:v>Unforeseen site/structural issues &amp; rework</x:v>
      </x:c>
      <x:c r="F1267" t="str">
        <x:v>Planning &amp; estimation / coordination complexity</x:v>
      </x:c>
      <x:c r="G1267" t="str">
        <x:v>Unforeseen site/structural issues &amp; rework, Planning &amp; estimation / coordination complexity, Equipment constraints / low availability</x:v>
      </x:c>
      <x:c r="H1267" t="str">
        <x:v>Cost overrun mainly linked to unforeseen site/structural issues &amp; rework; schedule overrun mainly linked to unforeseen site/structural issues &amp; rework.</x:v>
      </x:c>
    </x:row>
    <x:row r="1268">
      <x:c r="A1268" t="str">
        <x:v>PJT_1267</x:v>
      </x:c>
      <x:c r="B1268" t="str">
        <x:v>Resource inefficiency (materials/labor/energy)</x:v>
      </x:c>
      <x:c r="C1268" t="str">
        <x:v>Equipment constraints / low availability</x:v>
      </x:c>
      <x:c r="D1268" t="str">
        <x:v>Resource inefficiency (materials/labor/energy), Equipment constraints / low availability, Planning &amp; estimation / coordination complexity</x:v>
      </x:c>
      <x:c r="E1268" t="str">
        <x:v>Resource inefficiency (materials/labor/energy)</x:v>
      </x:c>
      <x:c r="F1268" t="str">
        <x:v>Equipment constraints / low availability</x:v>
      </x:c>
      <x:c r="G1268" t="str">
        <x:v>Resource inefficiency (materials/labor/energy), Equipment constraints / low availability, Planning &amp; estimation / coordination complexity</x:v>
      </x:c>
      <x:c r="H1268" t="str">
        <x:v>Cost overrun mainly linked to resource inefficiency (materials/labor/energy); schedule overrun mainly linked to resource inefficiency (materials/labor/energy).</x:v>
      </x:c>
    </x:row>
    <x:row r="1269">
      <x:c r="A1269" t="str">
        <x:v>PJT_1268</x:v>
      </x:c>
      <x:c r="B1269" t="str">
        <x:v>Unforeseen site/structural issues &amp; rework</x:v>
      </x:c>
      <x:c r="C1269" t="str">
        <x:v>Planning &amp; estimation / coordination complexity</x:v>
      </x:c>
      <x:c r="D1269" t="str">
        <x:v>Unforeseen site/structural issues &amp; rework, Planning &amp; estimation / coordination complexity, Equipment constraints / low availability</x:v>
      </x:c>
      <x:c r="E1269" t="str">
        <x:v>Unforeseen site/structural issues &amp; rework</x:v>
      </x:c>
      <x:c r="F1269" t="str">
        <x:v>Planning &amp; estimation / coordination complexity</x:v>
      </x:c>
      <x:c r="G1269" t="str">
        <x:v>Unforeseen site/structural issues &amp; rework, Planning &amp; estimation / coordination complexity, Equipment constraints / low availability</x:v>
      </x:c>
      <x:c r="H1269" t="str">
        <x:v>Cost overrun mainly linked to unforeseen site/structural issues &amp; rework; schedule overrun mainly linked to unforeseen site/structural issues &amp; rework.</x:v>
      </x:c>
    </x:row>
    <x:row r="1270">
      <x:c r="A1270" t="str">
        <x:v>PJT_1269</x:v>
      </x:c>
      <x:c r="B1270" t="str">
        <x:v>Unforeseen site/structural issues &amp; rework</x:v>
      </x:c>
      <x:c r="C1270" t="str">
        <x:v>Weather disruption / environmental constraints</x:v>
      </x:c>
      <x:c r="D1270" t="str">
        <x:v>Unforeseen site/structural issues &amp; rework, Weather disruption / environmental constraints, Planning &amp; estimation / coordination complexity</x:v>
      </x:c>
      <x:c r="E1270" t="str">
        <x:v>Weather disruption / environmental constraints</x:v>
      </x:c>
      <x:c r="F1270" t="str">
        <x:v>Unforeseen site/structural issues &amp; rework</x:v>
      </x:c>
      <x:c r="G1270" t="str">
        <x:v>Weather disruption / environmental constraints, Unforeseen site/structural issues &amp; rework, Material supply / logistics &amp; market disruption</x:v>
      </x:c>
      <x:c r="H1270" t="str">
        <x:v>Cost overrun mainly linked to unforeseen site/structural issues &amp; rework; schedule overrun mainly linked to weather disruption / environmental constraints.</x:v>
      </x:c>
    </x:row>
    <x:row r="1271">
      <x:c r="A1271" t="str">
        <x:v>PJT_1270</x:v>
      </x:c>
      <x:c r="B1271" t="str">
        <x:v>Unforeseen site/structural issues &amp; rework</x:v>
      </x:c>
      <x:c r="C1271" t="str">
        <x:v>Planning &amp; estimation / coordination complexity</x:v>
      </x:c>
      <x:c r="D1271" t="str">
        <x:v>Unforeseen site/structural issues &amp; rework, Planning &amp; estimation / coordination complexity, Equipment constraints / low availability</x:v>
      </x:c>
      <x:c r="E1271" t="str">
        <x:v>Unforeseen site/structural issues &amp; rework</x:v>
      </x:c>
      <x:c r="F1271" t="str">
        <x:v>Planning &amp; estimation / coordination complexity</x:v>
      </x:c>
      <x:c r="G1271" t="str">
        <x:v>Unforeseen site/structural issues &amp; rework, Planning &amp; estimation / coordination complexity, Equipment constraints / low availability</x:v>
      </x:c>
      <x:c r="H1271" t="str">
        <x:v>Cost overrun mainly linked to unforeseen site/structural issues &amp; rework; schedule overrun mainly linked to unforeseen site/structural issues &amp; rework.</x:v>
      </x:c>
    </x:row>
    <x:row r="1272">
      <x:c r="A1272" t="str">
        <x:v>PJT_1271</x:v>
      </x:c>
      <x:c r="B1272" t="str">
        <x:v>Unforeseen site/structural issues &amp; rework</x:v>
      </x:c>
      <x:c r="C1272" t="str">
        <x:v>Weather disruption / environmental constraints</x:v>
      </x:c>
      <x:c r="D1272" t="str">
        <x:v>Unforeseen site/structural issues &amp; rework, Weather disruption / environmental constraints, Material supply / logistics &amp; market disruption</x:v>
      </x:c>
      <x:c r="E1272" t="str">
        <x:v>Unforeseen site/structural issues &amp; rework</x:v>
      </x:c>
      <x:c r="F1272" t="str">
        <x:v>Weather disruption / environmental constraints</x:v>
      </x:c>
      <x:c r="G1272" t="str">
        <x:v>Unforeseen site/structural issues &amp; rework, Weather disruption / environmental constraints, Material supply / logistics &amp; market disruption</x:v>
      </x:c>
      <x:c r="H1272" t="str">
        <x:v>Cost overrun mainly linked to unforeseen site/structural issues &amp; rework; schedule overrun mainly linked to unforeseen site/structural issues &amp; rework.</x:v>
      </x:c>
    </x:row>
    <x:row r="1273">
      <x:c r="A1273" t="str">
        <x:v>PJT_1272</x:v>
      </x:c>
      <x:c r="B1273" t="str">
        <x:v>Planning &amp; estimation / coordination complexity</x:v>
      </x:c>
      <x:c r="C1273" t="str">
        <x:v>Resource inefficiency (materials/labor/energy)</x:v>
      </x:c>
      <x:c r="D1273" t="str">
        <x:v>Planning &amp; estimation / coordination complexity, Resource inefficiency (materials/labor/energy), Equipment constraints / low availability</x:v>
      </x:c>
      <x:c r="E1273" t="str">
        <x:v>Planning &amp; estimation / coordination complexity</x:v>
      </x:c>
      <x:c r="F1273" t="str">
        <x:v>Resource inefficiency (materials/labor/energy)</x:v>
      </x:c>
      <x:c r="G1273" t="str">
        <x:v>Planning &amp; estimation / coordination complexity, Resource inefficiency (materials/labor/energy), Equipment constraints / low availability</x:v>
      </x:c>
      <x:c r="H1273" t="str">
        <x:v>Cost overrun mainly linked to planning &amp; estimation / coordination complexity; schedule overrun mainly linked to planning &amp; estimation / coordination complexity.</x:v>
      </x:c>
    </x:row>
    <x:row r="1274">
      <x:c r="A1274" t="str">
        <x:v>PJT_1273</x:v>
      </x:c>
      <x:c r="B1274" t="str">
        <x:v>Resource inefficiency (materials/labor/energy)</x:v>
      </x:c>
      <x:c r="C1274" t="str">
        <x:v>Equipment constraints / low availability</x:v>
      </x:c>
      <x:c r="D1274" t="str">
        <x:v>Resource inefficiency (materials/labor/energy), Equipment constraints / low availability, Material supply / logistics &amp; market disruption</x:v>
      </x:c>
      <x:c r="E1274" t="str">
        <x:v>Resource inefficiency (materials/labor/energy)</x:v>
      </x:c>
      <x:c r="F1274" t="str">
        <x:v>Equipment constraints / low availability</x:v>
      </x:c>
      <x:c r="G1274" t="str">
        <x:v>Resource inefficiency (materials/labor/energy), Equipment constraints / low availability, Material supply / logistics &amp; market disruption</x:v>
      </x:c>
      <x:c r="H1274" t="str">
        <x:v>Cost overrun mainly linked to resource inefficiency (materials/labor/energy); schedule overrun mainly linked to resource inefficiency (materials/labor/energy).</x:v>
      </x:c>
    </x:row>
    <x:row r="1275">
      <x:c r="A1275" t="str">
        <x:v>PJT_1274</x:v>
      </x:c>
      <x:c r="B1275" t="str">
        <x:v>Weather disruption / environmental constraints</x:v>
      </x:c>
      <x:c r="C1275" t="str">
        <x:v>Material supply / logistics &amp; market disruption</x:v>
      </x:c>
      <x:c r="D1275" t="str">
        <x:v>Weather disruption / environmental constraints, Material supply / logistics &amp; market disruption, Resource inefficiency (materials/labor/energy)</x:v>
      </x:c>
      <x:c r="E1275" t="str">
        <x:v>Weather disruption / environmental constraints</x:v>
      </x:c>
      <x:c r="F1275" t="str">
        <x:v>Material supply / logistics &amp; market disruption</x:v>
      </x:c>
      <x:c r="G1275" t="str">
        <x:v>Weather disruption / environmental constraints, Material supply / logistics &amp; market disruption, Resource inefficiency (materials/labor/energy)</x:v>
      </x:c>
      <x:c r="H1275" t="str">
        <x:v>Cost overrun mainly linked to weather disruption / environmental constraints; schedule overrun mainly linked to weather disruption / environmental constraints.</x:v>
      </x:c>
    </x:row>
    <x:row r="1276">
      <x:c r="A1276" t="str">
        <x:v>PJT_1275</x:v>
      </x:c>
      <x:c r="B1276" t="str">
        <x:v>Material supply / logistics &amp; market disruption</x:v>
      </x:c>
      <x:c r="C1276" t="str">
        <x:v>Planning &amp; estimation / coordination complexity</x:v>
      </x:c>
      <x:c r="D1276" t="str">
        <x:v>Material supply / logistics &amp; market disruption, Planning &amp; estimation / coordination complexity, Resource inefficiency (materials/labor/energy)</x:v>
      </x:c>
      <x:c r="E1276" t="str">
        <x:v>Planning &amp; estimation / coordination complexity</x:v>
      </x:c>
      <x:c r="F1276" t="str">
        <x:v>Material supply / logistics &amp; market disruption</x:v>
      </x:c>
      <x:c r="G1276" t="str">
        <x:v>Planning &amp; estimation / coordination complexity, Material supply / logistics &amp; market disruption, Unforeseen site/structural issues &amp; rework</x:v>
      </x:c>
      <x:c r="H1276" t="str">
        <x:v>Cost overrun mainly linked to material supply / logistics &amp; market disruption; schedule overrun mainly linked to planning &amp; estimation / coordination complexity.</x:v>
      </x:c>
    </x:row>
    <x:row r="1277">
      <x:c r="A1277" t="str">
        <x:v>PJT_1276</x:v>
      </x:c>
      <x:c r="B1277" t="str">
        <x:v>Unforeseen site/structural issues &amp; rework</x:v>
      </x:c>
      <x:c r="C1277" t="str">
        <x:v>Weather disruption / environmental constraints</x:v>
      </x:c>
      <x:c r="D1277" t="str">
        <x:v>Unforeseen site/structural issues &amp; rework, Weather disruption / environmental constraints, Material supply / logistics &amp; market disruption</x:v>
      </x:c>
      <x:c r="E1277" t="str">
        <x:v>Unforeseen site/structural issues &amp; rework</x:v>
      </x:c>
      <x:c r="F1277" t="str">
        <x:v>Weather disruption / environmental constraints</x:v>
      </x:c>
      <x:c r="G1277" t="str">
        <x:v>Unforeseen site/structural issues &amp; rework, Weather disruption / environmental constraints, Material supply / logistics &amp; market disruption</x:v>
      </x:c>
      <x:c r="H1277" t="str">
        <x:v>Cost overrun mainly linked to unforeseen site/structural issues &amp; rework; schedule overrun mainly linked to unforeseen site/structural issues &amp; rework.</x:v>
      </x:c>
    </x:row>
    <x:row r="1278">
      <x:c r="A1278" t="str">
        <x:v>PJT_1277</x:v>
      </x:c>
      <x:c r="B1278" t="str">
        <x:v>Weather disruption / environmental constraints</x:v>
      </x:c>
      <x:c r="C1278" t="str">
        <x:v>Unforeseen site/structural issues &amp; rework</x:v>
      </x:c>
      <x:c r="D1278" t="str">
        <x:v>Weather disruption / environmental constraints, Unforeseen site/structural issues &amp; rework, Planning &amp; estimation / coordination complexity</x:v>
      </x:c>
      <x:c r="E1278" t="str">
        <x:v>Weather disruption / environmental constraints</x:v>
      </x:c>
      <x:c r="F1278" t="str">
        <x:v>Unforeseen site/structural issues &amp; rework</x:v>
      </x:c>
      <x:c r="G1278" t="str">
        <x:v>Weather disruption / environmental constraints, Unforeseen site/structural issues &amp; rework, Material supply / logistics &amp; market disruption</x:v>
      </x:c>
      <x:c r="H1278" t="str">
        <x:v>Cost overrun mainly linked to weather disruption / environmental constraints; schedule overrun mainly linked to weather disruption / environmental constraints.</x:v>
      </x:c>
    </x:row>
    <x:row r="1279">
      <x:c r="A1279" t="str">
        <x:v>PJT_1278</x:v>
      </x:c>
      <x:c r="B1279" t="str">
        <x:v>Unforeseen site/structural issues &amp; rework</x:v>
      </x:c>
      <x:c r="C1279" t="str">
        <x:v>Planning &amp; estimation / coordination complexity</x:v>
      </x:c>
      <x:c r="D1279" t="str">
        <x:v>Unforeseen site/structural issues &amp; rework, Planning &amp; estimation / coordination complexity, Weather disruption / environmental constraints</x:v>
      </x:c>
      <x:c r="E1279" t="str">
        <x:v>Unforeseen site/structural issues &amp; rework</x:v>
      </x:c>
      <x:c r="F1279" t="str">
        <x:v>Planning &amp; estimation / coordination complexity</x:v>
      </x:c>
      <x:c r="G1279" t="str">
        <x:v>Unforeseen site/structural issues &amp; rework, Planning &amp; estimation / coordination complexity, Weather disruption / environmental constraints</x:v>
      </x:c>
      <x:c r="H1279" t="str">
        <x:v>Cost overrun mainly linked to unforeseen site/structural issues &amp; rework; schedule overrun mainly linked to unforeseen site/structural issues &amp; rework.</x:v>
      </x:c>
    </x:row>
    <x:row r="1280">
      <x:c r="A1280" t="str">
        <x:v>PJT_1279</x:v>
      </x:c>
      <x:c r="B1280" t="str">
        <x:v>Equipment constraints / low availability</x:v>
      </x:c>
      <x:c r="C1280" t="str">
        <x:v>Resource inefficiency (materials/labor/energy)</x:v>
      </x:c>
      <x:c r="D1280" t="str">
        <x:v>Equipment constraints / low availability, Resource inefficiency (materials/labor/energy), Material supply / logistics &amp; market disruption</x:v>
      </x:c>
      <x:c r="E1280" t="str">
        <x:v>Equipment constraints / low availability</x:v>
      </x:c>
      <x:c r="F1280" t="str">
        <x:v>Resource inefficiency (materials/labor/energy)</x:v>
      </x:c>
      <x:c r="G1280" t="str">
        <x:v>Equipment constraints / low availability, Resource inefficiency (materials/labor/energy), Material supply / logistics &amp; market disruption</x:v>
      </x:c>
      <x:c r="H1280" t="str">
        <x:v>Cost overrun mainly linked to equipment constraints / low availability; schedule overrun mainly linked to equipment constraints / low availability.</x:v>
      </x:c>
    </x:row>
    <x:row r="1281">
      <x:c r="A1281" t="str">
        <x:v>PJT_1280</x:v>
      </x:c>
      <x:c r="B1281" t="str">
        <x:v>Unforeseen site/structural issues &amp; rework</x:v>
      </x:c>
      <x:c r="C1281" t="str">
        <x:v>Planning &amp; estimation / coordination complexity</x:v>
      </x:c>
      <x:c r="D1281" t="str">
        <x:v>Unforeseen site/structural issues &amp; rework, Planning &amp; estimation / coordination complexity, Resource inefficiency (materials/labor/energy)</x:v>
      </x:c>
      <x:c r="E1281" t="str">
        <x:v>Unforeseen site/structural issues &amp; rework</x:v>
      </x:c>
      <x:c r="F1281" t="str">
        <x:v>Planning &amp; estimation / coordination complexity</x:v>
      </x:c>
      <x:c r="G1281" t="str">
        <x:v>Unforeseen site/structural issues &amp; rework, Planning &amp; estimation / coordination complexity, Resource inefficiency (materials/labor/energy)</x:v>
      </x:c>
      <x:c r="H1281" t="str">
        <x:v>Cost overrun mainly linked to unforeseen site/structural issues &amp; rework; schedule overrun mainly linked to unforeseen site/structural issues &amp; rework.</x:v>
      </x:c>
    </x:row>
    <x:row r="1282">
      <x:c r="A1282" t="str">
        <x:v>PJT_1281</x:v>
      </x:c>
      <x:c r="B1282" t="str">
        <x:v>Resource inefficiency (materials/labor/energy)</x:v>
      </x:c>
      <x:c r="C1282" t="str">
        <x:v>Material supply / logistics &amp; market disruption</x:v>
      </x:c>
      <x:c r="D1282" t="str">
        <x:v>Resource inefficiency (materials/labor/energy), Material supply / logistics &amp; market disruption, Planning &amp; estimation / coordination complexity</x:v>
      </x:c>
      <x:c r="E1282" t="str">
        <x:v>Resource inefficiency (materials/labor/energy)</x:v>
      </x:c>
      <x:c r="F1282" t="str">
        <x:v>Planning &amp; estimation / coordination complexity</x:v>
      </x:c>
      <x:c r="G1282" t="str">
        <x:v>Resource inefficiency (materials/labor/energy), Planning &amp; estimation / coordination complexity, Material supply / logistics &amp; market disruption</x:v>
      </x:c>
      <x:c r="H1282" t="str">
        <x:v>Cost overrun mainly linked to resource inefficiency (materials/labor/energy); schedule overrun mainly linked to resource inefficiency (materials/labor/energy).</x:v>
      </x:c>
    </x:row>
    <x:row r="1283">
      <x:c r="A1283" t="str">
        <x:v>PJT_1282</x:v>
      </x:c>
      <x:c r="B1283" t="str">
        <x:v>Planning &amp; estimation / coordination complexity</x:v>
      </x:c>
      <x:c r="C1283" t="str">
        <x:v>Unforeseen site/structural issues &amp; rework</x:v>
      </x:c>
      <x:c r="D1283" t="str">
        <x:v>Planning &amp; estimation / coordination complexity, Unforeseen site/structural issues &amp; rework, Resource inefficiency (materials/labor/energy)</x:v>
      </x:c>
      <x:c r="E1283" t="str">
        <x:v>Planning &amp; estimation / coordination complexity</x:v>
      </x:c>
      <x:c r="F1283" t="str">
        <x:v>Unforeseen site/structural issues &amp; rework</x:v>
      </x:c>
      <x:c r="G1283" t="str">
        <x:v>Planning &amp; estimation / coordination complexity, Unforeseen site/structural issues &amp; rework, Resource inefficiency (materials/labor/energy)</x:v>
      </x:c>
      <x:c r="H1283" t="str">
        <x:v>Cost overrun mainly linked to planning &amp; estimation / coordination complexity; schedule overrun mainly linked to planning &amp; estimation / coordination complexity.</x:v>
      </x:c>
    </x:row>
    <x:row r="1284">
      <x:c r="A1284" t="str">
        <x:v>PJT_1283</x:v>
      </x:c>
      <x:c r="B1284" t="str">
        <x:v>Unforeseen site/structural issues &amp; rework</x:v>
      </x:c>
      <x:c r="C1284" t="str">
        <x:v>Planning &amp; estimation / coordination complexity</x:v>
      </x:c>
      <x:c r="D1284" t="str">
        <x:v>Unforeseen site/structural issues &amp; rework, Planning &amp; estimation / coordination complexity, Weather disruption / environmental constraints</x:v>
      </x:c>
      <x:c r="E1284" t="str">
        <x:v>Unforeseen site/structural issues &amp; rework</x:v>
      </x:c>
      <x:c r="F1284" t="str">
        <x:v>Planning &amp; estimation / coordination complexity</x:v>
      </x:c>
      <x:c r="G1284" t="str">
        <x:v>Unforeseen site/structural issues &amp; rework, Planning &amp; estimation / coordination complexity, Weather disruption / environmental constraints</x:v>
      </x:c>
      <x:c r="H1284" t="str">
        <x:v>Cost overrun mainly linked to unforeseen site/structural issues &amp; rework; schedule overrun mainly linked to unforeseen site/structural issues &amp; rework.</x:v>
      </x:c>
    </x:row>
    <x:row r="1285">
      <x:c r="A1285" t="str">
        <x:v>PJT_1284</x:v>
      </x:c>
      <x:c r="B1285" t="str">
        <x:v>Weather disruption / environmental constraints</x:v>
      </x:c>
      <x:c r="C1285" t="str">
        <x:v>Equipment constraints / low availability</x:v>
      </x:c>
      <x:c r="D1285" t="str">
        <x:v>Weather disruption / environmental constraints, Equipment constraints / low availability, Material supply / logistics &amp; market disruption</x:v>
      </x:c>
      <x:c r="E1285" t="str">
        <x:v>Weather disruption / environmental constraints</x:v>
      </x:c>
      <x:c r="F1285" t="str">
        <x:v>Material supply / logistics &amp; market disruption</x:v>
      </x:c>
      <x:c r="G1285" t="str">
        <x:v>Weather disruption / environmental constraints, Material supply / logistics &amp; market disruption, Equipment constraints / low availability</x:v>
      </x:c>
      <x:c r="H1285" t="str">
        <x:v>Cost overrun mainly linked to weather disruption / environmental constraints; schedule overrun mainly linked to weather disruption / environmental constraints.</x:v>
      </x:c>
    </x:row>
    <x:row r="1286">
      <x:c r="A1286" t="str">
        <x:v>PJT_1285</x:v>
      </x:c>
      <x:c r="B1286" t="str">
        <x:v>Material supply / logistics &amp; market disruption</x:v>
      </x:c>
      <x:c r="C1286" t="str">
        <x:v>Planning &amp; estimation / coordination complexity</x:v>
      </x:c>
      <x:c r="D1286" t="str">
        <x:v>Material supply / logistics &amp; market disruption, Planning &amp; estimation / coordination complexity, Resource inefficiency (materials/labor/energy)</x:v>
      </x:c>
      <x:c r="E1286" t="str">
        <x:v>Material supply / logistics &amp; market disruption</x:v>
      </x:c>
      <x:c r="F1286" t="str">
        <x:v>Planning &amp; estimation / coordination complexity</x:v>
      </x:c>
      <x:c r="G1286" t="str">
        <x:v>Material supply / logistics &amp; market disruption, Planning &amp; estimation / coordination complexity, Resource inefficiency (materials/labor/energy)</x:v>
      </x:c>
      <x:c r="H1286" t="str">
        <x:v>Cost overrun mainly linked to material supply / logistics &amp; market disruption; schedule overrun mainly linked to material supply / logistics &amp; market disruption.</x:v>
      </x:c>
    </x:row>
    <x:row r="1287">
      <x:c r="A1287" t="str">
        <x:v>PJT_1286</x:v>
      </x:c>
      <x:c r="B1287" t="str">
        <x:v>Weather disruption / environmental constraints</x:v>
      </x:c>
      <x:c r="C1287" t="str">
        <x:v>Material supply / logistics &amp; market disruption</x:v>
      </x:c>
      <x:c r="D1287" t="str">
        <x:v>Weather disruption / environmental constraints, Material supply / logistics &amp; market disruption, Equipment constraints / low availability</x:v>
      </x:c>
      <x:c r="E1287" t="str">
        <x:v>Weather disruption / environmental constraints</x:v>
      </x:c>
      <x:c r="F1287" t="str">
        <x:v>Material supply / logistics &amp; market disruption</x:v>
      </x:c>
      <x:c r="G1287" t="str">
        <x:v>Weather disruption / environmental constraints, Material supply / logistics &amp; market disruption, Equipment constraints / low availability</x:v>
      </x:c>
      <x:c r="H1287" t="str">
        <x:v>Cost overrun mainly linked to weather disruption / environmental constraints; schedule overrun mainly linked to weather disruption / environmental constraints.</x:v>
      </x:c>
    </x:row>
    <x:row r="1288">
      <x:c r="A1288" t="str">
        <x:v>PJT_1287</x:v>
      </x:c>
      <x:c r="B1288" t="str">
        <x:v>Resource inefficiency (materials/labor/energy)</x:v>
      </x:c>
      <x:c r="C1288" t="str">
        <x:v>Planning &amp; estimation / coordination complexity</x:v>
      </x:c>
      <x:c r="D1288" t="str">
        <x:v>Resource inefficiency (materials/labor/energy), Planning &amp; estimation / coordination complexity, Equipment constraints / low availability</x:v>
      </x:c>
      <x:c r="E1288" t="str">
        <x:v>Planning &amp; estimation / coordination complexity</x:v>
      </x:c>
      <x:c r="F1288" t="str">
        <x:v>Resource inefficiency (materials/labor/energy)</x:v>
      </x:c>
      <x:c r="G1288" t="str">
        <x:v>Planning &amp; estimation / coordination complexity, Resource inefficiency (materials/labor/energy), Equipment constraints / low availability</x:v>
      </x:c>
      <x:c r="H1288" t="str">
        <x:v>Cost overrun mainly linked to resource inefficiency (materials/labor/energy); schedule overrun mainly linked to planning &amp; estimation / coordination complexity.</x:v>
      </x:c>
    </x:row>
    <x:row r="1289">
      <x:c r="A1289" t="str">
        <x:v>PJT_1288</x:v>
      </x:c>
      <x:c r="B1289" t="str">
        <x:v>Material supply / logistics &amp; market disruption</x:v>
      </x:c>
      <x:c r="C1289" t="str">
        <x:v>Resource inefficiency (materials/labor/energy)</x:v>
      </x:c>
      <x:c r="D1289" t="str">
        <x:v>Material supply / logistics &amp; market disruption, Resource inefficiency (materials/labor/energy), Weather disruption / environmental constraints</x:v>
      </x:c>
      <x:c r="E1289" t="str">
        <x:v>Material supply / logistics &amp; market disruption</x:v>
      </x:c>
      <x:c r="F1289" t="str">
        <x:v>Resource inefficiency (materials/labor/energy)</x:v>
      </x:c>
      <x:c r="G1289" t="str">
        <x:v>Material supply / logistics &amp; market disruption, Resource inefficiency (materials/labor/energy), Weather disruption / environmental constraints</x:v>
      </x:c>
      <x:c r="H1289" t="str">
        <x:v>Cost overrun mainly linked to material supply / logistics &amp; market disruption; schedule overrun mainly linked to material supply / logistics &amp; market disruption.</x:v>
      </x:c>
    </x:row>
    <x:row r="1290">
      <x:c r="A1290" t="str">
        <x:v>PJT_1289</x:v>
      </x:c>
      <x:c r="B1290" t="str">
        <x:v>Resource inefficiency (materials/labor/energy)</x:v>
      </x:c>
      <x:c r="C1290" t="str">
        <x:v>Equipment constraints / low availability</x:v>
      </x:c>
      <x:c r="D1290" t="str">
        <x:v>Resource inefficiency (materials/labor/energy), Equipment constraints / low availability, Planning &amp; estimation / coordination complexity</x:v>
      </x:c>
      <x:c r="E1290" t="str">
        <x:v>Planning &amp; estimation / coordination complexity</x:v>
      </x:c>
      <x:c r="F1290" t="str">
        <x:v>Equipment constraints / low availability</x:v>
      </x:c>
      <x:c r="G1290" t="str">
        <x:v>Planning &amp; estimation / coordination complexity, Equipment constraints / low availability, Resource inefficiency (materials/labor/energy)</x:v>
      </x:c>
      <x:c r="H1290" t="str">
        <x:v>Cost overrun mainly linked to resource inefficiency (materials/labor/energy); schedule overrun mainly linked to planning &amp; estimation / coordination complexity.</x:v>
      </x:c>
    </x:row>
    <x:row r="1291">
      <x:c r="A1291" t="str">
        <x:v>PJT_1290</x:v>
      </x:c>
      <x:c r="B1291" t="str">
        <x:v>Resource inefficiency (materials/labor/energy)</x:v>
      </x:c>
      <x:c r="C1291" t="str">
        <x:v>Material supply / logistics &amp; market disruption</x:v>
      </x:c>
      <x:c r="D1291" t="str">
        <x:v>Resource inefficiency (materials/labor/energy), Material supply / logistics &amp; market disruption, Equipment constraints / low availability</x:v>
      </x:c>
      <x:c r="E1291" t="str">
        <x:v>Resource inefficiency (materials/labor/energy)</x:v>
      </x:c>
      <x:c r="F1291" t="str">
        <x:v>Material supply / logistics &amp; market disruption</x:v>
      </x:c>
      <x:c r="G1291" t="str">
        <x:v>Resource inefficiency (materials/labor/energy), Material supply / logistics &amp; market disruption, Equipment constraints / low availability</x:v>
      </x:c>
      <x:c r="H1291" t="str">
        <x:v>Cost overrun mainly linked to resource inefficiency (materials/labor/energy); schedule overrun mainly linked to resource inefficiency (materials/labor/energy).</x:v>
      </x:c>
    </x:row>
    <x:row r="1292">
      <x:c r="A1292" t="str">
        <x:v>PJT_1291</x:v>
      </x:c>
      <x:c r="B1292" t="str">
        <x:v>Planning &amp; estimation / coordination complexity</x:v>
      </x:c>
      <x:c r="C1292" t="str">
        <x:v>Material supply / logistics &amp; market disruption</x:v>
      </x:c>
      <x:c r="D1292" t="str">
        <x:v>Planning &amp; estimation / coordination complexity, Material supply / logistics &amp; market disruption, Resource inefficiency (materials/labor/energy)</x:v>
      </x:c>
      <x:c r="E1292" t="str">
        <x:v>Planning &amp; estimation / coordination complexity</x:v>
      </x:c>
      <x:c r="F1292" t="str">
        <x:v>Resource inefficiency (materials/labor/energy)</x:v>
      </x:c>
      <x:c r="G1292" t="str">
        <x:v>Planning &amp; estimation / coordination complexity, Resource inefficiency (materials/labor/energy), Material supply / logistics &amp; market disruption</x:v>
      </x:c>
      <x:c r="H1292" t="str">
        <x:v>Cost overrun mainly linked to planning &amp; estimation / coordination complexity; schedule overrun mainly linked to planning &amp; estimation / coordination complexity.</x:v>
      </x:c>
    </x:row>
    <x:row r="1293">
      <x:c r="A1293" t="str">
        <x:v>PJT_1292</x:v>
      </x:c>
      <x:c r="B1293" t="str">
        <x:v>Weather disruption / environmental constraints</x:v>
      </x:c>
      <x:c r="C1293" t="str">
        <x:v>Unforeseen site/structural issues &amp; rework</x:v>
      </x:c>
      <x:c r="D1293" t="str">
        <x:v>Weather disruption / environmental constraints, Unforeseen site/structural issues &amp; rework, Material supply / logistics &amp; market disruption</x:v>
      </x:c>
      <x:c r="E1293" t="str">
        <x:v>Weather disruption / environmental constraints</x:v>
      </x:c>
      <x:c r="F1293" t="str">
        <x:v>Unforeseen site/structural issues &amp; rework</x:v>
      </x:c>
      <x:c r="G1293" t="str">
        <x:v>Weather disruption / environmental constraints, Unforeseen site/structural issues &amp; rework, Material supply / logistics &amp; market disruption</x:v>
      </x:c>
      <x:c r="H1293" t="str">
        <x:v>Cost overrun mainly linked to weather disruption / environmental constraints; schedule overrun mainly linked to weather disruption / environmental constraints.</x:v>
      </x:c>
    </x:row>
    <x:row r="1294">
      <x:c r="A1294" t="str">
        <x:v>PJT_1293</x:v>
      </x:c>
      <x:c r="B1294" t="str">
        <x:v>Unforeseen site/structural issues &amp; rework</x:v>
      </x:c>
      <x:c r="C1294" t="str">
        <x:v>Planning &amp; estimation / coordination complexity</x:v>
      </x:c>
      <x:c r="D1294" t="str">
        <x:v>Unforeseen site/structural issues &amp; rework, Planning &amp; estimation / coordination complexity, Equipment constraints / low availability</x:v>
      </x:c>
      <x:c r="E1294" t="str">
        <x:v>Unforeseen site/structural issues &amp; rework</x:v>
      </x:c>
      <x:c r="F1294" t="str">
        <x:v>Planning &amp; estimation / coordination complexity</x:v>
      </x:c>
      <x:c r="G1294" t="str">
        <x:v>Unforeseen site/structural issues &amp; rework, Planning &amp; estimation / coordination complexity, Equipment constraints / low availability</x:v>
      </x:c>
      <x:c r="H1294" t="str">
        <x:v>Cost overrun mainly linked to unforeseen site/structural issues &amp; rework; schedule overrun mainly linked to unforeseen site/structural issues &amp; rework.</x:v>
      </x:c>
    </x:row>
    <x:row r="1295">
      <x:c r="A1295" t="str">
        <x:v>PJT_1294</x:v>
      </x:c>
      <x:c r="B1295" t="str">
        <x:v>Weather disruption / environmental constraints</x:v>
      </x:c>
      <x:c r="C1295" t="str">
        <x:v>Unforeseen site/structural issues &amp; rework</x:v>
      </x:c>
      <x:c r="D1295" t="str">
        <x:v>Weather disruption / environmental constraints, Unforeseen site/structural issues &amp; rework, Equipment constraints / low availability</x:v>
      </x:c>
      <x:c r="E1295" t="str">
        <x:v>Weather disruption / environmental constraints</x:v>
      </x:c>
      <x:c r="F1295" t="str">
        <x:v>Unforeseen site/structural issues &amp; rework</x:v>
      </x:c>
      <x:c r="G1295" t="str">
        <x:v>Weather disruption / environmental constraints, Unforeseen site/structural issues &amp; rework, Equipment constraints / low availability</x:v>
      </x:c>
      <x:c r="H1295" t="str">
        <x:v>Cost overrun mainly linked to weather disruption / environmental constraints; schedule overrun mainly linked to weather disruption / environmental constraints.</x:v>
      </x:c>
    </x:row>
    <x:row r="1296">
      <x:c r="A1296" t="str">
        <x:v>PJT_1295</x:v>
      </x:c>
      <x:c r="B1296" t="str">
        <x:v>Unforeseen site/structural issues &amp; rework</x:v>
      </x:c>
      <x:c r="C1296" t="str">
        <x:v>Planning &amp; estimation / coordination complexity</x:v>
      </x:c>
      <x:c r="D1296" t="str">
        <x:v>Unforeseen site/structural issues &amp; rework, Planning &amp; estimation / coordination complexity, Equipment constraints / low availability</x:v>
      </x:c>
      <x:c r="E1296" t="str">
        <x:v>Unforeseen site/structural issues &amp; rework</x:v>
      </x:c>
      <x:c r="F1296" t="str">
        <x:v>Planning &amp; estimation / coordination complexity</x:v>
      </x:c>
      <x:c r="G1296" t="str">
        <x:v>Unforeseen site/structural issues &amp; rework, Planning &amp; estimation / coordination complexity, Equipment constraints / low availability</x:v>
      </x:c>
      <x:c r="H1296" t="str">
        <x:v>Cost overrun mainly linked to unforeseen site/structural issues &amp; rework; schedule overrun mainly linked to unforeseen site/structural issues &amp; rework.</x:v>
      </x:c>
    </x:row>
    <x:row r="1297">
      <x:c r="A1297" t="str">
        <x:v>PJT_1296</x:v>
      </x:c>
      <x:c r="B1297" t="str">
        <x:v>Planning &amp; estimation / coordination complexity</x:v>
      </x:c>
      <x:c r="C1297" t="str">
        <x:v>Resource inefficiency (materials/labor/energy)</x:v>
      </x:c>
      <x:c r="D1297" t="str">
        <x:v>Planning &amp; estimation / coordination complexity, Resource inefficiency (materials/labor/energy), Equipment constraints / low availability</x:v>
      </x:c>
      <x:c r="E1297" t="str">
        <x:v>Planning &amp; estimation / coordination complexity</x:v>
      </x:c>
      <x:c r="F1297" t="str">
        <x:v>Resource inefficiency (materials/labor/energy)</x:v>
      </x:c>
      <x:c r="G1297" t="str">
        <x:v>Planning &amp; estimation / coordination complexity, Resource inefficiency (materials/labor/energy), Equipment constraints / low availability</x:v>
      </x:c>
      <x:c r="H1297" t="str">
        <x:v>Cost overrun mainly linked to planning &amp; estimation / coordination complexity; schedule overrun mainly linked to planning &amp; estimation / coordination complexity.</x:v>
      </x:c>
    </x:row>
    <x:row r="1298">
      <x:c r="A1298" t="str">
        <x:v>PJT_1297</x:v>
      </x:c>
      <x:c r="B1298" t="str">
        <x:v>Unforeseen site/structural issues &amp; rework</x:v>
      </x:c>
      <x:c r="C1298" t="str">
        <x:v>Planning &amp; estimation / coordination complexity</x:v>
      </x:c>
      <x:c r="D1298" t="str">
        <x:v>Unforeseen site/structural issues &amp; rework, Planning &amp; estimation / coordination complexity, Resource inefficiency (materials/labor/energy)</x:v>
      </x:c>
      <x:c r="E1298" t="str">
        <x:v>Unforeseen site/structural issues &amp; rework</x:v>
      </x:c>
      <x:c r="F1298" t="str">
        <x:v>Planning &amp; estimation / coordination complexity</x:v>
      </x:c>
      <x:c r="G1298" t="str">
        <x:v>Unforeseen site/structural issues &amp; rework, Planning &amp; estimation / coordination complexity, Resource inefficiency (materials/labor/energy)</x:v>
      </x:c>
      <x:c r="H1298" t="str">
        <x:v>Cost overrun mainly linked to unforeseen site/structural issues &amp; rework; schedule overrun mainly linked to unforeseen site/structural issues &amp; rework.</x:v>
      </x:c>
    </x:row>
    <x:row r="1299">
      <x:c r="A1299" t="str">
        <x:v>PJT_1298</x:v>
      </x:c>
      <x:c r="B1299" t="str">
        <x:v>Resource inefficiency (materials/labor/energy)</x:v>
      </x:c>
      <x:c r="C1299" t="str">
        <x:v>Unforeseen site/structural issues &amp; rework</x:v>
      </x:c>
      <x:c r="D1299" t="str">
        <x:v>Resource inefficiency (materials/labor/energy), Unforeseen site/structural issues &amp; rework, Material supply / logistics &amp; market disruption</x:v>
      </x:c>
      <x:c r="E1299" t="str">
        <x:v>Resource inefficiency (materials/labor/energy)</x:v>
      </x:c>
      <x:c r="F1299" t="str">
        <x:v>Unforeseen site/structural issues &amp; rework</x:v>
      </x:c>
      <x:c r="G1299" t="str">
        <x:v>Resource inefficiency (materials/labor/energy), Unforeseen site/structural issues &amp; rework, Equipment constraints / low availability</x:v>
      </x:c>
      <x:c r="H1299" t="str">
        <x:v>Cost overrun mainly linked to resource inefficiency (materials/labor/energy); schedule overrun mainly linked to resource inefficiency (materials/labor/energy).</x:v>
      </x:c>
    </x:row>
    <x:row r="1300">
      <x:c r="A1300" t="str">
        <x:v>PJT_1299</x:v>
      </x:c>
      <x:c r="B1300" t="str">
        <x:v>Weather disruption / environmental constraints</x:v>
      </x:c>
      <x:c r="C1300" t="str">
        <x:v>Material supply / logistics &amp; market disruption</x:v>
      </x:c>
      <x:c r="D1300" t="str">
        <x:v>Weather disruption / environmental constraints, Material supply / logistics &amp; market disruption, Planning &amp; estimation / coordination complexity</x:v>
      </x:c>
      <x:c r="E1300" t="str">
        <x:v>Weather disruption / environmental constraints</x:v>
      </x:c>
      <x:c r="F1300" t="str">
        <x:v>Material supply / logistics &amp; market disruption</x:v>
      </x:c>
      <x:c r="G1300" t="str">
        <x:v>Weather disruption / environmental constraints, Material supply / logistics &amp; market disruption, Planning &amp; estimation / coordination complexity</x:v>
      </x:c>
      <x:c r="H1300" t="str">
        <x:v>Cost overrun mainly linked to weather disruption / environmental constraints; schedule overrun mainly linked to weather disruption / environmental constraints.</x:v>
      </x:c>
    </x:row>
    <x:row r="1301">
      <x:c r="A1301" t="str">
        <x:v>PJT_1300</x:v>
      </x:c>
      <x:c r="B1301" t="str">
        <x:v>Material supply / logistics &amp; market disruption</x:v>
      </x:c>
      <x:c r="C1301" t="str">
        <x:v>Resource inefficiency (materials/labor/energy)</x:v>
      </x:c>
      <x:c r="D1301" t="str">
        <x:v>Material supply / logistics &amp; market disruption, Resource inefficiency (materials/labor/energy), Planning &amp; estimation / coordination complexity</x:v>
      </x:c>
      <x:c r="E1301" t="str">
        <x:v>Material supply / logistics &amp; market disruption</x:v>
      </x:c>
      <x:c r="F1301" t="str">
        <x:v>Planning &amp; estimation / coordination complexity</x:v>
      </x:c>
      <x:c r="G1301" t="str">
        <x:v>Material supply / logistics &amp; market disruption, Planning &amp; estimation / coordination complexity, Resource inefficiency (materials/labor/energy)</x:v>
      </x:c>
      <x:c r="H1301" t="str">
        <x:v>Cost overrun mainly linked to material supply / logistics &amp; market disruption; schedule overrun mainly linked to material supply / logistics &amp; market disruption.</x:v>
      </x:c>
    </x:row>
    <x:row r="1302">
      <x:c r="A1302" t="str">
        <x:v>PJT_1301</x:v>
      </x:c>
      <x:c r="B1302" t="str">
        <x:v>Weather disruption / environmental constraints</x:v>
      </x:c>
      <x:c r="C1302" t="str">
        <x:v>Material supply / logistics &amp; market disruption</x:v>
      </x:c>
      <x:c r="D1302" t="str">
        <x:v>Weather disruption / environmental constraints, Material supply / logistics &amp; market disruption, Resource inefficiency (materials/labor/energy)</x:v>
      </x:c>
      <x:c r="E1302" t="str">
        <x:v>Weather disruption / environmental constraints</x:v>
      </x:c>
      <x:c r="F1302" t="str">
        <x:v>Resource inefficiency (materials/labor/energy)</x:v>
      </x:c>
      <x:c r="G1302" t="str">
        <x:v>Weather disruption / environmental constraints, Resource inefficiency (materials/labor/energy), Material supply / logistics &amp; market disruption</x:v>
      </x:c>
      <x:c r="H1302" t="str">
        <x:v>Cost overrun mainly linked to weather disruption / environmental constraints; schedule overrun mainly linked to weather disruption / environmental constraints.</x:v>
      </x:c>
    </x:row>
    <x:row r="1303">
      <x:c r="A1303" t="str">
        <x:v>PJT_1302</x:v>
      </x:c>
      <x:c r="B1303" t="str">
        <x:v>Planning &amp; estimation / coordination complexity</x:v>
      </x:c>
      <x:c r="C1303" t="str">
        <x:v>Unforeseen site/structural issues &amp; rework</x:v>
      </x:c>
      <x:c r="D1303" t="str">
        <x:v>Planning &amp; estimation / coordination complexity, Unforeseen site/structural issues &amp; rework, Material supply / logistics &amp; market disruption</x:v>
      </x:c>
      <x:c r="E1303" t="str">
        <x:v>Unforeseen site/structural issues &amp; rework</x:v>
      </x:c>
      <x:c r="F1303" t="str">
        <x:v>Planning &amp; estimation / coordination complexity</x:v>
      </x:c>
      <x:c r="G1303" t="str">
        <x:v>Unforeseen site/structural issues &amp; rework, Planning &amp; estimation / coordination complexity, Material supply / logistics &amp; market disruption</x:v>
      </x:c>
      <x:c r="H1303" t="str">
        <x:v>Cost overrun mainly linked to planning &amp; estimation / coordination complexity; schedule overrun mainly linked to unforeseen site/structural issues &amp; rework.</x:v>
      </x:c>
    </x:row>
    <x:row r="1304">
      <x:c r="A1304" t="str">
        <x:v>PJT_1303</x:v>
      </x:c>
      <x:c r="B1304" t="str">
        <x:v>Unforeseen site/structural issues &amp; rework</x:v>
      </x:c>
      <x:c r="C1304" t="str">
        <x:v>Weather disruption / environmental constraints</x:v>
      </x:c>
      <x:c r="D1304" t="str">
        <x:v>Unforeseen site/structural issues &amp; rework, Weather disruption / environmental constraints, Planning &amp; estimation / coordination complexity</x:v>
      </x:c>
      <x:c r="E1304" t="str">
        <x:v>Unforeseen site/structural issues &amp; rework</x:v>
      </x:c>
      <x:c r="F1304" t="str">
        <x:v>Planning &amp; estimation / coordination complexity</x:v>
      </x:c>
      <x:c r="G1304" t="str">
        <x:v>Unforeseen site/structural issues &amp; rework, Planning &amp; estimation / coordination complexity, Weather disruption / environmental constraints</x:v>
      </x:c>
      <x:c r="H1304" t="str">
        <x:v>Cost overrun mainly linked to unforeseen site/structural issues &amp; rework; schedule overrun mainly linked to unforeseen site/structural issues &amp; rework.</x:v>
      </x:c>
    </x:row>
    <x:row r="1305">
      <x:c r="A1305" t="str">
        <x:v>PJT_1304</x:v>
      </x:c>
      <x:c r="B1305" t="str">
        <x:v>Equipment constraints / low availability</x:v>
      </x:c>
      <x:c r="C1305" t="str">
        <x:v>Resource inefficiency (materials/labor/energy)</x:v>
      </x:c>
      <x:c r="D1305" t="str">
        <x:v>Equipment constraints / low availability, Resource inefficiency (materials/labor/energy), Planning &amp; estimation / coordination complexity</x:v>
      </x:c>
      <x:c r="E1305" t="str">
        <x:v>Equipment constraints / low availability</x:v>
      </x:c>
      <x:c r="F1305" t="str">
        <x:v>Resource inefficiency (materials/labor/energy)</x:v>
      </x:c>
      <x:c r="G1305" t="str">
        <x:v>Equipment constraints / low availability, Resource inefficiency (materials/labor/energy), Planning &amp; estimation / coordination complexity</x:v>
      </x:c>
      <x:c r="H1305" t="str">
        <x:v>Cost overrun mainly linked to equipment constraints / low availability; schedule overrun mainly linked to equipment constraints / low availability.</x:v>
      </x:c>
    </x:row>
    <x:row r="1306">
      <x:c r="A1306" t="str">
        <x:v>PJT_1305</x:v>
      </x:c>
      <x:c r="B1306" t="str">
        <x:v>Resource inefficiency (materials/labor/energy)</x:v>
      </x:c>
      <x:c r="C1306" t="str">
        <x:v>Equipment constraints / low availability</x:v>
      </x:c>
      <x:c r="D1306" t="str">
        <x:v>Resource inefficiency (materials/labor/energy), Equipment constraints / low availability, Planning &amp; estimation / coordination complexity</x:v>
      </x:c>
      <x:c r="E1306" t="str">
        <x:v>Resource inefficiency (materials/labor/energy)</x:v>
      </x:c>
      <x:c r="F1306" t="str">
        <x:v>Equipment constraints / low availability</x:v>
      </x:c>
      <x:c r="G1306" t="str">
        <x:v>Resource inefficiency (materials/labor/energy), Equipment constraints / low availability, Planning &amp; estimation / coordination complexity</x:v>
      </x:c>
      <x:c r="H1306" t="str">
        <x:v>Cost overrun mainly linked to resource inefficiency (materials/labor/energy); schedule overrun mainly linked to resource inefficiency (materials/labor/energy).</x:v>
      </x:c>
    </x:row>
    <x:row r="1307">
      <x:c r="A1307" t="str">
        <x:v>PJT_1306</x:v>
      </x:c>
      <x:c r="B1307" t="str">
        <x:v>Planning &amp; estimation / coordination complexity</x:v>
      </x:c>
      <x:c r="C1307" t="str">
        <x:v>Unforeseen site/structural issues &amp; rework</x:v>
      </x:c>
      <x:c r="D1307" t="str">
        <x:v>Planning &amp; estimation / coordination complexity, Unforeseen site/structural issues &amp; rework, Resource inefficiency (materials/labor/energy)</x:v>
      </x:c>
      <x:c r="E1307" t="str">
        <x:v>Planning &amp; estimation / coordination complexity</x:v>
      </x:c>
      <x:c r="F1307" t="str">
        <x:v>Unforeseen site/structural issues &amp; rework</x:v>
      </x:c>
      <x:c r="G1307" t="str">
        <x:v>Planning &amp; estimation / coordination complexity, Unforeseen site/structural issues &amp; rework, Resource inefficiency (materials/labor/energy)</x:v>
      </x:c>
      <x:c r="H1307" t="str">
        <x:v>Cost overrun mainly linked to planning &amp; estimation / coordination complexity; schedule overrun mainly linked to planning &amp; estimation / coordination complexity.</x:v>
      </x:c>
    </x:row>
    <x:row r="1308">
      <x:c r="A1308" t="str">
        <x:v>PJT_1307</x:v>
      </x:c>
      <x:c r="B1308" t="str">
        <x:v>Material supply / logistics &amp; market disruption</x:v>
      </x:c>
      <x:c r="C1308" t="str">
        <x:v>Resource inefficiency (materials/labor/energy)</x:v>
      </x:c>
      <x:c r="D1308" t="str">
        <x:v>Material supply / logistics &amp; market disruption, Resource inefficiency (materials/labor/energy), Equipment constraints / low availability</x:v>
      </x:c>
      <x:c r="E1308" t="str">
        <x:v>Resource inefficiency (materials/labor/energy)</x:v>
      </x:c>
      <x:c r="F1308" t="str">
        <x:v>Material supply / logistics &amp; market disruption</x:v>
      </x:c>
      <x:c r="G1308" t="str">
        <x:v>Resource inefficiency (materials/labor/energy), Material supply / logistics &amp; market disruption, Equipment constraints / low availability</x:v>
      </x:c>
      <x:c r="H1308" t="str">
        <x:v>Cost overrun mainly linked to material supply / logistics &amp; market disruption; schedule overrun mainly linked to resource inefficiency (materials/labor/energy).</x:v>
      </x:c>
    </x:row>
    <x:row r="1309">
      <x:c r="A1309" t="str">
        <x:v>PJT_1308</x:v>
      </x:c>
      <x:c r="B1309" t="str">
        <x:v>Planning &amp; estimation / coordination complexity</x:v>
      </x:c>
      <x:c r="C1309" t="str">
        <x:v>Unforeseen site/structural issues &amp; rework</x:v>
      </x:c>
      <x:c r="D1309" t="str">
        <x:v>Planning &amp; estimation / coordination complexity, Unforeseen site/structural issues &amp; rework, Resource inefficiency (materials/labor/energy)</x:v>
      </x:c>
      <x:c r="E1309" t="str">
        <x:v>Planning &amp; estimation / coordination complexity</x:v>
      </x:c>
      <x:c r="F1309" t="str">
        <x:v>Unforeseen site/structural issues &amp; rework</x:v>
      </x:c>
      <x:c r="G1309" t="str">
        <x:v>Planning &amp; estimation / coordination complexity, Unforeseen site/structural issues &amp; rework, Resource inefficiency (materials/labor/energy)</x:v>
      </x:c>
      <x:c r="H1309" t="str">
        <x:v>Cost overrun mainly linked to planning &amp; estimation / coordination complexity; schedule overrun mainly linked to planning &amp; estimation / coordination complexity.</x:v>
      </x:c>
    </x:row>
    <x:row r="1310">
      <x:c r="A1310" t="str">
        <x:v>PJT_1309</x:v>
      </x:c>
      <x:c r="B1310" t="str">
        <x:v>Equipment constraints / low availability</x:v>
      </x:c>
      <x:c r="C1310" t="str">
        <x:v>Resource inefficiency (materials/labor/energy)</x:v>
      </x:c>
      <x:c r="D1310" t="str">
        <x:v>Equipment constraints / low availability, Resource inefficiency (materials/labor/energy), Planning &amp; estimation / coordination complexity</x:v>
      </x:c>
      <x:c r="E1310" t="str">
        <x:v>Equipment constraints / low availability</x:v>
      </x:c>
      <x:c r="F1310" t="str">
        <x:v>Resource inefficiency (materials/labor/energy)</x:v>
      </x:c>
      <x:c r="G1310" t="str">
        <x:v>Equipment constraints / low availability, Resource inefficiency (materials/labor/energy), Planning &amp; estimation / coordination complexity</x:v>
      </x:c>
      <x:c r="H1310" t="str">
        <x:v>Cost overrun mainly linked to equipment constraints / low availability; schedule overrun mainly linked to equipment constraints / low availability.</x:v>
      </x:c>
    </x:row>
    <x:row r="1311">
      <x:c r="A1311" t="str">
        <x:v>PJT_1310</x:v>
      </x:c>
      <x:c r="B1311" t="str">
        <x:v>Unforeseen site/structural issues &amp; rework</x:v>
      </x:c>
      <x:c r="C1311" t="str">
        <x:v>Planning &amp; estimation / coordination complexity</x:v>
      </x:c>
      <x:c r="D1311" t="str">
        <x:v>Unforeseen site/structural issues &amp; rework, Planning &amp; estimation / coordination complexity, Equipment constraints / low availability</x:v>
      </x:c>
      <x:c r="E1311" t="str">
        <x:v>Unforeseen site/structural issues &amp; rework</x:v>
      </x:c>
      <x:c r="F1311" t="str">
        <x:v>Planning &amp; estimation / coordination complexity</x:v>
      </x:c>
      <x:c r="G1311" t="str">
        <x:v>Unforeseen site/structural issues &amp; rework, Planning &amp; estimation / coordination complexity, Equipment constraints / low availability</x:v>
      </x:c>
      <x:c r="H1311" t="str">
        <x:v>Cost overrun mainly linked to unforeseen site/structural issues &amp; rework; schedule overrun mainly linked to unforeseen site/structural issues &amp; rework.</x:v>
      </x:c>
    </x:row>
    <x:row r="1312">
      <x:c r="A1312" t="str">
        <x:v>PJT_1311</x:v>
      </x:c>
      <x:c r="B1312" t="str">
        <x:v>Unforeseen site/structural issues &amp; rework</x:v>
      </x:c>
      <x:c r="C1312" t="str">
        <x:v>Planning &amp; estimation / coordination complexity</x:v>
      </x:c>
      <x:c r="D1312" t="str">
        <x:v>Unforeseen site/structural issues &amp; rework, Planning &amp; estimation / coordination complexity, Equipment constraints / low availability</x:v>
      </x:c>
      <x:c r="E1312" t="str">
        <x:v>Unforeseen site/structural issues &amp; rework</x:v>
      </x:c>
      <x:c r="F1312" t="str">
        <x:v>Planning &amp; estimation / coordination complexity</x:v>
      </x:c>
      <x:c r="G1312" t="str">
        <x:v>Unforeseen site/structural issues &amp; rework, Planning &amp; estimation / coordination complexity, Equipment constraints / low availability</x:v>
      </x:c>
      <x:c r="H1312" t="str">
        <x:v>Cost overrun mainly linked to unforeseen site/structural issues &amp; rework; schedule overrun mainly linked to unforeseen site/structural issues &amp; rework.</x:v>
      </x:c>
    </x:row>
    <x:row r="1313">
      <x:c r="A1313" t="str">
        <x:v>PJT_1312</x:v>
      </x:c>
      <x:c r="B1313" t="str">
        <x:v>Resource inefficiency (materials/labor/energy)</x:v>
      </x:c>
      <x:c r="C1313" t="str">
        <x:v>Equipment constraints / low availability</x:v>
      </x:c>
      <x:c r="D1313" t="str">
        <x:v>Resource inefficiency (materials/labor/energy), Equipment constraints / low availability, Planning &amp; estimation / coordination complexity</x:v>
      </x:c>
      <x:c r="E1313" t="str">
        <x:v>Resource inefficiency (materials/labor/energy)</x:v>
      </x:c>
      <x:c r="F1313" t="str">
        <x:v>Equipment constraints / low availability</x:v>
      </x:c>
      <x:c r="G1313" t="str">
        <x:v>Resource inefficiency (materials/labor/energy), Equipment constraints / low availability, Planning &amp; estimation / coordination complexity</x:v>
      </x:c>
      <x:c r="H1313" t="str">
        <x:v>Cost overrun mainly linked to resource inefficiency (materials/labor/energy); schedule overrun mainly linked to resource inefficiency (materials/labor/energy).</x:v>
      </x:c>
    </x:row>
    <x:row r="1314">
      <x:c r="A1314" t="str">
        <x:v>PJT_1313</x:v>
      </x:c>
      <x:c r="B1314" t="str">
        <x:v>Resource inefficiency (materials/labor/energy)</x:v>
      </x:c>
      <x:c r="C1314" t="str">
        <x:v>Equipment constraints / low availability</x:v>
      </x:c>
      <x:c r="D1314" t="str">
        <x:v>Resource inefficiency (materials/labor/energy), Equipment constraints / low availability, Planning &amp; estimation / coordination complexity</x:v>
      </x:c>
      <x:c r="E1314" t="str">
        <x:v>Resource inefficiency (materials/labor/energy)</x:v>
      </x:c>
      <x:c r="F1314" t="str">
        <x:v>Equipment constraints / low availability</x:v>
      </x:c>
      <x:c r="G1314" t="str">
        <x:v>Resource inefficiency (materials/labor/energy), Equipment constraints / low availability, Planning &amp; estimation / coordination complexity</x:v>
      </x:c>
      <x:c r="H1314" t="str">
        <x:v>Cost overrun mainly linked to resource inefficiency (materials/labor/energy); schedule overrun mainly linked to resource inefficiency (materials/labor/energy).</x:v>
      </x:c>
    </x:row>
    <x:row r="1315">
      <x:c r="A1315" t="str">
        <x:v>PJT_1314</x:v>
      </x:c>
      <x:c r="B1315" t="str">
        <x:v>Planning &amp; estimation / coordination complexity</x:v>
      </x:c>
      <x:c r="C1315" t="str">
        <x:v>Resource inefficiency (materials/labor/energy)</x:v>
      </x:c>
      <x:c r="D1315" t="str">
        <x:v>Planning &amp; estimation / coordination complexity, Resource inefficiency (materials/labor/energy), Unforeseen site/structural issues &amp; rework</x:v>
      </x:c>
      <x:c r="E1315" t="str">
        <x:v>Planning &amp; estimation / coordination complexity</x:v>
      </x:c>
      <x:c r="F1315" t="str">
        <x:v>Unforeseen site/structural issues &amp; rework</x:v>
      </x:c>
      <x:c r="G1315" t="str">
        <x:v>Planning &amp; estimation / coordination complexity, Unforeseen site/structural issues &amp; rework, Resource inefficiency (materials/labor/energy)</x:v>
      </x:c>
      <x:c r="H1315" t="str">
        <x:v>Cost overrun mainly linked to planning &amp; estimation / coordination complexity; schedule overrun mainly linked to planning &amp; estimation / coordination complexity.</x:v>
      </x:c>
    </x:row>
    <x:row r="1316">
      <x:c r="A1316" t="str">
        <x:v>PJT_1315</x:v>
      </x:c>
      <x:c r="B1316" t="str">
        <x:v>Weather disruption / environmental constraints</x:v>
      </x:c>
      <x:c r="C1316" t="str">
        <x:v>Equipment constraints / low availability</x:v>
      </x:c>
      <x:c r="D1316" t="str">
        <x:v>Weather disruption / environmental constraints, Equipment constraints / low availability, Material supply / logistics &amp; market disruption</x:v>
      </x:c>
      <x:c r="E1316" t="str">
        <x:v>Weather disruption / environmental constraints</x:v>
      </x:c>
      <x:c r="F1316" t="str">
        <x:v>Equipment constraints / low availability</x:v>
      </x:c>
      <x:c r="G1316" t="str">
        <x:v>Weather disruption / environmental constraints, Equipment constraints / low availability, Material supply / logistics &amp; market disruption</x:v>
      </x:c>
      <x:c r="H1316" t="str">
        <x:v>Cost overrun mainly linked to weather disruption / environmental constraints; schedule overrun mainly linked to weather disruption / environmental constraints.</x:v>
      </x:c>
    </x:row>
    <x:row r="1317">
      <x:c r="A1317" t="str">
        <x:v>PJT_1316</x:v>
      </x:c>
      <x:c r="B1317" t="str">
        <x:v>Planning &amp; estimation / coordination complexity</x:v>
      </x:c>
      <x:c r="C1317" t="str">
        <x:v>Equipment constraints / low availability</x:v>
      </x:c>
      <x:c r="D1317" t="str">
        <x:v>Planning &amp; estimation / coordination complexity, Equipment constraints / low availability, Unforeseen site/structural issues &amp; rework</x:v>
      </x:c>
      <x:c r="E1317" t="str">
        <x:v>Planning &amp; estimation / coordination complexity</x:v>
      </x:c>
      <x:c r="F1317" t="str">
        <x:v>Unforeseen site/structural issues &amp; rework</x:v>
      </x:c>
      <x:c r="G1317" t="str">
        <x:v>Planning &amp; estimation / coordination complexity, Unforeseen site/structural issues &amp; rework, Equipment constraints / low availability</x:v>
      </x:c>
      <x:c r="H1317" t="str">
        <x:v>Cost overrun mainly linked to planning &amp; estimation / coordination complexity; schedule overrun mainly linked to planning &amp; estimation / coordination complexity.</x:v>
      </x:c>
    </x:row>
    <x:row r="1318">
      <x:c r="A1318" t="str">
        <x:v>PJT_1317</x:v>
      </x:c>
      <x:c r="B1318" t="str">
        <x:v>Equipment constraints / low availability</x:v>
      </x:c>
      <x:c r="C1318" t="str">
        <x:v>Planning &amp; estimation / coordination complexity</x:v>
      </x:c>
      <x:c r="D1318" t="str">
        <x:v>Equipment constraints / low availability, Planning &amp; estimation / coordination complexity, Material supply / logistics &amp; market disruption</x:v>
      </x:c>
      <x:c r="E1318" t="str">
        <x:v>Equipment constraints / low availability</x:v>
      </x:c>
      <x:c r="F1318" t="str">
        <x:v>Resource inefficiency (materials/labor/energy)</x:v>
      </x:c>
      <x:c r="G1318" t="str">
        <x:v>Equipment constraints / low availability, Resource inefficiency (materials/labor/energy), Material supply / logistics &amp; market disruption</x:v>
      </x:c>
      <x:c r="H1318" t="str">
        <x:v>Cost overrun mainly linked to equipment constraints / low availability; schedule overrun mainly linked to equipment constraints / low availability.</x:v>
      </x:c>
    </x:row>
    <x:row r="1319">
      <x:c r="A1319" t="str">
        <x:v>PJT_1318</x:v>
      </x:c>
      <x:c r="B1319" t="str">
        <x:v>Resource inefficiency (materials/labor/energy)</x:v>
      </x:c>
      <x:c r="C1319" t="str">
        <x:v>Planning &amp; estimation / coordination complexity</x:v>
      </x:c>
      <x:c r="D1319" t="str">
        <x:v>Resource inefficiency (materials/labor/energy), Planning &amp; estimation / coordination complexity, Equipment constraints / low availability</x:v>
      </x:c>
      <x:c r="E1319" t="str">
        <x:v>Resource inefficiency (materials/labor/energy)</x:v>
      </x:c>
      <x:c r="F1319" t="str">
        <x:v>Planning &amp; estimation / coordination complexity</x:v>
      </x:c>
      <x:c r="G1319" t="str">
        <x:v>Resource inefficiency (materials/labor/energy), Planning &amp; estimation / coordination complexity, Equipment constraints / low availability</x:v>
      </x:c>
      <x:c r="H1319" t="str">
        <x:v>Cost overrun mainly linked to resource inefficiency (materials/labor/energy); schedule overrun mainly linked to resource inefficiency (materials/labor/energy).</x:v>
      </x:c>
    </x:row>
    <x:row r="1320">
      <x:c r="A1320" t="str">
        <x:v>PJT_1319</x:v>
      </x:c>
      <x:c r="B1320" t="str">
        <x:v>Equipment constraints / low availability</x:v>
      </x:c>
      <x:c r="C1320" t="str">
        <x:v>Resource inefficiency (materials/labor/energy)</x:v>
      </x:c>
      <x:c r="D1320" t="str">
        <x:v>Equipment constraints / low availability, Resource inefficiency (materials/labor/energy), Planning &amp; estimation / coordination complexity</x:v>
      </x:c>
      <x:c r="E1320" t="str">
        <x:v>Equipment constraints / low availability</x:v>
      </x:c>
      <x:c r="F1320" t="str">
        <x:v>Resource inefficiency (materials/labor/energy)</x:v>
      </x:c>
      <x:c r="G1320" t="str">
        <x:v>Equipment constraints / low availability, Resource inefficiency (materials/labor/energy), Planning &amp; estimation / coordination complexity</x:v>
      </x:c>
      <x:c r="H1320" t="str">
        <x:v>Cost overrun mainly linked to equipment constraints / low availability; schedule overrun mainly linked to equipment constraints / low availability.</x:v>
      </x:c>
    </x:row>
    <x:row r="1321">
      <x:c r="A1321" t="str">
        <x:v>PJT_1320</x:v>
      </x:c>
      <x:c r="B1321" t="str">
        <x:v>Unforeseen site/structural issues &amp; rework</x:v>
      </x:c>
      <x:c r="C1321" t="str">
        <x:v>Planning &amp; estimation / coordination complexity</x:v>
      </x:c>
      <x:c r="D1321" t="str">
        <x:v>Unforeseen site/structural issues &amp; rework, Planning &amp; estimation / coordination complexity, Weather disruption / environmental constraints</x:v>
      </x:c>
      <x:c r="E1321" t="str">
        <x:v>Unforeseen site/structural issues &amp; rework</x:v>
      </x:c>
      <x:c r="F1321" t="str">
        <x:v>Planning &amp; estimation / coordination complexity</x:v>
      </x:c>
      <x:c r="G1321" t="str">
        <x:v>Unforeseen site/structural issues &amp; rework, Planning &amp; estimation / coordination complexity, Weather disruption / environmental constraints</x:v>
      </x:c>
      <x:c r="H1321" t="str">
        <x:v>Cost overrun mainly linked to unforeseen site/structural issues &amp; rework; schedule overrun mainly linked to unforeseen site/structural issues &amp; rework.</x:v>
      </x:c>
    </x:row>
    <x:row r="1322">
      <x:c r="A1322" t="str">
        <x:v>PJT_1321</x:v>
      </x:c>
      <x:c r="B1322" t="str">
        <x:v>Planning &amp; estimation / coordination complexity</x:v>
      </x:c>
      <x:c r="C1322" t="str">
        <x:v>Resource inefficiency (materials/labor/energy)</x:v>
      </x:c>
      <x:c r="D1322" t="str">
        <x:v>Planning &amp; estimation / coordination complexity, Resource inefficiency (materials/labor/energy), Unforeseen site/structural issues &amp; rework</x:v>
      </x:c>
      <x:c r="E1322" t="str">
        <x:v>Planning &amp; estimation / coordination complexity</x:v>
      </x:c>
      <x:c r="F1322" t="str">
        <x:v>Resource inefficiency (materials/labor/energy)</x:v>
      </x:c>
      <x:c r="G1322" t="str">
        <x:v>Planning &amp; estimation / coordination complexity, Resource inefficiency (materials/labor/energy), Unforeseen site/structural issues &amp; rework</x:v>
      </x:c>
      <x:c r="H1322" t="str">
        <x:v>Cost overrun mainly linked to planning &amp; estimation / coordination complexity; schedule overrun mainly linked to planning &amp; estimation / coordination complexity.</x:v>
      </x:c>
    </x:row>
    <x:row r="1323">
      <x:c r="A1323" t="str">
        <x:v>PJT_1322</x:v>
      </x:c>
      <x:c r="B1323" t="str">
        <x:v>Equipment constraints / low availability</x:v>
      </x:c>
      <x:c r="C1323" t="str">
        <x:v>Planning &amp; estimation / coordination complexity</x:v>
      </x:c>
      <x:c r="D1323" t="str">
        <x:v>Equipment constraints / low availability, Planning &amp; estimation / coordination complexity, Resource inefficiency (materials/labor/energy)</x:v>
      </x:c>
      <x:c r="E1323" t="str">
        <x:v>Equipment constraints / low availability</x:v>
      </x:c>
      <x:c r="F1323" t="str">
        <x:v>Planning &amp; estimation / coordination complexity</x:v>
      </x:c>
      <x:c r="G1323" t="str">
        <x:v>Equipment constraints / low availability, Planning &amp; estimation / coordination complexity, Resource inefficiency (materials/labor/energy)</x:v>
      </x:c>
      <x:c r="H1323" t="str">
        <x:v>Cost overrun mainly linked to equipment constraints / low availability; schedule overrun mainly linked to equipment constraints / low availability.</x:v>
      </x:c>
    </x:row>
    <x:row r="1324">
      <x:c r="A1324" t="str">
        <x:v>PJT_1323</x:v>
      </x:c>
      <x:c r="B1324" t="str">
        <x:v>Unforeseen site/structural issues &amp; rework</x:v>
      </x:c>
      <x:c r="C1324" t="str">
        <x:v>Equipment constraints / low availability</x:v>
      </x:c>
      <x:c r="D1324" t="str">
        <x:v>Unforeseen site/structural issues &amp; rework, Equipment constraints / low availability, Planning &amp; estimation / coordination complexity</x:v>
      </x:c>
      <x:c r="E1324" t="str">
        <x:v>Unforeseen site/structural issues &amp; rework</x:v>
      </x:c>
      <x:c r="F1324" t="str">
        <x:v>Equipment constraints / low availability</x:v>
      </x:c>
      <x:c r="G1324" t="str">
        <x:v>Unforeseen site/structural issues &amp; rework, Equipment constraints / low availability, Weather disruption / environmental constraints</x:v>
      </x:c>
      <x:c r="H1324" t="str">
        <x:v>Cost overrun mainly linked to unforeseen site/structural issues &amp; rework; schedule overrun mainly linked to unforeseen site/structural issues &amp; rework.</x:v>
      </x:c>
    </x:row>
    <x:row r="1325">
      <x:c r="A1325" t="str">
        <x:v>PJT_1324</x:v>
      </x:c>
      <x:c r="B1325" t="str">
        <x:v>Weather disruption / environmental constraints</x:v>
      </x:c>
      <x:c r="C1325" t="str">
        <x:v>Planning &amp; estimation / coordination complexity</x:v>
      </x:c>
      <x:c r="D1325" t="str">
        <x:v>Weather disruption / environmental constraints, Planning &amp; estimation / coordination complexity, Material supply / logistics &amp; market disruption</x:v>
      </x:c>
      <x:c r="E1325" t="str">
        <x:v>Weather disruption / environmental constraints</x:v>
      </x:c>
      <x:c r="F1325" t="str">
        <x:v>Material supply / logistics &amp; market disruption</x:v>
      </x:c>
      <x:c r="G1325" t="str">
        <x:v>Weather disruption / environmental constraints, Material supply / logistics &amp; market disruption, Equipment constraints / low availability</x:v>
      </x:c>
      <x:c r="H1325" t="str">
        <x:v>Cost overrun mainly linked to weather disruption / environmental constraints; schedule overrun mainly linked to weather disruption / environmental constraints.</x:v>
      </x:c>
    </x:row>
    <x:row r="1326">
      <x:c r="A1326" t="str">
        <x:v>PJT_1325</x:v>
      </x:c>
      <x:c r="B1326" t="str">
        <x:v>Planning &amp; estimation / coordination complexity</x:v>
      </x:c>
      <x:c r="C1326" t="str">
        <x:v>Resource inefficiency (materials/labor/energy)</x:v>
      </x:c>
      <x:c r="D1326" t="str">
        <x:v>Planning &amp; estimation / coordination complexity, Resource inefficiency (materials/labor/energy), Unforeseen site/structural issues &amp; rework</x:v>
      </x:c>
      <x:c r="E1326" t="str">
        <x:v>Planning &amp; estimation / coordination complexity</x:v>
      </x:c>
      <x:c r="F1326" t="str">
        <x:v>Unforeseen site/structural issues &amp; rework</x:v>
      </x:c>
      <x:c r="G1326" t="str">
        <x:v>Planning &amp; estimation / coordination complexity, Unforeseen site/structural issues &amp; rework, Resource inefficiency (materials/labor/energy)</x:v>
      </x:c>
      <x:c r="H1326" t="str">
        <x:v>Cost overrun mainly linked to planning &amp; estimation / coordination complexity; schedule overrun mainly linked to planning &amp; estimation / coordination complexity.</x:v>
      </x:c>
    </x:row>
    <x:row r="1327">
      <x:c r="A1327" t="str">
        <x:v>PJT_1326</x:v>
      </x:c>
      <x:c r="B1327" t="str">
        <x:v>Equipment constraints / low availability</x:v>
      </x:c>
      <x:c r="C1327" t="str">
        <x:v>Resource inefficiency (materials/labor/energy)</x:v>
      </x:c>
      <x:c r="D1327" t="str">
        <x:v>Equipment constraints / low availability, Resource inefficiency (materials/labor/energy), Planning &amp; estimation / coordination complexity</x:v>
      </x:c>
      <x:c r="E1327" t="str">
        <x:v>Equipment constraints / low availability</x:v>
      </x:c>
      <x:c r="F1327" t="str">
        <x:v>Resource inefficiency (materials/labor/energy)</x:v>
      </x:c>
      <x:c r="G1327" t="str">
        <x:v>Equipment constraints / low availability, Resource inefficiency (materials/labor/energy), Planning &amp; estimation / coordination complexity</x:v>
      </x:c>
      <x:c r="H1327" t="str">
        <x:v>Cost overrun mainly linked to equipment constraints / low availability; schedule overrun mainly linked to equipment constraints / low availability.</x:v>
      </x:c>
    </x:row>
    <x:row r="1328">
      <x:c r="A1328" t="str">
        <x:v>PJT_1327</x:v>
      </x:c>
      <x:c r="B1328" t="str">
        <x:v>Weather disruption / environmental constraints</x:v>
      </x:c>
      <x:c r="C1328" t="str">
        <x:v>Unforeseen site/structural issues &amp; rework</x:v>
      </x:c>
      <x:c r="D1328" t="str">
        <x:v>Weather disruption / environmental constraints, Unforeseen site/structural issues &amp; rework, Planning &amp; estimation / coordination complexity</x:v>
      </x:c>
      <x:c r="E1328" t="str">
        <x:v>Weather disruption / environmental constraints</x:v>
      </x:c>
      <x:c r="F1328" t="str">
        <x:v>Unforeseen site/structural issues &amp; rework</x:v>
      </x:c>
      <x:c r="G1328" t="str">
        <x:v>Weather disruption / environmental constraints, Unforeseen site/structural issues &amp; rework, Planning &amp; estimation / coordination complexity</x:v>
      </x:c>
      <x:c r="H1328" t="str">
        <x:v>Cost overrun mainly linked to weather disruption / environmental constraints; schedule overrun mainly linked to weather disruption / environmental constraints.</x:v>
      </x:c>
    </x:row>
    <x:row r="1329">
      <x:c r="A1329" t="str">
        <x:v>PJT_1328</x:v>
      </x:c>
      <x:c r="B1329" t="str">
        <x:v>Unforeseen site/structural issues &amp; rework</x:v>
      </x:c>
      <x:c r="C1329" t="str">
        <x:v>Planning &amp; estimation / coordination complexity</x:v>
      </x:c>
      <x:c r="D1329" t="str">
        <x:v>Unforeseen site/structural issues &amp; rework, Planning &amp; estimation / coordination complexity, Material supply / logistics &amp; market disruption</x:v>
      </x:c>
      <x:c r="E1329" t="str">
        <x:v>Unforeseen site/structural issues &amp; rework</x:v>
      </x:c>
      <x:c r="F1329" t="str">
        <x:v>Planning &amp; estimation / coordination complexity</x:v>
      </x:c>
      <x:c r="G1329" t="str">
        <x:v>Unforeseen site/structural issues &amp; rework, Planning &amp; estimation / coordination complexity, Material supply / logistics &amp; market disruption</x:v>
      </x:c>
      <x:c r="H1329" t="str">
        <x:v>Cost overrun mainly linked to unforeseen site/structural issues &amp; rework; schedule overrun mainly linked to unforeseen site/structural issues &amp; rework.</x:v>
      </x:c>
    </x:row>
    <x:row r="1330">
      <x:c r="A1330" t="str">
        <x:v>PJT_1329</x:v>
      </x:c>
      <x:c r="B1330" t="str">
        <x:v>Equipment constraints / low availability</x:v>
      </x:c>
      <x:c r="C1330" t="str">
        <x:v>Unforeseen site/structural issues &amp; rework</x:v>
      </x:c>
      <x:c r="D1330" t="str">
        <x:v>Equipment constraints / low availability, Unforeseen site/structural issues &amp; rework, Planning &amp; estimation / coordination complexity</x:v>
      </x:c>
      <x:c r="E1330" t="str">
        <x:v>Unforeseen site/structural issues &amp; rework</x:v>
      </x:c>
      <x:c r="F1330" t="str">
        <x:v>Equipment constraints / low availability</x:v>
      </x:c>
      <x:c r="G1330" t="str">
        <x:v>Unforeseen site/structural issues &amp; rework, Equipment constraints / low availability, Planning &amp; estimation / coordination complexity</x:v>
      </x:c>
      <x:c r="H1330" t="str">
        <x:v>Cost overrun mainly linked to equipment constraints / low availability; schedule overrun mainly linked to unforeseen site/structural issues &amp; rework.</x:v>
      </x:c>
    </x:row>
    <x:row r="1331">
      <x:c r="A1331" t="str">
        <x:v>PJT_1330</x:v>
      </x:c>
      <x:c r="B1331" t="str">
        <x:v>Resource inefficiency (materials/labor/energy)</x:v>
      </x:c>
      <x:c r="C1331" t="str">
        <x:v>Planning &amp; estimation / coordination complexity</x:v>
      </x:c>
      <x:c r="D1331" t="str">
        <x:v>Resource inefficiency (materials/labor/energy), Planning &amp; estimation / coordination complexity, Material supply / logistics &amp; market disruption</x:v>
      </x:c>
      <x:c r="E1331" t="str">
        <x:v>Planning &amp; estimation / coordination complexity</x:v>
      </x:c>
      <x:c r="F1331" t="str">
        <x:v>Resource inefficiency (materials/labor/energy)</x:v>
      </x:c>
      <x:c r="G1331" t="str">
        <x:v>Planning &amp; estimation / coordination complexity, Resource inefficiency (materials/labor/energy), Unforeseen site/structural issues &amp; rework</x:v>
      </x:c>
      <x:c r="H1331" t="str">
        <x:v>Cost overrun mainly linked to resource inefficiency (materials/labor/energy); schedule overrun mainly linked to planning &amp; estimation / coordination complexity.</x:v>
      </x:c>
    </x:row>
    <x:row r="1332">
      <x:c r="A1332" t="str">
        <x:v>PJT_1331</x:v>
      </x:c>
      <x:c r="B1332" t="str">
        <x:v>Planning &amp; estimation / coordination complexity</x:v>
      </x:c>
      <x:c r="C1332" t="str">
        <x:v>Equipment constraints / low availability</x:v>
      </x:c>
      <x:c r="D1332" t="str">
        <x:v>Planning &amp; estimation / coordination complexity, Equipment constraints / low availability, Unforeseen site/structural issues &amp; rework</x:v>
      </x:c>
      <x:c r="E1332" t="str">
        <x:v>Planning &amp; estimation / coordination complexity</x:v>
      </x:c>
      <x:c r="F1332" t="str">
        <x:v>Unforeseen site/structural issues &amp; rework</x:v>
      </x:c>
      <x:c r="G1332" t="str">
        <x:v>Planning &amp; estimation / coordination complexity, Unforeseen site/structural issues &amp; rework, Equipment constraints / low availability</x:v>
      </x:c>
      <x:c r="H1332" t="str">
        <x:v>Cost overrun mainly linked to planning &amp; estimation / coordination complexity; schedule overrun mainly linked to planning &amp; estimation / coordination complexity.</x:v>
      </x:c>
    </x:row>
    <x:row r="1333">
      <x:c r="A1333" t="str">
        <x:v>PJT_1332</x:v>
      </x:c>
      <x:c r="B1333" t="str">
        <x:v>Unforeseen site/structural issues &amp; rework</x:v>
      </x:c>
      <x:c r="C1333" t="str">
        <x:v>Planning &amp; estimation / coordination complexity</x:v>
      </x:c>
      <x:c r="D1333" t="str">
        <x:v>Unforeseen site/structural issues &amp; rework, Planning &amp; estimation / coordination complexity, Weather disruption / environmental constraints</x:v>
      </x:c>
      <x:c r="E1333" t="str">
        <x:v>Unforeseen site/structural issues &amp; rework</x:v>
      </x:c>
      <x:c r="F1333" t="str">
        <x:v>Planning &amp; estimation / coordination complexity</x:v>
      </x:c>
      <x:c r="G1333" t="str">
        <x:v>Unforeseen site/structural issues &amp; rework, Planning &amp; estimation / coordination complexity, Weather disruption / environmental constraints</x:v>
      </x:c>
      <x:c r="H1333" t="str">
        <x:v>Cost overrun mainly linked to unforeseen site/structural issues &amp; rework; schedule overrun mainly linked to unforeseen site/structural issues &amp; rework.</x:v>
      </x:c>
    </x:row>
    <x:row r="1334">
      <x:c r="A1334" t="str">
        <x:v>PJT_1333</x:v>
      </x:c>
      <x:c r="B1334" t="str">
        <x:v>Planning &amp; estimation / coordination complexity</x:v>
      </x:c>
      <x:c r="C1334" t="str">
        <x:v>Resource inefficiency (materials/labor/energy)</x:v>
      </x:c>
      <x:c r="D1334" t="str">
        <x:v>Planning &amp; estimation / coordination complexity, Resource inefficiency (materials/labor/energy), Equipment constraints / low availability</x:v>
      </x:c>
      <x:c r="E1334" t="str">
        <x:v>Planning &amp; estimation / coordination complexity</x:v>
      </x:c>
      <x:c r="F1334" t="str">
        <x:v>Resource inefficiency (materials/labor/energy)</x:v>
      </x:c>
      <x:c r="G1334" t="str">
        <x:v>Planning &amp; estimation / coordination complexity, Resource inefficiency (materials/labor/energy), Equipment constraints / low availability</x:v>
      </x:c>
      <x:c r="H1334" t="str">
        <x:v>Cost overrun mainly linked to planning &amp; estimation / coordination complexity; schedule overrun mainly linked to planning &amp; estimation / coordination complexity.</x:v>
      </x:c>
    </x:row>
    <x:row r="1335">
      <x:c r="A1335" t="str">
        <x:v>PJT_1334</x:v>
      </x:c>
      <x:c r="B1335" t="str">
        <x:v>Resource inefficiency (materials/labor/energy)</x:v>
      </x:c>
      <x:c r="C1335" t="str">
        <x:v>Planning &amp; estimation / coordination complexity</x:v>
      </x:c>
      <x:c r="D1335" t="str">
        <x:v>Resource inefficiency (materials/labor/energy), Planning &amp; estimation / coordination complexity, Equipment constraints / low availability</x:v>
      </x:c>
      <x:c r="E1335" t="str">
        <x:v>Planning &amp; estimation / coordination complexity</x:v>
      </x:c>
      <x:c r="F1335" t="str">
        <x:v>Resource inefficiency (materials/labor/energy)</x:v>
      </x:c>
      <x:c r="G1335" t="str">
        <x:v>Planning &amp; estimation / coordination complexity, Resource inefficiency (materials/labor/energy), Unforeseen site/structural issues &amp; rework</x:v>
      </x:c>
      <x:c r="H1335" t="str">
        <x:v>Cost overrun mainly linked to resource inefficiency (materials/labor/energy); schedule overrun mainly linked to planning &amp; estimation / coordination complexity.</x:v>
      </x:c>
    </x:row>
    <x:row r="1336">
      <x:c r="A1336" t="str">
        <x:v>PJT_1335</x:v>
      </x:c>
      <x:c r="B1336" t="str">
        <x:v>Planning &amp; estimation / coordination complexity</x:v>
      </x:c>
      <x:c r="C1336" t="str">
        <x:v>Unforeseen site/structural issues &amp; rework</x:v>
      </x:c>
      <x:c r="D1336" t="str">
        <x:v>Planning &amp; estimation / coordination complexity, Unforeseen site/structural issues &amp; rework, Resource inefficiency (materials/labor/energy)</x:v>
      </x:c>
      <x:c r="E1336" t="str">
        <x:v>Planning &amp; estimation / coordination complexity</x:v>
      </x:c>
      <x:c r="F1336" t="str">
        <x:v>Unforeseen site/structural issues &amp; rework</x:v>
      </x:c>
      <x:c r="G1336" t="str">
        <x:v>Planning &amp; estimation / coordination complexity, Unforeseen site/structural issues &amp; rework, Resource inefficiency (materials/labor/energy)</x:v>
      </x:c>
      <x:c r="H1336" t="str">
        <x:v>Cost overrun mainly linked to planning &amp; estimation / coordination complexity; schedule overrun mainly linked to planning &amp; estimation / coordination complexity.</x:v>
      </x:c>
    </x:row>
    <x:row r="1337">
      <x:c r="A1337" t="str">
        <x:v>PJT_1336</x:v>
      </x:c>
      <x:c r="B1337" t="str">
        <x:v>Resource inefficiency (materials/labor/energy)</x:v>
      </x:c>
      <x:c r="C1337" t="str">
        <x:v>Equipment constraints / low availability</x:v>
      </x:c>
      <x:c r="D1337" t="str">
        <x:v>Resource inefficiency (materials/labor/energy), Equipment constraints / low availability, Planning &amp; estimation / coordination complexity</x:v>
      </x:c>
      <x:c r="E1337" t="str">
        <x:v>Resource inefficiency (materials/labor/energy)</x:v>
      </x:c>
      <x:c r="F1337" t="str">
        <x:v>Equipment constraints / low availability</x:v>
      </x:c>
      <x:c r="G1337" t="str">
        <x:v>Resource inefficiency (materials/labor/energy), Equipment constraints / low availability, Planning &amp; estimation / coordination complexity</x:v>
      </x:c>
      <x:c r="H1337" t="str">
        <x:v>Cost overrun mainly linked to resource inefficiency (materials/labor/energy); schedule overrun mainly linked to resource inefficiency (materials/labor/energy).</x:v>
      </x:c>
    </x:row>
    <x:row r="1338">
      <x:c r="A1338" t="str">
        <x:v>PJT_1337</x:v>
      </x:c>
      <x:c r="B1338" t="str">
        <x:v>Planning &amp; estimation / coordination complexity</x:v>
      </x:c>
      <x:c r="C1338" t="str">
        <x:v>Resource inefficiency (materials/labor/energy)</x:v>
      </x:c>
      <x:c r="D1338" t="str">
        <x:v>Planning &amp; estimation / coordination complexity, Resource inefficiency (materials/labor/energy), Unforeseen site/structural issues &amp; rework</x:v>
      </x:c>
      <x:c r="E1338" t="str">
        <x:v>Planning &amp; estimation / coordination complexity</x:v>
      </x:c>
      <x:c r="F1338" t="str">
        <x:v>Unforeseen site/structural issues &amp; rework</x:v>
      </x:c>
      <x:c r="G1338" t="str">
        <x:v>Planning &amp; estimation / coordination complexity, Unforeseen site/structural issues &amp; rework, Resource inefficiency (materials/labor/energy)</x:v>
      </x:c>
      <x:c r="H1338" t="str">
        <x:v>Cost overrun mainly linked to planning &amp; estimation / coordination complexity; schedule overrun mainly linked to planning &amp; estimation / coordination complexity.</x:v>
      </x:c>
    </x:row>
    <x:row r="1339">
      <x:c r="A1339" t="str">
        <x:v>PJT_1338</x:v>
      </x:c>
      <x:c r="B1339" t="str">
        <x:v>Weather disruption / environmental constraints</x:v>
      </x:c>
      <x:c r="C1339" t="str">
        <x:v>Unforeseen site/structural issues &amp; rework</x:v>
      </x:c>
      <x:c r="D1339" t="str">
        <x:v>Weather disruption / environmental constraints, Unforeseen site/structural issues &amp; rework, Material supply / logistics &amp; market disruption</x:v>
      </x:c>
      <x:c r="E1339" t="str">
        <x:v>Weather disruption / environmental constraints</x:v>
      </x:c>
      <x:c r="F1339" t="str">
        <x:v>Unforeseen site/structural issues &amp; rework</x:v>
      </x:c>
      <x:c r="G1339" t="str">
        <x:v>Weather disruption / environmental constraints, Unforeseen site/structural issues &amp; rework, Material supply / logistics &amp; market disruption</x:v>
      </x:c>
      <x:c r="H1339" t="str">
        <x:v>Cost overrun mainly linked to weather disruption / environmental constraints; schedule overrun mainly linked to weather disruption / environmental constraints.</x:v>
      </x:c>
    </x:row>
    <x:row r="1340">
      <x:c r="A1340" t="str">
        <x:v>PJT_1339</x:v>
      </x:c>
      <x:c r="B1340" t="str">
        <x:v>Unforeseen site/structural issues &amp; rework</x:v>
      </x:c>
      <x:c r="C1340" t="str">
        <x:v>Planning &amp; estimation / coordination complexity</x:v>
      </x:c>
      <x:c r="D1340" t="str">
        <x:v>Unforeseen site/structural issues &amp; rework, Planning &amp; estimation / coordination complexity, Resource inefficiency (materials/labor/energy)</x:v>
      </x:c>
      <x:c r="E1340" t="str">
        <x:v>Unforeseen site/structural issues &amp; rework</x:v>
      </x:c>
      <x:c r="F1340" t="str">
        <x:v>Planning &amp; estimation / coordination complexity</x:v>
      </x:c>
      <x:c r="G1340" t="str">
        <x:v>Unforeseen site/structural issues &amp; rework, Planning &amp; estimation / coordination complexity, Resource inefficiency (materials/labor/energy)</x:v>
      </x:c>
      <x:c r="H1340" t="str">
        <x:v>Cost overrun mainly linked to unforeseen site/structural issues &amp; rework; schedule overrun mainly linked to unforeseen site/structural issues &amp; rework.</x:v>
      </x:c>
    </x:row>
    <x:row r="1341">
      <x:c r="A1341" t="str">
        <x:v>PJT_1340</x:v>
      </x:c>
      <x:c r="B1341" t="str">
        <x:v>Planning &amp; estimation / coordination complexity</x:v>
      </x:c>
      <x:c r="C1341" t="str">
        <x:v>Resource inefficiency (materials/labor/energy)</x:v>
      </x:c>
      <x:c r="D1341" t="str">
        <x:v>Planning &amp; estimation / coordination complexity, Resource inefficiency (materials/labor/energy), Equipment constraints / low availability</x:v>
      </x:c>
      <x:c r="E1341" t="str">
        <x:v>Resource inefficiency (materials/labor/energy)</x:v>
      </x:c>
      <x:c r="F1341" t="str">
        <x:v>Planning &amp; estimation / coordination complexity</x:v>
      </x:c>
      <x:c r="G1341" t="str">
        <x:v>Resource inefficiency (materials/labor/energy), Planning &amp; estimation / coordination complexity, Equipment constraints / low availability</x:v>
      </x:c>
      <x:c r="H1341" t="str">
        <x:v>Cost overrun mainly linked to planning &amp; estimation / coordination complexity; schedule overrun mainly linked to resource inefficiency (materials/labor/energy).</x:v>
      </x:c>
    </x:row>
    <x:row r="1342">
      <x:c r="A1342" t="str">
        <x:v>PJT_1341</x:v>
      </x:c>
      <x:c r="B1342" t="str">
        <x:v>Weather disruption / environmental constraints</x:v>
      </x:c>
      <x:c r="C1342" t="str">
        <x:v>Unforeseen site/structural issues &amp; rework</x:v>
      </x:c>
      <x:c r="D1342" t="str">
        <x:v>Weather disruption / environmental constraints, Unforeseen site/structural issues &amp; rework, Equipment constraints / low availability</x:v>
      </x:c>
      <x:c r="E1342" t="str">
        <x:v>Weather disruption / environmental constraints</x:v>
      </x:c>
      <x:c r="F1342" t="str">
        <x:v>Unforeseen site/structural issues &amp; rework</x:v>
      </x:c>
      <x:c r="G1342" t="str">
        <x:v>Weather disruption / environmental constraints, Unforeseen site/structural issues &amp; rework, Equipment constraints / low availability</x:v>
      </x:c>
      <x:c r="H1342" t="str">
        <x:v>Cost overrun mainly linked to weather disruption / environmental constraints; schedule overrun mainly linked to weather disruption / environmental constraints.</x:v>
      </x:c>
    </x:row>
    <x:row r="1343">
      <x:c r="A1343" t="str">
        <x:v>PJT_1342</x:v>
      </x:c>
      <x:c r="B1343" t="str">
        <x:v>Resource inefficiency (materials/labor/energy)</x:v>
      </x:c>
      <x:c r="C1343" t="str">
        <x:v>Material supply / logistics &amp; market disruption</x:v>
      </x:c>
      <x:c r="D1343" t="str">
        <x:v>Resource inefficiency (materials/labor/energy), Material supply / logistics &amp; market disruption, Planning &amp; estimation / coordination complexity</x:v>
      </x:c>
      <x:c r="E1343" t="str">
        <x:v>Resource inefficiency (materials/labor/energy)</x:v>
      </x:c>
      <x:c r="F1343" t="str">
        <x:v>Planning &amp; estimation / coordination complexity</x:v>
      </x:c>
      <x:c r="G1343" t="str">
        <x:v>Resource inefficiency (materials/labor/energy), Planning &amp; estimation / coordination complexity, Material supply / logistics &amp; market disruption</x:v>
      </x:c>
      <x:c r="H1343" t="str">
        <x:v>Cost overrun mainly linked to resource inefficiency (materials/labor/energy); schedule overrun mainly linked to resource inefficiency (materials/labor/energy).</x:v>
      </x:c>
    </x:row>
    <x:row r="1344">
      <x:c r="A1344" t="str">
        <x:v>PJT_1343</x:v>
      </x:c>
      <x:c r="B1344" t="str">
        <x:v>Unforeseen site/structural issues &amp; rework</x:v>
      </x:c>
      <x:c r="C1344" t="str">
        <x:v>Resource inefficiency (materials/labor/energy)</x:v>
      </x:c>
      <x:c r="D1344" t="str">
        <x:v>Unforeseen site/structural issues &amp; rework, Resource inefficiency (materials/labor/energy), Material supply / logistics &amp; market disruption</x:v>
      </x:c>
      <x:c r="E1344" t="str">
        <x:v>Unforeseen site/structural issues &amp; rework</x:v>
      </x:c>
      <x:c r="F1344" t="str">
        <x:v>Resource inefficiency (materials/labor/energy)</x:v>
      </x:c>
      <x:c r="G1344" t="str">
        <x:v>Unforeseen site/structural issues &amp; rework, Resource inefficiency (materials/labor/energy), Planning &amp; estimation / coordination complexity</x:v>
      </x:c>
      <x:c r="H1344" t="str">
        <x:v>Cost overrun mainly linked to unforeseen site/structural issues &amp; rework; schedule overrun mainly linked to unforeseen site/structural issues &amp; rework.</x:v>
      </x:c>
    </x:row>
    <x:row r="1345">
      <x:c r="A1345" t="str">
        <x:v>PJT_1344</x:v>
      </x:c>
      <x:c r="B1345" t="str">
        <x:v>Resource inefficiency (materials/labor/energy)</x:v>
      </x:c>
      <x:c r="C1345" t="str">
        <x:v>Equipment constraints / low availability</x:v>
      </x:c>
      <x:c r="D1345" t="str">
        <x:v>Resource inefficiency (materials/labor/energy), Equipment constraints / low availability, Planning &amp; estimation / coordination complexity</x:v>
      </x:c>
      <x:c r="E1345" t="str">
        <x:v>Resource inefficiency (materials/labor/energy)</x:v>
      </x:c>
      <x:c r="F1345" t="str">
        <x:v>Equipment constraints / low availability</x:v>
      </x:c>
      <x:c r="G1345" t="str">
        <x:v>Resource inefficiency (materials/labor/energy), Equipment constraints / low availability, Planning &amp; estimation / coordination complexity</x:v>
      </x:c>
      <x:c r="H1345" t="str">
        <x:v>Cost overrun mainly linked to resource inefficiency (materials/labor/energy); schedule overrun mainly linked to resource inefficiency (materials/labor/energy).</x:v>
      </x:c>
    </x:row>
    <x:row r="1346">
      <x:c r="A1346" t="str">
        <x:v>PJT_1345</x:v>
      </x:c>
      <x:c r="B1346" t="str">
        <x:v>Resource inefficiency (materials/labor/energy)</x:v>
      </x:c>
      <x:c r="C1346" t="str">
        <x:v>Equipment constraints / low availability</x:v>
      </x:c>
      <x:c r="D1346" t="str">
        <x:v>Resource inefficiency (materials/labor/energy), Equipment constraints / low availability, Planning &amp; estimation / coordination complexity</x:v>
      </x:c>
      <x:c r="E1346" t="str">
        <x:v>Equipment constraints / low availability</x:v>
      </x:c>
      <x:c r="F1346" t="str">
        <x:v>Resource inefficiency (materials/labor/energy)</x:v>
      </x:c>
      <x:c r="G1346" t="str">
        <x:v>Equipment constraints / low availability, Resource inefficiency (materials/labor/energy), Planning &amp; estimation / coordination complexity</x:v>
      </x:c>
      <x:c r="H1346" t="str">
        <x:v>Cost overrun mainly linked to resource inefficiency (materials/labor/energy); schedule overrun mainly linked to equipment constraints / low availability.</x:v>
      </x:c>
    </x:row>
    <x:row r="1347">
      <x:c r="A1347" t="str">
        <x:v>PJT_1346</x:v>
      </x:c>
      <x:c r="B1347" t="str">
        <x:v>Weather disruption / environmental constraints</x:v>
      </x:c>
      <x:c r="C1347" t="str">
        <x:v>Equipment constraints / low availability</x:v>
      </x:c>
      <x:c r="D1347" t="str">
        <x:v>Weather disruption / environmental constraints, Equipment constraints / low availability, Material supply / logistics &amp; market disruption</x:v>
      </x:c>
      <x:c r="E1347" t="str">
        <x:v>Weather disruption / environmental constraints</x:v>
      </x:c>
      <x:c r="F1347" t="str">
        <x:v>Equipment constraints / low availability</x:v>
      </x:c>
      <x:c r="G1347" t="str">
        <x:v>Weather disruption / environmental constraints, Equipment constraints / low availability, Material supply / logistics &amp; market disruption</x:v>
      </x:c>
      <x:c r="H1347" t="str">
        <x:v>Cost overrun mainly linked to weather disruption / environmental constraints; schedule overrun mainly linked to weather disruption / environmental constraints.</x:v>
      </x:c>
    </x:row>
    <x:row r="1348">
      <x:c r="A1348" t="str">
        <x:v>PJT_1347</x:v>
      </x:c>
      <x:c r="B1348" t="str">
        <x:v>Resource inefficiency (materials/labor/energy)</x:v>
      </x:c>
      <x:c r="C1348" t="str">
        <x:v>Planning &amp; estimation / coordination complexity</x:v>
      </x:c>
      <x:c r="D1348" t="str">
        <x:v>Resource inefficiency (materials/labor/energy), Planning &amp; estimation / coordination complexity, Material supply / logistics &amp; market disruption</x:v>
      </x:c>
      <x:c r="E1348" t="str">
        <x:v>Resource inefficiency (materials/labor/energy)</x:v>
      </x:c>
      <x:c r="F1348" t="str">
        <x:v>Planning &amp; estimation / coordination complexity</x:v>
      </x:c>
      <x:c r="G1348" t="str">
        <x:v>Resource inefficiency (materials/labor/energy), Planning &amp; estimation / coordination complexity, Equipment constraints / low availability</x:v>
      </x:c>
      <x:c r="H1348" t="str">
        <x:v>Cost overrun mainly linked to resource inefficiency (materials/labor/energy); schedule overrun mainly linked to resource inefficiency (materials/labor/energy).</x:v>
      </x:c>
    </x:row>
    <x:row r="1349">
      <x:c r="A1349" t="str">
        <x:v>PJT_1348</x:v>
      </x:c>
      <x:c r="B1349" t="str">
        <x:v>Planning &amp; estimation / coordination complexity</x:v>
      </x:c>
      <x:c r="C1349" t="str">
        <x:v>Equipment constraints / low availability</x:v>
      </x:c>
      <x:c r="D1349" t="str">
        <x:v>Planning &amp; estimation / coordination complexity, Equipment constraints / low availability, Resource inefficiency (materials/labor/energy)</x:v>
      </x:c>
      <x:c r="E1349" t="str">
        <x:v>Planning &amp; estimation / coordination complexity</x:v>
      </x:c>
      <x:c r="F1349" t="str">
        <x:v>Unforeseen site/structural issues &amp; rework</x:v>
      </x:c>
      <x:c r="G1349" t="str">
        <x:v>Planning &amp; estimation / coordination complexity, Unforeseen site/structural issues &amp; rework, Equipment constraints / low availability</x:v>
      </x:c>
      <x:c r="H1349" t="str">
        <x:v>Cost overrun mainly linked to planning &amp; estimation / coordination complexity; schedule overrun mainly linked to planning &amp; estimation / coordination complexity.</x:v>
      </x:c>
    </x:row>
    <x:row r="1350">
      <x:c r="A1350" t="str">
        <x:v>PJT_1349</x:v>
      </x:c>
      <x:c r="B1350" t="str">
        <x:v>Unforeseen site/structural issues &amp; rework</x:v>
      </x:c>
      <x:c r="C1350" t="str">
        <x:v>Equipment constraints / low availability</x:v>
      </x:c>
      <x:c r="D1350" t="str">
        <x:v>Unforeseen site/structural issues &amp; rework, Equipment constraints / low availability, Weather disruption / environmental constraints</x:v>
      </x:c>
      <x:c r="E1350" t="str">
        <x:v>Unforeseen site/structural issues &amp; rework</x:v>
      </x:c>
      <x:c r="F1350" t="str">
        <x:v>Equipment constraints / low availability</x:v>
      </x:c>
      <x:c r="G1350" t="str">
        <x:v>Unforeseen site/structural issues &amp; rework, Equipment constraints / low availability, Weather disruption / environmental constraints</x:v>
      </x:c>
      <x:c r="H1350" t="str">
        <x:v>Cost overrun mainly linked to unforeseen site/structural issues &amp; rework; schedule overrun mainly linked to unforeseen site/structural issues &amp; rework.</x:v>
      </x:c>
    </x:row>
    <x:row r="1351">
      <x:c r="A1351" t="str">
        <x:v>PJT_1350</x:v>
      </x:c>
      <x:c r="B1351" t="str">
        <x:v>Unforeseen site/structural issues &amp; rework</x:v>
      </x:c>
      <x:c r="C1351" t="str">
        <x:v>Weather disruption / environmental constraints</x:v>
      </x:c>
      <x:c r="D1351" t="str">
        <x:v>Unforeseen site/structural issues &amp; rework, Weather disruption / environmental constraints, Material supply / logistics &amp; market disruption</x:v>
      </x:c>
      <x:c r="E1351" t="str">
        <x:v>Weather disruption / environmental constraints</x:v>
      </x:c>
      <x:c r="F1351" t="str">
        <x:v>Unforeseen site/structural issues &amp; rework</x:v>
      </x:c>
      <x:c r="G1351" t="str">
        <x:v>Weather disruption / environmental constraints, Unforeseen site/structural issues &amp; rework, Material supply / logistics &amp; market disruption</x:v>
      </x:c>
      <x:c r="H1351" t="str">
        <x:v>Cost overrun mainly linked to unforeseen site/structural issues &amp; rework; schedule overrun mainly linked to weather disruption / environmental constraints.</x:v>
      </x:c>
    </x:row>
    <x:row r="1352">
      <x:c r="A1352" t="str">
        <x:v>PJT_1351</x:v>
      </x:c>
      <x:c r="B1352" t="str">
        <x:v>Planning &amp; estimation / coordination complexity</x:v>
      </x:c>
      <x:c r="C1352" t="str">
        <x:v>Resource inefficiency (materials/labor/energy)</x:v>
      </x:c>
      <x:c r="D1352" t="str">
        <x:v>Planning &amp; estimation / coordination complexity, Resource inefficiency (materials/labor/energy), Equipment constraints / low availability</x:v>
      </x:c>
      <x:c r="E1352" t="str">
        <x:v>Planning &amp; estimation / coordination complexity</x:v>
      </x:c>
      <x:c r="F1352" t="str">
        <x:v>Resource inefficiency (materials/labor/energy)</x:v>
      </x:c>
      <x:c r="G1352" t="str">
        <x:v>Planning &amp; estimation / coordination complexity, Resource inefficiency (materials/labor/energy), Equipment constraints / low availability</x:v>
      </x:c>
      <x:c r="H1352" t="str">
        <x:v>Cost overrun mainly linked to planning &amp; estimation / coordination complexity; schedule overrun mainly linked to planning &amp; estimation / coordination complexity.</x:v>
      </x:c>
    </x:row>
    <x:row r="1353">
      <x:c r="A1353" t="str">
        <x:v>PJT_1352</x:v>
      </x:c>
      <x:c r="B1353" t="str">
        <x:v>Weather disruption / environmental constraints</x:v>
      </x:c>
      <x:c r="C1353" t="str">
        <x:v>Equipment constraints / low availability</x:v>
      </x:c>
      <x:c r="D1353" t="str">
        <x:v>Weather disruption / environmental constraints, Equipment constraints / low availability, Planning &amp; estimation / coordination complexity</x:v>
      </x:c>
      <x:c r="E1353" t="str">
        <x:v>Weather disruption / environmental constraints</x:v>
      </x:c>
      <x:c r="F1353" t="str">
        <x:v>Material supply / logistics &amp; market disruption</x:v>
      </x:c>
      <x:c r="G1353" t="str">
        <x:v>Weather disruption / environmental constraints, Material supply / logistics &amp; market disruption, Equipment constraints / low availability</x:v>
      </x:c>
      <x:c r="H1353" t="str">
        <x:v>Cost overrun mainly linked to weather disruption / environmental constraints; schedule overrun mainly linked to weather disruption / environmental constraints.</x:v>
      </x:c>
    </x:row>
    <x:row r="1354">
      <x:c r="A1354" t="str">
        <x:v>PJT_1353</x:v>
      </x:c>
      <x:c r="B1354" t="str">
        <x:v>Unforeseen site/structural issues &amp; rework</x:v>
      </x:c>
      <x:c r="C1354" t="str">
        <x:v>Planning &amp; estimation / coordination complexity</x:v>
      </x:c>
      <x:c r="D1354" t="str">
        <x:v>Unforeseen site/structural issues &amp; rework, Planning &amp; estimation / coordination complexity, Material supply / logistics &amp; market disruption</x:v>
      </x:c>
      <x:c r="E1354" t="str">
        <x:v>Unforeseen site/structural issues &amp; rework</x:v>
      </x:c>
      <x:c r="F1354" t="str">
        <x:v>Planning &amp; estimation / coordination complexity</x:v>
      </x:c>
      <x:c r="G1354" t="str">
        <x:v>Unforeseen site/structural issues &amp; rework, Planning &amp; estimation / coordination complexity, Material supply / logistics &amp; market disruption</x:v>
      </x:c>
      <x:c r="H1354" t="str">
        <x:v>Cost overrun mainly linked to unforeseen site/structural issues &amp; rework; schedule overrun mainly linked to unforeseen site/structural issues &amp; rework.</x:v>
      </x:c>
    </x:row>
    <x:row r="1355">
      <x:c r="A1355" t="str">
        <x:v>PJT_1354</x:v>
      </x:c>
      <x:c r="B1355" t="str">
        <x:v>Unforeseen site/structural issues &amp; rework</x:v>
      </x:c>
      <x:c r="C1355" t="str">
        <x:v>Planning &amp; estimation / coordination complexity</x:v>
      </x:c>
      <x:c r="D1355" t="str">
        <x:v>Unforeseen site/structural issues &amp; rework, Planning &amp; estimation / coordination complexity, Equipment constraints / low availability</x:v>
      </x:c>
      <x:c r="E1355" t="str">
        <x:v>Unforeseen site/structural issues &amp; rework</x:v>
      </x:c>
      <x:c r="F1355" t="str">
        <x:v>Planning &amp; estimation / coordination complexity</x:v>
      </x:c>
      <x:c r="G1355" t="str">
        <x:v>Unforeseen site/structural issues &amp; rework, Planning &amp; estimation / coordination complexity, Equipment constraints / low availability</x:v>
      </x:c>
      <x:c r="H1355" t="str">
        <x:v>Cost overrun mainly linked to unforeseen site/structural issues &amp; rework; schedule overrun mainly linked to unforeseen site/structural issues &amp; rework.</x:v>
      </x:c>
    </x:row>
    <x:row r="1356">
      <x:c r="A1356" t="str">
        <x:v>PJT_1355</x:v>
      </x:c>
      <x:c r="B1356" t="str">
        <x:v>Unforeseen site/structural issues &amp; rework</x:v>
      </x:c>
      <x:c r="C1356" t="str">
        <x:v>Weather disruption / environmental constraints</x:v>
      </x:c>
      <x:c r="D1356" t="str">
        <x:v>Unforeseen site/structural issues &amp; rework, Weather disruption / environmental constraints, Equipment constraints / low availability</x:v>
      </x:c>
      <x:c r="E1356" t="str">
        <x:v>Unforeseen site/structural issues &amp; rework</x:v>
      </x:c>
      <x:c r="F1356" t="str">
        <x:v>Weather disruption / environmental constraints</x:v>
      </x:c>
      <x:c r="G1356" t="str">
        <x:v>Unforeseen site/structural issues &amp; rework, Weather disruption / environmental constraints, Equipment constraints / low availability</x:v>
      </x:c>
      <x:c r="H1356" t="str">
        <x:v>Cost overrun mainly linked to unforeseen site/structural issues &amp; rework; schedule overrun mainly linked to unforeseen site/structural issues &amp; rework.</x:v>
      </x:c>
    </x:row>
    <x:row r="1357">
      <x:c r="A1357" t="str">
        <x:v>PJT_1356</x:v>
      </x:c>
      <x:c r="B1357" t="str">
        <x:v>Planning &amp; estimation / coordination complexity</x:v>
      </x:c>
      <x:c r="C1357" t="str">
        <x:v>Unforeseen site/structural issues &amp; rework</x:v>
      </x:c>
      <x:c r="D1357" t="str">
        <x:v>Planning &amp; estimation / coordination complexity, Unforeseen site/structural issues &amp; rework, Resource inefficiency (materials/labor/energy)</x:v>
      </x:c>
      <x:c r="E1357" t="str">
        <x:v>Planning &amp; estimation / coordination complexity</x:v>
      </x:c>
      <x:c r="F1357" t="str">
        <x:v>Unforeseen site/structural issues &amp; rework</x:v>
      </x:c>
      <x:c r="G1357" t="str">
        <x:v>Planning &amp; estimation / coordination complexity, Unforeseen site/structural issues &amp; rework, Resource inefficiency (materials/labor/energy)</x:v>
      </x:c>
      <x:c r="H1357" t="str">
        <x:v>Cost overrun mainly linked to planning &amp; estimation / coordination complexity; schedule overrun mainly linked to planning &amp; estimation / coordination complexity.</x:v>
      </x:c>
    </x:row>
    <x:row r="1358">
      <x:c r="A1358" t="str">
        <x:v>PJT_1357</x:v>
      </x:c>
      <x:c r="B1358" t="str">
        <x:v>Resource inefficiency (materials/labor/energy)</x:v>
      </x:c>
      <x:c r="C1358" t="str">
        <x:v>Equipment constraints / low availability</x:v>
      </x:c>
      <x:c r="D1358" t="str">
        <x:v>Resource inefficiency (materials/labor/energy), Equipment constraints / low availability, Material supply / logistics &amp; market disruption</x:v>
      </x:c>
      <x:c r="E1358" t="str">
        <x:v>Resource inefficiency (materials/labor/energy)</x:v>
      </x:c>
      <x:c r="F1358" t="str">
        <x:v>Equipment constraints / low availability</x:v>
      </x:c>
      <x:c r="G1358" t="str">
        <x:v>Resource inefficiency (materials/labor/energy), Equipment constraints / low availability, Planning &amp; estimation / coordination complexity</x:v>
      </x:c>
      <x:c r="H1358" t="str">
        <x:v>Cost overrun mainly linked to resource inefficiency (materials/labor/energy); schedule overrun mainly linked to resource inefficiency (materials/labor/energy).</x:v>
      </x:c>
    </x:row>
    <x:row r="1359">
      <x:c r="A1359" t="str">
        <x:v>PJT_1358</x:v>
      </x:c>
      <x:c r="B1359" t="str">
        <x:v>Unforeseen site/structural issues &amp; rework</x:v>
      </x:c>
      <x:c r="C1359" t="str">
        <x:v>Weather disruption / environmental constraints</x:v>
      </x:c>
      <x:c r="D1359" t="str">
        <x:v>Unforeseen site/structural issues &amp; rework, Weather disruption / environmental constraints, Planning &amp; estimation / coordination complexity</x:v>
      </x:c>
      <x:c r="E1359" t="str">
        <x:v>Unforeseen site/structural issues &amp; rework</x:v>
      </x:c>
      <x:c r="F1359" t="str">
        <x:v>Weather disruption / environmental constraints</x:v>
      </x:c>
      <x:c r="G1359" t="str">
        <x:v>Unforeseen site/structural issues &amp; rework, Weather disruption / environmental constraints, Planning &amp; estimation / coordination complexity</x:v>
      </x:c>
      <x:c r="H1359" t="str">
        <x:v>Cost overrun mainly linked to unforeseen site/structural issues &amp; rework; schedule overrun mainly linked to unforeseen site/structural issues &amp; rework.</x:v>
      </x:c>
    </x:row>
    <x:row r="1360">
      <x:c r="A1360" t="str">
        <x:v>PJT_1359</x:v>
      </x:c>
      <x:c r="B1360" t="str">
        <x:v>Equipment constraints / low availability</x:v>
      </x:c>
      <x:c r="C1360" t="str">
        <x:v>Resource inefficiency (materials/labor/energy)</x:v>
      </x:c>
      <x:c r="D1360" t="str">
        <x:v>Equipment constraints / low availability, Resource inefficiency (materials/labor/energy), Planning &amp; estimation / coordination complexity</x:v>
      </x:c>
      <x:c r="E1360" t="str">
        <x:v>Equipment constraints / low availability</x:v>
      </x:c>
      <x:c r="F1360" t="str">
        <x:v>Resource inefficiency (materials/labor/energy)</x:v>
      </x:c>
      <x:c r="G1360" t="str">
        <x:v>Equipment constraints / low availability, Resource inefficiency (materials/labor/energy), Planning &amp; estimation / coordination complexity</x:v>
      </x:c>
      <x:c r="H1360" t="str">
        <x:v>Cost overrun mainly linked to equipment constraints / low availability; schedule overrun mainly linked to equipment constraints / low availability.</x:v>
      </x:c>
    </x:row>
    <x:row r="1361">
      <x:c r="A1361" t="str">
        <x:v>PJT_1360</x:v>
      </x:c>
      <x:c r="B1361" t="str">
        <x:v>Unforeseen site/structural issues &amp; rework</x:v>
      </x:c>
      <x:c r="C1361" t="str">
        <x:v>Resource inefficiency (materials/labor/energy)</x:v>
      </x:c>
      <x:c r="D1361" t="str">
        <x:v>Unforeseen site/structural issues &amp; rework, Resource inefficiency (materials/labor/energy), Planning &amp; estimation / coordination complexity</x:v>
      </x:c>
      <x:c r="E1361" t="str">
        <x:v>Unforeseen site/structural issues &amp; rework</x:v>
      </x:c>
      <x:c r="F1361" t="str">
        <x:v>Planning &amp; estimation / coordination complexity</x:v>
      </x:c>
      <x:c r="G1361" t="str">
        <x:v>Unforeseen site/structural issues &amp; rework, Planning &amp; estimation / coordination complexity, Resource inefficiency (materials/labor/energy)</x:v>
      </x:c>
      <x:c r="H1361" t="str">
        <x:v>Cost overrun mainly linked to unforeseen site/structural issues &amp; rework; schedule overrun mainly linked to unforeseen site/structural issues &amp; rework.</x:v>
      </x:c>
    </x:row>
    <x:row r="1362">
      <x:c r="A1362" t="str">
        <x:v>PJT_1361</x:v>
      </x:c>
      <x:c r="B1362" t="str">
        <x:v>Planning &amp; estimation / coordination complexity</x:v>
      </x:c>
      <x:c r="C1362" t="str">
        <x:v>Resource inefficiency (materials/labor/energy)</x:v>
      </x:c>
      <x:c r="D1362" t="str">
        <x:v>Planning &amp; estimation / coordination complexity, Resource inefficiency (materials/labor/energy), Unforeseen site/structural issues &amp; rework</x:v>
      </x:c>
      <x:c r="E1362" t="str">
        <x:v>Planning &amp; estimation / coordination complexity</x:v>
      </x:c>
      <x:c r="F1362" t="str">
        <x:v>Unforeseen site/structural issues &amp; rework</x:v>
      </x:c>
      <x:c r="G1362" t="str">
        <x:v>Planning &amp; estimation / coordination complexity, Unforeseen site/structural issues &amp; rework, Resource inefficiency (materials/labor/energy)</x:v>
      </x:c>
      <x:c r="H1362" t="str">
        <x:v>Cost overrun mainly linked to planning &amp; estimation / coordination complexity; schedule overrun mainly linked to planning &amp; estimation / coordination complexity.</x:v>
      </x:c>
    </x:row>
    <x:row r="1363">
      <x:c r="A1363" t="str">
        <x:v>PJT_1362</x:v>
      </x:c>
      <x:c r="B1363" t="str">
        <x:v>Weather disruption / environmental constraints</x:v>
      </x:c>
      <x:c r="C1363" t="str">
        <x:v>Planning &amp; estimation / coordination complexity</x:v>
      </x:c>
      <x:c r="D1363" t="str">
        <x:v>Weather disruption / environmental constraints, Planning &amp; estimation / coordination complexity, Unforeseen site/structural issues &amp; rework</x:v>
      </x:c>
      <x:c r="E1363" t="str">
        <x:v>Weather disruption / environmental constraints</x:v>
      </x:c>
      <x:c r="F1363" t="str">
        <x:v>Unforeseen site/structural issues &amp; rework</x:v>
      </x:c>
      <x:c r="G1363" t="str">
        <x:v>Weather disruption / environmental constraints, Unforeseen site/structural issues &amp; rework, Planning &amp; estimation / coordination complexity</x:v>
      </x:c>
      <x:c r="H1363" t="str">
        <x:v>Cost overrun mainly linked to weather disruption / environmental constraints; schedule overrun mainly linked to weather disruption / environmental constraints.</x:v>
      </x:c>
    </x:row>
    <x:row r="1364">
      <x:c r="A1364" t="str">
        <x:v>PJT_1363</x:v>
      </x:c>
      <x:c r="B1364" t="str">
        <x:v>Unforeseen site/structural issues &amp; rework</x:v>
      </x:c>
      <x:c r="C1364" t="str">
        <x:v>Weather disruption / environmental constraints</x:v>
      </x:c>
      <x:c r="D1364" t="str">
        <x:v>Unforeseen site/structural issues &amp; rework, Weather disruption / environmental constraints, Equipment constraints / low availability</x:v>
      </x:c>
      <x:c r="E1364" t="str">
        <x:v>Weather disruption / environmental constraints</x:v>
      </x:c>
      <x:c r="F1364" t="str">
        <x:v>Unforeseen site/structural issues &amp; rework</x:v>
      </x:c>
      <x:c r="G1364" t="str">
        <x:v>Weather disruption / environmental constraints, Unforeseen site/structural issues &amp; rework, Equipment constraints / low availability</x:v>
      </x:c>
      <x:c r="H1364" t="str">
        <x:v>Cost overrun mainly linked to unforeseen site/structural issues &amp; rework; schedule overrun mainly linked to weather disruption / environmental constraints.</x:v>
      </x:c>
    </x:row>
    <x:row r="1365">
      <x:c r="A1365" t="str">
        <x:v>PJT_1364</x:v>
      </x:c>
      <x:c r="B1365" t="str">
        <x:v>Equipment constraints / low availability</x:v>
      </x:c>
      <x:c r="C1365" t="str">
        <x:v>Planning &amp; estimation / coordination complexity</x:v>
      </x:c>
      <x:c r="D1365" t="str">
        <x:v>Equipment constraints / low availability, Planning &amp; estimation / coordination complexity, Resource inefficiency (materials/labor/energy)</x:v>
      </x:c>
      <x:c r="E1365" t="str">
        <x:v>Equipment constraints / low availability</x:v>
      </x:c>
      <x:c r="F1365" t="str">
        <x:v>Planning &amp; estimation / coordination complexity</x:v>
      </x:c>
      <x:c r="G1365" t="str">
        <x:v>Equipment constraints / low availability, Planning &amp; estimation / coordination complexity, Resource inefficiency (materials/labor/energy)</x:v>
      </x:c>
      <x:c r="H1365" t="str">
        <x:v>Cost overrun mainly linked to equipment constraints / low availability; schedule overrun mainly linked to equipment constraints / low availability.</x:v>
      </x:c>
    </x:row>
    <x:row r="1366">
      <x:c r="A1366" t="str">
        <x:v>PJT_1365</x:v>
      </x:c>
      <x:c r="B1366" t="str">
        <x:v>Planning &amp; estimation / coordination complexity</x:v>
      </x:c>
      <x:c r="C1366" t="str">
        <x:v>Unforeseen site/structural issues &amp; rework</x:v>
      </x:c>
      <x:c r="D1366" t="str">
        <x:v>Planning &amp; estimation / coordination complexity, Unforeseen site/structural issues &amp; rework, Resource inefficiency (materials/labor/energy)</x:v>
      </x:c>
      <x:c r="E1366" t="str">
        <x:v>Planning &amp; estimation / coordination complexity</x:v>
      </x:c>
      <x:c r="F1366" t="str">
        <x:v>Unforeseen site/structural issues &amp; rework</x:v>
      </x:c>
      <x:c r="G1366" t="str">
        <x:v>Planning &amp; estimation / coordination complexity, Unforeseen site/structural issues &amp; rework, Resource inefficiency (materials/labor/energy)</x:v>
      </x:c>
      <x:c r="H1366" t="str">
        <x:v>Cost overrun mainly linked to planning &amp; estimation / coordination complexity; schedule overrun mainly linked to planning &amp; estimation / coordination complexity.</x:v>
      </x:c>
    </x:row>
    <x:row r="1367">
      <x:c r="A1367" t="str">
        <x:v>PJT_1366</x:v>
      </x:c>
      <x:c r="B1367" t="str">
        <x:v>Unforeseen site/structural issues &amp; rework</x:v>
      </x:c>
      <x:c r="C1367" t="str">
        <x:v>Planning &amp; estimation / coordination complexity</x:v>
      </x:c>
      <x:c r="D1367" t="str">
        <x:v>Unforeseen site/structural issues &amp; rework, Planning &amp; estimation / coordination complexity, Weather disruption / environmental constraints</x:v>
      </x:c>
      <x:c r="E1367" t="str">
        <x:v>Unforeseen site/structural issues &amp; rework</x:v>
      </x:c>
      <x:c r="F1367" t="str">
        <x:v>Planning &amp; estimation / coordination complexity</x:v>
      </x:c>
      <x:c r="G1367" t="str">
        <x:v>Unforeseen site/structural issues &amp; rework, Planning &amp; estimation / coordination complexity, Weather disruption / environmental constraints</x:v>
      </x:c>
      <x:c r="H1367" t="str">
        <x:v>Cost overrun mainly linked to unforeseen site/structural issues &amp; rework; schedule overrun mainly linked to unforeseen site/structural issues &amp; rework.</x:v>
      </x:c>
    </x:row>
    <x:row r="1368">
      <x:c r="A1368" t="str">
        <x:v>PJT_1367</x:v>
      </x:c>
      <x:c r="B1368" t="str">
        <x:v>Resource inefficiency (materials/labor/energy)</x:v>
      </x:c>
      <x:c r="C1368" t="str">
        <x:v>Equipment constraints / low availability</x:v>
      </x:c>
      <x:c r="D1368" t="str">
        <x:v>Resource inefficiency (materials/labor/energy), Equipment constraints / low availability, Planning &amp; estimation / coordination complexity</x:v>
      </x:c>
      <x:c r="E1368" t="str">
        <x:v>Resource inefficiency (materials/labor/energy)</x:v>
      </x:c>
      <x:c r="F1368" t="str">
        <x:v>Equipment constraints / low availability</x:v>
      </x:c>
      <x:c r="G1368" t="str">
        <x:v>Resource inefficiency (materials/labor/energy), Equipment constraints / low availability, Planning &amp; estimation / coordination complexity</x:v>
      </x:c>
      <x:c r="H1368" t="str">
        <x:v>Cost overrun mainly linked to resource inefficiency (materials/labor/energy); schedule overrun mainly linked to resource inefficiency (materials/labor/energy).</x:v>
      </x:c>
    </x:row>
    <x:row r="1369">
      <x:c r="A1369" t="str">
        <x:v>PJT_1368</x:v>
      </x:c>
      <x:c r="B1369" t="str">
        <x:v>Equipment constraints / low availability</x:v>
      </x:c>
      <x:c r="C1369" t="str">
        <x:v>Planning &amp; estimation / coordination complexity</x:v>
      </x:c>
      <x:c r="D1369" t="str">
        <x:v>Equipment constraints / low availability, Planning &amp; estimation / coordination complexity, Unforeseen site/structural issues &amp; rework</x:v>
      </x:c>
      <x:c r="E1369" t="str">
        <x:v>Equipment constraints / low availability</x:v>
      </x:c>
      <x:c r="F1369" t="str">
        <x:v>Planning &amp; estimation / coordination complexity</x:v>
      </x:c>
      <x:c r="G1369" t="str">
        <x:v>Equipment constraints / low availability, Planning &amp; estimation / coordination complexity, Unforeseen site/structural issues &amp; rework</x:v>
      </x:c>
      <x:c r="H1369" t="str">
        <x:v>Cost overrun mainly linked to equipment constraints / low availability; schedule overrun mainly linked to equipment constraints / low availability.</x:v>
      </x:c>
    </x:row>
    <x:row r="1370">
      <x:c r="A1370" t="str">
        <x:v>PJT_1369</x:v>
      </x:c>
      <x:c r="B1370" t="str">
        <x:v>Unforeseen site/structural issues &amp; rework</x:v>
      </x:c>
      <x:c r="C1370" t="str">
        <x:v>Resource inefficiency (materials/labor/energy)</x:v>
      </x:c>
      <x:c r="D1370" t="str">
        <x:v>Unforeseen site/structural issues &amp; rework, Resource inefficiency (materials/labor/energy), Planning &amp; estimation / coordination complexity</x:v>
      </x:c>
      <x:c r="E1370" t="str">
        <x:v>Unforeseen site/structural issues &amp; rework</x:v>
      </x:c>
      <x:c r="F1370" t="str">
        <x:v>Resource inefficiency (materials/labor/energy)</x:v>
      </x:c>
      <x:c r="G1370" t="str">
        <x:v>Unforeseen site/structural issues &amp; rework, Resource inefficiency (materials/labor/energy), Planning &amp; estimation / coordination complexity</x:v>
      </x:c>
      <x:c r="H1370" t="str">
        <x:v>Cost overrun mainly linked to unforeseen site/structural issues &amp; rework; schedule overrun mainly linked to unforeseen site/structural issues &amp; rework.</x:v>
      </x:c>
    </x:row>
    <x:row r="1371">
      <x:c r="A1371" t="str">
        <x:v>PJT_1370</x:v>
      </x:c>
      <x:c r="B1371" t="str">
        <x:v>Unforeseen site/structural issues &amp; rework</x:v>
      </x:c>
      <x:c r="C1371" t="str">
        <x:v>Resource inefficiency (materials/labor/energy)</x:v>
      </x:c>
      <x:c r="D1371" t="str">
        <x:v>Unforeseen site/structural issues &amp; rework, Resource inefficiency (materials/labor/energy), Planning &amp; estimation / coordination complexity</x:v>
      </x:c>
      <x:c r="E1371" t="str">
        <x:v>Unforeseen site/structural issues &amp; rework</x:v>
      </x:c>
      <x:c r="F1371" t="str">
        <x:v>Planning &amp; estimation / coordination complexity</x:v>
      </x:c>
      <x:c r="G1371" t="str">
        <x:v>Unforeseen site/structural issues &amp; rework, Planning &amp; estimation / coordination complexity, Resource inefficiency (materials/labor/energy)</x:v>
      </x:c>
      <x:c r="H1371" t="str">
        <x:v>Cost overrun mainly linked to unforeseen site/structural issues &amp; rework; schedule overrun mainly linked to unforeseen site/structural issues &amp; rework.</x:v>
      </x:c>
    </x:row>
    <x:row r="1372">
      <x:c r="A1372" t="str">
        <x:v>PJT_1371</x:v>
      </x:c>
      <x:c r="B1372" t="str">
        <x:v>Resource inefficiency (materials/labor/energy)</x:v>
      </x:c>
      <x:c r="C1372" t="str">
        <x:v>Equipment constraints / low availability</x:v>
      </x:c>
      <x:c r="D1372" t="str">
        <x:v>Resource inefficiency (materials/labor/energy), Equipment constraints / low availability, Planning &amp; estimation / coordination complexity</x:v>
      </x:c>
      <x:c r="E1372" t="str">
        <x:v>Resource inefficiency (materials/labor/energy)</x:v>
      </x:c>
      <x:c r="F1372" t="str">
        <x:v>Equipment constraints / low availability</x:v>
      </x:c>
      <x:c r="G1372" t="str">
        <x:v>Resource inefficiency (materials/labor/energy), Equipment constraints / low availability, Planning &amp; estimation / coordination complexity</x:v>
      </x:c>
      <x:c r="H1372" t="str">
        <x:v>Cost overrun mainly linked to resource inefficiency (materials/labor/energy); schedule overrun mainly linked to resource inefficiency (materials/labor/energy).</x:v>
      </x:c>
    </x:row>
    <x:row r="1373">
      <x:c r="A1373" t="str">
        <x:v>PJT_1372</x:v>
      </x:c>
      <x:c r="B1373" t="str">
        <x:v>Unforeseen site/structural issues &amp; rework</x:v>
      </x:c>
      <x:c r="C1373" t="str">
        <x:v>Weather disruption / environmental constraints</x:v>
      </x:c>
      <x:c r="D1373" t="str">
        <x:v>Unforeseen site/structural issues &amp; rework, Weather disruption / environmental constraints, Equipment constraints / low availability</x:v>
      </x:c>
      <x:c r="E1373" t="str">
        <x:v>Unforeseen site/structural issues &amp; rework</x:v>
      </x:c>
      <x:c r="F1373" t="str">
        <x:v>Weather disruption / environmental constraints</x:v>
      </x:c>
      <x:c r="G1373" t="str">
        <x:v>Unforeseen site/structural issues &amp; rework, Weather disruption / environmental constraints, Equipment constraints / low availability</x:v>
      </x:c>
      <x:c r="H1373" t="str">
        <x:v>Cost overrun mainly linked to unforeseen site/structural issues &amp; rework; schedule overrun mainly linked to unforeseen site/structural issues &amp; rework.</x:v>
      </x:c>
    </x:row>
    <x:row r="1374">
      <x:c r="A1374" t="str">
        <x:v>PJT_1373</x:v>
      </x:c>
      <x:c r="B1374" t="str">
        <x:v>Unforeseen site/structural issues &amp; rework</x:v>
      </x:c>
      <x:c r="C1374" t="str">
        <x:v>Resource inefficiency (materials/labor/energy)</x:v>
      </x:c>
      <x:c r="D1374" t="str">
        <x:v>Unforeseen site/structural issues &amp; rework, Resource inefficiency (materials/labor/energy), Material supply / logistics &amp; market disruption</x:v>
      </x:c>
      <x:c r="E1374" t="str">
        <x:v>Unforeseen site/structural issues &amp; rework</x:v>
      </x:c>
      <x:c r="F1374" t="str">
        <x:v>Resource inefficiency (materials/labor/energy)</x:v>
      </x:c>
      <x:c r="G1374" t="str">
        <x:v>Unforeseen site/structural issues &amp; rework, Resource inefficiency (materials/labor/energy), Planning &amp; estimation / coordination complexity</x:v>
      </x:c>
      <x:c r="H1374" t="str">
        <x:v>Cost overrun mainly linked to unforeseen site/structural issues &amp; rework; schedule overrun mainly linked to unforeseen site/structural issues &amp; rework.</x:v>
      </x:c>
    </x:row>
    <x:row r="1375">
      <x:c r="A1375" t="str">
        <x:v>PJT_1374</x:v>
      </x:c>
      <x:c r="B1375" t="str">
        <x:v>Resource inefficiency (materials/labor/energy)</x:v>
      </x:c>
      <x:c r="C1375" t="str">
        <x:v>Material supply / logistics &amp; market disruption</x:v>
      </x:c>
      <x:c r="D1375" t="str">
        <x:v>Resource inefficiency (materials/labor/energy), Material supply / logistics &amp; market disruption, Equipment constraints / low availability</x:v>
      </x:c>
      <x:c r="E1375" t="str">
        <x:v>Resource inefficiency (materials/labor/energy)</x:v>
      </x:c>
      <x:c r="F1375" t="str">
        <x:v>Material supply / logistics &amp; market disruption</x:v>
      </x:c>
      <x:c r="G1375" t="str">
        <x:v>Resource inefficiency (materials/labor/energy), Material supply / logistics &amp; market disruption, Equipment constraints / low availability</x:v>
      </x:c>
      <x:c r="H1375" t="str">
        <x:v>Cost overrun mainly linked to resource inefficiency (materials/labor/energy); schedule overrun mainly linked to resource inefficiency (materials/labor/energy).</x:v>
      </x:c>
    </x:row>
    <x:row r="1376">
      <x:c r="A1376" t="str">
        <x:v>PJT_1375</x:v>
      </x:c>
      <x:c r="B1376" t="str">
        <x:v>Planning &amp; estimation / coordination complexity</x:v>
      </x:c>
      <x:c r="C1376" t="str">
        <x:v>Resource inefficiency (materials/labor/energy)</x:v>
      </x:c>
      <x:c r="D1376" t="str">
        <x:v>Planning &amp; estimation / coordination complexity, Resource inefficiency (materials/labor/energy), Unforeseen site/structural issues &amp; rework</x:v>
      </x:c>
      <x:c r="E1376" t="str">
        <x:v>Planning &amp; estimation / coordination complexity</x:v>
      </x:c>
      <x:c r="F1376" t="str">
        <x:v>Unforeseen site/structural issues &amp; rework</x:v>
      </x:c>
      <x:c r="G1376" t="str">
        <x:v>Planning &amp; estimation / coordination complexity, Unforeseen site/structural issues &amp; rework, Resource inefficiency (materials/labor/energy)</x:v>
      </x:c>
      <x:c r="H1376" t="str">
        <x:v>Cost overrun mainly linked to planning &amp; estimation / coordination complexity; schedule overrun mainly linked to planning &amp; estimation / coordination complexity.</x:v>
      </x:c>
    </x:row>
    <x:row r="1377">
      <x:c r="A1377" t="str">
        <x:v>PJT_1376</x:v>
      </x:c>
      <x:c r="B1377" t="str">
        <x:v>Equipment constraints / low availability</x:v>
      </x:c>
      <x:c r="C1377" t="str">
        <x:v>Planning &amp; estimation / coordination complexity</x:v>
      </x:c>
      <x:c r="D1377" t="str">
        <x:v>Equipment constraints / low availability, Planning &amp; estimation / coordination complexity, Resource inefficiency (materials/labor/energy)</x:v>
      </x:c>
      <x:c r="E1377" t="str">
        <x:v>Equipment constraints / low availability</x:v>
      </x:c>
      <x:c r="F1377" t="str">
        <x:v>Planning &amp; estimation / coordination complexity</x:v>
      </x:c>
      <x:c r="G1377" t="str">
        <x:v>Equipment constraints / low availability, Planning &amp; estimation / coordination complexity, Resource inefficiency (materials/labor/energy)</x:v>
      </x:c>
      <x:c r="H1377" t="str">
        <x:v>Cost overrun mainly linked to equipment constraints / low availability; schedule overrun mainly linked to equipment constraints / low availability.</x:v>
      </x:c>
    </x:row>
    <x:row r="1378">
      <x:c r="A1378" t="str">
        <x:v>PJT_1377</x:v>
      </x:c>
      <x:c r="B1378" t="str">
        <x:v>Resource inefficiency (materials/labor/energy)</x:v>
      </x:c>
      <x:c r="C1378" t="str">
        <x:v>Equipment constraints / low availability</x:v>
      </x:c>
      <x:c r="D1378" t="str">
        <x:v>Resource inefficiency (materials/labor/energy), Equipment constraints / low availability, Planning &amp; estimation / coordination complexity</x:v>
      </x:c>
      <x:c r="E1378" t="str">
        <x:v>Resource inefficiency (materials/labor/energy)</x:v>
      </x:c>
      <x:c r="F1378" t="str">
        <x:v>Equipment constraints / low availability</x:v>
      </x:c>
      <x:c r="G1378" t="str">
        <x:v>Resource inefficiency (materials/labor/energy), Equipment constraints / low availability, Planning &amp; estimation / coordination complexity</x:v>
      </x:c>
      <x:c r="H1378" t="str">
        <x:v>Cost overrun mainly linked to resource inefficiency (materials/labor/energy); schedule overrun mainly linked to resource inefficiency (materials/labor/energy).</x:v>
      </x:c>
    </x:row>
    <x:row r="1379">
      <x:c r="A1379" t="str">
        <x:v>PJT_1378</x:v>
      </x:c>
      <x:c r="B1379" t="str">
        <x:v>Unforeseen site/structural issues &amp; rework</x:v>
      </x:c>
      <x:c r="C1379" t="str">
        <x:v>Resource inefficiency (materials/labor/energy)</x:v>
      </x:c>
      <x:c r="D1379" t="str">
        <x:v>Unforeseen site/structural issues &amp; rework, Resource inefficiency (materials/labor/energy), Material supply / logistics &amp; market disruption</x:v>
      </x:c>
      <x:c r="E1379" t="str">
        <x:v>Unforeseen site/structural issues &amp; rework</x:v>
      </x:c>
      <x:c r="F1379" t="str">
        <x:v>Resource inefficiency (materials/labor/energy)</x:v>
      </x:c>
      <x:c r="G1379" t="str">
        <x:v>Unforeseen site/structural issues &amp; rework, Resource inefficiency (materials/labor/energy), Equipment constraints / low availability</x:v>
      </x:c>
      <x:c r="H1379" t="str">
        <x:v>Cost overrun mainly linked to unforeseen site/structural issues &amp; rework; schedule overrun mainly linked to unforeseen site/structural issues &amp; rework.</x:v>
      </x:c>
    </x:row>
    <x:row r="1380">
      <x:c r="A1380" t="str">
        <x:v>PJT_1379</x:v>
      </x:c>
      <x:c r="B1380" t="str">
        <x:v>Material supply / logistics &amp; market disruption</x:v>
      </x:c>
      <x:c r="C1380" t="str">
        <x:v>Weather disruption / environmental constraints</x:v>
      </x:c>
      <x:c r="D1380" t="str">
        <x:v>Material supply / logistics &amp; market disruption, Weather disruption / environmental constraints, Resource inefficiency (materials/labor/energy)</x:v>
      </x:c>
      <x:c r="E1380" t="str">
        <x:v>Material supply / logistics &amp; market disruption</x:v>
      </x:c>
      <x:c r="F1380" t="str">
        <x:v>Weather disruption / environmental constraints</x:v>
      </x:c>
      <x:c r="G1380" t="str">
        <x:v>Material supply / logistics &amp; market disruption, Weather disruption / environmental constraints, Resource inefficiency (materials/labor/energy)</x:v>
      </x:c>
      <x:c r="H1380" t="str">
        <x:v>Cost overrun mainly linked to material supply / logistics &amp; market disruption; schedule overrun mainly linked to material supply / logistics &amp; market disruption.</x:v>
      </x:c>
    </x:row>
    <x:row r="1381">
      <x:c r="A1381" t="str">
        <x:v>PJT_1380</x:v>
      </x:c>
      <x:c r="B1381" t="str">
        <x:v>Unforeseen site/structural issues &amp; rework</x:v>
      </x:c>
      <x:c r="C1381" t="str">
        <x:v>Resource inefficiency (materials/labor/energy)</x:v>
      </x:c>
      <x:c r="D1381" t="str">
        <x:v>Unforeseen site/structural issues &amp; rework, Resource inefficiency (materials/labor/energy), Planning &amp; estimation / coordination complexity</x:v>
      </x:c>
      <x:c r="E1381" t="str">
        <x:v>Unforeseen site/structural issues &amp; rework</x:v>
      </x:c>
      <x:c r="F1381" t="str">
        <x:v>Resource inefficiency (materials/labor/energy)</x:v>
      </x:c>
      <x:c r="G1381" t="str">
        <x:v>Unforeseen site/structural issues &amp; rework, Resource inefficiency (materials/labor/energy), Planning &amp; estimation / coordination complexity</x:v>
      </x:c>
      <x:c r="H1381" t="str">
        <x:v>Cost overrun mainly linked to unforeseen site/structural issues &amp; rework; schedule overrun mainly linked to unforeseen site/structural issues &amp; rework.</x:v>
      </x:c>
    </x:row>
    <x:row r="1382">
      <x:c r="A1382" t="str">
        <x:v>PJT_1381</x:v>
      </x:c>
      <x:c r="B1382" t="str">
        <x:v>Planning &amp; estimation / coordination complexity</x:v>
      </x:c>
      <x:c r="C1382" t="str">
        <x:v>Resource inefficiency (materials/labor/energy)</x:v>
      </x:c>
      <x:c r="D1382" t="str">
        <x:v>Planning &amp; estimation / coordination complexity, Resource inefficiency (materials/labor/energy), Unforeseen site/structural issues &amp; rework</x:v>
      </x:c>
      <x:c r="E1382" t="str">
        <x:v>Planning &amp; estimation / coordination complexity</x:v>
      </x:c>
      <x:c r="F1382" t="str">
        <x:v>Resource inefficiency (materials/labor/energy)</x:v>
      </x:c>
      <x:c r="G1382" t="str">
        <x:v>Planning &amp; estimation / coordination complexity, Resource inefficiency (materials/labor/energy), Unforeseen site/structural issues &amp; rework</x:v>
      </x:c>
      <x:c r="H1382" t="str">
        <x:v>Cost overrun mainly linked to planning &amp; estimation / coordination complexity; schedule overrun mainly linked to planning &amp; estimation / coordination complexity.</x:v>
      </x:c>
    </x:row>
    <x:row r="1383">
      <x:c r="A1383" t="str">
        <x:v>PJT_1382</x:v>
      </x:c>
      <x:c r="B1383" t="str">
        <x:v>Resource inefficiency (materials/labor/energy)</x:v>
      </x:c>
      <x:c r="C1383" t="str">
        <x:v>Material supply / logistics &amp; market disruption</x:v>
      </x:c>
      <x:c r="D1383" t="str">
        <x:v>Resource inefficiency (materials/labor/energy), Material supply / logistics &amp; market disruption, Equipment constraints / low availability</x:v>
      </x:c>
      <x:c r="E1383" t="str">
        <x:v>Resource inefficiency (materials/labor/energy)</x:v>
      </x:c>
      <x:c r="F1383" t="str">
        <x:v>Equipment constraints / low availability</x:v>
      </x:c>
      <x:c r="G1383" t="str">
        <x:v>Resource inefficiency (materials/labor/energy), Equipment constraints / low availability, Material supply / logistics &amp; market disruption</x:v>
      </x:c>
      <x:c r="H1383" t="str">
        <x:v>Cost overrun mainly linked to resource inefficiency (materials/labor/energy); schedule overrun mainly linked to resource inefficiency (materials/labor/energy).</x:v>
      </x:c>
    </x:row>
    <x:row r="1384">
      <x:c r="A1384" t="str">
        <x:v>PJT_1383</x:v>
      </x:c>
      <x:c r="B1384" t="str">
        <x:v>Unforeseen site/structural issues &amp; rework</x:v>
      </x:c>
      <x:c r="C1384" t="str">
        <x:v>Planning &amp; estimation / coordination complexity</x:v>
      </x:c>
      <x:c r="D1384" t="str">
        <x:v>Unforeseen site/structural issues &amp; rework, Planning &amp; estimation / coordination complexity, Weather disruption / environmental constraints</x:v>
      </x:c>
      <x:c r="E1384" t="str">
        <x:v>Unforeseen site/structural issues &amp; rework</x:v>
      </x:c>
      <x:c r="F1384" t="str">
        <x:v>Planning &amp; estimation / coordination complexity</x:v>
      </x:c>
      <x:c r="G1384" t="str">
        <x:v>Unforeseen site/structural issues &amp; rework, Planning &amp; estimation / coordination complexity, Weather disruption / environmental constraints</x:v>
      </x:c>
      <x:c r="H1384" t="str">
        <x:v>Cost overrun mainly linked to unforeseen site/structural issues &amp; rework; schedule overrun mainly linked to unforeseen site/structural issues &amp; rework.</x:v>
      </x:c>
    </x:row>
    <x:row r="1385">
      <x:c r="A1385" t="str">
        <x:v>PJT_1384</x:v>
      </x:c>
      <x:c r="B1385" t="str">
        <x:v>Planning &amp; estimation / coordination complexity</x:v>
      </x:c>
      <x:c r="C1385" t="str">
        <x:v>Equipment constraints / low availability</x:v>
      </x:c>
      <x:c r="D1385" t="str">
        <x:v>Planning &amp; estimation / coordination complexity, Equipment constraints / low availability, Resource inefficiency (materials/labor/energy)</x:v>
      </x:c>
      <x:c r="E1385" t="str">
        <x:v>Planning &amp; estimation / coordination complexity</x:v>
      </x:c>
      <x:c r="F1385" t="str">
        <x:v>Equipment constraints / low availability</x:v>
      </x:c>
      <x:c r="G1385" t="str">
        <x:v>Planning &amp; estimation / coordination complexity, Equipment constraints / low availability, Unforeseen site/structural issues &amp; rework</x:v>
      </x:c>
      <x:c r="H1385" t="str">
        <x:v>Cost overrun mainly linked to planning &amp; estimation / coordination complexity; schedule overrun mainly linked to planning &amp; estimation / coordination complexity.</x:v>
      </x:c>
    </x:row>
    <x:row r="1386">
      <x:c r="A1386" t="str">
        <x:v>PJT_1385</x:v>
      </x:c>
      <x:c r="B1386" t="str">
        <x:v>Weather disruption / environmental constraints</x:v>
      </x:c>
      <x:c r="C1386" t="str">
        <x:v>Unforeseen site/structural issues &amp; rework</x:v>
      </x:c>
      <x:c r="D1386" t="str">
        <x:v>Weather disruption / environmental constraints, Unforeseen site/structural issues &amp; rework, Material supply / logistics &amp; market disruption</x:v>
      </x:c>
      <x:c r="E1386" t="str">
        <x:v>Weather disruption / environmental constraints</x:v>
      </x:c>
      <x:c r="F1386" t="str">
        <x:v>Material supply / logistics &amp; market disruption</x:v>
      </x:c>
      <x:c r="G1386" t="str">
        <x:v>Weather disruption / environmental constraints, Material supply / logistics &amp; market disruption, Resource inefficiency (materials/labor/energy)</x:v>
      </x:c>
      <x:c r="H1386" t="str">
        <x:v>Cost overrun mainly linked to weather disruption / environmental constraints; schedule overrun mainly linked to weather disruption / environmental constraints.</x:v>
      </x:c>
    </x:row>
    <x:row r="1387">
      <x:c r="A1387" t="str">
        <x:v>PJT_1386</x:v>
      </x:c>
      <x:c r="B1387" t="str">
        <x:v>Unforeseen site/structural issues &amp; rework</x:v>
      </x:c>
      <x:c r="C1387" t="str">
        <x:v>Material supply / logistics &amp; market disruption</x:v>
      </x:c>
      <x:c r="D1387" t="str">
        <x:v>Unforeseen site/structural issues &amp; rework, Material supply / logistics &amp; market disruption, Weather disruption / environmental constraints</x:v>
      </x:c>
      <x:c r="E1387" t="str">
        <x:v>Unforeseen site/structural issues &amp; rework</x:v>
      </x:c>
      <x:c r="F1387" t="str">
        <x:v>Planning &amp; estimation / coordination complexity</x:v>
      </x:c>
      <x:c r="G1387" t="str">
        <x:v>Unforeseen site/structural issues &amp; rework, Planning &amp; estimation / coordination complexity, Material supply / logistics &amp; market disruption</x:v>
      </x:c>
      <x:c r="H1387" t="str">
        <x:v>Cost overrun mainly linked to unforeseen site/structural issues &amp; rework; schedule overrun mainly linked to unforeseen site/structural issues &amp; rework.</x:v>
      </x:c>
    </x:row>
    <x:row r="1388">
      <x:c r="A1388" t="str">
        <x:v>PJT_1387</x:v>
      </x:c>
      <x:c r="B1388" t="str">
        <x:v>Equipment constraints / low availability</x:v>
      </x:c>
      <x:c r="C1388" t="str">
        <x:v>Unforeseen site/structural issues &amp; rework</x:v>
      </x:c>
      <x:c r="D1388" t="str">
        <x:v>Equipment constraints / low availability, Unforeseen site/structural issues &amp; rework, Planning &amp; estimation / coordination complexity</x:v>
      </x:c>
      <x:c r="E1388" t="str">
        <x:v>Equipment constraints / low availability</x:v>
      </x:c>
      <x:c r="F1388" t="str">
        <x:v>Unforeseen site/structural issues &amp; rework</x:v>
      </x:c>
      <x:c r="G1388" t="str">
        <x:v>Equipment constraints / low availability, Unforeseen site/structural issues &amp; rework, Weather disruption / environmental constraints</x:v>
      </x:c>
      <x:c r="H1388" t="str">
        <x:v>Cost overrun mainly linked to equipment constraints / low availability; schedule overrun mainly linked to equipment constraints / low availability.</x:v>
      </x:c>
    </x:row>
    <x:row r="1389">
      <x:c r="A1389" t="str">
        <x:v>PJT_1388</x:v>
      </x:c>
      <x:c r="B1389" t="str">
        <x:v>Weather disruption / environmental constraints</x:v>
      </x:c>
      <x:c r="C1389" t="str">
        <x:v>Unforeseen site/structural issues &amp; rework</x:v>
      </x:c>
      <x:c r="D1389" t="str">
        <x:v>Weather disruption / environmental constraints, Unforeseen site/structural issues &amp; rework, Equipment constraints / low availability</x:v>
      </x:c>
      <x:c r="E1389" t="str">
        <x:v>Weather disruption / environmental constraints</x:v>
      </x:c>
      <x:c r="F1389" t="str">
        <x:v>Unforeseen site/structural issues &amp; rework</x:v>
      </x:c>
      <x:c r="G1389" t="str">
        <x:v>Weather disruption / environmental constraints, Unforeseen site/structural issues &amp; rework, Material supply / logistics &amp; market disruption</x:v>
      </x:c>
      <x:c r="H1389" t="str">
        <x:v>Cost overrun mainly linked to weather disruption / environmental constraints; schedule overrun mainly linked to weather disruption / environmental constraints.</x:v>
      </x:c>
    </x:row>
    <x:row r="1390">
      <x:c r="A1390" t="str">
        <x:v>PJT_1389</x:v>
      </x:c>
      <x:c r="B1390" t="str">
        <x:v>Weather disruption / environmental constraints</x:v>
      </x:c>
      <x:c r="C1390" t="str">
        <x:v>Equipment constraints / low availability</x:v>
      </x:c>
      <x:c r="D1390" t="str">
        <x:v>Weather disruption / environmental constraints, Equipment constraints / low availability, Planning &amp; estimation / coordination complexity</x:v>
      </x:c>
      <x:c r="E1390" t="str">
        <x:v>Weather disruption / environmental constraints</x:v>
      </x:c>
      <x:c r="F1390" t="str">
        <x:v>Equipment constraints / low availability</x:v>
      </x:c>
      <x:c r="G1390" t="str">
        <x:v>Weather disruption / environmental constraints, Equipment constraints / low availability, Planning &amp; estimation / coordination complexity</x:v>
      </x:c>
      <x:c r="H1390" t="str">
        <x:v>Cost overrun mainly linked to weather disruption / environmental constraints; schedule overrun mainly linked to weather disruption / environmental constraints.</x:v>
      </x:c>
    </x:row>
    <x:row r="1391">
      <x:c r="A1391" t="str">
        <x:v>PJT_1390</x:v>
      </x:c>
      <x:c r="B1391" t="str">
        <x:v>Planning &amp; estimation / coordination complexity</x:v>
      </x:c>
      <x:c r="C1391" t="str">
        <x:v>Unforeseen site/structural issues &amp; rework</x:v>
      </x:c>
      <x:c r="D1391" t="str">
        <x:v>Planning &amp; estimation / coordination complexity, Unforeseen site/structural issues &amp; rework, Resource inefficiency (materials/labor/energy)</x:v>
      </x:c>
      <x:c r="E1391" t="str">
        <x:v>Planning &amp; estimation / coordination complexity</x:v>
      </x:c>
      <x:c r="F1391" t="str">
        <x:v>Unforeseen site/structural issues &amp; rework</x:v>
      </x:c>
      <x:c r="G1391" t="str">
        <x:v>Planning &amp; estimation / coordination complexity, Unforeseen site/structural issues &amp; rework, Resource inefficiency (materials/labor/energy)</x:v>
      </x:c>
      <x:c r="H1391" t="str">
        <x:v>Cost overrun mainly linked to planning &amp; estimation / coordination complexity; schedule overrun mainly linked to planning &amp; estimation / coordination complexity.</x:v>
      </x:c>
    </x:row>
    <x:row r="1392">
      <x:c r="A1392" t="str">
        <x:v>PJT_1391</x:v>
      </x:c>
      <x:c r="B1392" t="str">
        <x:v>Resource inefficiency (materials/labor/energy)</x:v>
      </x:c>
      <x:c r="C1392" t="str">
        <x:v>Planning &amp; estimation / coordination complexity</x:v>
      </x:c>
      <x:c r="D1392" t="str">
        <x:v>Resource inefficiency (materials/labor/energy), Planning &amp; estimation / coordination complexity, Equipment constraints / low availability</x:v>
      </x:c>
      <x:c r="E1392" t="str">
        <x:v>Planning &amp; estimation / coordination complexity</x:v>
      </x:c>
      <x:c r="F1392" t="str">
        <x:v>Resource inefficiency (materials/labor/energy)</x:v>
      </x:c>
      <x:c r="G1392" t="str">
        <x:v>Planning &amp; estimation / coordination complexity, Resource inefficiency (materials/labor/energy), Equipment constraints / low availability</x:v>
      </x:c>
      <x:c r="H1392" t="str">
        <x:v>Cost overrun mainly linked to resource inefficiency (materials/labor/energy); schedule overrun mainly linked to planning &amp; estimation / coordination complexity.</x:v>
      </x:c>
    </x:row>
    <x:row r="1393">
      <x:c r="A1393" t="str">
        <x:v>PJT_1392</x:v>
      </x:c>
      <x:c r="B1393" t="str">
        <x:v>Unforeseen site/structural issues &amp; rework</x:v>
      </x:c>
      <x:c r="C1393" t="str">
        <x:v>Resource inefficiency (materials/labor/energy)</x:v>
      </x:c>
      <x:c r="D1393" t="str">
        <x:v>Unforeseen site/structural issues &amp; rework, Resource inefficiency (materials/labor/energy), Equipment constraints / low availability</x:v>
      </x:c>
      <x:c r="E1393" t="str">
        <x:v>Unforeseen site/structural issues &amp; rework</x:v>
      </x:c>
      <x:c r="F1393" t="str">
        <x:v>Resource inefficiency (materials/labor/energy)</x:v>
      </x:c>
      <x:c r="G1393" t="str">
        <x:v>Unforeseen site/structural issues &amp; rework, Resource inefficiency (materials/labor/energy), Planning &amp; estimation / coordination complexity</x:v>
      </x:c>
      <x:c r="H1393" t="str">
        <x:v>Cost overrun mainly linked to unforeseen site/structural issues &amp; rework; schedule overrun mainly linked to unforeseen site/structural issues &amp; rework.</x:v>
      </x:c>
    </x:row>
    <x:row r="1394">
      <x:c r="A1394" t="str">
        <x:v>PJT_1393</x:v>
      </x:c>
      <x:c r="B1394" t="str">
        <x:v>Unforeseen site/structural issues &amp; rework</x:v>
      </x:c>
      <x:c r="C1394" t="str">
        <x:v>Planning &amp; estimation / coordination complexity</x:v>
      </x:c>
      <x:c r="D1394" t="str">
        <x:v>Unforeseen site/structural issues &amp; rework, Planning &amp; estimation / coordination complexity, Equipment constraints / low availability</x:v>
      </x:c>
      <x:c r="E1394" t="str">
        <x:v>Unforeseen site/structural issues &amp; rework</x:v>
      </x:c>
      <x:c r="F1394" t="str">
        <x:v>Planning &amp; estimation / coordination complexity</x:v>
      </x:c>
      <x:c r="G1394" t="str">
        <x:v>Unforeseen site/structural issues &amp; rework, Planning &amp; estimation / coordination complexity, Equipment constraints / low availability</x:v>
      </x:c>
      <x:c r="H1394" t="str">
        <x:v>Cost overrun mainly linked to unforeseen site/structural issues &amp; rework; schedule overrun mainly linked to unforeseen site/structural issues &amp; rework.</x:v>
      </x:c>
    </x:row>
    <x:row r="1395">
      <x:c r="A1395" t="str">
        <x:v>PJT_1394</x:v>
      </x:c>
      <x:c r="B1395" t="str">
        <x:v>Unforeseen site/structural issues &amp; rework</x:v>
      </x:c>
      <x:c r="C1395" t="str">
        <x:v>Planning &amp; estimation / coordination complexity</x:v>
      </x:c>
      <x:c r="D1395" t="str">
        <x:v>Unforeseen site/structural issues &amp; rework, Planning &amp; estimation / coordination complexity, Weather disruption / environmental constraints</x:v>
      </x:c>
      <x:c r="E1395" t="str">
        <x:v>Unforeseen site/structural issues &amp; rework</x:v>
      </x:c>
      <x:c r="F1395" t="str">
        <x:v>Planning &amp; estimation / coordination complexity</x:v>
      </x:c>
      <x:c r="G1395" t="str">
        <x:v>Unforeseen site/structural issues &amp; rework, Planning &amp; estimation / coordination complexity, Weather disruption / environmental constraints</x:v>
      </x:c>
      <x:c r="H1395" t="str">
        <x:v>Cost overrun mainly linked to unforeseen site/structural issues &amp; rework; schedule overrun mainly linked to unforeseen site/structural issues &amp; rework.</x:v>
      </x:c>
    </x:row>
    <x:row r="1396">
      <x:c r="A1396" t="str">
        <x:v>PJT_1395</x:v>
      </x:c>
      <x:c r="B1396" t="str">
        <x:v>Resource inefficiency (materials/labor/energy)</x:v>
      </x:c>
      <x:c r="C1396" t="str">
        <x:v>Planning &amp; estimation / coordination complexity</x:v>
      </x:c>
      <x:c r="D1396" t="str">
        <x:v>Resource inefficiency (materials/labor/energy), Planning &amp; estimation / coordination complexity, Material supply / logistics &amp; market disruption</x:v>
      </x:c>
      <x:c r="E1396" t="str">
        <x:v>Resource inefficiency (materials/labor/energy)</x:v>
      </x:c>
      <x:c r="F1396" t="str">
        <x:v>Planning &amp; estimation / coordination complexity</x:v>
      </x:c>
      <x:c r="G1396" t="str">
        <x:v>Resource inefficiency (materials/labor/energy), Planning &amp; estimation / coordination complexity, Unforeseen site/structural issues &amp; rework</x:v>
      </x:c>
      <x:c r="H1396" t="str">
        <x:v>Cost overrun mainly linked to resource inefficiency (materials/labor/energy); schedule overrun mainly linked to resource inefficiency (materials/labor/energy).</x:v>
      </x:c>
    </x:row>
    <x:row r="1397">
      <x:c r="A1397" t="str">
        <x:v>PJT_1396</x:v>
      </x:c>
      <x:c r="B1397" t="str">
        <x:v>Weather disruption / environmental constraints</x:v>
      </x:c>
      <x:c r="C1397" t="str">
        <x:v>Unforeseen site/structural issues &amp; rework</x:v>
      </x:c>
      <x:c r="D1397" t="str">
        <x:v>Weather disruption / environmental constraints, Unforeseen site/structural issues &amp; rework, Material supply / logistics &amp; market disruption</x:v>
      </x:c>
      <x:c r="E1397" t="str">
        <x:v>Weather disruption / environmental constraints</x:v>
      </x:c>
      <x:c r="F1397" t="str">
        <x:v>Unforeseen site/structural issues &amp; rework</x:v>
      </x:c>
      <x:c r="G1397" t="str">
        <x:v>Weather disruption / environmental constraints, Unforeseen site/structural issues &amp; rework, Material supply / logistics &amp; market disruption</x:v>
      </x:c>
      <x:c r="H1397" t="str">
        <x:v>Cost overrun mainly linked to weather disruption / environmental constraints; schedule overrun mainly linked to weather disruption / environmental constraints.</x:v>
      </x:c>
    </x:row>
    <x:row r="1398">
      <x:c r="A1398" t="str">
        <x:v>PJT_1397</x:v>
      </x:c>
      <x:c r="B1398" t="str">
        <x:v>Unforeseen site/structural issues &amp; rework</x:v>
      </x:c>
      <x:c r="C1398" t="str">
        <x:v>Planning &amp; estimation / coordination complexity</x:v>
      </x:c>
      <x:c r="D1398" t="str">
        <x:v>Unforeseen site/structural issues &amp; rework, Planning &amp; estimation / coordination complexity, Resource inefficiency (materials/labor/energy)</x:v>
      </x:c>
      <x:c r="E1398" t="str">
        <x:v>Unforeseen site/structural issues &amp; rework</x:v>
      </x:c>
      <x:c r="F1398" t="str">
        <x:v>Planning &amp; estimation / coordination complexity</x:v>
      </x:c>
      <x:c r="G1398" t="str">
        <x:v>Unforeseen site/structural issues &amp; rework, Planning &amp; estimation / coordination complexity, Resource inefficiency (materials/labor/energy)</x:v>
      </x:c>
      <x:c r="H1398" t="str">
        <x:v>Cost overrun mainly linked to unforeseen site/structural issues &amp; rework; schedule overrun mainly linked to unforeseen site/structural issues &amp; rework.</x:v>
      </x:c>
    </x:row>
    <x:row r="1399">
      <x:c r="A1399" t="str">
        <x:v>PJT_1398</x:v>
      </x:c>
      <x:c r="B1399" t="str">
        <x:v>Resource inefficiency (materials/labor/energy)</x:v>
      </x:c>
      <x:c r="C1399" t="str">
        <x:v>Planning &amp; estimation / coordination complexity</x:v>
      </x:c>
      <x:c r="D1399" t="str">
        <x:v>Resource inefficiency (materials/labor/energy), Planning &amp; estimation / coordination complexity, Material supply / logistics &amp; market disruption</x:v>
      </x:c>
      <x:c r="E1399" t="str">
        <x:v>Planning &amp; estimation / coordination complexity</x:v>
      </x:c>
      <x:c r="F1399" t="str">
        <x:v>Resource inefficiency (materials/labor/energy)</x:v>
      </x:c>
      <x:c r="G1399" t="str">
        <x:v>Planning &amp; estimation / coordination complexity, Resource inefficiency (materials/labor/energy), Unforeseen site/structural issues &amp; rework</x:v>
      </x:c>
      <x:c r="H1399" t="str">
        <x:v>Cost overrun mainly linked to resource inefficiency (materials/labor/energy); schedule overrun mainly linked to planning &amp; estimation / coordination complexity.</x:v>
      </x:c>
    </x:row>
    <x:row r="1400">
      <x:c r="A1400" t="str">
        <x:v>PJT_1399</x:v>
      </x:c>
      <x:c r="B1400" t="str">
        <x:v>Resource inefficiency (materials/labor/energy)</x:v>
      </x:c>
      <x:c r="C1400" t="str">
        <x:v>Planning &amp; estimation / coordination complexity</x:v>
      </x:c>
      <x:c r="D1400" t="str">
        <x:v>Resource inefficiency (materials/labor/energy), Planning &amp; estimation / coordination complexity, Material supply / logistics &amp; market disruption</x:v>
      </x:c>
      <x:c r="E1400" t="str">
        <x:v>Resource inefficiency (materials/labor/energy)</x:v>
      </x:c>
      <x:c r="F1400" t="str">
        <x:v>Planning &amp; estimation / coordination complexity</x:v>
      </x:c>
      <x:c r="G1400" t="str">
        <x:v>Resource inefficiency (materials/labor/energy), Planning &amp; estimation / coordination complexity, Equipment constraints / low availability</x:v>
      </x:c>
      <x:c r="H1400" t="str">
        <x:v>Cost overrun mainly linked to resource inefficiency (materials/labor/energy); schedule overrun mainly linked to resource inefficiency (materials/labor/energy).</x:v>
      </x:c>
    </x:row>
    <x:row r="1401">
      <x:c r="A1401" t="str">
        <x:v>PJT_1400</x:v>
      </x:c>
      <x:c r="B1401" t="str">
        <x:v>Planning &amp; estimation / coordination complexity</x:v>
      </x:c>
      <x:c r="C1401" t="str">
        <x:v>Resource inefficiency (materials/labor/energy)</x:v>
      </x:c>
      <x:c r="D1401" t="str">
        <x:v>Planning &amp; estimation / coordination complexity, Resource inefficiency (materials/labor/energy), Unforeseen site/structural issues &amp; rework</x:v>
      </x:c>
      <x:c r="E1401" t="str">
        <x:v>Planning &amp; estimation / coordination complexity</x:v>
      </x:c>
      <x:c r="F1401" t="str">
        <x:v>Unforeseen site/structural issues &amp; rework</x:v>
      </x:c>
      <x:c r="G1401" t="str">
        <x:v>Planning &amp; estimation / coordination complexity, Unforeseen site/structural issues &amp; rework, Resource inefficiency (materials/labor/energy)</x:v>
      </x:c>
      <x:c r="H1401" t="str">
        <x:v>Cost overrun mainly linked to planning &amp; estimation / coordination complexity; schedule overrun mainly linked to planning &amp; estimation / coordination complexity.</x:v>
      </x:c>
    </x:row>
    <x:row r="1402">
      <x:c r="A1402" t="str">
        <x:v>PJT_1401</x:v>
      </x:c>
      <x:c r="B1402" t="str">
        <x:v>Resource inefficiency (materials/labor/energy)</x:v>
      </x:c>
      <x:c r="C1402" t="str">
        <x:v>Planning &amp; estimation / coordination complexity</x:v>
      </x:c>
      <x:c r="D1402" t="str">
        <x:v>Resource inefficiency (materials/labor/energy), Planning &amp; estimation / coordination complexity, Equipment constraints / low availability</x:v>
      </x:c>
      <x:c r="E1402" t="str">
        <x:v>Resource inefficiency (materials/labor/energy)</x:v>
      </x:c>
      <x:c r="F1402" t="str">
        <x:v>Planning &amp; estimation / coordination complexity</x:v>
      </x:c>
      <x:c r="G1402" t="str">
        <x:v>Resource inefficiency (materials/labor/energy), Planning &amp; estimation / coordination complexity, Equipment constraints / low availability</x:v>
      </x:c>
      <x:c r="H1402" t="str">
        <x:v>Cost overrun mainly linked to resource inefficiency (materials/labor/energy); schedule overrun mainly linked to resource inefficiency (materials/labor/energy).</x:v>
      </x:c>
    </x:row>
    <x:row r="1403">
      <x:c r="A1403" t="str">
        <x:v>PJT_1402</x:v>
      </x:c>
      <x:c r="B1403" t="str">
        <x:v>Resource inefficiency (materials/labor/energy)</x:v>
      </x:c>
      <x:c r="C1403" t="str">
        <x:v>Planning &amp; estimation / coordination complexity</x:v>
      </x:c>
      <x:c r="D1403" t="str">
        <x:v>Resource inefficiency (materials/labor/energy), Planning &amp; estimation / coordination complexity, Material supply / logistics &amp; market disruption</x:v>
      </x:c>
      <x:c r="E1403" t="str">
        <x:v>Resource inefficiency (materials/labor/energy)</x:v>
      </x:c>
      <x:c r="F1403" t="str">
        <x:v>Planning &amp; estimation / coordination complexity</x:v>
      </x:c>
      <x:c r="G1403" t="str">
        <x:v>Resource inefficiency (materials/labor/energy), Planning &amp; estimation / coordination complexity, Equipment constraints / low availability</x:v>
      </x:c>
      <x:c r="H1403" t="str">
        <x:v>Cost overrun mainly linked to resource inefficiency (materials/labor/energy); schedule overrun mainly linked to resource inefficiency (materials/labor/energy).</x:v>
      </x:c>
    </x:row>
    <x:row r="1404">
      <x:c r="A1404" t="str">
        <x:v>PJT_1403</x:v>
      </x:c>
      <x:c r="B1404" t="str">
        <x:v>Equipment constraints / low availability</x:v>
      </x:c>
      <x:c r="C1404" t="str">
        <x:v>Resource inefficiency (materials/labor/energy)</x:v>
      </x:c>
      <x:c r="D1404" t="str">
        <x:v>Equipment constraints / low availability, Resource inefficiency (materials/labor/energy), Planning &amp; estimation / coordination complexity</x:v>
      </x:c>
      <x:c r="E1404" t="str">
        <x:v>Resource inefficiency (materials/labor/energy)</x:v>
      </x:c>
      <x:c r="F1404" t="str">
        <x:v>Equipment constraints / low availability</x:v>
      </x:c>
      <x:c r="G1404" t="str">
        <x:v>Resource inefficiency (materials/labor/energy), Equipment constraints / low availability, Planning &amp; estimation / coordination complexity</x:v>
      </x:c>
      <x:c r="H1404" t="str">
        <x:v>Cost overrun mainly linked to equipment constraints / low availability; schedule overrun mainly linked to resource inefficiency (materials/labor/energy).</x:v>
      </x:c>
    </x:row>
    <x:row r="1405">
      <x:c r="A1405" t="str">
        <x:v>PJT_1404</x:v>
      </x:c>
      <x:c r="B1405" t="str">
        <x:v>Material supply / logistics &amp; market disruption</x:v>
      </x:c>
      <x:c r="C1405" t="str">
        <x:v>Resource inefficiency (materials/labor/energy)</x:v>
      </x:c>
      <x:c r="D1405" t="str">
        <x:v>Material supply / logistics &amp; market disruption, Resource inefficiency (materials/labor/energy), Unforeseen site/structural issues &amp; rework</x:v>
      </x:c>
      <x:c r="E1405" t="str">
        <x:v>Material supply / logistics &amp; market disruption</x:v>
      </x:c>
      <x:c r="F1405" t="str">
        <x:v>Resource inefficiency (materials/labor/energy)</x:v>
      </x:c>
      <x:c r="G1405" t="str">
        <x:v>Material supply / logistics &amp; market disruption, Resource inefficiency (materials/labor/energy), Unforeseen site/structural issues &amp; rework</x:v>
      </x:c>
      <x:c r="H1405" t="str">
        <x:v>Cost overrun mainly linked to material supply / logistics &amp; market disruption; schedule overrun mainly linked to material supply / logistics &amp; market disruption.</x:v>
      </x:c>
    </x:row>
    <x:row r="1406">
      <x:c r="A1406" t="str">
        <x:v>PJT_1405</x:v>
      </x:c>
      <x:c r="B1406" t="str">
        <x:v>Weather disruption / environmental constraints</x:v>
      </x:c>
      <x:c r="C1406" t="str">
        <x:v>Unforeseen site/structural issues &amp; rework</x:v>
      </x:c>
      <x:c r="D1406" t="str">
        <x:v>Weather disruption / environmental constraints, Unforeseen site/structural issues &amp; rework, Material supply / logistics &amp; market disruption</x:v>
      </x:c>
      <x:c r="E1406" t="str">
        <x:v>Weather disruption / environmental constraints</x:v>
      </x:c>
      <x:c r="F1406" t="str">
        <x:v>Unforeseen site/structural issues &amp; rework</x:v>
      </x:c>
      <x:c r="G1406" t="str">
        <x:v>Weather disruption / environmental constraints, Unforeseen site/structural issues &amp; rework, Material supply / logistics &amp; market disruption</x:v>
      </x:c>
      <x:c r="H1406" t="str">
        <x:v>Cost overrun mainly linked to weather disruption / environmental constraints; schedule overrun mainly linked to weather disruption / environmental constraints.</x:v>
      </x:c>
    </x:row>
    <x:row r="1407">
      <x:c r="A1407" t="str">
        <x:v>PJT_1406</x:v>
      </x:c>
      <x:c r="B1407" t="str">
        <x:v>Unforeseen site/structural issues &amp; rework</x:v>
      </x:c>
      <x:c r="C1407" t="str">
        <x:v>Equipment constraints / low availability</x:v>
      </x:c>
      <x:c r="D1407" t="str">
        <x:v>Unforeseen site/structural issues &amp; rework, Equipment constraints / low availability, Planning &amp; estimation / coordination complexity</x:v>
      </x:c>
      <x:c r="E1407" t="str">
        <x:v>Unforeseen site/structural issues &amp; rework</x:v>
      </x:c>
      <x:c r="F1407" t="str">
        <x:v>Equipment constraints / low availability</x:v>
      </x:c>
      <x:c r="G1407" t="str">
        <x:v>Unforeseen site/structural issues &amp; rework, Equipment constraints / low availability, Planning &amp; estimation / coordination complexity</x:v>
      </x:c>
      <x:c r="H1407" t="str">
        <x:v>Cost overrun mainly linked to unforeseen site/structural issues &amp; rework; schedule overrun mainly linked to unforeseen site/structural issues &amp; rework.</x:v>
      </x:c>
    </x:row>
    <x:row r="1408">
      <x:c r="A1408" t="str">
        <x:v>PJT_1407</x:v>
      </x:c>
      <x:c r="B1408" t="str">
        <x:v>Weather disruption / environmental constraints</x:v>
      </x:c>
      <x:c r="C1408" t="str">
        <x:v>Material supply / logistics &amp; market disruption</x:v>
      </x:c>
      <x:c r="D1408" t="str">
        <x:v>Weather disruption / environmental constraints, Material supply / logistics &amp; market disruption, Planning &amp; estimation / coordination complexity</x:v>
      </x:c>
      <x:c r="E1408" t="str">
        <x:v>Weather disruption / environmental constraints</x:v>
      </x:c>
      <x:c r="F1408" t="str">
        <x:v>Material supply / logistics &amp; market disruption</x:v>
      </x:c>
      <x:c r="G1408" t="str">
        <x:v>Weather disruption / environmental constraints, Material supply / logistics &amp; market disruption, Planning &amp; estimation / coordination complexity</x:v>
      </x:c>
      <x:c r="H1408" t="str">
        <x:v>Cost overrun mainly linked to weather disruption / environmental constraints; schedule overrun mainly linked to weather disruption / environmental constraints.</x:v>
      </x:c>
    </x:row>
    <x:row r="1409">
      <x:c r="A1409" t="str">
        <x:v>PJT_1408</x:v>
      </x:c>
      <x:c r="B1409" t="str">
        <x:v>Weather disruption / environmental constraints</x:v>
      </x:c>
      <x:c r="C1409" t="str">
        <x:v>Unforeseen site/structural issues &amp; rework</x:v>
      </x:c>
      <x:c r="D1409" t="str">
        <x:v>Weather disruption / environmental constraints, Unforeseen site/structural issues &amp; rework, Planning &amp; estimation / coordination complexity</x:v>
      </x:c>
      <x:c r="E1409" t="str">
        <x:v>Weather disruption / environmental constraints</x:v>
      </x:c>
      <x:c r="F1409" t="str">
        <x:v>Unforeseen site/structural issues &amp; rework</x:v>
      </x:c>
      <x:c r="G1409" t="str">
        <x:v>Weather disruption / environmental constraints, Unforeseen site/structural issues &amp; rework, Planning &amp; estimation / coordination complexity</x:v>
      </x:c>
      <x:c r="H1409" t="str">
        <x:v>Cost overrun mainly linked to weather disruption / environmental constraints; schedule overrun mainly linked to weather disruption / environmental constraints.</x:v>
      </x:c>
    </x:row>
    <x:row r="1410">
      <x:c r="A1410" t="str">
        <x:v>PJT_1409</x:v>
      </x:c>
      <x:c r="B1410" t="str">
        <x:v>Equipment constraints / low availability</x:v>
      </x:c>
      <x:c r="C1410" t="str">
        <x:v>Weather disruption / environmental constraints</x:v>
      </x:c>
      <x:c r="D1410" t="str">
        <x:v>Equipment constraints / low availability, Weather disruption / environmental constraints, Material supply / logistics &amp; market disruption</x:v>
      </x:c>
      <x:c r="E1410" t="str">
        <x:v>Weather disruption / environmental constraints</x:v>
      </x:c>
      <x:c r="F1410" t="str">
        <x:v>Equipment constraints / low availability</x:v>
      </x:c>
      <x:c r="G1410" t="str">
        <x:v>Weather disruption / environmental constraints, Equipment constraints / low availability, Material supply / logistics &amp; market disruption</x:v>
      </x:c>
      <x:c r="H1410" t="str">
        <x:v>Cost overrun mainly linked to equipment constraints / low availability; schedule overrun mainly linked to weather disruption / environmental constraints.</x:v>
      </x:c>
    </x:row>
    <x:row r="1411">
      <x:c r="A1411" t="str">
        <x:v>PJT_1410</x:v>
      </x:c>
      <x:c r="B1411" t="str">
        <x:v>Material supply / logistics &amp; market disruption</x:v>
      </x:c>
      <x:c r="C1411" t="str">
        <x:v>Equipment constraints / low availability</x:v>
      </x:c>
      <x:c r="D1411" t="str">
        <x:v>Material supply / logistics &amp; market disruption, Equipment constraints / low availability, Resource inefficiency (materials/labor/energy)</x:v>
      </x:c>
      <x:c r="E1411" t="str">
        <x:v>Material supply / logistics &amp; market disruption</x:v>
      </x:c>
      <x:c r="F1411" t="str">
        <x:v>Resource inefficiency (materials/labor/energy)</x:v>
      </x:c>
      <x:c r="G1411" t="str">
        <x:v>Material supply / logistics &amp; market disruption, Resource inefficiency (materials/labor/energy), Equipment constraints / low availability</x:v>
      </x:c>
      <x:c r="H1411" t="str">
        <x:v>Cost overrun mainly linked to material supply / logistics &amp; market disruption; schedule overrun mainly linked to material supply / logistics &amp; market disruption.</x:v>
      </x:c>
    </x:row>
    <x:row r="1412">
      <x:c r="A1412" t="str">
        <x:v>PJT_1411</x:v>
      </x:c>
      <x:c r="B1412" t="str">
        <x:v>Resource inefficiency (materials/labor/energy)</x:v>
      </x:c>
      <x:c r="C1412" t="str">
        <x:v>Equipment constraints / low availability</x:v>
      </x:c>
      <x:c r="D1412" t="str">
        <x:v>Resource inefficiency (materials/labor/energy), Equipment constraints / low availability, Planning &amp; estimation / coordination complexity</x:v>
      </x:c>
      <x:c r="E1412" t="str">
        <x:v>Equipment constraints / low availability</x:v>
      </x:c>
      <x:c r="F1412" t="str">
        <x:v>Resource inefficiency (materials/labor/energy)</x:v>
      </x:c>
      <x:c r="G1412" t="str">
        <x:v>Equipment constraints / low availability, Resource inefficiency (materials/labor/energy), Planning &amp; estimation / coordination complexity</x:v>
      </x:c>
      <x:c r="H1412" t="str">
        <x:v>Cost overrun mainly linked to resource inefficiency (materials/labor/energy); schedule overrun mainly linked to equipment constraints / low availability.</x:v>
      </x:c>
    </x:row>
    <x:row r="1413">
      <x:c r="A1413" t="str">
        <x:v>PJT_1412</x:v>
      </x:c>
      <x:c r="B1413" t="str">
        <x:v>Equipment constraints / low availability</x:v>
      </x:c>
      <x:c r="C1413" t="str">
        <x:v>Resource inefficiency (materials/labor/energy)</x:v>
      </x:c>
      <x:c r="D1413" t="str">
        <x:v>Equipment constraints / low availability, Resource inefficiency (materials/labor/energy), Planning &amp; estimation / coordination complexity</x:v>
      </x:c>
      <x:c r="E1413" t="str">
        <x:v>Resource inefficiency (materials/labor/energy)</x:v>
      </x:c>
      <x:c r="F1413" t="str">
        <x:v>Equipment constraints / low availability</x:v>
      </x:c>
      <x:c r="G1413" t="str">
        <x:v>Resource inefficiency (materials/labor/energy), Equipment constraints / low availability, Planning &amp; estimation / coordination complexity</x:v>
      </x:c>
      <x:c r="H1413" t="str">
        <x:v>Cost overrun mainly linked to equipment constraints / low availability; schedule overrun mainly linked to resource inefficiency (materials/labor/energy).</x:v>
      </x:c>
    </x:row>
    <x:row r="1414">
      <x:c r="A1414" t="str">
        <x:v>PJT_1413</x:v>
      </x:c>
      <x:c r="B1414" t="str">
        <x:v>Planning &amp; estimation / coordination complexity</x:v>
      </x:c>
      <x:c r="C1414" t="str">
        <x:v>Material supply / logistics &amp; market disruption</x:v>
      </x:c>
      <x:c r="D1414" t="str">
        <x:v>Planning &amp; estimation / coordination complexity, Material supply / logistics &amp; market disruption, Equipment constraints / low availability</x:v>
      </x:c>
      <x:c r="E1414" t="str">
        <x:v>Planning &amp; estimation / coordination complexity</x:v>
      </x:c>
      <x:c r="F1414" t="str">
        <x:v>Equipment constraints / low availability</x:v>
      </x:c>
      <x:c r="G1414" t="str">
        <x:v>Planning &amp; estimation / coordination complexity, Equipment constraints / low availability, Unforeseen site/structural issues &amp; rework</x:v>
      </x:c>
      <x:c r="H1414" t="str">
        <x:v>Cost overrun mainly linked to planning &amp; estimation / coordination complexity; schedule overrun mainly linked to planning &amp; estimation / coordination complexity.</x:v>
      </x:c>
    </x:row>
    <x:row r="1415">
      <x:c r="A1415" t="str">
        <x:v>PJT_1414</x:v>
      </x:c>
      <x:c r="B1415" t="str">
        <x:v>Equipment constraints / low availability</x:v>
      </x:c>
      <x:c r="C1415" t="str">
        <x:v>Resource inefficiency (materials/labor/energy)</x:v>
      </x:c>
      <x:c r="D1415" t="str">
        <x:v>Equipment constraints / low availability, Resource inefficiency (materials/labor/energy), Planning &amp; estimation / coordination complexity</x:v>
      </x:c>
      <x:c r="E1415" t="str">
        <x:v>Equipment constraints / low availability</x:v>
      </x:c>
      <x:c r="F1415" t="str">
        <x:v>Resource inefficiency (materials/labor/energy)</x:v>
      </x:c>
      <x:c r="G1415" t="str">
        <x:v>Equipment constraints / low availability, Resource inefficiency (materials/labor/energy), Planning &amp; estimation / coordination complexity</x:v>
      </x:c>
      <x:c r="H1415" t="str">
        <x:v>Cost overrun mainly linked to equipment constraints / low availability; schedule overrun mainly linked to equipment constraints / low availability.</x:v>
      </x:c>
    </x:row>
    <x:row r="1416">
      <x:c r="A1416" t="str">
        <x:v>PJT_1415</x:v>
      </x:c>
      <x:c r="B1416" t="str">
        <x:v>Weather disruption / environmental constraints</x:v>
      </x:c>
      <x:c r="C1416" t="str">
        <x:v>Material supply / logistics &amp; market disruption</x:v>
      </x:c>
      <x:c r="D1416" t="str">
        <x:v>Weather disruption / environmental constraints, Material supply / logistics &amp; market disruption, Unforeseen site/structural issues &amp; rework</x:v>
      </x:c>
      <x:c r="E1416" t="str">
        <x:v>Weather disruption / environmental constraints</x:v>
      </x:c>
      <x:c r="F1416" t="str">
        <x:v>Material supply / logistics &amp; market disruption</x:v>
      </x:c>
      <x:c r="G1416" t="str">
        <x:v>Weather disruption / environmental constraints, Material supply / logistics &amp; market disruption, Unforeseen site/structural issues &amp; rework</x:v>
      </x:c>
      <x:c r="H1416" t="str">
        <x:v>Cost overrun mainly linked to weather disruption / environmental constraints; schedule overrun mainly linked to weather disruption / environmental constraints.</x:v>
      </x:c>
    </x:row>
    <x:row r="1417">
      <x:c r="A1417" t="str">
        <x:v>PJT_1416</x:v>
      </x:c>
      <x:c r="B1417" t="str">
        <x:v>Resource inefficiency (materials/labor/energy)</x:v>
      </x:c>
      <x:c r="C1417" t="str">
        <x:v>Material supply / logistics &amp; market disruption</x:v>
      </x:c>
      <x:c r="D1417" t="str">
        <x:v>Resource inefficiency (materials/labor/energy), Material supply / logistics &amp; market disruption, Planning &amp; estimation / coordination complexity</x:v>
      </x:c>
      <x:c r="E1417" t="str">
        <x:v>Resource inefficiency (materials/labor/energy)</x:v>
      </x:c>
      <x:c r="F1417" t="str">
        <x:v>Planning &amp; estimation / coordination complexity</x:v>
      </x:c>
      <x:c r="G1417" t="str">
        <x:v>Resource inefficiency (materials/labor/energy), Planning &amp; estimation / coordination complexity, Material supply / logistics &amp; market disruption</x:v>
      </x:c>
      <x:c r="H1417" t="str">
        <x:v>Cost overrun mainly linked to resource inefficiency (materials/labor/energy); schedule overrun mainly linked to resource inefficiency (materials/labor/energy).</x:v>
      </x:c>
    </x:row>
    <x:row r="1418">
      <x:c r="A1418" t="str">
        <x:v>PJT_1417</x:v>
      </x:c>
      <x:c r="B1418" t="str">
        <x:v>Resource inefficiency (materials/labor/energy)</x:v>
      </x:c>
      <x:c r="C1418" t="str">
        <x:v>Material supply / logistics &amp; market disruption</x:v>
      </x:c>
      <x:c r="D1418" t="str">
        <x:v>Resource inefficiency (materials/labor/energy), Material supply / logistics &amp; market disruption, Planning &amp; estimation / coordination complexity</x:v>
      </x:c>
      <x:c r="E1418" t="str">
        <x:v>Resource inefficiency (materials/labor/energy)</x:v>
      </x:c>
      <x:c r="F1418" t="str">
        <x:v>Planning &amp; estimation / coordination complexity</x:v>
      </x:c>
      <x:c r="G1418" t="str">
        <x:v>Resource inefficiency (materials/labor/energy), Planning &amp; estimation / coordination complexity, Equipment constraints / low availability</x:v>
      </x:c>
      <x:c r="H1418" t="str">
        <x:v>Cost overrun mainly linked to resource inefficiency (materials/labor/energy); schedule overrun mainly linked to resource inefficiency (materials/labor/energy).</x:v>
      </x:c>
    </x:row>
    <x:row r="1419">
      <x:c r="A1419" t="str">
        <x:v>PJT_1418</x:v>
      </x:c>
      <x:c r="B1419" t="str">
        <x:v>Weather disruption / environmental constraints</x:v>
      </x:c>
      <x:c r="C1419" t="str">
        <x:v>Unforeseen site/structural issues &amp; rework</x:v>
      </x:c>
      <x:c r="D1419" t="str">
        <x:v>Weather disruption / environmental constraints, Unforeseen site/structural issues &amp; rework, Material supply / logistics &amp; market disruption</x:v>
      </x:c>
      <x:c r="E1419" t="str">
        <x:v>Weather disruption / environmental constraints</x:v>
      </x:c>
      <x:c r="F1419" t="str">
        <x:v>Unforeseen site/structural issues &amp; rework</x:v>
      </x:c>
      <x:c r="G1419" t="str">
        <x:v>Weather disruption / environmental constraints, Unforeseen site/structural issues &amp; rework, Material supply / logistics &amp; market disruption</x:v>
      </x:c>
      <x:c r="H1419" t="str">
        <x:v>Cost overrun mainly linked to weather disruption / environmental constraints; schedule overrun mainly linked to weather disruption / environmental constraints.</x:v>
      </x:c>
    </x:row>
    <x:row r="1420">
      <x:c r="A1420" t="str">
        <x:v>PJT_1419</x:v>
      </x:c>
      <x:c r="B1420" t="str">
        <x:v>Weather disruption / environmental constraints</x:v>
      </x:c>
      <x:c r="C1420" t="str">
        <x:v>Equipment constraints / low availability</x:v>
      </x:c>
      <x:c r="D1420" t="str">
        <x:v>Weather disruption / environmental constraints, Equipment constraints / low availability, Planning &amp; estimation / coordination complexity</x:v>
      </x:c>
      <x:c r="E1420" t="str">
        <x:v>Weather disruption / environmental constraints</x:v>
      </x:c>
      <x:c r="F1420" t="str">
        <x:v>Unforeseen site/structural issues &amp; rework</x:v>
      </x:c>
      <x:c r="G1420" t="str">
        <x:v>Weather disruption / environmental constraints, Unforeseen site/structural issues &amp; rework, Planning &amp; estimation / coordination complexity</x:v>
      </x:c>
      <x:c r="H1420" t="str">
        <x:v>Cost overrun mainly linked to weather disruption / environmental constraints; schedule overrun mainly linked to weather disruption / environmental constraints.</x:v>
      </x:c>
    </x:row>
    <x:row r="1421">
      <x:c r="A1421" t="str">
        <x:v>PJT_1420</x:v>
      </x:c>
      <x:c r="B1421" t="str">
        <x:v>Unforeseen site/structural issues &amp; rework</x:v>
      </x:c>
      <x:c r="C1421" t="str">
        <x:v>Weather disruption / environmental constraints</x:v>
      </x:c>
      <x:c r="D1421" t="str">
        <x:v>Unforeseen site/structural issues &amp; rework, Weather disruption / environmental constraints, Equipment constraints / low availability</x:v>
      </x:c>
      <x:c r="E1421" t="str">
        <x:v>Unforeseen site/structural issues &amp; rework</x:v>
      </x:c>
      <x:c r="F1421" t="str">
        <x:v>Weather disruption / environmental constraints</x:v>
      </x:c>
      <x:c r="G1421" t="str">
        <x:v>Unforeseen site/structural issues &amp; rework, Weather disruption / environmental constraints, Equipment constraints / low availability</x:v>
      </x:c>
      <x:c r="H1421" t="str">
        <x:v>Cost overrun mainly linked to unforeseen site/structural issues &amp; rework; schedule overrun mainly linked to unforeseen site/structural issues &amp; rework.</x:v>
      </x:c>
    </x:row>
    <x:row r="1422">
      <x:c r="A1422" t="str">
        <x:v>PJT_1421</x:v>
      </x:c>
      <x:c r="B1422" t="str">
        <x:v>Equipment constraints / low availability</x:v>
      </x:c>
      <x:c r="C1422" t="str">
        <x:v>Resource inefficiency (materials/labor/energy)</x:v>
      </x:c>
      <x:c r="D1422" t="str">
        <x:v>Equipment constraints / low availability, Resource inefficiency (materials/labor/energy), Planning &amp; estimation / coordination complexity</x:v>
      </x:c>
      <x:c r="E1422" t="str">
        <x:v>Equipment constraints / low availability</x:v>
      </x:c>
      <x:c r="F1422" t="str">
        <x:v>Planning &amp; estimation / coordination complexity</x:v>
      </x:c>
      <x:c r="G1422" t="str">
        <x:v>Equipment constraints / low availability, Planning &amp; estimation / coordination complexity, Resource inefficiency (materials/labor/energy)</x:v>
      </x:c>
      <x:c r="H1422" t="str">
        <x:v>Cost overrun mainly linked to equipment constraints / low availability; schedule overrun mainly linked to equipment constraints / low availability.</x:v>
      </x:c>
    </x:row>
    <x:row r="1423">
      <x:c r="A1423" t="str">
        <x:v>PJT_1422</x:v>
      </x:c>
      <x:c r="B1423" t="str">
        <x:v>Equipment constraints / low availability</x:v>
      </x:c>
      <x:c r="C1423" t="str">
        <x:v>Resource inefficiency (materials/labor/energy)</x:v>
      </x:c>
      <x:c r="D1423" t="str">
        <x:v>Equipment constraints / low availability, Resource inefficiency (materials/labor/energy), Weather disruption / environmental constraints</x:v>
      </x:c>
      <x:c r="E1423" t="str">
        <x:v>Equipment constraints / low availability</x:v>
      </x:c>
      <x:c r="F1423" t="str">
        <x:v>Resource inefficiency (materials/labor/energy)</x:v>
      </x:c>
      <x:c r="G1423" t="str">
        <x:v>Equipment constraints / low availability, Resource inefficiency (materials/labor/energy), Weather disruption / environmental constraints</x:v>
      </x:c>
      <x:c r="H1423" t="str">
        <x:v>Cost overrun mainly linked to equipment constraints / low availability; schedule overrun mainly linked to equipment constraints / low availability.</x:v>
      </x:c>
    </x:row>
    <x:row r="1424">
      <x:c r="A1424" t="str">
        <x:v>PJT_1423</x:v>
      </x:c>
      <x:c r="B1424" t="str">
        <x:v>Equipment constraints / low availability</x:v>
      </x:c>
      <x:c r="C1424" t="str">
        <x:v>Resource inefficiency (materials/labor/energy)</x:v>
      </x:c>
      <x:c r="D1424" t="str">
        <x:v>Equipment constraints / low availability, Resource inefficiency (materials/labor/energy), Material supply / logistics &amp; market disruption</x:v>
      </x:c>
      <x:c r="E1424" t="str">
        <x:v>Equipment constraints / low availability</x:v>
      </x:c>
      <x:c r="F1424" t="str">
        <x:v>Resource inefficiency (materials/labor/energy)</x:v>
      </x:c>
      <x:c r="G1424" t="str">
        <x:v>Equipment constraints / low availability, Resource inefficiency (materials/labor/energy), Material supply / logistics &amp; market disruption</x:v>
      </x:c>
      <x:c r="H1424" t="str">
        <x:v>Cost overrun mainly linked to equipment constraints / low availability; schedule overrun mainly linked to equipment constraints / low availability.</x:v>
      </x:c>
    </x:row>
    <x:row r="1425">
      <x:c r="A1425" t="str">
        <x:v>PJT_1424</x:v>
      </x:c>
      <x:c r="B1425" t="str">
        <x:v>Weather disruption / environmental constraints</x:v>
      </x:c>
      <x:c r="C1425" t="str">
        <x:v>Equipment constraints / low availability</x:v>
      </x:c>
      <x:c r="D1425" t="str">
        <x:v>Weather disruption / environmental constraints, Equipment constraints / low availability, Material supply / logistics &amp; market disruption</x:v>
      </x:c>
      <x:c r="E1425" t="str">
        <x:v>Weather disruption / environmental constraints</x:v>
      </x:c>
      <x:c r="F1425" t="str">
        <x:v>Equipment constraints / low availability</x:v>
      </x:c>
      <x:c r="G1425" t="str">
        <x:v>Weather disruption / environmental constraints, Equipment constraints / low availability, Material supply / logistics &amp; market disruption</x:v>
      </x:c>
      <x:c r="H1425" t="str">
        <x:v>Cost overrun mainly linked to weather disruption / environmental constraints; schedule overrun mainly linked to weather disruption / environmental constraints.</x:v>
      </x:c>
    </x:row>
    <x:row r="1426">
      <x:c r="A1426" t="str">
        <x:v>PJT_1425</x:v>
      </x:c>
      <x:c r="B1426" t="str">
        <x:v>Unforeseen site/structural issues &amp; rework</x:v>
      </x:c>
      <x:c r="C1426" t="str">
        <x:v>Weather disruption / environmental constraints</x:v>
      </x:c>
      <x:c r="D1426" t="str">
        <x:v>Unforeseen site/structural issues &amp; rework, Weather disruption / environmental constraints, Planning &amp; estimation / coordination complexity</x:v>
      </x:c>
      <x:c r="E1426" t="str">
        <x:v>Unforeseen site/structural issues &amp; rework</x:v>
      </x:c>
      <x:c r="F1426" t="str">
        <x:v>Weather disruption / environmental constraints</x:v>
      </x:c>
      <x:c r="G1426" t="str">
        <x:v>Unforeseen site/structural issues &amp; rework, Weather disruption / environmental constraints, Planning &amp; estimation / coordination complexity</x:v>
      </x:c>
      <x:c r="H1426" t="str">
        <x:v>Cost overrun mainly linked to unforeseen site/structural issues &amp; rework; schedule overrun mainly linked to unforeseen site/structural issues &amp; rework.</x:v>
      </x:c>
    </x:row>
    <x:row r="1427">
      <x:c r="A1427" t="str">
        <x:v>PJT_1426</x:v>
      </x:c>
      <x:c r="B1427" t="str">
        <x:v>Unforeseen site/structural issues &amp; rework</x:v>
      </x:c>
      <x:c r="C1427" t="str">
        <x:v>Resource inefficiency (materials/labor/energy)</x:v>
      </x:c>
      <x:c r="D1427" t="str">
        <x:v>Unforeseen site/structural issues &amp; rework, Resource inefficiency (materials/labor/energy), Material supply / logistics &amp; market disruption</x:v>
      </x:c>
      <x:c r="E1427" t="str">
        <x:v>Unforeseen site/structural issues &amp; rework</x:v>
      </x:c>
      <x:c r="F1427" t="str">
        <x:v>Resource inefficiency (materials/labor/energy)</x:v>
      </x:c>
      <x:c r="G1427" t="str">
        <x:v>Unforeseen site/structural issues &amp; rework, Resource inefficiency (materials/labor/energy), Planning &amp; estimation / coordination complexity</x:v>
      </x:c>
      <x:c r="H1427" t="str">
        <x:v>Cost overrun mainly linked to unforeseen site/structural issues &amp; rework; schedule overrun mainly linked to unforeseen site/structural issues &amp; rework.</x:v>
      </x:c>
    </x:row>
    <x:row r="1428">
      <x:c r="A1428" t="str">
        <x:v>PJT_1427</x:v>
      </x:c>
      <x:c r="B1428" t="str">
        <x:v>Equipment constraints / low availability</x:v>
      </x:c>
      <x:c r="C1428" t="str">
        <x:v>Weather disruption / environmental constraints</x:v>
      </x:c>
      <x:c r="D1428" t="str">
        <x:v>Equipment constraints / low availability, Weather disruption / environmental constraints, Material supply / logistics &amp; market disruption</x:v>
      </x:c>
      <x:c r="E1428" t="str">
        <x:v>Equipment constraints / low availability</x:v>
      </x:c>
      <x:c r="F1428" t="str">
        <x:v>Weather disruption / environmental constraints</x:v>
      </x:c>
      <x:c r="G1428" t="str">
        <x:v>Equipment constraints / low availability, Weather disruption / environmental constraints, Material supply / logistics &amp; market disruption</x:v>
      </x:c>
      <x:c r="H1428" t="str">
        <x:v>Cost overrun mainly linked to equipment constraints / low availability; schedule overrun mainly linked to equipment constraints / low availability.</x:v>
      </x:c>
    </x:row>
    <x:row r="1429">
      <x:c r="A1429" t="str">
        <x:v>PJT_1428</x:v>
      </x:c>
      <x:c r="B1429" t="str">
        <x:v>Weather disruption / environmental constraints</x:v>
      </x:c>
      <x:c r="C1429" t="str">
        <x:v>Unforeseen site/structural issues &amp; rework</x:v>
      </x:c>
      <x:c r="D1429" t="str">
        <x:v>Weather disruption / environmental constraints, Unforeseen site/structural issues &amp; rework, Equipment constraints / low availability</x:v>
      </x:c>
      <x:c r="E1429" t="str">
        <x:v>Weather disruption / environmental constraints</x:v>
      </x:c>
      <x:c r="F1429" t="str">
        <x:v>Unforeseen site/structural issues &amp; rework</x:v>
      </x:c>
      <x:c r="G1429" t="str">
        <x:v>Weather disruption / environmental constraints, Unforeseen site/structural issues &amp; rework, Equipment constraints / low availability</x:v>
      </x:c>
      <x:c r="H1429" t="str">
        <x:v>Cost overrun mainly linked to weather disruption / environmental constraints; schedule overrun mainly linked to weather disruption / environmental constraints.</x:v>
      </x:c>
    </x:row>
    <x:row r="1430">
      <x:c r="A1430" t="str">
        <x:v>PJT_1429</x:v>
      </x:c>
      <x:c r="B1430" t="str">
        <x:v>Planning &amp; estimation / coordination complexity</x:v>
      </x:c>
      <x:c r="C1430" t="str">
        <x:v>Resource inefficiency (materials/labor/energy)</x:v>
      </x:c>
      <x:c r="D1430" t="str">
        <x:v>Planning &amp; estimation / coordination complexity, Resource inefficiency (materials/labor/energy), Equipment constraints / low availability</x:v>
      </x:c>
      <x:c r="E1430" t="str">
        <x:v>Planning &amp; estimation / coordination complexity</x:v>
      </x:c>
      <x:c r="F1430" t="str">
        <x:v>Resource inefficiency (materials/labor/energy)</x:v>
      </x:c>
      <x:c r="G1430" t="str">
        <x:v>Planning &amp; estimation / coordination complexity, Resource inefficiency (materials/labor/energy), Equipment constraints / low availability</x:v>
      </x:c>
      <x:c r="H1430" t="str">
        <x:v>Cost overrun mainly linked to planning &amp; estimation / coordination complexity; schedule overrun mainly linked to planning &amp; estimation / coordination complexity.</x:v>
      </x:c>
    </x:row>
    <x:row r="1431">
      <x:c r="A1431" t="str">
        <x:v>PJT_1430</x:v>
      </x:c>
      <x:c r="B1431" t="str">
        <x:v>Resource inefficiency (materials/labor/energy)</x:v>
      </x:c>
      <x:c r="C1431" t="str">
        <x:v>Material supply / logistics &amp; market disruption</x:v>
      </x:c>
      <x:c r="D1431" t="str">
        <x:v>Resource inefficiency (materials/labor/energy), Material supply / logistics &amp; market disruption, Equipment constraints / low availability</x:v>
      </x:c>
      <x:c r="E1431" t="str">
        <x:v>Resource inefficiency (materials/labor/energy)</x:v>
      </x:c>
      <x:c r="F1431" t="str">
        <x:v>Material supply / logistics &amp; market disruption</x:v>
      </x:c>
      <x:c r="G1431" t="str">
        <x:v>Resource inefficiency (materials/labor/energy), Material supply / logistics &amp; market disruption, Equipment constraints / low availability</x:v>
      </x:c>
      <x:c r="H1431" t="str">
        <x:v>Cost overrun mainly linked to resource inefficiency (materials/labor/energy); schedule overrun mainly linked to resource inefficiency (materials/labor/energy).</x:v>
      </x:c>
    </x:row>
    <x:row r="1432">
      <x:c r="A1432" t="str">
        <x:v>PJT_1431</x:v>
      </x:c>
      <x:c r="B1432" t="str">
        <x:v>Resource inefficiency (materials/labor/energy)</x:v>
      </x:c>
      <x:c r="C1432" t="str">
        <x:v>Planning &amp; estimation / coordination complexity</x:v>
      </x:c>
      <x:c r="D1432" t="str">
        <x:v>Resource inefficiency (materials/labor/energy), Planning &amp; estimation / coordination complexity, Equipment constraints / low availability</x:v>
      </x:c>
      <x:c r="E1432" t="str">
        <x:v>Planning &amp; estimation / coordination complexity</x:v>
      </x:c>
      <x:c r="F1432" t="str">
        <x:v>Resource inefficiency (materials/labor/energy)</x:v>
      </x:c>
      <x:c r="G1432" t="str">
        <x:v>Planning &amp; estimation / coordination complexity, Resource inefficiency (materials/labor/energy), Unforeseen site/structural issues &amp; rework</x:v>
      </x:c>
      <x:c r="H1432" t="str">
        <x:v>Cost overrun mainly linked to resource inefficiency (materials/labor/energy); schedule overrun mainly linked to planning &amp; estimation / coordination complexity.</x:v>
      </x:c>
    </x:row>
    <x:row r="1433">
      <x:c r="A1433" t="str">
        <x:v>PJT_1432</x:v>
      </x:c>
      <x:c r="B1433" t="str">
        <x:v>Planning &amp; estimation / coordination complexity</x:v>
      </x:c>
      <x:c r="C1433" t="str">
        <x:v>Unforeseen site/structural issues &amp; rework</x:v>
      </x:c>
      <x:c r="D1433" t="str">
        <x:v>Planning &amp; estimation / coordination complexity, Unforeseen site/structural issues &amp; rework, Equipment constraints / low availability</x:v>
      </x:c>
      <x:c r="E1433" t="str">
        <x:v>Unforeseen site/structural issues &amp; rework</x:v>
      </x:c>
      <x:c r="F1433" t="str">
        <x:v>Planning &amp; estimation / coordination complexity</x:v>
      </x:c>
      <x:c r="G1433" t="str">
        <x:v>Unforeseen site/structural issues &amp; rework, Planning &amp; estimation / coordination complexity, Equipment constraints / low availability</x:v>
      </x:c>
      <x:c r="H1433" t="str">
        <x:v>Cost overrun mainly linked to planning &amp; estimation / coordination complexity; schedule overrun mainly linked to unforeseen site/structural issues &amp; rework.</x:v>
      </x:c>
    </x:row>
    <x:row r="1434">
      <x:c r="A1434" t="str">
        <x:v>PJT_1433</x:v>
      </x:c>
      <x:c r="B1434" t="str">
        <x:v>Equipment constraints / low availability</x:v>
      </x:c>
      <x:c r="C1434" t="str">
        <x:v>Planning &amp; estimation / coordination complexity</x:v>
      </x:c>
      <x:c r="D1434" t="str">
        <x:v>Equipment constraints / low availability, Planning &amp; estimation / coordination complexity, Resource inefficiency (materials/labor/energy)</x:v>
      </x:c>
      <x:c r="E1434" t="str">
        <x:v>Equipment constraints / low availability</x:v>
      </x:c>
      <x:c r="F1434" t="str">
        <x:v>Planning &amp; estimation / coordination complexity</x:v>
      </x:c>
      <x:c r="G1434" t="str">
        <x:v>Equipment constraints / low availability, Planning &amp; estimation / coordination complexity, Resource inefficiency (materials/labor/energy)</x:v>
      </x:c>
      <x:c r="H1434" t="str">
        <x:v>Cost overrun mainly linked to equipment constraints / low availability; schedule overrun mainly linked to equipment constraints / low availability.</x:v>
      </x:c>
    </x:row>
    <x:row r="1435">
      <x:c r="A1435" t="str">
        <x:v>PJT_1434</x:v>
      </x:c>
      <x:c r="B1435" t="str">
        <x:v>Unforeseen site/structural issues &amp; rework</x:v>
      </x:c>
      <x:c r="C1435" t="str">
        <x:v>Planning &amp; estimation / coordination complexity</x:v>
      </x:c>
      <x:c r="D1435" t="str">
        <x:v>Unforeseen site/structural issues &amp; rework, Planning &amp; estimation / coordination complexity, Equipment constraints / low availability</x:v>
      </x:c>
      <x:c r="E1435" t="str">
        <x:v>Unforeseen site/structural issues &amp; rework</x:v>
      </x:c>
      <x:c r="F1435" t="str">
        <x:v>Planning &amp; estimation / coordination complexity</x:v>
      </x:c>
      <x:c r="G1435" t="str">
        <x:v>Unforeseen site/structural issues &amp; rework, Planning &amp; estimation / coordination complexity, Equipment constraints / low availability</x:v>
      </x:c>
      <x:c r="H1435" t="str">
        <x:v>Cost overrun mainly linked to unforeseen site/structural issues &amp; rework; schedule overrun mainly linked to unforeseen site/structural issues &amp; rework.</x:v>
      </x:c>
    </x:row>
    <x:row r="1436">
      <x:c r="A1436" t="str">
        <x:v>PJT_1435</x:v>
      </x:c>
      <x:c r="B1436" t="str">
        <x:v>Equipment constraints / low availability</x:v>
      </x:c>
      <x:c r="C1436" t="str">
        <x:v>Planning &amp; estimation / coordination complexity</x:v>
      </x:c>
      <x:c r="D1436" t="str">
        <x:v>Equipment constraints / low availability, Planning &amp; estimation / coordination complexity, Weather disruption / environmental constraints</x:v>
      </x:c>
      <x:c r="E1436" t="str">
        <x:v>Equipment constraints / low availability</x:v>
      </x:c>
      <x:c r="F1436" t="str">
        <x:v>Planning &amp; estimation / coordination complexity</x:v>
      </x:c>
      <x:c r="G1436" t="str">
        <x:v>Equipment constraints / low availability, Planning &amp; estimation / coordination complexity, Weather disruption / environmental constraints</x:v>
      </x:c>
      <x:c r="H1436" t="str">
        <x:v>Cost overrun mainly linked to equipment constraints / low availability; schedule overrun mainly linked to equipment constraints / low availability.</x:v>
      </x:c>
    </x:row>
    <x:row r="1437">
      <x:c r="A1437" t="str">
        <x:v>PJT_1436</x:v>
      </x:c>
      <x:c r="B1437" t="str">
        <x:v>Unforeseen site/structural issues &amp; rework</x:v>
      </x:c>
      <x:c r="C1437" t="str">
        <x:v>Resource inefficiency (materials/labor/energy)</x:v>
      </x:c>
      <x:c r="D1437" t="str">
        <x:v>Unforeseen site/structural issues &amp; rework, Resource inefficiency (materials/labor/energy), Planning &amp; estimation / coordination complexity</x:v>
      </x:c>
      <x:c r="E1437" t="str">
        <x:v>Unforeseen site/structural issues &amp; rework</x:v>
      </x:c>
      <x:c r="F1437" t="str">
        <x:v>Planning &amp; estimation / coordination complexity</x:v>
      </x:c>
      <x:c r="G1437" t="str">
        <x:v>Unforeseen site/structural issues &amp; rework, Planning &amp; estimation / coordination complexity, Resource inefficiency (materials/labor/energy)</x:v>
      </x:c>
      <x:c r="H1437" t="str">
        <x:v>Cost overrun mainly linked to unforeseen site/structural issues &amp; rework; schedule overrun mainly linked to unforeseen site/structural issues &amp; rework.</x:v>
      </x:c>
    </x:row>
    <x:row r="1438">
      <x:c r="A1438" t="str">
        <x:v>PJT_1437</x:v>
      </x:c>
      <x:c r="B1438" t="str">
        <x:v>Planning &amp; estimation / coordination complexity</x:v>
      </x:c>
      <x:c r="C1438" t="str">
        <x:v>Equipment constraints / low availability</x:v>
      </x:c>
      <x:c r="D1438" t="str">
        <x:v>Planning &amp; estimation / coordination complexity, Equipment constraints / low availability, Unforeseen site/structural issues &amp; rework</x:v>
      </x:c>
      <x:c r="E1438" t="str">
        <x:v>Planning &amp; estimation / coordination complexity</x:v>
      </x:c>
      <x:c r="F1438" t="str">
        <x:v>Unforeseen site/structural issues &amp; rework</x:v>
      </x:c>
      <x:c r="G1438" t="str">
        <x:v>Planning &amp; estimation / coordination complexity, Unforeseen site/structural issues &amp; rework, Equipment constraints / low availability</x:v>
      </x:c>
      <x:c r="H1438" t="str">
        <x:v>Cost overrun mainly linked to planning &amp; estimation / coordination complexity; schedule overrun mainly linked to planning &amp; estimation / coordination complexity.</x:v>
      </x:c>
    </x:row>
    <x:row r="1439">
      <x:c r="A1439" t="str">
        <x:v>PJT_1438</x:v>
      </x:c>
      <x:c r="B1439" t="str">
        <x:v>Planning &amp; estimation / coordination complexity</x:v>
      </x:c>
      <x:c r="C1439" t="str">
        <x:v>Resource inefficiency (materials/labor/energy)</x:v>
      </x:c>
      <x:c r="D1439" t="str">
        <x:v>Planning &amp; estimation / coordination complexity, Resource inefficiency (materials/labor/energy), Unforeseen site/structural issues &amp; rework</x:v>
      </x:c>
      <x:c r="E1439" t="str">
        <x:v>Planning &amp; estimation / coordination complexity</x:v>
      </x:c>
      <x:c r="F1439" t="str">
        <x:v>Unforeseen site/structural issues &amp; rework</x:v>
      </x:c>
      <x:c r="G1439" t="str">
        <x:v>Planning &amp; estimation / coordination complexity, Unforeseen site/structural issues &amp; rework, Resource inefficiency (materials/labor/energy)</x:v>
      </x:c>
      <x:c r="H1439" t="str">
        <x:v>Cost overrun mainly linked to planning &amp; estimation / coordination complexity; schedule overrun mainly linked to planning &amp; estimation / coordination complexity.</x:v>
      </x:c>
    </x:row>
    <x:row r="1440">
      <x:c r="A1440" t="str">
        <x:v>PJT_1439</x:v>
      </x:c>
      <x:c r="B1440" t="str">
        <x:v>Equipment constraints / low availability</x:v>
      </x:c>
      <x:c r="C1440" t="str">
        <x:v>Resource inefficiency (materials/labor/energy)</x:v>
      </x:c>
      <x:c r="D1440" t="str">
        <x:v>Equipment constraints / low availability, Resource inefficiency (materials/labor/energy), Material supply / logistics &amp; market disruption</x:v>
      </x:c>
      <x:c r="E1440" t="str">
        <x:v>Equipment constraints / low availability</x:v>
      </x:c>
      <x:c r="F1440" t="str">
        <x:v>Resource inefficiency (materials/labor/energy)</x:v>
      </x:c>
      <x:c r="G1440" t="str">
        <x:v>Equipment constraints / low availability, Resource inefficiency (materials/labor/energy), Material supply / logistics &amp; market disruption</x:v>
      </x:c>
      <x:c r="H1440" t="str">
        <x:v>Cost overrun mainly linked to equipment constraints / low availability; schedule overrun mainly linked to equipment constraints / low availability.</x:v>
      </x:c>
    </x:row>
    <x:row r="1441">
      <x:c r="A1441" t="str">
        <x:v>PJT_1440</x:v>
      </x:c>
      <x:c r="B1441" t="str">
        <x:v>Unforeseen site/structural issues &amp; rework</x:v>
      </x:c>
      <x:c r="C1441" t="str">
        <x:v>Planning &amp; estimation / coordination complexity</x:v>
      </x:c>
      <x:c r="D1441" t="str">
        <x:v>Unforeseen site/structural issues &amp; rework, Planning &amp; estimation / coordination complexity, Weather disruption / environmental constraints</x:v>
      </x:c>
      <x:c r="E1441" t="str">
        <x:v>Unforeseen site/structural issues &amp; rework</x:v>
      </x:c>
      <x:c r="F1441" t="str">
        <x:v>Planning &amp; estimation / coordination complexity</x:v>
      </x:c>
      <x:c r="G1441" t="str">
        <x:v>Unforeseen site/structural issues &amp; rework, Planning &amp; estimation / coordination complexity, Weather disruption / environmental constraints</x:v>
      </x:c>
      <x:c r="H1441" t="str">
        <x:v>Cost overrun mainly linked to unforeseen site/structural issues &amp; rework; schedule overrun mainly linked to unforeseen site/structural issues &amp; rework.</x:v>
      </x:c>
    </x:row>
    <x:row r="1442">
      <x:c r="A1442" t="str">
        <x:v>PJT_1441</x:v>
      </x:c>
      <x:c r="B1442" t="str">
        <x:v>Planning &amp; estimation / coordination complexity</x:v>
      </x:c>
      <x:c r="C1442" t="str">
        <x:v>Unforeseen site/structural issues &amp; rework</x:v>
      </x:c>
      <x:c r="D1442" t="str">
        <x:v>Planning &amp; estimation / coordination complexity, Unforeseen site/structural issues &amp; rework, Equipment constraints / low availability</x:v>
      </x:c>
      <x:c r="E1442" t="str">
        <x:v>Unforeseen site/structural issues &amp; rework</x:v>
      </x:c>
      <x:c r="F1442" t="str">
        <x:v>Planning &amp; estimation / coordination complexity</x:v>
      </x:c>
      <x:c r="G1442" t="str">
        <x:v>Unforeseen site/structural issues &amp; rework, Planning &amp; estimation / coordination complexity, Equipment constraints / low availability</x:v>
      </x:c>
      <x:c r="H1442" t="str">
        <x:v>Cost overrun mainly linked to planning &amp; estimation / coordination complexity; schedule overrun mainly linked to unforeseen site/structural issues &amp; rework.</x:v>
      </x:c>
    </x:row>
    <x:row r="1443">
      <x:c r="A1443" t="str">
        <x:v>PJT_1442</x:v>
      </x:c>
      <x:c r="B1443" t="str">
        <x:v>Weather disruption / environmental constraints</x:v>
      </x:c>
      <x:c r="C1443" t="str">
        <x:v>Unforeseen site/structural issues &amp; rework</x:v>
      </x:c>
      <x:c r="D1443" t="str">
        <x:v>Weather disruption / environmental constraints, Unforeseen site/structural issues &amp; rework, Equipment constraints / low availability</x:v>
      </x:c>
      <x:c r="E1443" t="str">
        <x:v>Weather disruption / environmental constraints</x:v>
      </x:c>
      <x:c r="F1443" t="str">
        <x:v>Unforeseen site/structural issues &amp; rework</x:v>
      </x:c>
      <x:c r="G1443" t="str">
        <x:v>Weather disruption / environmental constraints, Unforeseen site/structural issues &amp; rework, Equipment constraints / low availability</x:v>
      </x:c>
      <x:c r="H1443" t="str">
        <x:v>Cost overrun mainly linked to weather disruption / environmental constraints; schedule overrun mainly linked to weather disruption / environmental constraints.</x:v>
      </x:c>
    </x:row>
    <x:row r="1444">
      <x:c r="A1444" t="str">
        <x:v>PJT_1443</x:v>
      </x:c>
      <x:c r="B1444" t="str">
        <x:v>Equipment constraints / low availability</x:v>
      </x:c>
      <x:c r="C1444" t="str">
        <x:v>Planning &amp; estimation / coordination complexity</x:v>
      </x:c>
      <x:c r="D1444" t="str">
        <x:v>Equipment constraints / low availability, Planning &amp; estimation / coordination complexity, Unforeseen site/structural issues &amp; rework</x:v>
      </x:c>
      <x:c r="E1444" t="str">
        <x:v>Equipment constraints / low availability</x:v>
      </x:c>
      <x:c r="F1444" t="str">
        <x:v>Planning &amp; estimation / coordination complexity</x:v>
      </x:c>
      <x:c r="G1444" t="str">
        <x:v>Equipment constraints / low availability, Planning &amp; estimation / coordination complexity, Unforeseen site/structural issues &amp; rework</x:v>
      </x:c>
      <x:c r="H1444" t="str">
        <x:v>Cost overrun mainly linked to equipment constraints / low availability; schedule overrun mainly linked to equipment constraints / low availability.</x:v>
      </x:c>
    </x:row>
    <x:row r="1445">
      <x:c r="A1445" t="str">
        <x:v>PJT_1444</x:v>
      </x:c>
      <x:c r="B1445" t="str">
        <x:v>Planning &amp; estimation / coordination complexity</x:v>
      </x:c>
      <x:c r="C1445" t="str">
        <x:v>Unforeseen site/structural issues &amp; rework</x:v>
      </x:c>
      <x:c r="D1445" t="str">
        <x:v>Planning &amp; estimation / coordination complexity, Unforeseen site/structural issues &amp; rework, Resource inefficiency (materials/labor/energy)</x:v>
      </x:c>
      <x:c r="E1445" t="str">
        <x:v>Planning &amp; estimation / coordination complexity</x:v>
      </x:c>
      <x:c r="F1445" t="str">
        <x:v>Unforeseen site/structural issues &amp; rework</x:v>
      </x:c>
      <x:c r="G1445" t="str">
        <x:v>Planning &amp; estimation / coordination complexity, Unforeseen site/structural issues &amp; rework, Resource inefficiency (materials/labor/energy)</x:v>
      </x:c>
      <x:c r="H1445" t="str">
        <x:v>Cost overrun mainly linked to planning &amp; estimation / coordination complexity; schedule overrun mainly linked to planning &amp; estimation / coordination complexity.</x:v>
      </x:c>
    </x:row>
    <x:row r="1446">
      <x:c r="A1446" t="str">
        <x:v>PJT_1445</x:v>
      </x:c>
      <x:c r="B1446" t="str">
        <x:v>Unforeseen site/structural issues &amp; rework</x:v>
      </x:c>
      <x:c r="C1446" t="str">
        <x:v>Planning &amp; estimation / coordination complexity</x:v>
      </x:c>
      <x:c r="D1446" t="str">
        <x:v>Unforeseen site/structural issues &amp; rework, Planning &amp; estimation / coordination complexity, Equipment constraints / low availability</x:v>
      </x:c>
      <x:c r="E1446" t="str">
        <x:v>Unforeseen site/structural issues &amp; rework</x:v>
      </x:c>
      <x:c r="F1446" t="str">
        <x:v>Planning &amp; estimation / coordination complexity</x:v>
      </x:c>
      <x:c r="G1446" t="str">
        <x:v>Unforeseen site/structural issues &amp; rework, Planning &amp; estimation / coordination complexity, Equipment constraints / low availability</x:v>
      </x:c>
      <x:c r="H1446" t="str">
        <x:v>Cost overrun mainly linked to unforeseen site/structural issues &amp; rework; schedule overrun mainly linked to unforeseen site/structural issues &amp; rework.</x:v>
      </x:c>
    </x:row>
    <x:row r="1447">
      <x:c r="A1447" t="str">
        <x:v>PJT_1446</x:v>
      </x:c>
      <x:c r="B1447" t="str">
        <x:v>Resource inefficiency (materials/labor/energy)</x:v>
      </x:c>
      <x:c r="C1447" t="str">
        <x:v>Planning &amp; estimation / coordination complexity</x:v>
      </x:c>
      <x:c r="D1447" t="str">
        <x:v>Resource inefficiency (materials/labor/energy), Planning &amp; estimation / coordination complexity, Equipment constraints / low availability</x:v>
      </x:c>
      <x:c r="E1447" t="str">
        <x:v>Resource inefficiency (materials/labor/energy)</x:v>
      </x:c>
      <x:c r="F1447" t="str">
        <x:v>Planning &amp; estimation / coordination complexity</x:v>
      </x:c>
      <x:c r="G1447" t="str">
        <x:v>Resource inefficiency (materials/labor/energy), Planning &amp; estimation / coordination complexity, Equipment constraints / low availability</x:v>
      </x:c>
      <x:c r="H1447" t="str">
        <x:v>Cost overrun mainly linked to resource inefficiency (materials/labor/energy); schedule overrun mainly linked to resource inefficiency (materials/labor/energy).</x:v>
      </x:c>
    </x:row>
    <x:row r="1448">
      <x:c r="A1448" t="str">
        <x:v>PJT_1447</x:v>
      </x:c>
      <x:c r="B1448" t="str">
        <x:v>Resource inefficiency (materials/labor/energy)</x:v>
      </x:c>
      <x:c r="C1448" t="str">
        <x:v>Material supply / logistics &amp; market disruption</x:v>
      </x:c>
      <x:c r="D1448" t="str">
        <x:v>Resource inefficiency (materials/labor/energy), Material supply / logistics &amp; market disruption, Equipment constraints / low availability</x:v>
      </x:c>
      <x:c r="E1448" t="str">
        <x:v>Resource inefficiency (materials/labor/energy)</x:v>
      </x:c>
      <x:c r="F1448" t="str">
        <x:v>Equipment constraints / low availability</x:v>
      </x:c>
      <x:c r="G1448" t="str">
        <x:v>Resource inefficiency (materials/labor/energy), Equipment constraints / low availability, Material supply / logistics &amp; market disruption</x:v>
      </x:c>
      <x:c r="H1448" t="str">
        <x:v>Cost overrun mainly linked to resource inefficiency (materials/labor/energy); schedule overrun mainly linked to resource inefficiency (materials/labor/energy).</x:v>
      </x:c>
    </x:row>
    <x:row r="1449">
      <x:c r="A1449" t="str">
        <x:v>PJT_1448</x:v>
      </x:c>
      <x:c r="B1449" t="str">
        <x:v>Equipment constraints / low availability</x:v>
      </x:c>
      <x:c r="C1449" t="str">
        <x:v>Resource inefficiency (materials/labor/energy)</x:v>
      </x:c>
      <x:c r="D1449" t="str">
        <x:v>Equipment constraints / low availability, Resource inefficiency (materials/labor/energy), Planning &amp; estimation / coordination complexity</x:v>
      </x:c>
      <x:c r="E1449" t="str">
        <x:v>Equipment constraints / low availability</x:v>
      </x:c>
      <x:c r="F1449" t="str">
        <x:v>Resource inefficiency (materials/labor/energy)</x:v>
      </x:c>
      <x:c r="G1449" t="str">
        <x:v>Equipment constraints / low availability, Resource inefficiency (materials/labor/energy), Planning &amp; estimation / coordination complexity</x:v>
      </x:c>
      <x:c r="H1449" t="str">
        <x:v>Cost overrun mainly linked to equipment constraints / low availability; schedule overrun mainly linked to equipment constraints / low availability.</x:v>
      </x:c>
    </x:row>
    <x:row r="1450">
      <x:c r="A1450" t="str">
        <x:v>PJT_1449</x:v>
      </x:c>
      <x:c r="B1450" t="str">
        <x:v>Unforeseen site/structural issues &amp; rework</x:v>
      </x:c>
      <x:c r="C1450" t="str">
        <x:v>Planning &amp; estimation / coordination complexity</x:v>
      </x:c>
      <x:c r="D1450" t="str">
        <x:v>Unforeseen site/structural issues &amp; rework, Planning &amp; estimation / coordination complexity, Equipment constraints / low availability</x:v>
      </x:c>
      <x:c r="E1450" t="str">
        <x:v>Unforeseen site/structural issues &amp; rework</x:v>
      </x:c>
      <x:c r="F1450" t="str">
        <x:v>Planning &amp; estimation / coordination complexity</x:v>
      </x:c>
      <x:c r="G1450" t="str">
        <x:v>Unforeseen site/structural issues &amp; rework, Planning &amp; estimation / coordination complexity, Weather disruption / environmental constraints</x:v>
      </x:c>
      <x:c r="H1450" t="str">
        <x:v>Cost overrun mainly linked to unforeseen site/structural issues &amp; rework; schedule overrun mainly linked to unforeseen site/structural issues &amp; rework.</x:v>
      </x:c>
    </x:row>
    <x:row r="1451">
      <x:c r="A1451" t="str">
        <x:v>PJT_1450</x:v>
      </x:c>
      <x:c r="B1451" t="str">
        <x:v>Resource inefficiency (materials/labor/energy)</x:v>
      </x:c>
      <x:c r="C1451" t="str">
        <x:v>Planning &amp; estimation / coordination complexity</x:v>
      </x:c>
      <x:c r="D1451" t="str">
        <x:v>Resource inefficiency (materials/labor/energy), Planning &amp; estimation / coordination complexity, Equipment constraints / low availability</x:v>
      </x:c>
      <x:c r="E1451" t="str">
        <x:v>Planning &amp; estimation / coordination complexity</x:v>
      </x:c>
      <x:c r="F1451" t="str">
        <x:v>Resource inefficiency (materials/labor/energy)</x:v>
      </x:c>
      <x:c r="G1451" t="str">
        <x:v>Planning &amp; estimation / coordination complexity, Resource inefficiency (materials/labor/energy), Unforeseen site/structural issues &amp; rework</x:v>
      </x:c>
      <x:c r="H1451" t="str">
        <x:v>Cost overrun mainly linked to resource inefficiency (materials/labor/energy); schedule overrun mainly linked to planning &amp; estimation / coordination complexity.</x:v>
      </x:c>
    </x:row>
    <x:row r="1452">
      <x:c r="A1452" t="str">
        <x:v>PJT_1451</x:v>
      </x:c>
      <x:c r="B1452" t="str">
        <x:v>Resource inefficiency (materials/labor/energy)</x:v>
      </x:c>
      <x:c r="C1452" t="str">
        <x:v>Planning &amp; estimation / coordination complexity</x:v>
      </x:c>
      <x:c r="D1452" t="str">
        <x:v>Resource inefficiency (materials/labor/energy), Planning &amp; estimation / coordination complexity, Equipment constraints / low availability</x:v>
      </x:c>
      <x:c r="E1452" t="str">
        <x:v>Resource inefficiency (materials/labor/energy)</x:v>
      </x:c>
      <x:c r="F1452" t="str">
        <x:v>Planning &amp; estimation / coordination complexity</x:v>
      </x:c>
      <x:c r="G1452" t="str">
        <x:v>Resource inefficiency (materials/labor/energy), Planning &amp; estimation / coordination complexity, Equipment constraints / low availability</x:v>
      </x:c>
      <x:c r="H1452" t="str">
        <x:v>Cost overrun mainly linked to resource inefficiency (materials/labor/energy); schedule overrun mainly linked to resource inefficiency (materials/labor/energy).</x:v>
      </x:c>
    </x:row>
    <x:row r="1453">
      <x:c r="A1453" t="str">
        <x:v>PJT_1452</x:v>
      </x:c>
      <x:c r="B1453" t="str">
        <x:v>Resource inefficiency (materials/labor/energy)</x:v>
      </x:c>
      <x:c r="C1453" t="str">
        <x:v>Material supply / logistics &amp; market disruption</x:v>
      </x:c>
      <x:c r="D1453" t="str">
        <x:v>Resource inefficiency (materials/labor/energy), Material supply / logistics &amp; market disruption, Planning &amp; estimation / coordination complexity</x:v>
      </x:c>
      <x:c r="E1453" t="str">
        <x:v>Resource inefficiency (materials/labor/energy)</x:v>
      </x:c>
      <x:c r="F1453" t="str">
        <x:v>Planning &amp; estimation / coordination complexity</x:v>
      </x:c>
      <x:c r="G1453" t="str">
        <x:v>Resource inefficiency (materials/labor/energy), Planning &amp; estimation / coordination complexity, Material supply / logistics &amp; market disruption</x:v>
      </x:c>
      <x:c r="H1453" t="str">
        <x:v>Cost overrun mainly linked to resource inefficiency (materials/labor/energy); schedule overrun mainly linked to resource inefficiency (materials/labor/energy).</x:v>
      </x:c>
    </x:row>
    <x:row r="1454">
      <x:c r="A1454" t="str">
        <x:v>PJT_1453</x:v>
      </x:c>
      <x:c r="B1454" t="str">
        <x:v>Weather disruption / environmental constraints</x:v>
      </x:c>
      <x:c r="C1454" t="str">
        <x:v>Material supply / logistics &amp; market disruption</x:v>
      </x:c>
      <x:c r="D1454" t="str">
        <x:v>Weather disruption / environmental constraints, Material supply / logistics &amp; market disruption, Unforeseen site/structural issues &amp; rework</x:v>
      </x:c>
      <x:c r="E1454" t="str">
        <x:v>Weather disruption / environmental constraints</x:v>
      </x:c>
      <x:c r="F1454" t="str">
        <x:v>Material supply / logistics &amp; market disruption</x:v>
      </x:c>
      <x:c r="G1454" t="str">
        <x:v>Weather disruption / environmental constraints, Material supply / logistics &amp; market disruption, Unforeseen site/structural issues &amp; rework</x:v>
      </x:c>
      <x:c r="H1454" t="str">
        <x:v>Cost overrun mainly linked to weather disruption / environmental constraints; schedule overrun mainly linked to weather disruption / environmental constraints.</x:v>
      </x:c>
    </x:row>
    <x:row r="1455">
      <x:c r="A1455" t="str">
        <x:v>PJT_1454</x:v>
      </x:c>
      <x:c r="B1455" t="str">
        <x:v>Unforeseen site/structural issues &amp; rework</x:v>
      </x:c>
      <x:c r="C1455" t="str">
        <x:v>Weather disruption / environmental constraints</x:v>
      </x:c>
      <x:c r="D1455" t="str">
        <x:v>Unforeseen site/structural issues &amp; rework, Weather disruption / environmental constraints, Planning &amp; estimation / coordination complexity</x:v>
      </x:c>
      <x:c r="E1455" t="str">
        <x:v>Unforeseen site/structural issues &amp; rework</x:v>
      </x:c>
      <x:c r="F1455" t="str">
        <x:v>Planning &amp; estimation / coordination complexity</x:v>
      </x:c>
      <x:c r="G1455" t="str">
        <x:v>Unforeseen site/structural issues &amp; rework, Planning &amp; estimation / coordination complexity, Weather disruption / environmental constraints</x:v>
      </x:c>
      <x:c r="H1455" t="str">
        <x:v>Cost overrun mainly linked to unforeseen site/structural issues &amp; rework; schedule overrun mainly linked to unforeseen site/structural issues &amp; rework.</x:v>
      </x:c>
    </x:row>
    <x:row r="1456">
      <x:c r="A1456" t="str">
        <x:v>PJT_1455</x:v>
      </x:c>
      <x:c r="B1456" t="str">
        <x:v>Resource inefficiency (materials/labor/energy)</x:v>
      </x:c>
      <x:c r="C1456" t="str">
        <x:v>Equipment constraints / low availability</x:v>
      </x:c>
      <x:c r="D1456" t="str">
        <x:v>Resource inefficiency (materials/labor/energy), Equipment constraints / low availability, Planning &amp; estimation / coordination complexity</x:v>
      </x:c>
      <x:c r="E1456" t="str">
        <x:v>Resource inefficiency (materials/labor/energy)</x:v>
      </x:c>
      <x:c r="F1456" t="str">
        <x:v>Equipment constraints / low availability</x:v>
      </x:c>
      <x:c r="G1456" t="str">
        <x:v>Resource inefficiency (materials/labor/energy), Equipment constraints / low availability, Planning &amp; estimation / coordination complexity</x:v>
      </x:c>
      <x:c r="H1456" t="str">
        <x:v>Cost overrun mainly linked to resource inefficiency (materials/labor/energy); schedule overrun mainly linked to resource inefficiency (materials/labor/energy).</x:v>
      </x:c>
    </x:row>
    <x:row r="1457">
      <x:c r="A1457" t="str">
        <x:v>PJT_1456</x:v>
      </x:c>
      <x:c r="B1457" t="str">
        <x:v>Resource inefficiency (materials/labor/energy)</x:v>
      </x:c>
      <x:c r="C1457" t="str">
        <x:v>Planning &amp; estimation / coordination complexity</x:v>
      </x:c>
      <x:c r="D1457" t="str">
        <x:v>Resource inefficiency (materials/labor/energy), Planning &amp; estimation / coordination complexity, Equipment constraints / low availability</x:v>
      </x:c>
      <x:c r="E1457" t="str">
        <x:v>Planning &amp; estimation / coordination complexity</x:v>
      </x:c>
      <x:c r="F1457" t="str">
        <x:v>Resource inefficiency (materials/labor/energy)</x:v>
      </x:c>
      <x:c r="G1457" t="str">
        <x:v>Planning &amp; estimation / coordination complexity, Resource inefficiency (materials/labor/energy), Unforeseen site/structural issues &amp; rework</x:v>
      </x:c>
      <x:c r="H1457" t="str">
        <x:v>Cost overrun mainly linked to resource inefficiency (materials/labor/energy); schedule overrun mainly linked to planning &amp; estimation / coordination complexity.</x:v>
      </x:c>
    </x:row>
    <x:row r="1458">
      <x:c r="A1458" t="str">
        <x:v>PJT_1457</x:v>
      </x:c>
      <x:c r="B1458" t="str">
        <x:v>Resource inefficiency (materials/labor/energy)</x:v>
      </x:c>
      <x:c r="C1458" t="str">
        <x:v>Material supply / logistics &amp; market disruption</x:v>
      </x:c>
      <x:c r="D1458" t="str">
        <x:v>Resource inefficiency (materials/labor/energy), Material supply / logistics &amp; market disruption, Planning &amp; estimation / coordination complexity</x:v>
      </x:c>
      <x:c r="E1458" t="str">
        <x:v>Resource inefficiency (materials/labor/energy)</x:v>
      </x:c>
      <x:c r="F1458" t="str">
        <x:v>Planning &amp; estimation / coordination complexity</x:v>
      </x:c>
      <x:c r="G1458" t="str">
        <x:v>Resource inefficiency (materials/labor/energy), Planning &amp; estimation / coordination complexity, Material supply / logistics &amp; market disruption</x:v>
      </x:c>
      <x:c r="H1458" t="str">
        <x:v>Cost overrun mainly linked to resource inefficiency (materials/labor/energy); schedule overrun mainly linked to resource inefficiency (materials/labor/energy).</x:v>
      </x:c>
    </x:row>
    <x:row r="1459">
      <x:c r="A1459" t="str">
        <x:v>PJT_1458</x:v>
      </x:c>
      <x:c r="B1459" t="str">
        <x:v>Equipment constraints / low availability</x:v>
      </x:c>
      <x:c r="C1459" t="str">
        <x:v>Planning &amp; estimation / coordination complexity</x:v>
      </x:c>
      <x:c r="D1459" t="str">
        <x:v>Equipment constraints / low availability, Planning &amp; estimation / coordination complexity, Unforeseen site/structural issues &amp; rework</x:v>
      </x:c>
      <x:c r="E1459" t="str">
        <x:v>Equipment constraints / low availability</x:v>
      </x:c>
      <x:c r="F1459" t="str">
        <x:v>Planning &amp; estimation / coordination complexity</x:v>
      </x:c>
      <x:c r="G1459" t="str">
        <x:v>Equipment constraints / low availability, Planning &amp; estimation / coordination complexity, Unforeseen site/structural issues &amp; rework</x:v>
      </x:c>
      <x:c r="H1459" t="str">
        <x:v>Cost overrun mainly linked to equipment constraints / low availability; schedule overrun mainly linked to equipment constraints / low availability.</x:v>
      </x:c>
    </x:row>
    <x:row r="1460">
      <x:c r="A1460" t="str">
        <x:v>PJT_1459</x:v>
      </x:c>
      <x:c r="B1460" t="str">
        <x:v>Planning &amp; estimation / coordination complexity</x:v>
      </x:c>
      <x:c r="C1460" t="str">
        <x:v>Unforeseen site/structural issues &amp; rework</x:v>
      </x:c>
      <x:c r="D1460" t="str">
        <x:v>Planning &amp; estimation / coordination complexity, Unforeseen site/structural issues &amp; rework, Equipment constraints / low availability</x:v>
      </x:c>
      <x:c r="E1460" t="str">
        <x:v>Unforeseen site/structural issues &amp; rework</x:v>
      </x:c>
      <x:c r="F1460" t="str">
        <x:v>Planning &amp; estimation / coordination complexity</x:v>
      </x:c>
      <x:c r="G1460" t="str">
        <x:v>Unforeseen site/structural issues &amp; rework, Planning &amp; estimation / coordination complexity, Equipment constraints / low availability</x:v>
      </x:c>
      <x:c r="H1460" t="str">
        <x:v>Cost overrun mainly linked to planning &amp; estimation / coordination complexity; schedule overrun mainly linked to unforeseen site/structural issues &amp; rework.</x:v>
      </x:c>
    </x:row>
    <x:row r="1461">
      <x:c r="A1461" t="str">
        <x:v>PJT_1460</x:v>
      </x:c>
      <x:c r="B1461" t="str">
        <x:v>Resource inefficiency (materials/labor/energy)</x:v>
      </x:c>
      <x:c r="C1461" t="str">
        <x:v>Equipment constraints / low availability</x:v>
      </x:c>
      <x:c r="D1461" t="str">
        <x:v>Resource inefficiency (materials/labor/energy), Equipment constraints / low availability, Planning &amp; estimation / coordination complexity</x:v>
      </x:c>
      <x:c r="E1461" t="str">
        <x:v>Resource inefficiency (materials/labor/energy)</x:v>
      </x:c>
      <x:c r="F1461" t="str">
        <x:v>Equipment constraints / low availability</x:v>
      </x:c>
      <x:c r="G1461" t="str">
        <x:v>Resource inefficiency (materials/labor/energy), Equipment constraints / low availability, Planning &amp; estimation / coordination complexity</x:v>
      </x:c>
      <x:c r="H1461" t="str">
        <x:v>Cost overrun mainly linked to resource inefficiency (materials/labor/energy); schedule overrun mainly linked to resource inefficiency (materials/labor/energy).</x:v>
      </x:c>
    </x:row>
    <x:row r="1462">
      <x:c r="A1462" t="str">
        <x:v>PJT_1461</x:v>
      </x:c>
      <x:c r="B1462" t="str">
        <x:v>Unforeseen site/structural issues &amp; rework</x:v>
      </x:c>
      <x:c r="C1462" t="str">
        <x:v>Equipment constraints / low availability</x:v>
      </x:c>
      <x:c r="D1462" t="str">
        <x:v>Unforeseen site/structural issues &amp; rework, Equipment constraints / low availability, Planning &amp; estimation / coordination complexity</x:v>
      </x:c>
      <x:c r="E1462" t="str">
        <x:v>Unforeseen site/structural issues &amp; rework</x:v>
      </x:c>
      <x:c r="F1462" t="str">
        <x:v>Planning &amp; estimation / coordination complexity</x:v>
      </x:c>
      <x:c r="G1462" t="str">
        <x:v>Unforeseen site/structural issues &amp; rework, Planning &amp; estimation / coordination complexity, Equipment constraints / low availability</x:v>
      </x:c>
      <x:c r="H1462" t="str">
        <x:v>Cost overrun mainly linked to unforeseen site/structural issues &amp; rework; schedule overrun mainly linked to unforeseen site/structural issues &amp; rework.</x:v>
      </x:c>
    </x:row>
    <x:row r="1463">
      <x:c r="A1463" t="str">
        <x:v>PJT_1462</x:v>
      </x:c>
      <x:c r="B1463" t="str">
        <x:v>Resource inefficiency (materials/labor/energy)</x:v>
      </x:c>
      <x:c r="C1463" t="str">
        <x:v>Planning &amp; estimation / coordination complexity</x:v>
      </x:c>
      <x:c r="D1463" t="str">
        <x:v>Resource inefficiency (materials/labor/energy), Planning &amp; estimation / coordination complexity, Equipment constraints / low availability</x:v>
      </x:c>
      <x:c r="E1463" t="str">
        <x:v>Planning &amp; estimation / coordination complexity</x:v>
      </x:c>
      <x:c r="F1463" t="str">
        <x:v>Resource inefficiency (materials/labor/energy)</x:v>
      </x:c>
      <x:c r="G1463" t="str">
        <x:v>Planning &amp; estimation / coordination complexity, Resource inefficiency (materials/labor/energy), Equipment constraints / low availability</x:v>
      </x:c>
      <x:c r="H1463" t="str">
        <x:v>Cost overrun mainly linked to resource inefficiency (materials/labor/energy); schedule overrun mainly linked to planning &amp; estimation / coordination complexity.</x:v>
      </x:c>
    </x:row>
    <x:row r="1464">
      <x:c r="A1464" t="str">
        <x:v>PJT_1463</x:v>
      </x:c>
      <x:c r="B1464" t="str">
        <x:v>Equipment constraints / low availability</x:v>
      </x:c>
      <x:c r="C1464" t="str">
        <x:v>Planning &amp; estimation / coordination complexity</x:v>
      </x:c>
      <x:c r="D1464" t="str">
        <x:v>Equipment constraints / low availability, Planning &amp; estimation / coordination complexity, Weather disruption / environmental constraints</x:v>
      </x:c>
      <x:c r="E1464" t="str">
        <x:v>Equipment constraints / low availability</x:v>
      </x:c>
      <x:c r="F1464" t="str">
        <x:v>Planning &amp; estimation / coordination complexity</x:v>
      </x:c>
      <x:c r="G1464" t="str">
        <x:v>Equipment constraints / low availability, Planning &amp; estimation / coordination complexity, Weather disruption / environmental constraints</x:v>
      </x:c>
      <x:c r="H1464" t="str">
        <x:v>Cost overrun mainly linked to equipment constraints / low availability; schedule overrun mainly linked to equipment constraints / low availability.</x:v>
      </x:c>
    </x:row>
    <x:row r="1465">
      <x:c r="A1465" t="str">
        <x:v>PJT_1464</x:v>
      </x:c>
      <x:c r="B1465" t="str">
        <x:v>Material supply / logistics &amp; market disruption</x:v>
      </x:c>
      <x:c r="C1465" t="str">
        <x:v>Planning &amp; estimation / coordination complexity</x:v>
      </x:c>
      <x:c r="D1465" t="str">
        <x:v>Material supply / logistics &amp; market disruption, Planning &amp; estimation / coordination complexity, Resource inefficiency (materials/labor/energy)</x:v>
      </x:c>
      <x:c r="E1465" t="str">
        <x:v>Material supply / logistics &amp; market disruption</x:v>
      </x:c>
      <x:c r="F1465" t="str">
        <x:v>Planning &amp; estimation / coordination complexity</x:v>
      </x:c>
      <x:c r="G1465" t="str">
        <x:v>Material supply / logistics &amp; market disruption, Planning &amp; estimation / coordination complexity, Unforeseen site/structural issues &amp; rework</x:v>
      </x:c>
      <x:c r="H1465" t="str">
        <x:v>Cost overrun mainly linked to material supply / logistics &amp; market disruption; schedule overrun mainly linked to material supply / logistics &amp; market disruption.</x:v>
      </x:c>
    </x:row>
    <x:row r="1466">
      <x:c r="A1466" t="str">
        <x:v>PJT_1465</x:v>
      </x:c>
      <x:c r="B1466" t="str">
        <x:v>Unforeseen site/structural issues &amp; rework</x:v>
      </x:c>
      <x:c r="C1466" t="str">
        <x:v>Resource inefficiency (materials/labor/energy)</x:v>
      </x:c>
      <x:c r="D1466" t="str">
        <x:v>Unforeseen site/structural issues &amp; rework, Resource inefficiency (materials/labor/energy), Equipment constraints / low availability</x:v>
      </x:c>
      <x:c r="E1466" t="str">
        <x:v>Unforeseen site/structural issues &amp; rework</x:v>
      </x:c>
      <x:c r="F1466" t="str">
        <x:v>Resource inefficiency (materials/labor/energy)</x:v>
      </x:c>
      <x:c r="G1466" t="str">
        <x:v>Unforeseen site/structural issues &amp; rework, Resource inefficiency (materials/labor/energy), Equipment constraints / low availability</x:v>
      </x:c>
      <x:c r="H1466" t="str">
        <x:v>Cost overrun mainly linked to unforeseen site/structural issues &amp; rework; schedule overrun mainly linked to unforeseen site/structural issues &amp; rework.</x:v>
      </x:c>
    </x:row>
    <x:row r="1467">
      <x:c r="A1467" t="str">
        <x:v>PJT_1466</x:v>
      </x:c>
      <x:c r="B1467" t="str">
        <x:v>Resource inefficiency (materials/labor/energy)</x:v>
      </x:c>
      <x:c r="C1467" t="str">
        <x:v>Material supply / logistics &amp; market disruption</x:v>
      </x:c>
      <x:c r="D1467" t="str">
        <x:v>Resource inefficiency (materials/labor/energy), Material supply / logistics &amp; market disruption, Planning &amp; estimation / coordination complexity</x:v>
      </x:c>
      <x:c r="E1467" t="str">
        <x:v>Resource inefficiency (materials/labor/energy)</x:v>
      </x:c>
      <x:c r="F1467" t="str">
        <x:v>Planning &amp; estimation / coordination complexity</x:v>
      </x:c>
      <x:c r="G1467" t="str">
        <x:v>Resource inefficiency (materials/labor/energy), Planning &amp; estimation / coordination complexity, Material supply / logistics &amp; market disruption</x:v>
      </x:c>
      <x:c r="H1467" t="str">
        <x:v>Cost overrun mainly linked to resource inefficiency (materials/labor/energy); schedule overrun mainly linked to resource inefficiency (materials/labor/energy).</x:v>
      </x:c>
    </x:row>
    <x:row r="1468">
      <x:c r="A1468" t="str">
        <x:v>PJT_1467</x:v>
      </x:c>
      <x:c r="B1468" t="str">
        <x:v>Planning &amp; estimation / coordination complexity</x:v>
      </x:c>
      <x:c r="C1468" t="str">
        <x:v>Resource inefficiency (materials/labor/energy)</x:v>
      </x:c>
      <x:c r="D1468" t="str">
        <x:v>Planning &amp; estimation / coordination complexity, Resource inefficiency (materials/labor/energy), Equipment constraints / low availability</x:v>
      </x:c>
      <x:c r="E1468" t="str">
        <x:v>Planning &amp; estimation / coordination complexity</x:v>
      </x:c>
      <x:c r="F1468" t="str">
        <x:v>Resource inefficiency (materials/labor/energy)</x:v>
      </x:c>
      <x:c r="G1468" t="str">
        <x:v>Planning &amp; estimation / coordination complexity, Resource inefficiency (materials/labor/energy), Unforeseen site/structural issues &amp; rework</x:v>
      </x:c>
      <x:c r="H1468" t="str">
        <x:v>Cost overrun mainly linked to planning &amp; estimation / coordination complexity; schedule overrun mainly linked to planning &amp; estimation / coordination complexity.</x:v>
      </x:c>
    </x:row>
    <x:row r="1469">
      <x:c r="A1469" t="str">
        <x:v>PJT_1468</x:v>
      </x:c>
      <x:c r="B1469" t="str">
        <x:v>Unforeseen site/structural issues &amp; rework</x:v>
      </x:c>
      <x:c r="C1469" t="str">
        <x:v>Weather disruption / environmental constraints</x:v>
      </x:c>
      <x:c r="D1469" t="str">
        <x:v>Unforeseen site/structural issues &amp; rework, Weather disruption / environmental constraints, Equipment constraints / low availability</x:v>
      </x:c>
      <x:c r="E1469" t="str">
        <x:v>Unforeseen site/structural issues &amp; rework</x:v>
      </x:c>
      <x:c r="F1469" t="str">
        <x:v>Weather disruption / environmental constraints</x:v>
      </x:c>
      <x:c r="G1469" t="str">
        <x:v>Unforeseen site/structural issues &amp; rework, Weather disruption / environmental constraints, Equipment constraints / low availability</x:v>
      </x:c>
      <x:c r="H1469" t="str">
        <x:v>Cost overrun mainly linked to unforeseen site/structural issues &amp; rework; schedule overrun mainly linked to unforeseen site/structural issues &amp; rework.</x:v>
      </x:c>
    </x:row>
    <x:row r="1470">
      <x:c r="A1470" t="str">
        <x:v>PJT_1469</x:v>
      </x:c>
      <x:c r="B1470" t="str">
        <x:v>Material supply / logistics &amp; market disruption</x:v>
      </x:c>
      <x:c r="C1470" t="str">
        <x:v>Resource inefficiency (materials/labor/energy)</x:v>
      </x:c>
      <x:c r="D1470" t="str">
        <x:v>Material supply / logistics &amp; market disruption, Resource inefficiency (materials/labor/energy), Planning &amp; estimation / coordination complexity</x:v>
      </x:c>
      <x:c r="E1470" t="str">
        <x:v>Resource inefficiency (materials/labor/energy)</x:v>
      </x:c>
      <x:c r="F1470" t="str">
        <x:v>Material supply / logistics &amp; market disruption</x:v>
      </x:c>
      <x:c r="G1470" t="str">
        <x:v>Resource inefficiency (materials/labor/energy), Material supply / logistics &amp; market disruption, Planning &amp; estimation / coordination complexity</x:v>
      </x:c>
      <x:c r="H1470" t="str">
        <x:v>Cost overrun mainly linked to material supply / logistics &amp; market disruption; schedule overrun mainly linked to resource inefficiency (materials/labor/energy).</x:v>
      </x:c>
    </x:row>
    <x:row r="1471">
      <x:c r="A1471" t="str">
        <x:v>PJT_1470</x:v>
      </x:c>
      <x:c r="B1471" t="str">
        <x:v>Weather disruption / environmental constraints</x:v>
      </x:c>
      <x:c r="C1471" t="str">
        <x:v>Material supply / logistics &amp; market disruption</x:v>
      </x:c>
      <x:c r="D1471" t="str">
        <x:v>Weather disruption / environmental constraints, Material supply / logistics &amp; market disruption, Resource inefficiency (materials/labor/energy)</x:v>
      </x:c>
      <x:c r="E1471" t="str">
        <x:v>Weather disruption / environmental constraints</x:v>
      </x:c>
      <x:c r="F1471" t="str">
        <x:v>Material supply / logistics &amp; market disruption</x:v>
      </x:c>
      <x:c r="G1471" t="str">
        <x:v>Weather disruption / environmental constraints, Material supply / logistics &amp; market disruption, Resource inefficiency (materials/labor/energy)</x:v>
      </x:c>
      <x:c r="H1471" t="str">
        <x:v>Cost overrun mainly linked to weather disruption / environmental constraints; schedule overrun mainly linked to weather disruption / environmental constraints.</x:v>
      </x:c>
    </x:row>
    <x:row r="1472">
      <x:c r="A1472" t="str">
        <x:v>PJT_1471</x:v>
      </x:c>
      <x:c r="B1472" t="str">
        <x:v>Resource inefficiency (materials/labor/energy)</x:v>
      </x:c>
      <x:c r="C1472" t="str">
        <x:v>Equipment constraints / low availability</x:v>
      </x:c>
      <x:c r="D1472" t="str">
        <x:v>Resource inefficiency (materials/labor/energy), Equipment constraints / low availability, Planning &amp; estimation / coordination complexity</x:v>
      </x:c>
      <x:c r="E1472" t="str">
        <x:v>Planning &amp; estimation / coordination complexity</x:v>
      </x:c>
      <x:c r="F1472" t="str">
        <x:v>Resource inefficiency (materials/labor/energy)</x:v>
      </x:c>
      <x:c r="G1472" t="str">
        <x:v>Planning &amp; estimation / coordination complexity, Resource inefficiency (materials/labor/energy), Equipment constraints / low availability</x:v>
      </x:c>
      <x:c r="H1472" t="str">
        <x:v>Cost overrun mainly linked to resource inefficiency (materials/labor/energy); schedule overrun mainly linked to planning &amp; estimation / coordination complexity.</x:v>
      </x:c>
    </x:row>
    <x:row r="1473">
      <x:c r="A1473" t="str">
        <x:v>PJT_1472</x:v>
      </x:c>
      <x:c r="B1473" t="str">
        <x:v>Resource inefficiency (materials/labor/energy)</x:v>
      </x:c>
      <x:c r="C1473" t="str">
        <x:v>Equipment constraints / low availability</x:v>
      </x:c>
      <x:c r="D1473" t="str">
        <x:v>Resource inefficiency (materials/labor/energy), Equipment constraints / low availability, Planning &amp; estimation / coordination complexity</x:v>
      </x:c>
      <x:c r="E1473" t="str">
        <x:v>Resource inefficiency (materials/labor/energy)</x:v>
      </x:c>
      <x:c r="F1473" t="str">
        <x:v>Equipment constraints / low availability</x:v>
      </x:c>
      <x:c r="G1473" t="str">
        <x:v>Resource inefficiency (materials/labor/energy), Equipment constraints / low availability, Planning &amp; estimation / coordination complexity</x:v>
      </x:c>
      <x:c r="H1473" t="str">
        <x:v>Cost overrun mainly linked to resource inefficiency (materials/labor/energy); schedule overrun mainly linked to resource inefficiency (materials/labor/energy).</x:v>
      </x:c>
    </x:row>
    <x:row r="1474">
      <x:c r="A1474" t="str">
        <x:v>PJT_1473</x:v>
      </x:c>
      <x:c r="B1474" t="str">
        <x:v>Resource inefficiency (materials/labor/energy)</x:v>
      </x:c>
      <x:c r="C1474" t="str">
        <x:v>Planning &amp; estimation / coordination complexity</x:v>
      </x:c>
      <x:c r="D1474" t="str">
        <x:v>Resource inefficiency (materials/labor/energy), Planning &amp; estimation / coordination complexity, Unforeseen site/structural issues &amp; rework</x:v>
      </x:c>
      <x:c r="E1474" t="str">
        <x:v>Resource inefficiency (materials/labor/energy)</x:v>
      </x:c>
      <x:c r="F1474" t="str">
        <x:v>Planning &amp; estimation / coordination complexity</x:v>
      </x:c>
      <x:c r="G1474" t="str">
        <x:v>Resource inefficiency (materials/labor/energy), Planning &amp; estimation / coordination complexity, Unforeseen site/structural issues &amp; rework</x:v>
      </x:c>
      <x:c r="H1474" t="str">
        <x:v>Cost overrun mainly linked to resource inefficiency (materials/labor/energy); schedule overrun mainly linked to resource inefficiency (materials/labor/energy).</x:v>
      </x:c>
    </x:row>
    <x:row r="1475">
      <x:c r="A1475" t="str">
        <x:v>PJT_1474</x:v>
      </x:c>
      <x:c r="B1475" t="str">
        <x:v>Unforeseen site/structural issues &amp; rework</x:v>
      </x:c>
      <x:c r="C1475" t="str">
        <x:v>Planning &amp; estimation / coordination complexity</x:v>
      </x:c>
      <x:c r="D1475" t="str">
        <x:v>Unforeseen site/structural issues &amp; rework, Planning &amp; estimation / coordination complexity, Weather disruption / environmental constraints</x:v>
      </x:c>
      <x:c r="E1475" t="str">
        <x:v>Unforeseen site/structural issues &amp; rework</x:v>
      </x:c>
      <x:c r="F1475" t="str">
        <x:v>Planning &amp; estimation / coordination complexity</x:v>
      </x:c>
      <x:c r="G1475" t="str">
        <x:v>Unforeseen site/structural issues &amp; rework, Planning &amp; estimation / coordination complexity, Weather disruption / environmental constraints</x:v>
      </x:c>
      <x:c r="H1475" t="str">
        <x:v>Cost overrun mainly linked to unforeseen site/structural issues &amp; rework; schedule overrun mainly linked to unforeseen site/structural issues &amp; rework.</x:v>
      </x:c>
    </x:row>
    <x:row r="1476">
      <x:c r="A1476" t="str">
        <x:v>PJT_1475</x:v>
      </x:c>
      <x:c r="B1476" t="str">
        <x:v>Weather disruption / environmental constraints</x:v>
      </x:c>
      <x:c r="C1476" t="str">
        <x:v>Planning &amp; estimation / coordination complexity</x:v>
      </x:c>
      <x:c r="D1476" t="str">
        <x:v>Weather disruption / environmental constraints, Planning &amp; estimation / coordination complexity, Equipment constraints / low availability</x:v>
      </x:c>
      <x:c r="E1476" t="str">
        <x:v>Weather disruption / environmental constraints</x:v>
      </x:c>
      <x:c r="F1476" t="str">
        <x:v>Resource inefficiency (materials/labor/energy)</x:v>
      </x:c>
      <x:c r="G1476" t="str">
        <x:v>Weather disruption / environmental constraints, Resource inefficiency (materials/labor/energy), Equipment constraints / low availability</x:v>
      </x:c>
      <x:c r="H1476" t="str">
        <x:v>Cost overrun mainly linked to weather disruption / environmental constraints; schedule overrun mainly linked to weather disruption / environmental constraints.</x:v>
      </x:c>
    </x:row>
    <x:row r="1477">
      <x:c r="A1477" t="str">
        <x:v>PJT_1476</x:v>
      </x:c>
      <x:c r="B1477" t="str">
        <x:v>Resource inefficiency (materials/labor/energy)</x:v>
      </x:c>
      <x:c r="C1477" t="str">
        <x:v>Planning &amp; estimation / coordination complexity</x:v>
      </x:c>
      <x:c r="D1477" t="str">
        <x:v>Resource inefficiency (materials/labor/energy), Planning &amp; estimation / coordination complexity, Equipment constraints / low availability</x:v>
      </x:c>
      <x:c r="E1477" t="str">
        <x:v>Planning &amp; estimation / coordination complexity</x:v>
      </x:c>
      <x:c r="F1477" t="str">
        <x:v>Resource inefficiency (materials/labor/energy)</x:v>
      </x:c>
      <x:c r="G1477" t="str">
        <x:v>Planning &amp; estimation / coordination complexity, Resource inefficiency (materials/labor/energy), Equipment constraints / low availability</x:v>
      </x:c>
      <x:c r="H1477" t="str">
        <x:v>Cost overrun mainly linked to resource inefficiency (materials/labor/energy); schedule overrun mainly linked to planning &amp; estimation / coordination complexity.</x:v>
      </x:c>
    </x:row>
    <x:row r="1478">
      <x:c r="A1478" t="str">
        <x:v>PJT_1477</x:v>
      </x:c>
      <x:c r="B1478" t="str">
        <x:v>Unforeseen site/structural issues &amp; rework</x:v>
      </x:c>
      <x:c r="C1478" t="str">
        <x:v>Equipment constraints / low availability</x:v>
      </x:c>
      <x:c r="D1478" t="str">
        <x:v>Unforeseen site/structural issues &amp; rework, Equipment constraints / low availability, Planning &amp; estimation / coordination complexity</x:v>
      </x:c>
      <x:c r="E1478" t="str">
        <x:v>Unforeseen site/structural issues &amp; rework</x:v>
      </x:c>
      <x:c r="F1478" t="str">
        <x:v>Equipment constraints / low availability</x:v>
      </x:c>
      <x:c r="G1478" t="str">
        <x:v>Unforeseen site/structural issues &amp; rework, Equipment constraints / low availability, Planning &amp; estimation / coordination complexity</x:v>
      </x:c>
      <x:c r="H1478" t="str">
        <x:v>Cost overrun mainly linked to unforeseen site/structural issues &amp; rework; schedule overrun mainly linked to unforeseen site/structural issues &amp; rework.</x:v>
      </x:c>
    </x:row>
    <x:row r="1479">
      <x:c r="A1479" t="str">
        <x:v>PJT_1478</x:v>
      </x:c>
      <x:c r="B1479" t="str">
        <x:v>Unforeseen site/structural issues &amp; rework</x:v>
      </x:c>
      <x:c r="C1479" t="str">
        <x:v>Weather disruption / environmental constraints</x:v>
      </x:c>
      <x:c r="D1479" t="str">
        <x:v>Unforeseen site/structural issues &amp; rework, Weather disruption / environmental constraints, Material supply / logistics &amp; market disruption</x:v>
      </x:c>
      <x:c r="E1479" t="str">
        <x:v>Unforeseen site/structural issues &amp; rework</x:v>
      </x:c>
      <x:c r="F1479" t="str">
        <x:v>Weather disruption / environmental constraints</x:v>
      </x:c>
      <x:c r="G1479" t="str">
        <x:v>Unforeseen site/structural issues &amp; rework, Weather disruption / environmental constraints, Material supply / logistics &amp; market disruption</x:v>
      </x:c>
      <x:c r="H1479" t="str">
        <x:v>Cost overrun mainly linked to unforeseen site/structural issues &amp; rework; schedule overrun mainly linked to unforeseen site/structural issues &amp; rework.</x:v>
      </x:c>
    </x:row>
    <x:row r="1480">
      <x:c r="A1480" t="str">
        <x:v>PJT_1479</x:v>
      </x:c>
      <x:c r="B1480" t="str">
        <x:v>Unforeseen site/structural issues &amp; rework</x:v>
      </x:c>
      <x:c r="C1480" t="str">
        <x:v>Equipment constraints / low availability</x:v>
      </x:c>
      <x:c r="D1480" t="str">
        <x:v>Unforeseen site/structural issues &amp; rework, Equipment constraints / low availability, Resource inefficiency (materials/labor/energy)</x:v>
      </x:c>
      <x:c r="E1480" t="str">
        <x:v>Equipment constraints / low availability</x:v>
      </x:c>
      <x:c r="F1480" t="str">
        <x:v>Unforeseen site/structural issues &amp; rework</x:v>
      </x:c>
      <x:c r="G1480" t="str">
        <x:v>Equipment constraints / low availability, Unforeseen site/structural issues &amp; rework, Resource inefficiency (materials/labor/energy)</x:v>
      </x:c>
      <x:c r="H1480" t="str">
        <x:v>Cost overrun mainly linked to unforeseen site/structural issues &amp; rework; schedule overrun mainly linked to equipment constraints / low availability.</x:v>
      </x:c>
    </x:row>
    <x:row r="1481">
      <x:c r="A1481" t="str">
        <x:v>PJT_1480</x:v>
      </x:c>
      <x:c r="B1481" t="str">
        <x:v>Unforeseen site/structural issues &amp; rework</x:v>
      </x:c>
      <x:c r="C1481" t="str">
        <x:v>Planning &amp; estimation / coordination complexity</x:v>
      </x:c>
      <x:c r="D1481" t="str">
        <x:v>Unforeseen site/structural issues &amp; rework, Planning &amp; estimation / coordination complexity, Material supply / logistics &amp; market disruption</x:v>
      </x:c>
      <x:c r="E1481" t="str">
        <x:v>Unforeseen site/structural issues &amp; rework</x:v>
      </x:c>
      <x:c r="F1481" t="str">
        <x:v>Planning &amp; estimation / coordination complexity</x:v>
      </x:c>
      <x:c r="G1481" t="str">
        <x:v>Unforeseen site/structural issues &amp; rework, Planning &amp; estimation / coordination complexity, Material supply / logistics &amp; market disruption</x:v>
      </x:c>
      <x:c r="H1481" t="str">
        <x:v>Cost overrun mainly linked to unforeseen site/structural issues &amp; rework; schedule overrun mainly linked to unforeseen site/structural issues &amp; rework.</x:v>
      </x:c>
    </x:row>
    <x:row r="1482">
      <x:c r="A1482" t="str">
        <x:v>PJT_1481</x:v>
      </x:c>
      <x:c r="B1482" t="str">
        <x:v>Unforeseen site/structural issues &amp; rework</x:v>
      </x:c>
      <x:c r="C1482" t="str">
        <x:v>Planning &amp; estimation / coordination complexity</x:v>
      </x:c>
      <x:c r="D1482" t="str">
        <x:v>Unforeseen site/structural issues &amp; rework, Planning &amp; estimation / coordination complexity, Resource inefficiency (materials/labor/energy)</x:v>
      </x:c>
      <x:c r="E1482" t="str">
        <x:v>Unforeseen site/structural issues &amp; rework</x:v>
      </x:c>
      <x:c r="F1482" t="str">
        <x:v>Planning &amp; estimation / coordination complexity</x:v>
      </x:c>
      <x:c r="G1482" t="str">
        <x:v>Unforeseen site/structural issues &amp; rework, Planning &amp; estimation / coordination complexity, Resource inefficiency (materials/labor/energy)</x:v>
      </x:c>
      <x:c r="H1482" t="str">
        <x:v>Cost overrun mainly linked to unforeseen site/structural issues &amp; rework; schedule overrun mainly linked to unforeseen site/structural issues &amp; rework.</x:v>
      </x:c>
    </x:row>
    <x:row r="1483">
      <x:c r="A1483" t="str">
        <x:v>PJT_1482</x:v>
      </x:c>
      <x:c r="B1483" t="str">
        <x:v>Equipment constraints / low availability</x:v>
      </x:c>
      <x:c r="C1483" t="str">
        <x:v>Planning &amp; estimation / coordination complexity</x:v>
      </x:c>
      <x:c r="D1483" t="str">
        <x:v>Equipment constraints / low availability, Planning &amp; estimation / coordination complexity, Resource inefficiency (materials/labor/energy)</x:v>
      </x:c>
      <x:c r="E1483" t="str">
        <x:v>Equipment constraints / low availability</x:v>
      </x:c>
      <x:c r="F1483" t="str">
        <x:v>Resource inefficiency (materials/labor/energy)</x:v>
      </x:c>
      <x:c r="G1483" t="str">
        <x:v>Equipment constraints / low availability, Resource inefficiency (materials/labor/energy), Weather disruption / environmental constraints</x:v>
      </x:c>
      <x:c r="H1483" t="str">
        <x:v>Cost overrun mainly linked to equipment constraints / low availability; schedule overrun mainly linked to equipment constraints / low availability.</x:v>
      </x:c>
    </x:row>
    <x:row r="1484">
      <x:c r="A1484" t="str">
        <x:v>PJT_1483</x:v>
      </x:c>
      <x:c r="B1484" t="str">
        <x:v>Material supply / logistics &amp; market disruption</x:v>
      </x:c>
      <x:c r="C1484" t="str">
        <x:v>Resource inefficiency (materials/labor/energy)</x:v>
      </x:c>
      <x:c r="D1484" t="str">
        <x:v>Material supply / logistics &amp; market disruption, Resource inefficiency (materials/labor/energy), Unforeseen site/structural issues &amp; rework</x:v>
      </x:c>
      <x:c r="E1484" t="str">
        <x:v>Material supply / logistics &amp; market disruption</x:v>
      </x:c>
      <x:c r="F1484" t="str">
        <x:v>Resource inefficiency (materials/labor/energy)</x:v>
      </x:c>
      <x:c r="G1484" t="str">
        <x:v>Material supply / logistics &amp; market disruption, Resource inefficiency (materials/labor/energy), Unforeseen site/structural issues &amp; rework</x:v>
      </x:c>
      <x:c r="H1484" t="str">
        <x:v>Cost overrun mainly linked to material supply / logistics &amp; market disruption; schedule overrun mainly linked to material supply / logistics &amp; market disruption.</x:v>
      </x:c>
    </x:row>
    <x:row r="1485">
      <x:c r="A1485" t="str">
        <x:v>PJT_1484</x:v>
      </x:c>
      <x:c r="B1485" t="str">
        <x:v>Equipment constraints / low availability</x:v>
      </x:c>
      <x:c r="C1485" t="str">
        <x:v>Resource inefficiency (materials/labor/energy)</x:v>
      </x:c>
      <x:c r="D1485" t="str">
        <x:v>Equipment constraints / low availability, Resource inefficiency (materials/labor/energy), Material supply / logistics &amp; market disruption</x:v>
      </x:c>
      <x:c r="E1485" t="str">
        <x:v>Equipment constraints / low availability</x:v>
      </x:c>
      <x:c r="F1485" t="str">
        <x:v>Resource inefficiency (materials/labor/energy)</x:v>
      </x:c>
      <x:c r="G1485" t="str">
        <x:v>Equipment constraints / low availability, Resource inefficiency (materials/labor/energy), Material supply / logistics &amp; market disruption</x:v>
      </x:c>
      <x:c r="H1485" t="str">
        <x:v>Cost overrun mainly linked to equipment constraints / low availability; schedule overrun mainly linked to equipment constraints / low availability.</x:v>
      </x:c>
    </x:row>
    <x:row r="1486">
      <x:c r="A1486" t="str">
        <x:v>PJT_1485</x:v>
      </x:c>
      <x:c r="B1486" t="str">
        <x:v>Unforeseen site/structural issues &amp; rework</x:v>
      </x:c>
      <x:c r="C1486" t="str">
        <x:v>Planning &amp; estimation / coordination complexity</x:v>
      </x:c>
      <x:c r="D1486" t="str">
        <x:v>Unforeseen site/structural issues &amp; rework, Planning &amp; estimation / coordination complexity, Equipment constraints / low availability</x:v>
      </x:c>
      <x:c r="E1486" t="str">
        <x:v>Unforeseen site/structural issues &amp; rework</x:v>
      </x:c>
      <x:c r="F1486" t="str">
        <x:v>Planning &amp; estimation / coordination complexity</x:v>
      </x:c>
      <x:c r="G1486" t="str">
        <x:v>Unforeseen site/structural issues &amp; rework, Planning &amp; estimation / coordination complexity, Equipment constraints / low availability</x:v>
      </x:c>
      <x:c r="H1486" t="str">
        <x:v>Cost overrun mainly linked to unforeseen site/structural issues &amp; rework; schedule overrun mainly linked to unforeseen site/structural issues &amp; rework.</x:v>
      </x:c>
    </x:row>
    <x:row r="1487">
      <x:c r="A1487" t="str">
        <x:v>PJT_1486</x:v>
      </x:c>
      <x:c r="B1487" t="str">
        <x:v>Unforeseen site/structural issues &amp; rework</x:v>
      </x:c>
      <x:c r="C1487" t="str">
        <x:v>Weather disruption / environmental constraints</x:v>
      </x:c>
      <x:c r="D1487" t="str">
        <x:v>Unforeseen site/structural issues &amp; rework, Weather disruption / environmental constraints, Planning &amp; estimation / coordination complexity</x:v>
      </x:c>
      <x:c r="E1487" t="str">
        <x:v>Unforeseen site/structural issues &amp; rework</x:v>
      </x:c>
      <x:c r="F1487" t="str">
        <x:v>Weather disruption / environmental constraints</x:v>
      </x:c>
      <x:c r="G1487" t="str">
        <x:v>Unforeseen site/structural issues &amp; rework, Weather disruption / environmental constraints, Planning &amp; estimation / coordination complexity</x:v>
      </x:c>
      <x:c r="H1487" t="str">
        <x:v>Cost overrun mainly linked to unforeseen site/structural issues &amp; rework; schedule overrun mainly linked to unforeseen site/structural issues &amp; rework.</x:v>
      </x:c>
    </x:row>
    <x:row r="1488">
      <x:c r="A1488" t="str">
        <x:v>PJT_1487</x:v>
      </x:c>
      <x:c r="B1488" t="str">
        <x:v>Unforeseen site/structural issues &amp; rework</x:v>
      </x:c>
      <x:c r="C1488" t="str">
        <x:v>Planning &amp; estimation / coordination complexity</x:v>
      </x:c>
      <x:c r="D1488" t="str">
        <x:v>Unforeseen site/structural issues &amp; rework, Planning &amp; estimation / coordination complexity, Equipment constraints / low availability</x:v>
      </x:c>
      <x:c r="E1488" t="str">
        <x:v>Unforeseen site/structural issues &amp; rework</x:v>
      </x:c>
      <x:c r="F1488" t="str">
        <x:v>Planning &amp; estimation / coordination complexity</x:v>
      </x:c>
      <x:c r="G1488" t="str">
        <x:v>Unforeseen site/structural issues &amp; rework, Planning &amp; estimation / coordination complexity, Equipment constraints / low availability</x:v>
      </x:c>
      <x:c r="H1488" t="str">
        <x:v>Cost overrun mainly linked to unforeseen site/structural issues &amp; rework; schedule overrun mainly linked to unforeseen site/structural issues &amp; rework.</x:v>
      </x:c>
    </x:row>
    <x:row r="1489">
      <x:c r="A1489" t="str">
        <x:v>PJT_1488</x:v>
      </x:c>
      <x:c r="B1489" t="str">
        <x:v>Weather disruption / environmental constraints</x:v>
      </x:c>
      <x:c r="C1489" t="str">
        <x:v>Material supply / logistics &amp; market disruption</x:v>
      </x:c>
      <x:c r="D1489" t="str">
        <x:v>Weather disruption / environmental constraints, Material supply / logistics &amp; market disruption, Planning &amp; estimation / coordination complexity</x:v>
      </x:c>
      <x:c r="E1489" t="str">
        <x:v>Weather disruption / environmental constraints</x:v>
      </x:c>
      <x:c r="F1489" t="str">
        <x:v>Material supply / logistics &amp; market disruption</x:v>
      </x:c>
      <x:c r="G1489" t="str">
        <x:v>Weather disruption / environmental constraints, Material supply / logistics &amp; market disruption, Planning &amp; estimation / coordination complexity</x:v>
      </x:c>
      <x:c r="H1489" t="str">
        <x:v>Cost overrun mainly linked to weather disruption / environmental constraints; schedule overrun mainly linked to weather disruption / environmental constraints.</x:v>
      </x:c>
    </x:row>
    <x:row r="1490">
      <x:c r="A1490" t="str">
        <x:v>PJT_1489</x:v>
      </x:c>
      <x:c r="B1490" t="str">
        <x:v>Resource inefficiency (materials/labor/energy)</x:v>
      </x:c>
      <x:c r="C1490" t="str">
        <x:v>Planning &amp; estimation / coordination complexity</x:v>
      </x:c>
      <x:c r="D1490" t="str">
        <x:v>Resource inefficiency (materials/labor/energy), Planning &amp; estimation / coordination complexity, Material supply / logistics &amp; market disruption</x:v>
      </x:c>
      <x:c r="E1490" t="str">
        <x:v>Planning &amp; estimation / coordination complexity</x:v>
      </x:c>
      <x:c r="F1490" t="str">
        <x:v>Resource inefficiency (materials/labor/energy)</x:v>
      </x:c>
      <x:c r="G1490" t="str">
        <x:v>Planning &amp; estimation / coordination complexity, Resource inefficiency (materials/labor/energy), Material supply / logistics &amp; market disruption</x:v>
      </x:c>
      <x:c r="H1490" t="str">
        <x:v>Cost overrun mainly linked to resource inefficiency (materials/labor/energy); schedule overrun mainly linked to planning &amp; estimation / coordination complexity.</x:v>
      </x:c>
    </x:row>
    <x:row r="1491">
      <x:c r="A1491" t="str">
        <x:v>PJT_1490</x:v>
      </x:c>
      <x:c r="B1491" t="str">
        <x:v>Resource inefficiency (materials/labor/energy)</x:v>
      </x:c>
      <x:c r="C1491" t="str">
        <x:v>Planning &amp; estimation / coordination complexity</x:v>
      </x:c>
      <x:c r="D1491" t="str">
        <x:v>Resource inefficiency (materials/labor/energy), Planning &amp; estimation / coordination complexity, Equipment constraints / low availability</x:v>
      </x:c>
      <x:c r="E1491" t="str">
        <x:v>Planning &amp; estimation / coordination complexity</x:v>
      </x:c>
      <x:c r="F1491" t="str">
        <x:v>Resource inefficiency (materials/labor/energy)</x:v>
      </x:c>
      <x:c r="G1491" t="str">
        <x:v>Planning &amp; estimation / coordination complexity, Resource inefficiency (materials/labor/energy), Equipment constraints / low availability</x:v>
      </x:c>
      <x:c r="H1491" t="str">
        <x:v>Cost overrun mainly linked to resource inefficiency (materials/labor/energy); schedule overrun mainly linked to planning &amp; estimation / coordination complexity.</x:v>
      </x:c>
    </x:row>
    <x:row r="1492">
      <x:c r="A1492" t="str">
        <x:v>PJT_1491</x:v>
      </x:c>
      <x:c r="B1492" t="str">
        <x:v>Weather disruption / environmental constraints</x:v>
      </x:c>
      <x:c r="C1492" t="str">
        <x:v>Planning &amp; estimation / coordination complexity</x:v>
      </x:c>
      <x:c r="D1492" t="str">
        <x:v>Weather disruption / environmental constraints, Planning &amp; estimation / coordination complexity, Material supply / logistics &amp; market disruption</x:v>
      </x:c>
      <x:c r="E1492" t="str">
        <x:v>Weather disruption / environmental constraints</x:v>
      </x:c>
      <x:c r="F1492" t="str">
        <x:v>Planning &amp; estimation / coordination complexity</x:v>
      </x:c>
      <x:c r="G1492" t="str">
        <x:v>Weather disruption / environmental constraints, Planning &amp; estimation / coordination complexity, Material supply / logistics &amp; market disruption</x:v>
      </x:c>
      <x:c r="H1492" t="str">
        <x:v>Cost overrun mainly linked to weather disruption / environmental constraints; schedule overrun mainly linked to weather disruption / environmental constraints.</x:v>
      </x:c>
    </x:row>
    <x:row r="1493">
      <x:c r="A1493" t="str">
        <x:v>PJT_1492</x:v>
      </x:c>
      <x:c r="B1493" t="str">
        <x:v>Weather disruption / environmental constraints</x:v>
      </x:c>
      <x:c r="C1493" t="str">
        <x:v>Material supply / logistics &amp; market disruption</x:v>
      </x:c>
      <x:c r="D1493" t="str">
        <x:v>Weather disruption / environmental constraints, Material supply / logistics &amp; market disruption, Resource inefficiency (materials/labor/energy)</x:v>
      </x:c>
      <x:c r="E1493" t="str">
        <x:v>Weather disruption / environmental constraints</x:v>
      </x:c>
      <x:c r="F1493" t="str">
        <x:v>Material supply / logistics &amp; market disruption</x:v>
      </x:c>
      <x:c r="G1493" t="str">
        <x:v>Weather disruption / environmental constraints, Material supply / logistics &amp; market disruption, Resource inefficiency (materials/labor/energy)</x:v>
      </x:c>
      <x:c r="H1493" t="str">
        <x:v>Cost overrun mainly linked to weather disruption / environmental constraints; schedule overrun mainly linked to weather disruption / environmental constraints.</x:v>
      </x:c>
    </x:row>
    <x:row r="1494">
      <x:c r="A1494" t="str">
        <x:v>PJT_1493</x:v>
      </x:c>
      <x:c r="B1494" t="str">
        <x:v>Equipment constraints / low availability</x:v>
      </x:c>
      <x:c r="C1494" t="str">
        <x:v>Planning &amp; estimation / coordination complexity</x:v>
      </x:c>
      <x:c r="D1494" t="str">
        <x:v>Equipment constraints / low availability, Planning &amp; estimation / coordination complexity, Resource inefficiency (materials/labor/energy)</x:v>
      </x:c>
      <x:c r="E1494" t="str">
        <x:v>Planning &amp; estimation / coordination complexity</x:v>
      </x:c>
      <x:c r="F1494" t="str">
        <x:v>Equipment constraints / low availability</x:v>
      </x:c>
      <x:c r="G1494" t="str">
        <x:v>Planning &amp; estimation / coordination complexity, Equipment constraints / low availability, Unforeseen site/structural issues &amp; rework</x:v>
      </x:c>
      <x:c r="H1494" t="str">
        <x:v>Cost overrun mainly linked to equipment constraints / low availability; schedule overrun mainly linked to planning &amp; estimation / coordination complexity.</x:v>
      </x:c>
    </x:row>
    <x:row r="1495">
      <x:c r="A1495" t="str">
        <x:v>PJT_1494</x:v>
      </x:c>
      <x:c r="B1495" t="str">
        <x:v>Planning &amp; estimation / coordination complexity</x:v>
      </x:c>
      <x:c r="C1495" t="str">
        <x:v>Unforeseen site/structural issues &amp; rework</x:v>
      </x:c>
      <x:c r="D1495" t="str">
        <x:v>Planning &amp; estimation / coordination complexity, Unforeseen site/structural issues &amp; rework, Weather disruption / environmental constraints</x:v>
      </x:c>
      <x:c r="E1495" t="str">
        <x:v>Unforeseen site/structural issues &amp; rework</x:v>
      </x:c>
      <x:c r="F1495" t="str">
        <x:v>Planning &amp; estimation / coordination complexity</x:v>
      </x:c>
      <x:c r="G1495" t="str">
        <x:v>Unforeseen site/structural issues &amp; rework, Planning &amp; estimation / coordination complexity, Material supply / logistics &amp; market disruption</x:v>
      </x:c>
      <x:c r="H1495" t="str">
        <x:v>Cost overrun mainly linked to planning &amp; estimation / coordination complexity; schedule overrun mainly linked to unforeseen site/structural issues &amp; rework.</x:v>
      </x:c>
    </x:row>
    <x:row r="1496">
      <x:c r="A1496" t="str">
        <x:v>PJT_1495</x:v>
      </x:c>
      <x:c r="B1496" t="str">
        <x:v>Unforeseen site/structural issues &amp; rework</x:v>
      </x:c>
      <x:c r="C1496" t="str">
        <x:v>Weather disruption / environmental constraints</x:v>
      </x:c>
      <x:c r="D1496" t="str">
        <x:v>Unforeseen site/structural issues &amp; rework, Weather disruption / environmental constraints, Equipment constraints / low availability</x:v>
      </x:c>
      <x:c r="E1496" t="str">
        <x:v>Unforeseen site/structural issues &amp; rework</x:v>
      </x:c>
      <x:c r="F1496" t="str">
        <x:v>Weather disruption / environmental constraints</x:v>
      </x:c>
      <x:c r="G1496" t="str">
        <x:v>Unforeseen site/structural issues &amp; rework, Weather disruption / environmental constraints, Equipment constraints / low availability</x:v>
      </x:c>
      <x:c r="H1496" t="str">
        <x:v>Cost overrun mainly linked to unforeseen site/structural issues &amp; rework; schedule overrun mainly linked to unforeseen site/structural issues &amp; rework.</x:v>
      </x:c>
    </x:row>
    <x:row r="1497">
      <x:c r="A1497" t="str">
        <x:v>PJT_1496</x:v>
      </x:c>
      <x:c r="B1497" t="str">
        <x:v>Unforeseen site/structural issues &amp; rework</x:v>
      </x:c>
      <x:c r="C1497" t="str">
        <x:v>Planning &amp; estimation / coordination complexity</x:v>
      </x:c>
      <x:c r="D1497" t="str">
        <x:v>Unforeseen site/structural issues &amp; rework, Planning &amp; estimation / coordination complexity, Equipment constraints / low availability</x:v>
      </x:c>
      <x:c r="E1497" t="str">
        <x:v>Unforeseen site/structural issues &amp; rework</x:v>
      </x:c>
      <x:c r="F1497" t="str">
        <x:v>Planning &amp; estimation / coordination complexity</x:v>
      </x:c>
      <x:c r="G1497" t="str">
        <x:v>Unforeseen site/structural issues &amp; rework, Planning &amp; estimation / coordination complexity, Equipment constraints / low availability</x:v>
      </x:c>
      <x:c r="H1497" t="str">
        <x:v>Cost overrun mainly linked to unforeseen site/structural issues &amp; rework; schedule overrun mainly linked to unforeseen site/structural issues &amp; rework.</x:v>
      </x:c>
    </x:row>
    <x:row r="1498">
      <x:c r="A1498" t="str">
        <x:v>PJT_1497</x:v>
      </x:c>
      <x:c r="B1498" t="str">
        <x:v>Equipment constraints / low availability</x:v>
      </x:c>
      <x:c r="C1498" t="str">
        <x:v>Resource inefficiency (materials/labor/energy)</x:v>
      </x:c>
      <x:c r="D1498" t="str">
        <x:v>Equipment constraints / low availability, Resource inefficiency (materials/labor/energy), Planning &amp; estimation / coordination complexity</x:v>
      </x:c>
      <x:c r="E1498" t="str">
        <x:v>Equipment constraints / low availability</x:v>
      </x:c>
      <x:c r="F1498" t="str">
        <x:v>Planning &amp; estimation / coordination complexity</x:v>
      </x:c>
      <x:c r="G1498" t="str">
        <x:v>Equipment constraints / low availability, Planning &amp; estimation / coordination complexity, Resource inefficiency (materials/labor/energy)</x:v>
      </x:c>
      <x:c r="H1498" t="str">
        <x:v>Cost overrun mainly linked to equipment constraints / low availability; schedule overrun mainly linked to equipment constraints / low availability.</x:v>
      </x:c>
    </x:row>
    <x:row r="1499">
      <x:c r="A1499" t="str">
        <x:v>PJT_1498</x:v>
      </x:c>
      <x:c r="B1499" t="str">
        <x:v>Equipment constraints / low availability</x:v>
      </x:c>
      <x:c r="C1499" t="str">
        <x:v>Resource inefficiency (materials/labor/energy)</x:v>
      </x:c>
      <x:c r="D1499" t="str">
        <x:v>Equipment constraints / low availability, Resource inefficiency (materials/labor/energy), Planning &amp; estimation / coordination complexity</x:v>
      </x:c>
      <x:c r="E1499" t="str">
        <x:v>Resource inefficiency (materials/labor/energy)</x:v>
      </x:c>
      <x:c r="F1499" t="str">
        <x:v>Equipment constraints / low availability</x:v>
      </x:c>
      <x:c r="G1499" t="str">
        <x:v>Resource inefficiency (materials/labor/energy), Equipment constraints / low availability, Planning &amp; estimation / coordination complexity</x:v>
      </x:c>
      <x:c r="H1499" t="str">
        <x:v>Cost overrun mainly linked to equipment constraints / low availability; schedule overrun mainly linked to resource inefficiency (materials/labor/energy).</x:v>
      </x:c>
    </x:row>
    <x:row r="1500">
      <x:c r="A1500" t="str">
        <x:v>PJT_1499</x:v>
      </x:c>
      <x:c r="B1500" t="str">
        <x:v>Equipment constraints / low availability</x:v>
      </x:c>
      <x:c r="C1500" t="str">
        <x:v>Unforeseen site/structural issues &amp; rework</x:v>
      </x:c>
      <x:c r="D1500" t="str">
        <x:v>Equipment constraints / low availability, Unforeseen site/structural issues &amp; rework, Planning &amp; estimation / coordination complexity</x:v>
      </x:c>
      <x:c r="E1500" t="str">
        <x:v>Equipment constraints / low availability</x:v>
      </x:c>
      <x:c r="F1500" t="str">
        <x:v>Weather disruption / environmental constraints</x:v>
      </x:c>
      <x:c r="G1500" t="str">
        <x:v>Equipment constraints / low availability, Weather disruption / environmental constraints, Unforeseen site/structural issues &amp; rework</x:v>
      </x:c>
      <x:c r="H1500" t="str">
        <x:v>Cost overrun mainly linked to equipment constraints / low availability; schedule overrun mainly linked to equipment constraints / low availability.</x:v>
      </x:c>
    </x:row>
    <x:row r="1501">
      <x:c r="A1501" t="str">
        <x:v>PJT_1500</x:v>
      </x:c>
      <x:c r="B1501" t="str">
        <x:v>Resource inefficiency (materials/labor/energy)</x:v>
      </x:c>
      <x:c r="C1501" t="str">
        <x:v>Material supply / logistics &amp; market disruption</x:v>
      </x:c>
      <x:c r="D1501" t="str">
        <x:v>Resource inefficiency (materials/labor/energy), Material supply / logistics &amp; market disruption, Equipment constraints / low availability</x:v>
      </x:c>
      <x:c r="E1501" t="str">
        <x:v>Resource inefficiency (materials/labor/energy)</x:v>
      </x:c>
      <x:c r="F1501" t="str">
        <x:v>Equipment constraints / low availability</x:v>
      </x:c>
      <x:c r="G1501" t="str">
        <x:v>Resource inefficiency (materials/labor/energy), Equipment constraints / low availability, Material supply / logistics &amp; market disruption</x:v>
      </x:c>
      <x:c r="H1501" t="str">
        <x:v>Cost overrun mainly linked to resource inefficiency (materials/labor/energy); schedule overrun mainly linked to resource inefficiency (materials/labor/energy).</x:v>
      </x:c>
    </x:row>
    <x:row r="1502">
      <x:c r="A1502" t="str">
        <x:v>PJT_1501</x:v>
      </x:c>
      <x:c r="B1502" t="str">
        <x:v>Unforeseen site/structural issues &amp; rework</x:v>
      </x:c>
      <x:c r="C1502" t="str">
        <x:v>Planning &amp; estimation / coordination complexity</x:v>
      </x:c>
      <x:c r="D1502" t="str">
        <x:v>Unforeseen site/structural issues &amp; rework, Planning &amp; estimation / coordination complexity, Weather disruption / environmental constraints</x:v>
      </x:c>
      <x:c r="E1502" t="str">
        <x:v>Unforeseen site/structural issues &amp; rework</x:v>
      </x:c>
      <x:c r="F1502" t="str">
        <x:v>Planning &amp; estimation / coordination complexity</x:v>
      </x:c>
      <x:c r="G1502" t="str">
        <x:v>Unforeseen site/structural issues &amp; rework, Planning &amp; estimation / coordination complexity, Weather disruption / environmental constraints</x:v>
      </x:c>
      <x:c r="H1502" t="str">
        <x:v>Cost overrun mainly linked to unforeseen site/structural issues &amp; rework; schedule overrun mainly linked to unforeseen site/structural issues &amp; rework.</x:v>
      </x:c>
    </x:row>
    <x:row r="1503">
      <x:c r="A1503" t="str">
        <x:v>PJT_1502</x:v>
      </x:c>
      <x:c r="B1503" t="str">
        <x:v>Weather disruption / environmental constraints</x:v>
      </x:c>
      <x:c r="C1503" t="str">
        <x:v>Planning &amp; estimation / coordination complexity</x:v>
      </x:c>
      <x:c r="D1503" t="str">
        <x:v>Weather disruption / environmental constraints, Planning &amp; estimation / coordination complexity, Unforeseen site/structural issues &amp; rework</x:v>
      </x:c>
      <x:c r="E1503" t="str">
        <x:v>Weather disruption / environmental constraints</x:v>
      </x:c>
      <x:c r="F1503" t="str">
        <x:v>Planning &amp; estimation / coordination complexity</x:v>
      </x:c>
      <x:c r="G1503" t="str">
        <x:v>Weather disruption / environmental constraints, Planning &amp; estimation / coordination complexity, Unforeseen site/structural issues &amp; rework</x:v>
      </x:c>
      <x:c r="H1503" t="str">
        <x:v>Cost overrun mainly linked to weather disruption / environmental constraints; schedule overrun mainly linked to weather disruption / environmental constraints.</x:v>
      </x:c>
    </x:row>
    <x:row r="1504">
      <x:c r="A1504" t="str">
        <x:v>PJT_1503</x:v>
      </x:c>
      <x:c r="B1504" t="str">
        <x:v>Resource inefficiency (materials/labor/energy)</x:v>
      </x:c>
      <x:c r="C1504" t="str">
        <x:v>Material supply / logistics &amp; market disruption</x:v>
      </x:c>
      <x:c r="D1504" t="str">
        <x:v>Resource inefficiency (materials/labor/energy), Material supply / logistics &amp; market disruption, Planning &amp; estimation / coordination complexity</x:v>
      </x:c>
      <x:c r="E1504" t="str">
        <x:v>Resource inefficiency (materials/labor/energy)</x:v>
      </x:c>
      <x:c r="F1504" t="str">
        <x:v>Material supply / logistics &amp; market disruption</x:v>
      </x:c>
      <x:c r="G1504" t="str">
        <x:v>Resource inefficiency (materials/labor/energy), Material supply / logistics &amp; market disruption, Planning &amp; estimation / coordination complexity</x:v>
      </x:c>
      <x:c r="H1504" t="str">
        <x:v>Cost overrun mainly linked to resource inefficiency (materials/labor/energy); schedule overrun mainly linked to resource inefficiency (materials/labor/energy).</x:v>
      </x:c>
    </x:row>
    <x:row r="1505">
      <x:c r="A1505" t="str">
        <x:v>PJT_1504</x:v>
      </x:c>
      <x:c r="B1505" t="str">
        <x:v>Unforeseen site/structural issues &amp; rework</x:v>
      </x:c>
      <x:c r="C1505" t="str">
        <x:v>Weather disruption / environmental constraints</x:v>
      </x:c>
      <x:c r="D1505" t="str">
        <x:v>Unforeseen site/structural issues &amp; rework, Weather disruption / environmental constraints, Planning &amp; estimation / coordination complexity</x:v>
      </x:c>
      <x:c r="E1505" t="str">
        <x:v>Unforeseen site/structural issues &amp; rework</x:v>
      </x:c>
      <x:c r="F1505" t="str">
        <x:v>Weather disruption / environmental constraints</x:v>
      </x:c>
      <x:c r="G1505" t="str">
        <x:v>Unforeseen site/structural issues &amp; rework, Weather disruption / environmental constraints, Planning &amp; estimation / coordination complexity</x:v>
      </x:c>
      <x:c r="H1505" t="str">
        <x:v>Cost overrun mainly linked to unforeseen site/structural issues &amp; rework; schedule overrun mainly linked to unforeseen site/structural issues &amp; rework.</x:v>
      </x:c>
    </x:row>
    <x:row r="1506">
      <x:c r="A1506" t="str">
        <x:v>PJT_1505</x:v>
      </x:c>
      <x:c r="B1506" t="str">
        <x:v>Unforeseen site/structural issues &amp; rework</x:v>
      </x:c>
      <x:c r="C1506" t="str">
        <x:v>Planning &amp; estimation / coordination complexity</x:v>
      </x:c>
      <x:c r="D1506" t="str">
        <x:v>Unforeseen site/structural issues &amp; rework, Planning &amp; estimation / coordination complexity, Weather disruption / environmental constraints</x:v>
      </x:c>
      <x:c r="E1506" t="str">
        <x:v>Unforeseen site/structural issues &amp; rework</x:v>
      </x:c>
      <x:c r="F1506" t="str">
        <x:v>Planning &amp; estimation / coordination complexity</x:v>
      </x:c>
      <x:c r="G1506" t="str">
        <x:v>Unforeseen site/structural issues &amp; rework, Planning &amp; estimation / coordination complexity, Weather disruption / environmental constraints</x:v>
      </x:c>
      <x:c r="H1506" t="str">
        <x:v>Cost overrun mainly linked to unforeseen site/structural issues &amp; rework; schedule overrun mainly linked to unforeseen site/structural issues &amp; rework.</x:v>
      </x:c>
    </x:row>
    <x:row r="1507">
      <x:c r="A1507" t="str">
        <x:v>PJT_1506</x:v>
      </x:c>
      <x:c r="B1507" t="str">
        <x:v>Unforeseen site/structural issues &amp; rework</x:v>
      </x:c>
      <x:c r="C1507" t="str">
        <x:v>Weather disruption / environmental constraints</x:v>
      </x:c>
      <x:c r="D1507" t="str">
        <x:v>Unforeseen site/structural issues &amp; rework, Weather disruption / environmental constraints, Planning &amp; estimation / coordination complexity</x:v>
      </x:c>
      <x:c r="E1507" t="str">
        <x:v>Unforeseen site/structural issues &amp; rework</x:v>
      </x:c>
      <x:c r="F1507" t="str">
        <x:v>Weather disruption / environmental constraints</x:v>
      </x:c>
      <x:c r="G1507" t="str">
        <x:v>Unforeseen site/structural issues &amp; rework, Weather disruption / environmental constraints, Planning &amp; estimation / coordination complexity</x:v>
      </x:c>
      <x:c r="H1507" t="str">
        <x:v>Cost overrun mainly linked to unforeseen site/structural issues &amp; rework; schedule overrun mainly linked to unforeseen site/structural issues &amp; rework.</x:v>
      </x:c>
    </x:row>
    <x:row r="1508">
      <x:c r="A1508" t="str">
        <x:v>PJT_1507</x:v>
      </x:c>
      <x:c r="B1508" t="str">
        <x:v>Unforeseen site/structural issues &amp; rework</x:v>
      </x:c>
      <x:c r="C1508" t="str">
        <x:v>Weather disruption / environmental constraints</x:v>
      </x:c>
      <x:c r="D1508" t="str">
        <x:v>Unforeseen site/structural issues &amp; rework, Weather disruption / environmental constraints, Planning &amp; estimation / coordination complexity</x:v>
      </x:c>
      <x:c r="E1508" t="str">
        <x:v>Unforeseen site/structural issues &amp; rework</x:v>
      </x:c>
      <x:c r="F1508" t="str">
        <x:v>Weather disruption / environmental constraints</x:v>
      </x:c>
      <x:c r="G1508" t="str">
        <x:v>Unforeseen site/structural issues &amp; rework, Weather disruption / environmental constraints, Planning &amp; estimation / coordination complexity</x:v>
      </x:c>
      <x:c r="H1508" t="str">
        <x:v>Cost overrun mainly linked to unforeseen site/structural issues &amp; rework; schedule overrun mainly linked to unforeseen site/structural issues &amp; rework.</x:v>
      </x:c>
    </x:row>
    <x:row r="1509">
      <x:c r="A1509" t="str">
        <x:v>PJT_1508</x:v>
      </x:c>
      <x:c r="B1509" t="str">
        <x:v>Material supply / logistics &amp; market disruption</x:v>
      </x:c>
      <x:c r="C1509" t="str">
        <x:v>Resource inefficiency (materials/labor/energy)</x:v>
      </x:c>
      <x:c r="D1509" t="str">
        <x:v>Material supply / logistics &amp; market disruption, Resource inefficiency (materials/labor/energy), Weather disruption / environmental constraints</x:v>
      </x:c>
      <x:c r="E1509" t="str">
        <x:v>Resource inefficiency (materials/labor/energy)</x:v>
      </x:c>
      <x:c r="F1509" t="str">
        <x:v>Material supply / logistics &amp; market disruption</x:v>
      </x:c>
      <x:c r="G1509" t="str">
        <x:v>Resource inefficiency (materials/labor/energy), Material supply / logistics &amp; market disruption, Weather disruption / environmental constraints</x:v>
      </x:c>
      <x:c r="H1509" t="str">
        <x:v>Cost overrun mainly linked to material supply / logistics &amp; market disruption; schedule overrun mainly linked to resource inefficiency (materials/labor/energy).</x:v>
      </x:c>
    </x:row>
    <x:row r="1510">
      <x:c r="A1510" t="str">
        <x:v>PJT_1509</x:v>
      </x:c>
      <x:c r="B1510" t="str">
        <x:v>Unforeseen site/structural issues &amp; rework</x:v>
      </x:c>
      <x:c r="C1510" t="str">
        <x:v>Planning &amp; estimation / coordination complexity</x:v>
      </x:c>
      <x:c r="D1510" t="str">
        <x:v>Unforeseen site/structural issues &amp; rework, Planning &amp; estimation / coordination complexity, Material supply / logistics &amp; market disruption</x:v>
      </x:c>
      <x:c r="E1510" t="str">
        <x:v>Unforeseen site/structural issues &amp; rework</x:v>
      </x:c>
      <x:c r="F1510" t="str">
        <x:v>Planning &amp; estimation / coordination complexity</x:v>
      </x:c>
      <x:c r="G1510" t="str">
        <x:v>Unforeseen site/structural issues &amp; rework, Planning &amp; estimation / coordination complexity, Material supply / logistics &amp; market disruption</x:v>
      </x:c>
      <x:c r="H1510" t="str">
        <x:v>Cost overrun mainly linked to unforeseen site/structural issues &amp; rework; schedule overrun mainly linked to unforeseen site/structural issues &amp; rework.</x:v>
      </x:c>
    </x:row>
    <x:row r="1511">
      <x:c r="A1511" t="str">
        <x:v>PJT_1510</x:v>
      </x:c>
      <x:c r="B1511" t="str">
        <x:v>Resource inefficiency (materials/labor/energy)</x:v>
      </x:c>
      <x:c r="C1511" t="str">
        <x:v>Planning &amp; estimation / coordination complexity</x:v>
      </x:c>
      <x:c r="D1511" t="str">
        <x:v>Resource inefficiency (materials/labor/energy), Planning &amp; estimation / coordination complexity, Material supply / logistics &amp; market disruption</x:v>
      </x:c>
      <x:c r="E1511" t="str">
        <x:v>Resource inefficiency (materials/labor/energy)</x:v>
      </x:c>
      <x:c r="F1511" t="str">
        <x:v>Planning &amp; estimation / coordination complexity</x:v>
      </x:c>
      <x:c r="G1511" t="str">
        <x:v>Resource inefficiency (materials/labor/energy), Planning &amp; estimation / coordination complexity, Equipment constraints / low availability</x:v>
      </x:c>
      <x:c r="H1511" t="str">
        <x:v>Cost overrun mainly linked to resource inefficiency (materials/labor/energy); schedule overrun mainly linked to resource inefficiency (materials/labor/energy).</x:v>
      </x:c>
    </x:row>
    <x:row r="1512">
      <x:c r="A1512" t="str">
        <x:v>PJT_1511</x:v>
      </x:c>
      <x:c r="B1512" t="str">
        <x:v>Unforeseen site/structural issues &amp; rework</x:v>
      </x:c>
      <x:c r="C1512" t="str">
        <x:v>Planning &amp; estimation / coordination complexity</x:v>
      </x:c>
      <x:c r="D1512" t="str">
        <x:v>Unforeseen site/structural issues &amp; rework, Planning &amp; estimation / coordination complexity, Equipment constraints / low availability</x:v>
      </x:c>
      <x:c r="E1512" t="str">
        <x:v>Unforeseen site/structural issues &amp; rework</x:v>
      </x:c>
      <x:c r="F1512" t="str">
        <x:v>Planning &amp; estimation / coordination complexity</x:v>
      </x:c>
      <x:c r="G1512" t="str">
        <x:v>Unforeseen site/structural issues &amp; rework, Planning &amp; estimation / coordination complexity, Equipment constraints / low availability</x:v>
      </x:c>
      <x:c r="H1512" t="str">
        <x:v>Cost overrun mainly linked to unforeseen site/structural issues &amp; rework; schedule overrun mainly linked to unforeseen site/structural issues &amp; rework.</x:v>
      </x:c>
    </x:row>
    <x:row r="1513">
      <x:c r="A1513" t="str">
        <x:v>PJT_1512</x:v>
      </x:c>
      <x:c r="B1513" t="str">
        <x:v>Equipment constraints / low availability</x:v>
      </x:c>
      <x:c r="C1513" t="str">
        <x:v>Resource inefficiency (materials/labor/energy)</x:v>
      </x:c>
      <x:c r="D1513" t="str">
        <x:v>Equipment constraints / low availability, Resource inefficiency (materials/labor/energy), Material supply / logistics &amp; market disruption</x:v>
      </x:c>
      <x:c r="E1513" t="str">
        <x:v>Equipment constraints / low availability</x:v>
      </x:c>
      <x:c r="F1513" t="str">
        <x:v>Resource inefficiency (materials/labor/energy)</x:v>
      </x:c>
      <x:c r="G1513" t="str">
        <x:v>Equipment constraints / low availability, Resource inefficiency (materials/labor/energy), Material supply / logistics &amp; market disruption</x:v>
      </x:c>
      <x:c r="H1513" t="str">
        <x:v>Cost overrun mainly linked to equipment constraints / low availability; schedule overrun mainly linked to equipment constraints / low availability.</x:v>
      </x:c>
    </x:row>
    <x:row r="1514">
      <x:c r="A1514" t="str">
        <x:v>PJT_1513</x:v>
      </x:c>
      <x:c r="B1514" t="str">
        <x:v>Resource inefficiency (materials/labor/energy)</x:v>
      </x:c>
      <x:c r="C1514" t="str">
        <x:v>Planning &amp; estimation / coordination complexity</x:v>
      </x:c>
      <x:c r="D1514" t="str">
        <x:v>Resource inefficiency (materials/labor/energy), Planning &amp; estimation / coordination complexity, Unforeseen site/structural issues &amp; rework</x:v>
      </x:c>
      <x:c r="E1514" t="str">
        <x:v>Planning &amp; estimation / coordination complexity</x:v>
      </x:c>
      <x:c r="F1514" t="str">
        <x:v>Resource inefficiency (materials/labor/energy)</x:v>
      </x:c>
      <x:c r="G1514" t="str">
        <x:v>Planning &amp; estimation / coordination complexity, Resource inefficiency (materials/labor/energy), Unforeseen site/structural issues &amp; rework</x:v>
      </x:c>
      <x:c r="H1514" t="str">
        <x:v>Cost overrun mainly linked to resource inefficiency (materials/labor/energy); schedule overrun mainly linked to planning &amp; estimation / coordination complexity.</x:v>
      </x:c>
    </x:row>
    <x:row r="1515">
      <x:c r="A1515" t="str">
        <x:v>PJT_1514</x:v>
      </x:c>
      <x:c r="B1515" t="str">
        <x:v>Resource inefficiency (materials/labor/energy)</x:v>
      </x:c>
      <x:c r="C1515" t="str">
        <x:v>Unforeseen site/structural issues &amp; rework</x:v>
      </x:c>
      <x:c r="D1515" t="str">
        <x:v>Resource inefficiency (materials/labor/energy), Unforeseen site/structural issues &amp; rework, Material supply / logistics &amp; market disruption</x:v>
      </x:c>
      <x:c r="E1515" t="str">
        <x:v>Unforeseen site/structural issues &amp; rework</x:v>
      </x:c>
      <x:c r="F1515" t="str">
        <x:v>Material supply / logistics &amp; market disruption</x:v>
      </x:c>
      <x:c r="G1515" t="str">
        <x:v>Unforeseen site/structural issues &amp; rework, Material supply / logistics &amp; market disruption, Resource inefficiency (materials/labor/energy)</x:v>
      </x:c>
      <x:c r="H1515" t="str">
        <x:v>Cost overrun mainly linked to resource inefficiency (materials/labor/energy); schedule overrun mainly linked to unforeseen site/structural issues &amp; rework.</x:v>
      </x:c>
    </x:row>
    <x:row r="1516">
      <x:c r="A1516" t="str">
        <x:v>PJT_1515</x:v>
      </x:c>
      <x:c r="B1516" t="str">
        <x:v>Equipment constraints / low availability</x:v>
      </x:c>
      <x:c r="C1516" t="str">
        <x:v>Planning &amp; estimation / coordination complexity</x:v>
      </x:c>
      <x:c r="D1516" t="str">
        <x:v>Equipment constraints / low availability, Planning &amp; estimation / coordination complexity, Resource inefficiency (materials/labor/energy)</x:v>
      </x:c>
      <x:c r="E1516" t="str">
        <x:v>Equipment constraints / low availability</x:v>
      </x:c>
      <x:c r="F1516" t="str">
        <x:v>Resource inefficiency (materials/labor/energy)</x:v>
      </x:c>
      <x:c r="G1516" t="str">
        <x:v>Equipment constraints / low availability, Resource inefficiency (materials/labor/energy), Planning &amp; estimation / coordination complexity</x:v>
      </x:c>
      <x:c r="H1516" t="str">
        <x:v>Cost overrun mainly linked to equipment constraints / low availability; schedule overrun mainly linked to equipment constraints / low availability.</x:v>
      </x:c>
    </x:row>
    <x:row r="1517">
      <x:c r="A1517" t="str">
        <x:v>PJT_1516</x:v>
      </x:c>
      <x:c r="B1517" t="str">
        <x:v>Unforeseen site/structural issues &amp; rework</x:v>
      </x:c>
      <x:c r="C1517" t="str">
        <x:v>Weather disruption / environmental constraints</x:v>
      </x:c>
      <x:c r="D1517" t="str">
        <x:v>Unforeseen site/structural issues &amp; rework, Weather disruption / environmental constraints, Planning &amp; estimation / coordination complexity</x:v>
      </x:c>
      <x:c r="E1517" t="str">
        <x:v>Unforeseen site/structural issues &amp; rework</x:v>
      </x:c>
      <x:c r="F1517" t="str">
        <x:v>Weather disruption / environmental constraints</x:v>
      </x:c>
      <x:c r="G1517" t="str">
        <x:v>Unforeseen site/structural issues &amp; rework, Weather disruption / environmental constraints, Planning &amp; estimation / coordination complexity</x:v>
      </x:c>
      <x:c r="H1517" t="str">
        <x:v>Cost overrun mainly linked to unforeseen site/structural issues &amp; rework; schedule overrun mainly linked to unforeseen site/structural issues &amp; rework.</x:v>
      </x:c>
    </x:row>
    <x:row r="1518">
      <x:c r="A1518" t="str">
        <x:v>PJT_1517</x:v>
      </x:c>
      <x:c r="B1518" t="str">
        <x:v>Material supply / logistics &amp; market disruption</x:v>
      </x:c>
      <x:c r="C1518" t="str">
        <x:v>Weather disruption / environmental constraints</x:v>
      </x:c>
      <x:c r="D1518" t="str">
        <x:v>Material supply / logistics &amp; market disruption, Weather disruption / environmental constraints, Resource inefficiency (materials/labor/energy)</x:v>
      </x:c>
      <x:c r="E1518" t="str">
        <x:v>Material supply / logistics &amp; market disruption</x:v>
      </x:c>
      <x:c r="F1518" t="str">
        <x:v>Weather disruption / environmental constraints</x:v>
      </x:c>
      <x:c r="G1518" t="str">
        <x:v>Material supply / logistics &amp; market disruption, Weather disruption / environmental constraints, Resource inefficiency (materials/labor/energy)</x:v>
      </x:c>
      <x:c r="H1518" t="str">
        <x:v>Cost overrun mainly linked to material supply / logistics &amp; market disruption; schedule overrun mainly linked to material supply / logistics &amp; market disruption.</x:v>
      </x:c>
    </x:row>
    <x:row r="1519">
      <x:c r="A1519" t="str">
        <x:v>PJT_1518</x:v>
      </x:c>
      <x:c r="B1519" t="str">
        <x:v>Weather disruption / environmental constraints</x:v>
      </x:c>
      <x:c r="C1519" t="str">
        <x:v>Material supply / logistics &amp; market disruption</x:v>
      </x:c>
      <x:c r="D1519" t="str">
        <x:v>Weather disruption / environmental constraints, Material supply / logistics &amp; market disruption, Unforeseen site/structural issues &amp; rework</x:v>
      </x:c>
      <x:c r="E1519" t="str">
        <x:v>Weather disruption / environmental constraints</x:v>
      </x:c>
      <x:c r="F1519" t="str">
        <x:v>Material supply / logistics &amp; market disruption</x:v>
      </x:c>
      <x:c r="G1519" t="str">
        <x:v>Weather disruption / environmental constraints, Material supply / logistics &amp; market disruption, Unforeseen site/structural issues &amp; rework</x:v>
      </x:c>
      <x:c r="H1519" t="str">
        <x:v>Cost overrun mainly linked to weather disruption / environmental constraints; schedule overrun mainly linked to weather disruption / environmental constraints.</x:v>
      </x:c>
    </x:row>
    <x:row r="1520">
      <x:c r="A1520" t="str">
        <x:v>PJT_1519</x:v>
      </x:c>
      <x:c r="B1520" t="str">
        <x:v>Resource inefficiency (materials/labor/energy)</x:v>
      </x:c>
      <x:c r="C1520" t="str">
        <x:v>Planning &amp; estimation / coordination complexity</x:v>
      </x:c>
      <x:c r="D1520" t="str">
        <x:v>Resource inefficiency (materials/labor/energy), Planning &amp; estimation / coordination complexity, Equipment constraints / low availability</x:v>
      </x:c>
      <x:c r="E1520" t="str">
        <x:v>Resource inefficiency (materials/labor/energy)</x:v>
      </x:c>
      <x:c r="F1520" t="str">
        <x:v>Planning &amp; estimation / coordination complexity</x:v>
      </x:c>
      <x:c r="G1520" t="str">
        <x:v>Resource inefficiency (materials/labor/energy), Planning &amp; estimation / coordination complexity, Equipment constraints / low availability</x:v>
      </x:c>
      <x:c r="H1520" t="str">
        <x:v>Cost overrun mainly linked to resource inefficiency (materials/labor/energy); schedule overrun mainly linked to resource inefficiency (materials/labor/energy).</x:v>
      </x:c>
    </x:row>
    <x:row r="1521">
      <x:c r="A1521" t="str">
        <x:v>PJT_1520</x:v>
      </x:c>
      <x:c r="B1521" t="str">
        <x:v>Resource inefficiency (materials/labor/energy)</x:v>
      </x:c>
      <x:c r="C1521" t="str">
        <x:v>Material supply / logistics &amp; market disruption</x:v>
      </x:c>
      <x:c r="D1521" t="str">
        <x:v>Resource inefficiency (materials/labor/energy), Material supply / logistics &amp; market disruption, Planning &amp; estimation / coordination complexity</x:v>
      </x:c>
      <x:c r="E1521" t="str">
        <x:v>Resource inefficiency (materials/labor/energy)</x:v>
      </x:c>
      <x:c r="F1521" t="str">
        <x:v>Planning &amp; estimation / coordination complexity</x:v>
      </x:c>
      <x:c r="G1521" t="str">
        <x:v>Resource inefficiency (materials/labor/energy), Planning &amp; estimation / coordination complexity, Material supply / logistics &amp; market disruption</x:v>
      </x:c>
      <x:c r="H1521" t="str">
        <x:v>Cost overrun mainly linked to resource inefficiency (materials/labor/energy); schedule overrun mainly linked to resource inefficiency (materials/labor/energy).</x:v>
      </x:c>
    </x:row>
    <x:row r="1522">
      <x:c r="A1522" t="str">
        <x:v>PJT_1521</x:v>
      </x:c>
      <x:c r="B1522" t="str">
        <x:v>Unforeseen site/structural issues &amp; rework</x:v>
      </x:c>
      <x:c r="C1522" t="str">
        <x:v>Planning &amp; estimation / coordination complexity</x:v>
      </x:c>
      <x:c r="D1522" t="str">
        <x:v>Unforeseen site/structural issues &amp; rework, Planning &amp; estimation / coordination complexity, Weather disruption / environmental constraints</x:v>
      </x:c>
      <x:c r="E1522" t="str">
        <x:v>Unforeseen site/structural issues &amp; rework</x:v>
      </x:c>
      <x:c r="F1522" t="str">
        <x:v>Planning &amp; estimation / coordination complexity</x:v>
      </x:c>
      <x:c r="G1522" t="str">
        <x:v>Unforeseen site/structural issues &amp; rework, Planning &amp; estimation / coordination complexity, Weather disruption / environmental constraints</x:v>
      </x:c>
      <x:c r="H1522" t="str">
        <x:v>Cost overrun mainly linked to unforeseen site/structural issues &amp; rework; schedule overrun mainly linked to unforeseen site/structural issues &amp; rework.</x:v>
      </x:c>
    </x:row>
    <x:row r="1523">
      <x:c r="A1523" t="str">
        <x:v>PJT_1522</x:v>
      </x:c>
      <x:c r="B1523" t="str">
        <x:v>Equipment constraints / low availability</x:v>
      </x:c>
      <x:c r="C1523" t="str">
        <x:v>Planning &amp; estimation / coordination complexity</x:v>
      </x:c>
      <x:c r="D1523" t="str">
        <x:v>Equipment constraints / low availability, Planning &amp; estimation / coordination complexity, Resource inefficiency (materials/labor/energy)</x:v>
      </x:c>
      <x:c r="E1523" t="str">
        <x:v>Equipment constraints / low availability</x:v>
      </x:c>
      <x:c r="F1523" t="str">
        <x:v>Resource inefficiency (materials/labor/energy)</x:v>
      </x:c>
      <x:c r="G1523" t="str">
        <x:v>Equipment constraints / low availability, Resource inefficiency (materials/labor/energy), Planning &amp; estimation / coordination complexity</x:v>
      </x:c>
      <x:c r="H1523" t="str">
        <x:v>Cost overrun mainly linked to equipment constraints / low availability; schedule overrun mainly linked to equipment constraints / low availability.</x:v>
      </x:c>
    </x:row>
    <x:row r="1524">
      <x:c r="A1524" t="str">
        <x:v>PJT_1523</x:v>
      </x:c>
      <x:c r="B1524" t="str">
        <x:v>Unforeseen site/structural issues &amp; rework</x:v>
      </x:c>
      <x:c r="C1524" t="str">
        <x:v>Resource inefficiency (materials/labor/energy)</x:v>
      </x:c>
      <x:c r="D1524" t="str">
        <x:v>Unforeseen site/structural issues &amp; rework, Resource inefficiency (materials/labor/energy), Planning &amp; estimation / coordination complexity</x:v>
      </x:c>
      <x:c r="E1524" t="str">
        <x:v>Unforeseen site/structural issues &amp; rework</x:v>
      </x:c>
      <x:c r="F1524" t="str">
        <x:v>Resource inefficiency (materials/labor/energy)</x:v>
      </x:c>
      <x:c r="G1524" t="str">
        <x:v>Unforeseen site/structural issues &amp; rework, Resource inefficiency (materials/labor/energy), Planning &amp; estimation / coordination complexity</x:v>
      </x:c>
      <x:c r="H1524" t="str">
        <x:v>Cost overrun mainly linked to unforeseen site/structural issues &amp; rework; schedule overrun mainly linked to unforeseen site/structural issues &amp; rework.</x:v>
      </x:c>
    </x:row>
    <x:row r="1525">
      <x:c r="A1525" t="str">
        <x:v>PJT_1524</x:v>
      </x:c>
      <x:c r="B1525" t="str">
        <x:v>Weather disruption / environmental constraints</x:v>
      </x:c>
      <x:c r="C1525" t="str">
        <x:v>Material supply / logistics &amp; market disruption</x:v>
      </x:c>
      <x:c r="D1525" t="str">
        <x:v>Weather disruption / environmental constraints, Material supply / logistics &amp; market disruption, Planning &amp; estimation / coordination complexity</x:v>
      </x:c>
      <x:c r="E1525" t="str">
        <x:v>Weather disruption / environmental constraints</x:v>
      </x:c>
      <x:c r="F1525" t="str">
        <x:v>Material supply / logistics &amp; market disruption</x:v>
      </x:c>
      <x:c r="G1525" t="str">
        <x:v>Weather disruption / environmental constraints, Material supply / logistics &amp; market disruption, Planning &amp; estimation / coordination complexity</x:v>
      </x:c>
      <x:c r="H1525" t="str">
        <x:v>Cost overrun mainly linked to weather disruption / environmental constraints; schedule overrun mainly linked to weather disruption / environmental constraints.</x:v>
      </x:c>
    </x:row>
    <x:row r="1526">
      <x:c r="A1526" t="str">
        <x:v>PJT_1525</x:v>
      </x:c>
      <x:c r="B1526" t="str">
        <x:v>Material supply / logistics &amp; market disruption</x:v>
      </x:c>
      <x:c r="C1526" t="str">
        <x:v>Resource inefficiency (materials/labor/energy)</x:v>
      </x:c>
      <x:c r="D1526" t="str">
        <x:v>Material supply / logistics &amp; market disruption, Resource inefficiency (materials/labor/energy), Planning &amp; estimation / coordination complexity</x:v>
      </x:c>
      <x:c r="E1526" t="str">
        <x:v>Material supply / logistics &amp; market disruption</x:v>
      </x:c>
      <x:c r="F1526" t="str">
        <x:v>Resource inefficiency (materials/labor/energy)</x:v>
      </x:c>
      <x:c r="G1526" t="str">
        <x:v>Material supply / logistics &amp; market disruption, Resource inefficiency (materials/labor/energy), Planning &amp; estimation / coordination complexity</x:v>
      </x:c>
      <x:c r="H1526" t="str">
        <x:v>Cost overrun mainly linked to material supply / logistics &amp; market disruption; schedule overrun mainly linked to material supply / logistics &amp; market disruption.</x:v>
      </x:c>
    </x:row>
    <x:row r="1527">
      <x:c r="A1527" t="str">
        <x:v>PJT_1526</x:v>
      </x:c>
      <x:c r="B1527" t="str">
        <x:v>Weather disruption / environmental constraints</x:v>
      </x:c>
      <x:c r="C1527" t="str">
        <x:v>Unforeseen site/structural issues &amp; rework</x:v>
      </x:c>
      <x:c r="D1527" t="str">
        <x:v>Weather disruption / environmental constraints, Unforeseen site/structural issues &amp; rework, Equipment constraints / low availability</x:v>
      </x:c>
      <x:c r="E1527" t="str">
        <x:v>Weather disruption / environmental constraints</x:v>
      </x:c>
      <x:c r="F1527" t="str">
        <x:v>Equipment constraints / low availability</x:v>
      </x:c>
      <x:c r="G1527" t="str">
        <x:v>Weather disruption / environmental constraints, Equipment constraints / low availability, Material supply / logistics &amp; market disruption</x:v>
      </x:c>
      <x:c r="H1527" t="str">
        <x:v>Cost overrun mainly linked to weather disruption / environmental constraints; schedule overrun mainly linked to weather disruption / environmental constraints.</x:v>
      </x:c>
    </x:row>
    <x:row r="1528">
      <x:c r="A1528" t="str">
        <x:v>PJT_1527</x:v>
      </x:c>
      <x:c r="B1528" t="str">
        <x:v>Unforeseen site/structural issues &amp; rework</x:v>
      </x:c>
      <x:c r="C1528" t="str">
        <x:v>Equipment constraints / low availability</x:v>
      </x:c>
      <x:c r="D1528" t="str">
        <x:v>Unforeseen site/structural issues &amp; rework, Equipment constraints / low availability, Planning &amp; estimation / coordination complexity</x:v>
      </x:c>
      <x:c r="E1528" t="str">
        <x:v>Unforeseen site/structural issues &amp; rework</x:v>
      </x:c>
      <x:c r="F1528" t="str">
        <x:v>Equipment constraints / low availability</x:v>
      </x:c>
      <x:c r="G1528" t="str">
        <x:v>Unforeseen site/structural issues &amp; rework, Equipment constraints / low availability, Planning &amp; estimation / coordination complexity</x:v>
      </x:c>
      <x:c r="H1528" t="str">
        <x:v>Cost overrun mainly linked to unforeseen site/structural issues &amp; rework; schedule overrun mainly linked to unforeseen site/structural issues &amp; rework.</x:v>
      </x:c>
    </x:row>
    <x:row r="1529">
      <x:c r="A1529" t="str">
        <x:v>PJT_1528</x:v>
      </x:c>
      <x:c r="B1529" t="str">
        <x:v>Unforeseen site/structural issues &amp; rework</x:v>
      </x:c>
      <x:c r="C1529" t="str">
        <x:v>Resource inefficiency (materials/labor/energy)</x:v>
      </x:c>
      <x:c r="D1529" t="str">
        <x:v>Unforeseen site/structural issues &amp; rework, Resource inefficiency (materials/labor/energy), Planning &amp; estimation / coordination complexity</x:v>
      </x:c>
      <x:c r="E1529" t="str">
        <x:v>Unforeseen site/structural issues &amp; rework</x:v>
      </x:c>
      <x:c r="F1529" t="str">
        <x:v>Planning &amp; estimation / coordination complexity</x:v>
      </x:c>
      <x:c r="G1529" t="str">
        <x:v>Unforeseen site/structural issues &amp; rework, Planning &amp; estimation / coordination complexity, Resource inefficiency (materials/labor/energy)</x:v>
      </x:c>
      <x:c r="H1529" t="str">
        <x:v>Cost overrun mainly linked to unforeseen site/structural issues &amp; rework; schedule overrun mainly linked to unforeseen site/structural issues &amp; rework.</x:v>
      </x:c>
    </x:row>
    <x:row r="1530">
      <x:c r="A1530" t="str">
        <x:v>PJT_1529</x:v>
      </x:c>
      <x:c r="B1530" t="str">
        <x:v>Resource inefficiency (materials/labor/energy)</x:v>
      </x:c>
      <x:c r="C1530" t="str">
        <x:v>Equipment constraints / low availability</x:v>
      </x:c>
      <x:c r="D1530" t="str">
        <x:v>Resource inefficiency (materials/labor/energy), Equipment constraints / low availability, Planning &amp; estimation / coordination complexity</x:v>
      </x:c>
      <x:c r="E1530" t="str">
        <x:v>Resource inefficiency (materials/labor/energy)</x:v>
      </x:c>
      <x:c r="F1530" t="str">
        <x:v>Equipment constraints / low availability</x:v>
      </x:c>
      <x:c r="G1530" t="str">
        <x:v>Resource inefficiency (materials/labor/energy), Equipment constraints / low availability, Planning &amp; estimation / coordination complexity</x:v>
      </x:c>
      <x:c r="H1530" t="str">
        <x:v>Cost overrun mainly linked to resource inefficiency (materials/labor/energy); schedule overrun mainly linked to resource inefficiency (materials/labor/energy).</x:v>
      </x:c>
    </x:row>
    <x:row r="1531">
      <x:c r="A1531" t="str">
        <x:v>PJT_1530</x:v>
      </x:c>
      <x:c r="B1531" t="str">
        <x:v>Resource inefficiency (materials/labor/energy)</x:v>
      </x:c>
      <x:c r="C1531" t="str">
        <x:v>Material supply / logistics &amp; market disruption</x:v>
      </x:c>
      <x:c r="D1531" t="str">
        <x:v>Resource inefficiency (materials/labor/energy), Material supply / logistics &amp; market disruption, Planning &amp; estimation / coordination complexity</x:v>
      </x:c>
      <x:c r="E1531" t="str">
        <x:v>Resource inefficiency (materials/labor/energy)</x:v>
      </x:c>
      <x:c r="F1531" t="str">
        <x:v>Material supply / logistics &amp; market disruption</x:v>
      </x:c>
      <x:c r="G1531" t="str">
        <x:v>Resource inefficiency (materials/labor/energy), Material supply / logistics &amp; market disruption, Planning &amp; estimation / coordination complexity</x:v>
      </x:c>
      <x:c r="H1531" t="str">
        <x:v>Cost overrun mainly linked to resource inefficiency (materials/labor/energy); schedule overrun mainly linked to resource inefficiency (materials/labor/energy).</x:v>
      </x:c>
    </x:row>
    <x:row r="1532">
      <x:c r="A1532" t="str">
        <x:v>PJT_1531</x:v>
      </x:c>
      <x:c r="B1532" t="str">
        <x:v>Unforeseen site/structural issues &amp; rework</x:v>
      </x:c>
      <x:c r="C1532" t="str">
        <x:v>Planning &amp; estimation / coordination complexity</x:v>
      </x:c>
      <x:c r="D1532" t="str">
        <x:v>Unforeseen site/structural issues &amp; rework, Planning &amp; estimation / coordination complexity, Weather disruption / environmental constraints</x:v>
      </x:c>
      <x:c r="E1532" t="str">
        <x:v>Unforeseen site/structural issues &amp; rework</x:v>
      </x:c>
      <x:c r="F1532" t="str">
        <x:v>Planning &amp; estimation / coordination complexity</x:v>
      </x:c>
      <x:c r="G1532" t="str">
        <x:v>Unforeseen site/structural issues &amp; rework, Planning &amp; estimation / coordination complexity, Weather disruption / environmental constraints</x:v>
      </x:c>
      <x:c r="H1532" t="str">
        <x:v>Cost overrun mainly linked to unforeseen site/structural issues &amp; rework; schedule overrun mainly linked to unforeseen site/structural issues &amp; rework.</x:v>
      </x:c>
    </x:row>
    <x:row r="1533">
      <x:c r="A1533" t="str">
        <x:v>PJT_1532</x:v>
      </x:c>
      <x:c r="B1533" t="str">
        <x:v>Unforeseen site/structural issues &amp; rework</x:v>
      </x:c>
      <x:c r="C1533" t="str">
        <x:v>Planning &amp; estimation / coordination complexity</x:v>
      </x:c>
      <x:c r="D1533" t="str">
        <x:v>Unforeseen site/structural issues &amp; rework, Planning &amp; estimation / coordination complexity, Equipment constraints / low availability</x:v>
      </x:c>
      <x:c r="E1533" t="str">
        <x:v>Unforeseen site/structural issues &amp; rework</x:v>
      </x:c>
      <x:c r="F1533" t="str">
        <x:v>Planning &amp; estimation / coordination complexity</x:v>
      </x:c>
      <x:c r="G1533" t="str">
        <x:v>Unforeseen site/structural issues &amp; rework, Planning &amp; estimation / coordination complexity, Equipment constraints / low availability</x:v>
      </x:c>
      <x:c r="H1533" t="str">
        <x:v>Cost overrun mainly linked to unforeseen site/structural issues &amp; rework; schedule overrun mainly linked to unforeseen site/structural issues &amp; rework.</x:v>
      </x:c>
    </x:row>
    <x:row r="1534">
      <x:c r="A1534" t="str">
        <x:v>PJT_1533</x:v>
      </x:c>
      <x:c r="B1534" t="str">
        <x:v>Resource inefficiency (materials/labor/energy)</x:v>
      </x:c>
      <x:c r="C1534" t="str">
        <x:v>Equipment constraints / low availability</x:v>
      </x:c>
      <x:c r="D1534" t="str">
        <x:v>Resource inefficiency (materials/labor/energy), Equipment constraints / low availability, Planning &amp; estimation / coordination complexity</x:v>
      </x:c>
      <x:c r="E1534" t="str">
        <x:v>Resource inefficiency (materials/labor/energy)</x:v>
      </x:c>
      <x:c r="F1534" t="str">
        <x:v>Equipment constraints / low availability</x:v>
      </x:c>
      <x:c r="G1534" t="str">
        <x:v>Resource inefficiency (materials/labor/energy), Equipment constraints / low availability, Planning &amp; estimation / coordination complexity</x:v>
      </x:c>
      <x:c r="H1534" t="str">
        <x:v>Cost overrun mainly linked to resource inefficiency (materials/labor/energy); schedule overrun mainly linked to resource inefficiency (materials/labor/energy).</x:v>
      </x:c>
    </x:row>
    <x:row r="1535">
      <x:c r="A1535" t="str">
        <x:v>PJT_1534</x:v>
      </x:c>
      <x:c r="B1535" t="str">
        <x:v>Weather disruption / environmental constraints</x:v>
      </x:c>
      <x:c r="C1535" t="str">
        <x:v>Material supply / logistics &amp; market disruption</x:v>
      </x:c>
      <x:c r="D1535" t="str">
        <x:v>Weather disruption / environmental constraints, Material supply / logistics &amp; market disruption, Equipment constraints / low availability</x:v>
      </x:c>
      <x:c r="E1535" t="str">
        <x:v>Weather disruption / environmental constraints</x:v>
      </x:c>
      <x:c r="F1535" t="str">
        <x:v>Material supply / logistics &amp; market disruption</x:v>
      </x:c>
      <x:c r="G1535" t="str">
        <x:v>Weather disruption / environmental constraints, Material supply / logistics &amp; market disruption, Equipment constraints / low availability</x:v>
      </x:c>
      <x:c r="H1535" t="str">
        <x:v>Cost overrun mainly linked to weather disruption / environmental constraints; schedule overrun mainly linked to weather disruption / environmental constraints.</x:v>
      </x:c>
    </x:row>
    <x:row r="1536">
      <x:c r="A1536" t="str">
        <x:v>PJT_1535</x:v>
      </x:c>
      <x:c r="B1536" t="str">
        <x:v>Unforeseen site/structural issues &amp; rework</x:v>
      </x:c>
      <x:c r="C1536" t="str">
        <x:v>Planning &amp; estimation / coordination complexity</x:v>
      </x:c>
      <x:c r="D1536" t="str">
        <x:v>Unforeseen site/structural issues &amp; rework, Planning &amp; estimation / coordination complexity, Equipment constraints / low availability</x:v>
      </x:c>
      <x:c r="E1536" t="str">
        <x:v>Unforeseen site/structural issues &amp; rework</x:v>
      </x:c>
      <x:c r="F1536" t="str">
        <x:v>Planning &amp; estimation / coordination complexity</x:v>
      </x:c>
      <x:c r="G1536" t="str">
        <x:v>Unforeseen site/structural issues &amp; rework, Planning &amp; estimation / coordination complexity, Equipment constraints / low availability</x:v>
      </x:c>
      <x:c r="H1536" t="str">
        <x:v>Cost overrun mainly linked to unforeseen site/structural issues &amp; rework; schedule overrun mainly linked to unforeseen site/structural issues &amp; rework.</x:v>
      </x:c>
    </x:row>
    <x:row r="1537">
      <x:c r="A1537" t="str">
        <x:v>PJT_1536</x:v>
      </x:c>
      <x:c r="B1537" t="str">
        <x:v>Unforeseen site/structural issues &amp; rework</x:v>
      </x:c>
      <x:c r="C1537" t="str">
        <x:v>Planning &amp; estimation / coordination complexity</x:v>
      </x:c>
      <x:c r="D1537" t="str">
        <x:v>Unforeseen site/structural issues &amp; rework, Planning &amp; estimation / coordination complexity, Equipment constraints / low availability</x:v>
      </x:c>
      <x:c r="E1537" t="str">
        <x:v>Unforeseen site/structural issues &amp; rework</x:v>
      </x:c>
      <x:c r="F1537" t="str">
        <x:v>Planning &amp; estimation / coordination complexity</x:v>
      </x:c>
      <x:c r="G1537" t="str">
        <x:v>Unforeseen site/structural issues &amp; rework, Planning &amp; estimation / coordination complexity, Equipment constraints / low availability</x:v>
      </x:c>
      <x:c r="H1537" t="str">
        <x:v>Cost overrun mainly linked to unforeseen site/structural issues &amp; rework; schedule overrun mainly linked to unforeseen site/structural issues &amp; rework.</x:v>
      </x:c>
    </x:row>
    <x:row r="1538">
      <x:c r="A1538" t="str">
        <x:v>PJT_1537</x:v>
      </x:c>
      <x:c r="B1538" t="str">
        <x:v>Equipment constraints / low availability</x:v>
      </x:c>
      <x:c r="C1538" t="str">
        <x:v>Planning &amp; estimation / coordination complexity</x:v>
      </x:c>
      <x:c r="D1538" t="str">
        <x:v>Equipment constraints / low availability, Planning &amp; estimation / coordination complexity, Resource inefficiency (materials/labor/energy)</x:v>
      </x:c>
      <x:c r="E1538" t="str">
        <x:v>Equipment constraints / low availability</x:v>
      </x:c>
      <x:c r="F1538" t="str">
        <x:v>Resource inefficiency (materials/labor/energy)</x:v>
      </x:c>
      <x:c r="G1538" t="str">
        <x:v>Equipment constraints / low availability, Resource inefficiency (materials/labor/energy), Planning &amp; estimation / coordination complexity</x:v>
      </x:c>
      <x:c r="H1538" t="str">
        <x:v>Cost overrun mainly linked to equipment constraints / low availability; schedule overrun mainly linked to equipment constraints / low availability.</x:v>
      </x:c>
    </x:row>
    <x:row r="1539">
      <x:c r="A1539" t="str">
        <x:v>PJT_1538</x:v>
      </x:c>
      <x:c r="B1539" t="str">
        <x:v>Material supply / logistics &amp; market disruption</x:v>
      </x:c>
      <x:c r="C1539" t="str">
        <x:v>Resource inefficiency (materials/labor/energy)</x:v>
      </x:c>
      <x:c r="D1539" t="str">
        <x:v>Material supply / logistics &amp; market disruption, Resource inefficiency (materials/labor/energy), Equipment constraints / low availability</x:v>
      </x:c>
      <x:c r="E1539" t="str">
        <x:v>Material supply / logistics &amp; market disruption</x:v>
      </x:c>
      <x:c r="F1539" t="str">
        <x:v>Equipment constraints / low availability</x:v>
      </x:c>
      <x:c r="G1539" t="str">
        <x:v>Material supply / logistics &amp; market disruption, Equipment constraints / low availability, Planning &amp; estimation / coordination complexity</x:v>
      </x:c>
      <x:c r="H1539" t="str">
        <x:v>Cost overrun mainly linked to material supply / logistics &amp; market disruption; schedule overrun mainly linked to material supply / logistics &amp; market disruption.</x:v>
      </x:c>
    </x:row>
    <x:row r="1540">
      <x:c r="A1540" t="str">
        <x:v>PJT_1539</x:v>
      </x:c>
      <x:c r="B1540" t="str">
        <x:v>Resource inefficiency (materials/labor/energy)</x:v>
      </x:c>
      <x:c r="C1540" t="str">
        <x:v>Equipment constraints / low availability</x:v>
      </x:c>
      <x:c r="D1540" t="str">
        <x:v>Resource inefficiency (materials/labor/energy), Equipment constraints / low availability, Planning &amp; estimation / coordination complexity</x:v>
      </x:c>
      <x:c r="E1540" t="str">
        <x:v>Equipment constraints / low availability</x:v>
      </x:c>
      <x:c r="F1540" t="str">
        <x:v>Resource inefficiency (materials/labor/energy)</x:v>
      </x:c>
      <x:c r="G1540" t="str">
        <x:v>Equipment constraints / low availability, Resource inefficiency (materials/labor/energy), Planning &amp; estimation / coordination complexity</x:v>
      </x:c>
      <x:c r="H1540" t="str">
        <x:v>Cost overrun mainly linked to resource inefficiency (materials/labor/energy); schedule overrun mainly linked to equipment constraints / low availability.</x:v>
      </x:c>
    </x:row>
    <x:row r="1541">
      <x:c r="A1541" t="str">
        <x:v>PJT_1540</x:v>
      </x:c>
      <x:c r="B1541" t="str">
        <x:v>Resource inefficiency (materials/labor/energy)</x:v>
      </x:c>
      <x:c r="C1541" t="str">
        <x:v>Unforeseen site/structural issues &amp; rework</x:v>
      </x:c>
      <x:c r="D1541" t="str">
        <x:v>Resource inefficiency (materials/labor/energy), Unforeseen site/structural issues &amp; rework, Equipment constraints / low availability</x:v>
      </x:c>
      <x:c r="E1541" t="str">
        <x:v>Resource inefficiency (materials/labor/energy)</x:v>
      </x:c>
      <x:c r="F1541" t="str">
        <x:v>Unforeseen site/structural issues &amp; rework</x:v>
      </x:c>
      <x:c r="G1541" t="str">
        <x:v>Resource inefficiency (materials/labor/energy), Unforeseen site/structural issues &amp; rework, Equipment constraints / low availability</x:v>
      </x:c>
      <x:c r="H1541" t="str">
        <x:v>Cost overrun mainly linked to resource inefficiency (materials/labor/energy); schedule overrun mainly linked to resource inefficiency (materials/labor/energy).</x:v>
      </x:c>
    </x:row>
    <x:row r="1542">
      <x:c r="A1542" t="str">
        <x:v>PJT_1541</x:v>
      </x:c>
      <x:c r="B1542" t="str">
        <x:v>Material supply / logistics &amp; market disruption</x:v>
      </x:c>
      <x:c r="C1542" t="str">
        <x:v>Equipment constraints / low availability</x:v>
      </x:c>
      <x:c r="D1542" t="str">
        <x:v>Material supply / logistics &amp; market disruption, Equipment constraints / low availability, Planning &amp; estimation / coordination complexity</x:v>
      </x:c>
      <x:c r="E1542" t="str">
        <x:v>Material supply / logistics &amp; market disruption</x:v>
      </x:c>
      <x:c r="F1542" t="str">
        <x:v>Equipment constraints / low availability</x:v>
      </x:c>
      <x:c r="G1542" t="str">
        <x:v>Material supply / logistics &amp; market disruption, Equipment constraints / low availability, Resource inefficiency (materials/labor/energy)</x:v>
      </x:c>
      <x:c r="H1542" t="str">
        <x:v>Cost overrun mainly linked to material supply / logistics &amp; market disruption; schedule overrun mainly linked to material supply / logistics &amp; market disruption.</x:v>
      </x:c>
    </x:row>
    <x:row r="1543">
      <x:c r="A1543" t="str">
        <x:v>PJT_1542</x:v>
      </x:c>
      <x:c r="B1543" t="str">
        <x:v>Weather disruption / environmental constraints</x:v>
      </x:c>
      <x:c r="C1543" t="str">
        <x:v>Unforeseen site/structural issues &amp; rework</x:v>
      </x:c>
      <x:c r="D1543" t="str">
        <x:v>Weather disruption / environmental constraints, Unforeseen site/structural issues &amp; rework, Equipment constraints / low availability</x:v>
      </x:c>
      <x:c r="E1543" t="str">
        <x:v>Weather disruption / environmental constraints</x:v>
      </x:c>
      <x:c r="F1543" t="str">
        <x:v>Material supply / logistics &amp; market disruption</x:v>
      </x:c>
      <x:c r="G1543" t="str">
        <x:v>Weather disruption / environmental constraints, Material supply / logistics &amp; market disruption, Equipment constraints / low availability</x:v>
      </x:c>
      <x:c r="H1543" t="str">
        <x:v>Cost overrun mainly linked to weather disruption / environmental constraints; schedule overrun mainly linked to weather disruption / environmental constraints.</x:v>
      </x:c>
    </x:row>
    <x:row r="1544">
      <x:c r="A1544" t="str">
        <x:v>PJT_1543</x:v>
      </x:c>
      <x:c r="B1544" t="str">
        <x:v>Resource inefficiency (materials/labor/energy)</x:v>
      </x:c>
      <x:c r="C1544" t="str">
        <x:v>Equipment constraints / low availability</x:v>
      </x:c>
      <x:c r="D1544" t="str">
        <x:v>Resource inefficiency (materials/labor/energy), Equipment constraints / low availability, Planning &amp; estimation / coordination complexity</x:v>
      </x:c>
      <x:c r="E1544" t="str">
        <x:v>Equipment constraints / low availability</x:v>
      </x:c>
      <x:c r="F1544" t="str">
        <x:v>Resource inefficiency (materials/labor/energy)</x:v>
      </x:c>
      <x:c r="G1544" t="str">
        <x:v>Equipment constraints / low availability, Resource inefficiency (materials/labor/energy), Planning &amp; estimation / coordination complexity</x:v>
      </x:c>
      <x:c r="H1544" t="str">
        <x:v>Cost overrun mainly linked to resource inefficiency (materials/labor/energy); schedule overrun mainly linked to equipment constraints / low availability.</x:v>
      </x:c>
    </x:row>
    <x:row r="1545">
      <x:c r="A1545" t="str">
        <x:v>PJT_1544</x:v>
      </x:c>
      <x:c r="B1545" t="str">
        <x:v>Resource inefficiency (materials/labor/energy)</x:v>
      </x:c>
      <x:c r="C1545" t="str">
        <x:v>Equipment constraints / low availability</x:v>
      </x:c>
      <x:c r="D1545" t="str">
        <x:v>Resource inefficiency (materials/labor/energy), Equipment constraints / low availability, Planning &amp; estimation / coordination complexity</x:v>
      </x:c>
      <x:c r="E1545" t="str">
        <x:v>Resource inefficiency (materials/labor/energy)</x:v>
      </x:c>
      <x:c r="F1545" t="str">
        <x:v>Equipment constraints / low availability</x:v>
      </x:c>
      <x:c r="G1545" t="str">
        <x:v>Resource inefficiency (materials/labor/energy), Equipment constraints / low availability, Planning &amp; estimation / coordination complexity</x:v>
      </x:c>
      <x:c r="H1545" t="str">
        <x:v>Cost overrun mainly linked to resource inefficiency (materials/labor/energy); schedule overrun mainly linked to resource inefficiency (materials/labor/energy).</x:v>
      </x:c>
    </x:row>
    <x:row r="1546">
      <x:c r="A1546" t="str">
        <x:v>PJT_1545</x:v>
      </x:c>
      <x:c r="B1546" t="str">
        <x:v>Equipment constraints / low availability</x:v>
      </x:c>
      <x:c r="C1546" t="str">
        <x:v>Planning &amp; estimation / coordination complexity</x:v>
      </x:c>
      <x:c r="D1546" t="str">
        <x:v>Equipment constraints / low availability, Planning &amp; estimation / coordination complexity, Resource inefficiency (materials/labor/energy)</x:v>
      </x:c>
      <x:c r="E1546" t="str">
        <x:v>Equipment constraints / low availability</x:v>
      </x:c>
      <x:c r="F1546" t="str">
        <x:v>Planning &amp; estimation / coordination complexity</x:v>
      </x:c>
      <x:c r="G1546" t="str">
        <x:v>Equipment constraints / low availability, Planning &amp; estimation / coordination complexity, Resource inefficiency (materials/labor/energy)</x:v>
      </x:c>
      <x:c r="H1546" t="str">
        <x:v>Cost overrun mainly linked to equipment constraints / low availability; schedule overrun mainly linked to equipment constraints / low availability.</x:v>
      </x:c>
    </x:row>
    <x:row r="1547">
      <x:c r="A1547" t="str">
        <x:v>PJT_1546</x:v>
      </x:c>
      <x:c r="B1547" t="str">
        <x:v>Resource inefficiency (materials/labor/energy)</x:v>
      </x:c>
      <x:c r="C1547" t="str">
        <x:v>Unforeseen site/structural issues &amp; rework</x:v>
      </x:c>
      <x:c r="D1547" t="str">
        <x:v>Resource inefficiency (materials/labor/energy), Unforeseen site/structural issues &amp; rework, Equipment constraints / low availability</x:v>
      </x:c>
      <x:c r="E1547" t="str">
        <x:v>Unforeseen site/structural issues &amp; rework</x:v>
      </x:c>
      <x:c r="F1547" t="str">
        <x:v>Resource inefficiency (materials/labor/energy)</x:v>
      </x:c>
      <x:c r="G1547" t="str">
        <x:v>Unforeseen site/structural issues &amp; rework, Resource inefficiency (materials/labor/energy), Equipment constraints / low availability</x:v>
      </x:c>
      <x:c r="H1547" t="str">
        <x:v>Cost overrun mainly linked to resource inefficiency (materials/labor/energy); schedule overrun mainly linked to unforeseen site/structural issues &amp; rework.</x:v>
      </x:c>
    </x:row>
    <x:row r="1548">
      <x:c r="A1548" t="str">
        <x:v>PJT_1547</x:v>
      </x:c>
      <x:c r="B1548" t="str">
        <x:v>Equipment constraints / low availability</x:v>
      </x:c>
      <x:c r="C1548" t="str">
        <x:v>Resource inefficiency (materials/labor/energy)</x:v>
      </x:c>
      <x:c r="D1548" t="str">
        <x:v>Equipment constraints / low availability, Resource inefficiency (materials/labor/energy), Planning &amp; estimation / coordination complexity</x:v>
      </x:c>
      <x:c r="E1548" t="str">
        <x:v>Equipment constraints / low availability</x:v>
      </x:c>
      <x:c r="F1548" t="str">
        <x:v>Resource inefficiency (materials/labor/energy)</x:v>
      </x:c>
      <x:c r="G1548" t="str">
        <x:v>Equipment constraints / low availability, Resource inefficiency (materials/labor/energy), Planning &amp; estimation / coordination complexity</x:v>
      </x:c>
      <x:c r="H1548" t="str">
        <x:v>Cost overrun mainly linked to equipment constraints / low availability; schedule overrun mainly linked to equipment constraints / low availability.</x:v>
      </x:c>
    </x:row>
    <x:row r="1549">
      <x:c r="A1549" t="str">
        <x:v>PJT_1548</x:v>
      </x:c>
      <x:c r="B1549" t="str">
        <x:v>Resource inefficiency (materials/labor/energy)</x:v>
      </x:c>
      <x:c r="C1549" t="str">
        <x:v>Material supply / logistics &amp; market disruption</x:v>
      </x:c>
      <x:c r="D1549" t="str">
        <x:v>Resource inefficiency (materials/labor/energy), Material supply / logistics &amp; market disruption, Planning &amp; estimation / coordination complexity</x:v>
      </x:c>
      <x:c r="E1549" t="str">
        <x:v>Resource inefficiency (materials/labor/energy)</x:v>
      </x:c>
      <x:c r="F1549" t="str">
        <x:v>Material supply / logistics &amp; market disruption</x:v>
      </x:c>
      <x:c r="G1549" t="str">
        <x:v>Resource inefficiency (materials/labor/energy), Material supply / logistics &amp; market disruption, Planning &amp; estimation / coordination complexity</x:v>
      </x:c>
      <x:c r="H1549" t="str">
        <x:v>Cost overrun mainly linked to resource inefficiency (materials/labor/energy); schedule overrun mainly linked to resource inefficiency (materials/labor/energy).</x:v>
      </x:c>
    </x:row>
    <x:row r="1550">
      <x:c r="A1550" t="str">
        <x:v>PJT_1549</x:v>
      </x:c>
      <x:c r="B1550" t="str">
        <x:v>Equipment constraints / low availability</x:v>
      </x:c>
      <x:c r="C1550" t="str">
        <x:v>Unforeseen site/structural issues &amp; rework</x:v>
      </x:c>
      <x:c r="D1550" t="str">
        <x:v>Equipment constraints / low availability, Unforeseen site/structural issues &amp; rework, Planning &amp; estimation / coordination complexity</x:v>
      </x:c>
      <x:c r="E1550" t="str">
        <x:v>Unforeseen site/structural issues &amp; rework</x:v>
      </x:c>
      <x:c r="F1550" t="str">
        <x:v>Equipment constraints / low availability</x:v>
      </x:c>
      <x:c r="G1550" t="str">
        <x:v>Unforeseen site/structural issues &amp; rework, Equipment constraints / low availability, Planning &amp; estimation / coordination complexity</x:v>
      </x:c>
      <x:c r="H1550" t="str">
        <x:v>Cost overrun mainly linked to equipment constraints / low availability; schedule overrun mainly linked to unforeseen site/structural issues &amp; rework.</x:v>
      </x:c>
    </x:row>
    <x:row r="1551">
      <x:c r="A1551" t="str">
        <x:v>PJT_1550</x:v>
      </x:c>
      <x:c r="B1551" t="str">
        <x:v>Material supply / logistics &amp; market disruption</x:v>
      </x:c>
      <x:c r="C1551" t="str">
        <x:v>Planning &amp; estimation / coordination complexity</x:v>
      </x:c>
      <x:c r="D1551" t="str">
        <x:v>Material supply / logistics &amp; market disruption, Planning &amp; estimation / coordination complexity, Resource inefficiency (materials/labor/energy)</x:v>
      </x:c>
      <x:c r="E1551" t="str">
        <x:v>Material supply / logistics &amp; market disruption</x:v>
      </x:c>
      <x:c r="F1551" t="str">
        <x:v>Planning &amp; estimation / coordination complexity</x:v>
      </x:c>
      <x:c r="G1551" t="str">
        <x:v>Material supply / logistics &amp; market disruption, Planning &amp; estimation / coordination complexity, Resource inefficiency (materials/labor/energy)</x:v>
      </x:c>
      <x:c r="H1551" t="str">
        <x:v>Cost overrun mainly linked to material supply / logistics &amp; market disruption; schedule overrun mainly linked to material supply / logistics &amp; market disruption.</x:v>
      </x:c>
    </x:row>
    <x:row r="1552">
      <x:c r="A1552" t="str">
        <x:v>PJT_1551</x:v>
      </x:c>
      <x:c r="B1552" t="str">
        <x:v>Equipment constraints / low availability</x:v>
      </x:c>
      <x:c r="C1552" t="str">
        <x:v>Material supply / logistics &amp; market disruption</x:v>
      </x:c>
      <x:c r="D1552" t="str">
        <x:v>Equipment constraints / low availability, Material supply / logistics &amp; market disruption, Resource inefficiency (materials/labor/energy)</x:v>
      </x:c>
      <x:c r="E1552" t="str">
        <x:v>Equipment constraints / low availability</x:v>
      </x:c>
      <x:c r="F1552" t="str">
        <x:v>Planning &amp; estimation / coordination complexity</x:v>
      </x:c>
      <x:c r="G1552" t="str">
        <x:v>Equipment constraints / low availability, Planning &amp; estimation / coordination complexity, Resource inefficiency (materials/labor/energy)</x:v>
      </x:c>
      <x:c r="H1552" t="str">
        <x:v>Cost overrun mainly linked to equipment constraints / low availability; schedule overrun mainly linked to equipment constraints / low availability.</x:v>
      </x:c>
    </x:row>
    <x:row r="1553">
      <x:c r="A1553" t="str">
        <x:v>PJT_1552</x:v>
      </x:c>
      <x:c r="B1553" t="str">
        <x:v>Unforeseen site/structural issues &amp; rework</x:v>
      </x:c>
      <x:c r="C1553" t="str">
        <x:v>Planning &amp; estimation / coordination complexity</x:v>
      </x:c>
      <x:c r="D1553" t="str">
        <x:v>Unforeseen site/structural issues &amp; rework, Planning &amp; estimation / coordination complexity, Resource inefficiency (materials/labor/energy)</x:v>
      </x:c>
      <x:c r="E1553" t="str">
        <x:v>Unforeseen site/structural issues &amp; rework</x:v>
      </x:c>
      <x:c r="F1553" t="str">
        <x:v>Planning &amp; estimation / coordination complexity</x:v>
      </x:c>
      <x:c r="G1553" t="str">
        <x:v>Unforeseen site/structural issues &amp; rework, Planning &amp; estimation / coordination complexity, Resource inefficiency (materials/labor/energy)</x:v>
      </x:c>
      <x:c r="H1553" t="str">
        <x:v>Cost overrun mainly linked to unforeseen site/structural issues &amp; rework; schedule overrun mainly linked to unforeseen site/structural issues &amp; rework.</x:v>
      </x:c>
    </x:row>
    <x:row r="1554">
      <x:c r="A1554" t="str">
        <x:v>PJT_1553</x:v>
      </x:c>
      <x:c r="B1554" t="str">
        <x:v>Unforeseen site/structural issues &amp; rework</x:v>
      </x:c>
      <x:c r="C1554" t="str">
        <x:v>Weather disruption / environmental constraints</x:v>
      </x:c>
      <x:c r="D1554" t="str">
        <x:v>Unforeseen site/structural issues &amp; rework, Weather disruption / environmental constraints, Planning &amp; estimation / coordination complexity</x:v>
      </x:c>
      <x:c r="E1554" t="str">
        <x:v>Unforeseen site/structural issues &amp; rework</x:v>
      </x:c>
      <x:c r="F1554" t="str">
        <x:v>Weather disruption / environmental constraints</x:v>
      </x:c>
      <x:c r="G1554" t="str">
        <x:v>Unforeseen site/structural issues &amp; rework, Weather disruption / environmental constraints, Planning &amp; estimation / coordination complexity</x:v>
      </x:c>
      <x:c r="H1554" t="str">
        <x:v>Cost overrun mainly linked to unforeseen site/structural issues &amp; rework; schedule overrun mainly linked to unforeseen site/structural issues &amp; rework.</x:v>
      </x:c>
    </x:row>
    <x:row r="1555">
      <x:c r="A1555" t="str">
        <x:v>PJT_1554</x:v>
      </x:c>
      <x:c r="B1555" t="str">
        <x:v>Unforeseen site/structural issues &amp; rework</x:v>
      </x:c>
      <x:c r="C1555" t="str">
        <x:v>Weather disruption / environmental constraints</x:v>
      </x:c>
      <x:c r="D1555" t="str">
        <x:v>Unforeseen site/structural issues &amp; rework, Weather disruption / environmental constraints, Planning &amp; estimation / coordination complexity</x:v>
      </x:c>
      <x:c r="E1555" t="str">
        <x:v>Unforeseen site/structural issues &amp; rework</x:v>
      </x:c>
      <x:c r="F1555" t="str">
        <x:v>Weather disruption / environmental constraints</x:v>
      </x:c>
      <x:c r="G1555" t="str">
        <x:v>Unforeseen site/structural issues &amp; rework, Weather disruption / environmental constraints, Planning &amp; estimation / coordination complexity</x:v>
      </x:c>
      <x:c r="H1555" t="str">
        <x:v>Cost overrun mainly linked to unforeseen site/structural issues &amp; rework; schedule overrun mainly linked to unforeseen site/structural issues &amp; rework.</x:v>
      </x:c>
    </x:row>
    <x:row r="1556">
      <x:c r="A1556" t="str">
        <x:v>PJT_1555</x:v>
      </x:c>
      <x:c r="B1556" t="str">
        <x:v>Unforeseen site/structural issues &amp; rework</x:v>
      </x:c>
      <x:c r="C1556" t="str">
        <x:v>Equipment constraints / low availability</x:v>
      </x:c>
      <x:c r="D1556" t="str">
        <x:v>Unforeseen site/structural issues &amp; rework, Equipment constraints / low availability, Resource inefficiency (materials/labor/energy)</x:v>
      </x:c>
      <x:c r="E1556" t="str">
        <x:v>Unforeseen site/structural issues &amp; rework</x:v>
      </x:c>
      <x:c r="F1556" t="str">
        <x:v>Equipment constraints / low availability</x:v>
      </x:c>
      <x:c r="G1556" t="str">
        <x:v>Unforeseen site/structural issues &amp; rework, Equipment constraints / low availability, Resource inefficiency (materials/labor/energy)</x:v>
      </x:c>
      <x:c r="H1556" t="str">
        <x:v>Cost overrun mainly linked to unforeseen site/structural issues &amp; rework; schedule overrun mainly linked to unforeseen site/structural issues &amp; rework.</x:v>
      </x:c>
    </x:row>
    <x:row r="1557">
      <x:c r="A1557" t="str">
        <x:v>PJT_1556</x:v>
      </x:c>
      <x:c r="B1557" t="str">
        <x:v>Equipment constraints / low availability</x:v>
      </x:c>
      <x:c r="C1557" t="str">
        <x:v>Resource inefficiency (materials/labor/energy)</x:v>
      </x:c>
      <x:c r="D1557" t="str">
        <x:v>Equipment constraints / low availability, Resource inefficiency (materials/labor/energy), Planning &amp; estimation / coordination complexity</x:v>
      </x:c>
      <x:c r="E1557" t="str">
        <x:v>Resource inefficiency (materials/labor/energy)</x:v>
      </x:c>
      <x:c r="F1557" t="str">
        <x:v>Equipment constraints / low availability</x:v>
      </x:c>
      <x:c r="G1557" t="str">
        <x:v>Resource inefficiency (materials/labor/energy), Equipment constraints / low availability, Material supply / logistics &amp; market disruption</x:v>
      </x:c>
      <x:c r="H1557" t="str">
        <x:v>Cost overrun mainly linked to equipment constraints / low availability; schedule overrun mainly linked to resource inefficiency (materials/labor/energy).</x:v>
      </x:c>
    </x:row>
    <x:row r="1558">
      <x:c r="A1558" t="str">
        <x:v>PJT_1557</x:v>
      </x:c>
      <x:c r="B1558" t="str">
        <x:v>Material supply / logistics &amp; market disruption</x:v>
      </x:c>
      <x:c r="C1558" t="str">
        <x:v>Resource inefficiency (materials/labor/energy)</x:v>
      </x:c>
      <x:c r="D1558" t="str">
        <x:v>Material supply / logistics &amp; market disruption, Resource inefficiency (materials/labor/energy), Weather disruption / environmental constraints</x:v>
      </x:c>
      <x:c r="E1558" t="str">
        <x:v>Material supply / logistics &amp; market disruption</x:v>
      </x:c>
      <x:c r="F1558" t="str">
        <x:v>Resource inefficiency (materials/labor/energy)</x:v>
      </x:c>
      <x:c r="G1558" t="str">
        <x:v>Material supply / logistics &amp; market disruption, Resource inefficiency (materials/labor/energy), Weather disruption / environmental constraints</x:v>
      </x:c>
      <x:c r="H1558" t="str">
        <x:v>Cost overrun mainly linked to material supply / logistics &amp; market disruption; schedule overrun mainly linked to material supply / logistics &amp; market disruption.</x:v>
      </x:c>
    </x:row>
    <x:row r="1559">
      <x:c r="A1559" t="str">
        <x:v>PJT_1558</x:v>
      </x:c>
      <x:c r="B1559" t="str">
        <x:v>Weather disruption / environmental constraints</x:v>
      </x:c>
      <x:c r="C1559" t="str">
        <x:v>Unforeseen site/structural issues &amp; rework</x:v>
      </x:c>
      <x:c r="D1559" t="str">
        <x:v>Weather disruption / environmental constraints, Unforeseen site/structural issues &amp; rework, Planning &amp; estimation / coordination complexity</x:v>
      </x:c>
      <x:c r="E1559" t="str">
        <x:v>Unforeseen site/structural issues &amp; rework</x:v>
      </x:c>
      <x:c r="F1559" t="str">
        <x:v>Weather disruption / environmental constraints</x:v>
      </x:c>
      <x:c r="G1559" t="str">
        <x:v>Unforeseen site/structural issues &amp; rework, Weather disruption / environmental constraints, Planning &amp; estimation / coordination complexity</x:v>
      </x:c>
      <x:c r="H1559" t="str">
        <x:v>Cost overrun mainly linked to weather disruption / environmental constraints; schedule overrun mainly linked to unforeseen site/structural issues &amp; rework.</x:v>
      </x:c>
    </x:row>
    <x:row r="1560">
      <x:c r="A1560" t="str">
        <x:v>PJT_1559</x:v>
      </x:c>
      <x:c r="B1560" t="str">
        <x:v>Material supply / logistics &amp; market disruption</x:v>
      </x:c>
      <x:c r="C1560" t="str">
        <x:v>Resource inefficiency (materials/labor/energy)</x:v>
      </x:c>
      <x:c r="D1560" t="str">
        <x:v>Material supply / logistics &amp; market disruption, Resource inefficiency (materials/labor/energy), Equipment constraints / low availability</x:v>
      </x:c>
      <x:c r="E1560" t="str">
        <x:v>Resource inefficiency (materials/labor/energy)</x:v>
      </x:c>
      <x:c r="F1560" t="str">
        <x:v>Material supply / logistics &amp; market disruption</x:v>
      </x:c>
      <x:c r="G1560" t="str">
        <x:v>Resource inefficiency (materials/labor/energy), Material supply / logistics &amp; market disruption, Equipment constraints / low availability</x:v>
      </x:c>
      <x:c r="H1560" t="str">
        <x:v>Cost overrun mainly linked to material supply / logistics &amp; market disruption; schedule overrun mainly linked to resource inefficiency (materials/labor/energy).</x:v>
      </x:c>
    </x:row>
    <x:row r="1561">
      <x:c r="A1561" t="str">
        <x:v>PJT_1560</x:v>
      </x:c>
      <x:c r="B1561" t="str">
        <x:v>Resource inefficiency (materials/labor/energy)</x:v>
      </x:c>
      <x:c r="C1561" t="str">
        <x:v>Planning &amp; estimation / coordination complexity</x:v>
      </x:c>
      <x:c r="D1561" t="str">
        <x:v>Resource inefficiency (materials/labor/energy), Planning &amp; estimation / coordination complexity, Equipment constraints / low availability</x:v>
      </x:c>
      <x:c r="E1561" t="str">
        <x:v>Resource inefficiency (materials/labor/energy)</x:v>
      </x:c>
      <x:c r="F1561" t="str">
        <x:v>Planning &amp; estimation / coordination complexity</x:v>
      </x:c>
      <x:c r="G1561" t="str">
        <x:v>Resource inefficiency (materials/labor/energy), Planning &amp; estimation / coordination complexity, Equipment constraints / low availability</x:v>
      </x:c>
      <x:c r="H1561" t="str">
        <x:v>Cost overrun mainly linked to resource inefficiency (materials/labor/energy); schedule overrun mainly linked to resource inefficiency (materials/labor/energy).</x:v>
      </x:c>
    </x:row>
    <x:row r="1562">
      <x:c r="A1562" t="str">
        <x:v>PJT_1561</x:v>
      </x:c>
      <x:c r="B1562" t="str">
        <x:v>Planning &amp; estimation / coordination complexity</x:v>
      </x:c>
      <x:c r="C1562" t="str">
        <x:v>Unforeseen site/structural issues &amp; rework</x:v>
      </x:c>
      <x:c r="D1562" t="str">
        <x:v>Planning &amp; estimation / coordination complexity, Unforeseen site/structural issues &amp; rework, Resource inefficiency (materials/labor/energy)</x:v>
      </x:c>
      <x:c r="E1562" t="str">
        <x:v>Planning &amp; estimation / coordination complexity</x:v>
      </x:c>
      <x:c r="F1562" t="str">
        <x:v>Unforeseen site/structural issues &amp; rework</x:v>
      </x:c>
      <x:c r="G1562" t="str">
        <x:v>Planning &amp; estimation / coordination complexity, Unforeseen site/structural issues &amp; rework, Resource inefficiency (materials/labor/energy)</x:v>
      </x:c>
      <x:c r="H1562" t="str">
        <x:v>Cost overrun mainly linked to planning &amp; estimation / coordination complexity; schedule overrun mainly linked to planning &amp; estimation / coordination complexity.</x:v>
      </x:c>
    </x:row>
    <x:row r="1563">
      <x:c r="A1563" t="str">
        <x:v>PJT_1562</x:v>
      </x:c>
      <x:c r="B1563" t="str">
        <x:v>Equipment constraints / low availability</x:v>
      </x:c>
      <x:c r="C1563" t="str">
        <x:v>Unforeseen site/structural issues &amp; rework</x:v>
      </x:c>
      <x:c r="D1563" t="str">
        <x:v>Equipment constraints / low availability, Unforeseen site/structural issues &amp; rework, Planning &amp; estimation / coordination complexity</x:v>
      </x:c>
      <x:c r="E1563" t="str">
        <x:v>Equipment constraints / low availability</x:v>
      </x:c>
      <x:c r="F1563" t="str">
        <x:v>Weather disruption / environmental constraints</x:v>
      </x:c>
      <x:c r="G1563" t="str">
        <x:v>Equipment constraints / low availability, Weather disruption / environmental constraints, Unforeseen site/structural issues &amp; rework</x:v>
      </x:c>
      <x:c r="H1563" t="str">
        <x:v>Cost overrun mainly linked to equipment constraints / low availability; schedule overrun mainly linked to equipment constraints / low availability.</x:v>
      </x:c>
    </x:row>
    <x:row r="1564">
      <x:c r="A1564" t="str">
        <x:v>PJT_1563</x:v>
      </x:c>
      <x:c r="B1564" t="str">
        <x:v>Weather disruption / environmental constraints</x:v>
      </x:c>
      <x:c r="C1564" t="str">
        <x:v>Unforeseen site/structural issues &amp; rework</x:v>
      </x:c>
      <x:c r="D1564" t="str">
        <x:v>Weather disruption / environmental constraints, Unforeseen site/structural issues &amp; rework, Planning &amp; estimation / coordination complexity</x:v>
      </x:c>
      <x:c r="E1564" t="str">
        <x:v>Weather disruption / environmental constraints</x:v>
      </x:c>
      <x:c r="F1564" t="str">
        <x:v>Unforeseen site/structural issues &amp; rework</x:v>
      </x:c>
      <x:c r="G1564" t="str">
        <x:v>Weather disruption / environmental constraints, Unforeseen site/structural issues &amp; rework, Material supply / logistics &amp; market disruption</x:v>
      </x:c>
      <x:c r="H1564" t="str">
        <x:v>Cost overrun mainly linked to weather disruption / environmental constraints; schedule overrun mainly linked to weather disruption / environmental constraints.</x:v>
      </x:c>
    </x:row>
    <x:row r="1565">
      <x:c r="A1565" t="str">
        <x:v>PJT_1564</x:v>
      </x:c>
      <x:c r="B1565" t="str">
        <x:v>Resource inefficiency (materials/labor/energy)</x:v>
      </x:c>
      <x:c r="C1565" t="str">
        <x:v>Unforeseen site/structural issues &amp; rework</x:v>
      </x:c>
      <x:c r="D1565" t="str">
        <x:v>Resource inefficiency (materials/labor/energy), Unforeseen site/structural issues &amp; rework, Material supply / logistics &amp; market disruption</x:v>
      </x:c>
      <x:c r="E1565" t="str">
        <x:v>Resource inefficiency (materials/labor/energy)</x:v>
      </x:c>
      <x:c r="F1565" t="str">
        <x:v>Unforeseen site/structural issues &amp; rework</x:v>
      </x:c>
      <x:c r="G1565" t="str">
        <x:v>Resource inefficiency (materials/labor/energy), Unforeseen site/structural issues &amp; rework, Planning &amp; estimation / coordination complexity</x:v>
      </x:c>
      <x:c r="H1565" t="str">
        <x:v>Cost overrun mainly linked to resource inefficiency (materials/labor/energy); schedule overrun mainly linked to resource inefficiency (materials/labor/energy).</x:v>
      </x:c>
    </x:row>
    <x:row r="1566">
      <x:c r="A1566" t="str">
        <x:v>PJT_1565</x:v>
      </x:c>
      <x:c r="B1566" t="str">
        <x:v>Weather disruption / environmental constraints</x:v>
      </x:c>
      <x:c r="C1566" t="str">
        <x:v>Equipment constraints / low availability</x:v>
      </x:c>
      <x:c r="D1566" t="str">
        <x:v>Weather disruption / environmental constraints, Equipment constraints / low availability, Planning &amp; estimation / coordination complexity</x:v>
      </x:c>
      <x:c r="E1566" t="str">
        <x:v>Weather disruption / environmental constraints</x:v>
      </x:c>
      <x:c r="F1566" t="str">
        <x:v>Equipment constraints / low availability</x:v>
      </x:c>
      <x:c r="G1566" t="str">
        <x:v>Weather disruption / environmental constraints, Equipment constraints / low availability, Planning &amp; estimation / coordination complexity</x:v>
      </x:c>
      <x:c r="H1566" t="str">
        <x:v>Cost overrun mainly linked to weather disruption / environmental constraints; schedule overrun mainly linked to weather disruption / environmental constraints.</x:v>
      </x:c>
    </x:row>
    <x:row r="1567">
      <x:c r="A1567" t="str">
        <x:v>PJT_1566</x:v>
      </x:c>
      <x:c r="B1567" t="str">
        <x:v>Resource inefficiency (materials/labor/energy)</x:v>
      </x:c>
      <x:c r="C1567" t="str">
        <x:v>Equipment constraints / low availability</x:v>
      </x:c>
      <x:c r="D1567" t="str">
        <x:v>Resource inefficiency (materials/labor/energy), Equipment constraints / low availability, Material supply / logistics &amp; market disruption</x:v>
      </x:c>
      <x:c r="E1567" t="str">
        <x:v>Resource inefficiency (materials/labor/energy)</x:v>
      </x:c>
      <x:c r="F1567" t="str">
        <x:v>Equipment constraints / low availability</x:v>
      </x:c>
      <x:c r="G1567" t="str">
        <x:v>Resource inefficiency (materials/labor/energy), Equipment constraints / low availability, Material supply / logistics &amp; market disruption</x:v>
      </x:c>
      <x:c r="H1567" t="str">
        <x:v>Cost overrun mainly linked to resource inefficiency (materials/labor/energy); schedule overrun mainly linked to resource inefficiency (materials/labor/energy).</x:v>
      </x:c>
    </x:row>
    <x:row r="1568">
      <x:c r="A1568" t="str">
        <x:v>PJT_1567</x:v>
      </x:c>
      <x:c r="B1568" t="str">
        <x:v>Unforeseen site/structural issues &amp; rework</x:v>
      </x:c>
      <x:c r="C1568" t="str">
        <x:v>Planning &amp; estimation / coordination complexity</x:v>
      </x:c>
      <x:c r="D1568" t="str">
        <x:v>Unforeseen site/structural issues &amp; rework, Planning &amp; estimation / coordination complexity, Weather disruption / environmental constraints</x:v>
      </x:c>
      <x:c r="E1568" t="str">
        <x:v>Unforeseen site/structural issues &amp; rework</x:v>
      </x:c>
      <x:c r="F1568" t="str">
        <x:v>Planning &amp; estimation / coordination complexity</x:v>
      </x:c>
      <x:c r="G1568" t="str">
        <x:v>Unforeseen site/structural issues &amp; rework, Planning &amp; estimation / coordination complexity, Weather disruption / environmental constraints</x:v>
      </x:c>
      <x:c r="H1568" t="str">
        <x:v>Cost overrun mainly linked to unforeseen site/structural issues &amp; rework; schedule overrun mainly linked to unforeseen site/structural issues &amp; rework.</x:v>
      </x:c>
    </x:row>
    <x:row r="1569">
      <x:c r="A1569" t="str">
        <x:v>PJT_1568</x:v>
      </x:c>
      <x:c r="B1569" t="str">
        <x:v>Weather disruption / environmental constraints</x:v>
      </x:c>
      <x:c r="C1569" t="str">
        <x:v>Unforeseen site/structural issues &amp; rework</x:v>
      </x:c>
      <x:c r="D1569" t="str">
        <x:v>Weather disruption / environmental constraints, Unforeseen site/structural issues &amp; rework, Material supply / logistics &amp; market disruption</x:v>
      </x:c>
      <x:c r="E1569" t="str">
        <x:v>Weather disruption / environmental constraints</x:v>
      </x:c>
      <x:c r="F1569" t="str">
        <x:v>Unforeseen site/structural issues &amp; rework</x:v>
      </x:c>
      <x:c r="G1569" t="str">
        <x:v>Weather disruption / environmental constraints, Unforeseen site/structural issues &amp; rework, Material supply / logistics &amp; market disruption</x:v>
      </x:c>
      <x:c r="H1569" t="str">
        <x:v>Cost overrun mainly linked to weather disruption / environmental constraints; schedule overrun mainly linked to weather disruption / environmental constraints.</x:v>
      </x:c>
    </x:row>
    <x:row r="1570">
      <x:c r="A1570" t="str">
        <x:v>PJT_1569</x:v>
      </x:c>
      <x:c r="B1570" t="str">
        <x:v>Equipment constraints / low availability</x:v>
      </x:c>
      <x:c r="C1570" t="str">
        <x:v>Resource inefficiency (materials/labor/energy)</x:v>
      </x:c>
      <x:c r="D1570" t="str">
        <x:v>Equipment constraints / low availability, Resource inefficiency (materials/labor/energy), Planning &amp; estimation / coordination complexity</x:v>
      </x:c>
      <x:c r="E1570" t="str">
        <x:v>Planning &amp; estimation / coordination complexity</x:v>
      </x:c>
      <x:c r="F1570" t="str">
        <x:v>Equipment constraints / low availability</x:v>
      </x:c>
      <x:c r="G1570" t="str">
        <x:v>Planning &amp; estimation / coordination complexity, Equipment constraints / low availability, Resource inefficiency (materials/labor/energy)</x:v>
      </x:c>
      <x:c r="H1570" t="str">
        <x:v>Cost overrun mainly linked to equipment constraints / low availability; schedule overrun mainly linked to planning &amp; estimation / coordination complexity.</x:v>
      </x:c>
    </x:row>
    <x:row r="1571">
      <x:c r="A1571" t="str">
        <x:v>PJT_1570</x:v>
      </x:c>
      <x:c r="B1571" t="str">
        <x:v>Equipment constraints / low availability</x:v>
      </x:c>
      <x:c r="C1571" t="str">
        <x:v>Resource inefficiency (materials/labor/energy)</x:v>
      </x:c>
      <x:c r="D1571" t="str">
        <x:v>Equipment constraints / low availability, Resource inefficiency (materials/labor/energy), Planning &amp; estimation / coordination complexity</x:v>
      </x:c>
      <x:c r="E1571" t="str">
        <x:v>Equipment constraints / low availability</x:v>
      </x:c>
      <x:c r="F1571" t="str">
        <x:v>Planning &amp; estimation / coordination complexity</x:v>
      </x:c>
      <x:c r="G1571" t="str">
        <x:v>Equipment constraints / low availability, Planning &amp; estimation / coordination complexity, Resource inefficiency (materials/labor/energy)</x:v>
      </x:c>
      <x:c r="H1571" t="str">
        <x:v>Cost overrun mainly linked to equipment constraints / low availability; schedule overrun mainly linked to equipment constraints / low availability.</x:v>
      </x:c>
    </x:row>
    <x:row r="1572">
      <x:c r="A1572" t="str">
        <x:v>PJT_1571</x:v>
      </x:c>
      <x:c r="B1572" t="str">
        <x:v>Planning &amp; estimation / coordination complexity</x:v>
      </x:c>
      <x:c r="C1572" t="str">
        <x:v>Resource inefficiency (materials/labor/energy)</x:v>
      </x:c>
      <x:c r="D1572" t="str">
        <x:v>Planning &amp; estimation / coordination complexity, Resource inefficiency (materials/labor/energy), Unforeseen site/structural issues &amp; rework</x:v>
      </x:c>
      <x:c r="E1572" t="str">
        <x:v>Planning &amp; estimation / coordination complexity</x:v>
      </x:c>
      <x:c r="F1572" t="str">
        <x:v>Unforeseen site/structural issues &amp; rework</x:v>
      </x:c>
      <x:c r="G1572" t="str">
        <x:v>Planning &amp; estimation / coordination complexity, Unforeseen site/structural issues &amp; rework, Resource inefficiency (materials/labor/energy)</x:v>
      </x:c>
      <x:c r="H1572" t="str">
        <x:v>Cost overrun mainly linked to planning &amp; estimation / coordination complexity; schedule overrun mainly linked to planning &amp; estimation / coordination complexity.</x:v>
      </x:c>
    </x:row>
    <x:row r="1573">
      <x:c r="A1573" t="str">
        <x:v>PJT_1572</x:v>
      </x:c>
      <x:c r="B1573" t="str">
        <x:v>Weather disruption / environmental constraints</x:v>
      </x:c>
      <x:c r="C1573" t="str">
        <x:v>Material supply / logistics &amp; market disruption</x:v>
      </x:c>
      <x:c r="D1573" t="str">
        <x:v>Weather disruption / environmental constraints, Material supply / logistics &amp; market disruption, Unforeseen site/structural issues &amp; rework</x:v>
      </x:c>
      <x:c r="E1573" t="str">
        <x:v>Weather disruption / environmental constraints</x:v>
      </x:c>
      <x:c r="F1573" t="str">
        <x:v>Material supply / logistics &amp; market disruption</x:v>
      </x:c>
      <x:c r="G1573" t="str">
        <x:v>Weather disruption / environmental constraints, Material supply / logistics &amp; market disruption, Resource inefficiency (materials/labor/energy)</x:v>
      </x:c>
      <x:c r="H1573" t="str">
        <x:v>Cost overrun mainly linked to weather disruption / environmental constraints; schedule overrun mainly linked to weather disruption / environmental constraints.</x:v>
      </x:c>
    </x:row>
    <x:row r="1574">
      <x:c r="A1574" t="str">
        <x:v>PJT_1573</x:v>
      </x:c>
      <x:c r="B1574" t="str">
        <x:v>Resource inefficiency (materials/labor/energy)</x:v>
      </x:c>
      <x:c r="C1574" t="str">
        <x:v>Equipment constraints / low availability</x:v>
      </x:c>
      <x:c r="D1574" t="str">
        <x:v>Resource inefficiency (materials/labor/energy), Equipment constraints / low availability, Planning &amp; estimation / coordination complexity</x:v>
      </x:c>
      <x:c r="E1574" t="str">
        <x:v>Resource inefficiency (materials/labor/energy)</x:v>
      </x:c>
      <x:c r="F1574" t="str">
        <x:v>Equipment constraints / low availability</x:v>
      </x:c>
      <x:c r="G1574" t="str">
        <x:v>Resource inefficiency (materials/labor/energy), Equipment constraints / low availability, Planning &amp; estimation / coordination complexity</x:v>
      </x:c>
      <x:c r="H1574" t="str">
        <x:v>Cost overrun mainly linked to resource inefficiency (materials/labor/energy); schedule overrun mainly linked to resource inefficiency (materials/labor/energy).</x:v>
      </x:c>
    </x:row>
    <x:row r="1575">
      <x:c r="A1575" t="str">
        <x:v>PJT_1574</x:v>
      </x:c>
      <x:c r="B1575" t="str">
        <x:v>Resource inefficiency (materials/labor/energy)</x:v>
      </x:c>
      <x:c r="C1575" t="str">
        <x:v>Planning &amp; estimation / coordination complexity</x:v>
      </x:c>
      <x:c r="D1575" t="str">
        <x:v>Resource inefficiency (materials/labor/energy), Planning &amp; estimation / coordination complexity, Unforeseen site/structural issues &amp; rework</x:v>
      </x:c>
      <x:c r="E1575" t="str">
        <x:v>Planning &amp; estimation / coordination complexity</x:v>
      </x:c>
      <x:c r="F1575" t="str">
        <x:v>Resource inefficiency (materials/labor/energy)</x:v>
      </x:c>
      <x:c r="G1575" t="str">
        <x:v>Planning &amp; estimation / coordination complexity, Resource inefficiency (materials/labor/energy), Unforeseen site/structural issues &amp; rework</x:v>
      </x:c>
      <x:c r="H1575" t="str">
        <x:v>Cost overrun mainly linked to resource inefficiency (materials/labor/energy); schedule overrun mainly linked to planning &amp; estimation / coordination complexity.</x:v>
      </x:c>
    </x:row>
    <x:row r="1576">
      <x:c r="A1576" t="str">
        <x:v>PJT_1575</x:v>
      </x:c>
      <x:c r="B1576" t="str">
        <x:v>Planning &amp; estimation / coordination complexity</x:v>
      </x:c>
      <x:c r="C1576" t="str">
        <x:v>Resource inefficiency (materials/labor/energy)</x:v>
      </x:c>
      <x:c r="D1576" t="str">
        <x:v>Planning &amp; estimation / coordination complexity, Resource inefficiency (materials/labor/energy), Unforeseen site/structural issues &amp; rework</x:v>
      </x:c>
      <x:c r="E1576" t="str">
        <x:v>Planning &amp; estimation / coordination complexity</x:v>
      </x:c>
      <x:c r="F1576" t="str">
        <x:v>Unforeseen site/structural issues &amp; rework</x:v>
      </x:c>
      <x:c r="G1576" t="str">
        <x:v>Planning &amp; estimation / coordination complexity, Unforeseen site/structural issues &amp; rework, Resource inefficiency (materials/labor/energy)</x:v>
      </x:c>
      <x:c r="H1576" t="str">
        <x:v>Cost overrun mainly linked to planning &amp; estimation / coordination complexity; schedule overrun mainly linked to planning &amp; estimation / coordination complexity.</x:v>
      </x:c>
    </x:row>
    <x:row r="1577">
      <x:c r="A1577" t="str">
        <x:v>PJT_1576</x:v>
      </x:c>
      <x:c r="B1577" t="str">
        <x:v>Planning &amp; estimation / coordination complexity</x:v>
      </x:c>
      <x:c r="C1577" t="str">
        <x:v>Resource inefficiency (materials/labor/energy)</x:v>
      </x:c>
      <x:c r="D1577" t="str">
        <x:v>Planning &amp; estimation / coordination complexity, Resource inefficiency (materials/labor/energy), Unforeseen site/structural issues &amp; rework</x:v>
      </x:c>
      <x:c r="E1577" t="str">
        <x:v>Planning &amp; estimation / coordination complexity</x:v>
      </x:c>
      <x:c r="F1577" t="str">
        <x:v>Unforeseen site/structural issues &amp; rework</x:v>
      </x:c>
      <x:c r="G1577" t="str">
        <x:v>Planning &amp; estimation / coordination complexity, Unforeseen site/structural issues &amp; rework, Resource inefficiency (materials/labor/energy)</x:v>
      </x:c>
      <x:c r="H1577" t="str">
        <x:v>Cost overrun mainly linked to planning &amp; estimation / coordination complexity; schedule overrun mainly linked to planning &amp; estimation / coordination complexity.</x:v>
      </x:c>
    </x:row>
    <x:row r="1578">
      <x:c r="A1578" t="str">
        <x:v>PJT_1577</x:v>
      </x:c>
      <x:c r="B1578" t="str">
        <x:v>Unforeseen site/structural issues &amp; rework</x:v>
      </x:c>
      <x:c r="C1578" t="str">
        <x:v>Weather disruption / environmental constraints</x:v>
      </x:c>
      <x:c r="D1578" t="str">
        <x:v>Unforeseen site/structural issues &amp; rework, Weather disruption / environmental constraints, Planning &amp; estimation / coordination complexity</x:v>
      </x:c>
      <x:c r="E1578" t="str">
        <x:v>Unforeseen site/structural issues &amp; rework</x:v>
      </x:c>
      <x:c r="F1578" t="str">
        <x:v>Weather disruption / environmental constraints</x:v>
      </x:c>
      <x:c r="G1578" t="str">
        <x:v>Unforeseen site/structural issues &amp; rework, Weather disruption / environmental constraints, Planning &amp; estimation / coordination complexity</x:v>
      </x:c>
      <x:c r="H1578" t="str">
        <x:v>Cost overrun mainly linked to unforeseen site/structural issues &amp; rework; schedule overrun mainly linked to unforeseen site/structural issues &amp; rework.</x:v>
      </x:c>
    </x:row>
    <x:row r="1579">
      <x:c r="A1579" t="str">
        <x:v>PJT_1578</x:v>
      </x:c>
      <x:c r="B1579" t="str">
        <x:v>Weather disruption / environmental constraints</x:v>
      </x:c>
      <x:c r="C1579" t="str">
        <x:v>Material supply / logistics &amp; market disruption</x:v>
      </x:c>
      <x:c r="D1579" t="str">
        <x:v>Weather disruption / environmental constraints, Material supply / logistics &amp; market disruption, Planning &amp; estimation / coordination complexity</x:v>
      </x:c>
      <x:c r="E1579" t="str">
        <x:v>Weather disruption / environmental constraints</x:v>
      </x:c>
      <x:c r="F1579" t="str">
        <x:v>Material supply / logistics &amp; market disruption</x:v>
      </x:c>
      <x:c r="G1579" t="str">
        <x:v>Weather disruption / environmental constraints, Material supply / logistics &amp; market disruption, Planning &amp; estimation / coordination complexity</x:v>
      </x:c>
      <x:c r="H1579" t="str">
        <x:v>Cost overrun mainly linked to weather disruption / environmental constraints; schedule overrun mainly linked to weather disruption / environmental constraints.</x:v>
      </x:c>
    </x:row>
    <x:row r="1580">
      <x:c r="A1580" t="str">
        <x:v>PJT_1579</x:v>
      </x:c>
      <x:c r="B1580" t="str">
        <x:v>Unforeseen site/structural issues &amp; rework</x:v>
      </x:c>
      <x:c r="C1580" t="str">
        <x:v>Planning &amp; estimation / coordination complexity</x:v>
      </x:c>
      <x:c r="D1580" t="str">
        <x:v>Unforeseen site/structural issues &amp; rework, Planning &amp; estimation / coordination complexity, Material supply / logistics &amp; market disruption</x:v>
      </x:c>
      <x:c r="E1580" t="str">
        <x:v>Unforeseen site/structural issues &amp; rework</x:v>
      </x:c>
      <x:c r="F1580" t="str">
        <x:v>Planning &amp; estimation / coordination complexity</x:v>
      </x:c>
      <x:c r="G1580" t="str">
        <x:v>Unforeseen site/structural issues &amp; rework, Planning &amp; estimation / coordination complexity, Resource inefficiency (materials/labor/energy)</x:v>
      </x:c>
      <x:c r="H1580" t="str">
        <x:v>Cost overrun mainly linked to unforeseen site/structural issues &amp; rework; schedule overrun mainly linked to unforeseen site/structural issues &amp; rework.</x:v>
      </x:c>
    </x:row>
    <x:row r="1581">
      <x:c r="A1581" t="str">
        <x:v>PJT_1580</x:v>
      </x:c>
      <x:c r="B1581" t="str">
        <x:v>Resource inefficiency (materials/labor/energy)</x:v>
      </x:c>
      <x:c r="C1581" t="str">
        <x:v>Planning &amp; estimation / coordination complexity</x:v>
      </x:c>
      <x:c r="D1581" t="str">
        <x:v>Resource inefficiency (materials/labor/energy), Planning &amp; estimation / coordination complexity, Equipment constraints / low availability</x:v>
      </x:c>
      <x:c r="E1581" t="str">
        <x:v>Resource inefficiency (materials/labor/energy)</x:v>
      </x:c>
      <x:c r="F1581" t="str">
        <x:v>Planning &amp; estimation / coordination complexity</x:v>
      </x:c>
      <x:c r="G1581" t="str">
        <x:v>Resource inefficiency (materials/labor/energy), Planning &amp; estimation / coordination complexity, Equipment constraints / low availability</x:v>
      </x:c>
      <x:c r="H1581" t="str">
        <x:v>Cost overrun mainly linked to resource inefficiency (materials/labor/energy); schedule overrun mainly linked to resource inefficiency (materials/labor/energy).</x:v>
      </x:c>
    </x:row>
    <x:row r="1582">
      <x:c r="A1582" t="str">
        <x:v>PJT_1581</x:v>
      </x:c>
      <x:c r="B1582" t="str">
        <x:v>Planning &amp; estimation / coordination complexity</x:v>
      </x:c>
      <x:c r="C1582" t="str">
        <x:v>Resource inefficiency (materials/labor/energy)</x:v>
      </x:c>
      <x:c r="D1582" t="str">
        <x:v>Planning &amp; estimation / coordination complexity, Resource inefficiency (materials/labor/energy), Unforeseen site/structural issues &amp; rework</x:v>
      </x:c>
      <x:c r="E1582" t="str">
        <x:v>Planning &amp; estimation / coordination complexity</x:v>
      </x:c>
      <x:c r="F1582" t="str">
        <x:v>Resource inefficiency (materials/labor/energy)</x:v>
      </x:c>
      <x:c r="G1582" t="str">
        <x:v>Planning &amp; estimation / coordination complexity, Resource inefficiency (materials/labor/energy), Unforeseen site/structural issues &amp; rework</x:v>
      </x:c>
      <x:c r="H1582" t="str">
        <x:v>Cost overrun mainly linked to planning &amp; estimation / coordination complexity; schedule overrun mainly linked to planning &amp; estimation / coordination complexity.</x:v>
      </x:c>
    </x:row>
    <x:row r="1583">
      <x:c r="A1583" t="str">
        <x:v>PJT_1582</x:v>
      </x:c>
      <x:c r="B1583" t="str">
        <x:v>Equipment constraints / low availability</x:v>
      </x:c>
      <x:c r="C1583" t="str">
        <x:v>Resource inefficiency (materials/labor/energy)</x:v>
      </x:c>
      <x:c r="D1583" t="str">
        <x:v>Equipment constraints / low availability, Resource inefficiency (materials/labor/energy), Planning &amp; estimation / coordination complexity</x:v>
      </x:c>
      <x:c r="E1583" t="str">
        <x:v>Resource inefficiency (materials/labor/energy)</x:v>
      </x:c>
      <x:c r="F1583" t="str">
        <x:v>Equipment constraints / low availability</x:v>
      </x:c>
      <x:c r="G1583" t="str">
        <x:v>Resource inefficiency (materials/labor/energy), Equipment constraints / low availability, Planning &amp; estimation / coordination complexity</x:v>
      </x:c>
      <x:c r="H1583" t="str">
        <x:v>Cost overrun mainly linked to equipment constraints / low availability; schedule overrun mainly linked to resource inefficiency (materials/labor/energy).</x:v>
      </x:c>
    </x:row>
    <x:row r="1584">
      <x:c r="A1584" t="str">
        <x:v>PJT_1583</x:v>
      </x:c>
      <x:c r="B1584" t="str">
        <x:v>Equipment constraints / low availability</x:v>
      </x:c>
      <x:c r="C1584" t="str">
        <x:v>Resource inefficiency (materials/labor/energy)</x:v>
      </x:c>
      <x:c r="D1584" t="str">
        <x:v>Equipment constraints / low availability, Resource inefficiency (materials/labor/energy), Planning &amp; estimation / coordination complexity</x:v>
      </x:c>
      <x:c r="E1584" t="str">
        <x:v>Resource inefficiency (materials/labor/energy)</x:v>
      </x:c>
      <x:c r="F1584" t="str">
        <x:v>Equipment constraints / low availability</x:v>
      </x:c>
      <x:c r="G1584" t="str">
        <x:v>Resource inefficiency (materials/labor/energy), Equipment constraints / low availability, Planning &amp; estimation / coordination complexity</x:v>
      </x:c>
      <x:c r="H1584" t="str">
        <x:v>Cost overrun mainly linked to equipment constraints / low availability; schedule overrun mainly linked to resource inefficiency (materials/labor/energy).</x:v>
      </x:c>
    </x:row>
    <x:row r="1585">
      <x:c r="A1585" t="str">
        <x:v>PJT_1584</x:v>
      </x:c>
      <x:c r="B1585" t="str">
        <x:v>Resource inefficiency (materials/labor/energy)</x:v>
      </x:c>
      <x:c r="C1585" t="str">
        <x:v>Material supply / logistics &amp; market disruption</x:v>
      </x:c>
      <x:c r="D1585" t="str">
        <x:v>Resource inefficiency (materials/labor/energy), Material supply / logistics &amp; market disruption, Equipment constraints / low availability</x:v>
      </x:c>
      <x:c r="E1585" t="str">
        <x:v>Resource inefficiency (materials/labor/energy)</x:v>
      </x:c>
      <x:c r="F1585" t="str">
        <x:v>Equipment constraints / low availability</x:v>
      </x:c>
      <x:c r="G1585" t="str">
        <x:v>Resource inefficiency (materials/labor/energy), Equipment constraints / low availability, Material supply / logistics &amp; market disruption</x:v>
      </x:c>
      <x:c r="H1585" t="str">
        <x:v>Cost overrun mainly linked to resource inefficiency (materials/labor/energy); schedule overrun mainly linked to resource inefficiency (materials/labor/energy).</x:v>
      </x:c>
    </x:row>
    <x:row r="1586">
      <x:c r="A1586" t="str">
        <x:v>PJT_1585</x:v>
      </x:c>
      <x:c r="B1586" t="str">
        <x:v>Unforeseen site/structural issues &amp; rework</x:v>
      </x:c>
      <x:c r="C1586" t="str">
        <x:v>Weather disruption / environmental constraints</x:v>
      </x:c>
      <x:c r="D1586" t="str">
        <x:v>Unforeseen site/structural issues &amp; rework, Weather disruption / environmental constraints, Equipment constraints / low availability</x:v>
      </x:c>
      <x:c r="E1586" t="str">
        <x:v>Unforeseen site/structural issues &amp; rework</x:v>
      </x:c>
      <x:c r="F1586" t="str">
        <x:v>Weather disruption / environmental constraints</x:v>
      </x:c>
      <x:c r="G1586" t="str">
        <x:v>Unforeseen site/structural issues &amp; rework, Weather disruption / environmental constraints, Equipment constraints / low availability</x:v>
      </x:c>
      <x:c r="H1586" t="str">
        <x:v>Cost overrun mainly linked to unforeseen site/structural issues &amp; rework; schedule overrun mainly linked to unforeseen site/structural issues &amp; rework.</x:v>
      </x:c>
    </x:row>
    <x:row r="1587">
      <x:c r="A1587" t="str">
        <x:v>PJT_1586</x:v>
      </x:c>
      <x:c r="B1587" t="str">
        <x:v>Equipment constraints / low availability</x:v>
      </x:c>
      <x:c r="C1587" t="str">
        <x:v>Unforeseen site/structural issues &amp; rework</x:v>
      </x:c>
      <x:c r="D1587" t="str">
        <x:v>Equipment constraints / low availability, Unforeseen site/structural issues &amp; rework, Planning &amp; estimation / coordination complexity</x:v>
      </x:c>
      <x:c r="E1587" t="str">
        <x:v>Equipment constraints / low availability</x:v>
      </x:c>
      <x:c r="F1587" t="str">
        <x:v>Unforeseen site/structural issues &amp; rework</x:v>
      </x:c>
      <x:c r="G1587" t="str">
        <x:v>Equipment constraints / low availability, Unforeseen site/structural issues &amp; rework, Planning &amp; estimation / coordination complexity</x:v>
      </x:c>
      <x:c r="H1587" t="str">
        <x:v>Cost overrun mainly linked to equipment constraints / low availability; schedule overrun mainly linked to equipment constraints / low availability.</x:v>
      </x:c>
    </x:row>
    <x:row r="1588">
      <x:c r="A1588" t="str">
        <x:v>PJT_1587</x:v>
      </x:c>
      <x:c r="B1588" t="str">
        <x:v>Planning &amp; estimation / coordination complexity</x:v>
      </x:c>
      <x:c r="C1588" t="str">
        <x:v>Resource inefficiency (materials/labor/energy)</x:v>
      </x:c>
      <x:c r="D1588" t="str">
        <x:v>Planning &amp; estimation / coordination complexity, Resource inefficiency (materials/labor/energy), Unforeseen site/structural issues &amp; rework</x:v>
      </x:c>
      <x:c r="E1588" t="str">
        <x:v>Planning &amp; estimation / coordination complexity</x:v>
      </x:c>
      <x:c r="F1588" t="str">
        <x:v>Unforeseen site/structural issues &amp; rework</x:v>
      </x:c>
      <x:c r="G1588" t="str">
        <x:v>Planning &amp; estimation / coordination complexity, Unforeseen site/structural issues &amp; rework, Resource inefficiency (materials/labor/energy)</x:v>
      </x:c>
      <x:c r="H1588" t="str">
        <x:v>Cost overrun mainly linked to planning &amp; estimation / coordination complexity; schedule overrun mainly linked to planning &amp; estimation / coordination complexity.</x:v>
      </x:c>
    </x:row>
    <x:row r="1589">
      <x:c r="A1589" t="str">
        <x:v>PJT_1588</x:v>
      </x:c>
      <x:c r="B1589" t="str">
        <x:v>Unforeseen site/structural issues &amp; rework</x:v>
      </x:c>
      <x:c r="C1589" t="str">
        <x:v>Equipment constraints / low availability</x:v>
      </x:c>
      <x:c r="D1589" t="str">
        <x:v>Unforeseen site/structural issues &amp; rework, Equipment constraints / low availability, Planning &amp; estimation / coordination complexity</x:v>
      </x:c>
      <x:c r="E1589" t="str">
        <x:v>Unforeseen site/structural issues &amp; rework</x:v>
      </x:c>
      <x:c r="F1589" t="str">
        <x:v>Planning &amp; estimation / coordination complexity</x:v>
      </x:c>
      <x:c r="G1589" t="str">
        <x:v>Unforeseen site/structural issues &amp; rework, Planning &amp; estimation / coordination complexity, Equipment constraints / low availability</x:v>
      </x:c>
      <x:c r="H1589" t="str">
        <x:v>Cost overrun mainly linked to unforeseen site/structural issues &amp; rework; schedule overrun mainly linked to unforeseen site/structural issues &amp; rework.</x:v>
      </x:c>
    </x:row>
    <x:row r="1590">
      <x:c r="A1590" t="str">
        <x:v>PJT_1589</x:v>
      </x:c>
      <x:c r="B1590" t="str">
        <x:v>Resource inefficiency (materials/labor/energy)</x:v>
      </x:c>
      <x:c r="C1590" t="str">
        <x:v>Planning &amp; estimation / coordination complexity</x:v>
      </x:c>
      <x:c r="D1590" t="str">
        <x:v>Resource inefficiency (materials/labor/energy), Planning &amp; estimation / coordination complexity, Equipment constraints / low availability</x:v>
      </x:c>
      <x:c r="E1590" t="str">
        <x:v>Resource inefficiency (materials/labor/energy)</x:v>
      </x:c>
      <x:c r="F1590" t="str">
        <x:v>Planning &amp; estimation / coordination complexity</x:v>
      </x:c>
      <x:c r="G1590" t="str">
        <x:v>Resource inefficiency (materials/labor/energy), Planning &amp; estimation / coordination complexity, Unforeseen site/structural issues &amp; rework</x:v>
      </x:c>
      <x:c r="H1590" t="str">
        <x:v>Cost overrun mainly linked to resource inefficiency (materials/labor/energy); schedule overrun mainly linked to resource inefficiency (materials/labor/energy).</x:v>
      </x:c>
    </x:row>
    <x:row r="1591">
      <x:c r="A1591" t="str">
        <x:v>PJT_1590</x:v>
      </x:c>
      <x:c r="B1591" t="str">
        <x:v>Resource inefficiency (materials/labor/energy)</x:v>
      </x:c>
      <x:c r="C1591" t="str">
        <x:v>Planning &amp; estimation / coordination complexity</x:v>
      </x:c>
      <x:c r="D1591" t="str">
        <x:v>Resource inefficiency (materials/labor/energy), Planning &amp; estimation / coordination complexity, Material supply / logistics &amp; market disruption</x:v>
      </x:c>
      <x:c r="E1591" t="str">
        <x:v>Resource inefficiency (materials/labor/energy)</x:v>
      </x:c>
      <x:c r="F1591" t="str">
        <x:v>Planning &amp; estimation / coordination complexity</x:v>
      </x:c>
      <x:c r="G1591" t="str">
        <x:v>Resource inefficiency (materials/labor/energy), Planning &amp; estimation / coordination complexity, Equipment constraints / low availability</x:v>
      </x:c>
      <x:c r="H1591" t="str">
        <x:v>Cost overrun mainly linked to resource inefficiency (materials/labor/energy); schedule overrun mainly linked to resource inefficiency (materials/labor/energy).</x:v>
      </x:c>
    </x:row>
    <x:row r="1592">
      <x:c r="A1592" t="str">
        <x:v>PJT_1591</x:v>
      </x:c>
      <x:c r="B1592" t="str">
        <x:v>Resource inefficiency (materials/labor/energy)</x:v>
      </x:c>
      <x:c r="C1592" t="str">
        <x:v>Equipment constraints / low availability</x:v>
      </x:c>
      <x:c r="D1592" t="str">
        <x:v>Resource inefficiency (materials/labor/energy), Equipment constraints / low availability, Planning &amp; estimation / coordination complexity</x:v>
      </x:c>
      <x:c r="E1592" t="str">
        <x:v>Resource inefficiency (materials/labor/energy)</x:v>
      </x:c>
      <x:c r="F1592" t="str">
        <x:v>Equipment constraints / low availability</x:v>
      </x:c>
      <x:c r="G1592" t="str">
        <x:v>Resource inefficiency (materials/labor/energy), Equipment constraints / low availability, Planning &amp; estimation / coordination complexity</x:v>
      </x:c>
      <x:c r="H1592" t="str">
        <x:v>Cost overrun mainly linked to resource inefficiency (materials/labor/energy); schedule overrun mainly linked to resource inefficiency (materials/labor/energy).</x:v>
      </x:c>
    </x:row>
    <x:row r="1593">
      <x:c r="A1593" t="str">
        <x:v>PJT_1592</x:v>
      </x:c>
      <x:c r="B1593" t="str">
        <x:v>Resource inefficiency (materials/labor/energy)</x:v>
      </x:c>
      <x:c r="C1593" t="str">
        <x:v>Planning &amp; estimation / coordination complexity</x:v>
      </x:c>
      <x:c r="D1593" t="str">
        <x:v>Resource inefficiency (materials/labor/energy), Planning &amp; estimation / coordination complexity, Material supply / logistics &amp; market disruption</x:v>
      </x:c>
      <x:c r="E1593" t="str">
        <x:v>Planning &amp; estimation / coordination complexity</x:v>
      </x:c>
      <x:c r="F1593" t="str">
        <x:v>Resource inefficiency (materials/labor/energy)</x:v>
      </x:c>
      <x:c r="G1593" t="str">
        <x:v>Planning &amp; estimation / coordination complexity, Resource inefficiency (materials/labor/energy), Equipment constraints / low availability</x:v>
      </x:c>
      <x:c r="H1593" t="str">
        <x:v>Cost overrun mainly linked to resource inefficiency (materials/labor/energy); schedule overrun mainly linked to planning &amp; estimation / coordination complexity.</x:v>
      </x:c>
    </x:row>
    <x:row r="1594">
      <x:c r="A1594" t="str">
        <x:v>PJT_1593</x:v>
      </x:c>
      <x:c r="B1594" t="str">
        <x:v>Weather disruption / environmental constraints</x:v>
      </x:c>
      <x:c r="C1594" t="str">
        <x:v>Planning &amp; estimation / coordination complexity</x:v>
      </x:c>
      <x:c r="D1594" t="str">
        <x:v>Weather disruption / environmental constraints, Planning &amp; estimation / coordination complexity, Unforeseen site/structural issues &amp; rework</x:v>
      </x:c>
      <x:c r="E1594" t="str">
        <x:v>Weather disruption / environmental constraints</x:v>
      </x:c>
      <x:c r="F1594" t="str">
        <x:v>Unforeseen site/structural issues &amp; rework</x:v>
      </x:c>
      <x:c r="G1594" t="str">
        <x:v>Weather disruption / environmental constraints, Unforeseen site/structural issues &amp; rework, Planning &amp; estimation / coordination complexity</x:v>
      </x:c>
      <x:c r="H1594" t="str">
        <x:v>Cost overrun mainly linked to weather disruption / environmental constraints; schedule overrun mainly linked to weather disruption / environmental constraints.</x:v>
      </x:c>
    </x:row>
    <x:row r="1595">
      <x:c r="A1595" t="str">
        <x:v>PJT_1594</x:v>
      </x:c>
      <x:c r="B1595" t="str">
        <x:v>Resource inefficiency (materials/labor/energy)</x:v>
      </x:c>
      <x:c r="C1595" t="str">
        <x:v>Planning &amp; estimation / coordination complexity</x:v>
      </x:c>
      <x:c r="D1595" t="str">
        <x:v>Resource inefficiency (materials/labor/energy), Planning &amp; estimation / coordination complexity, Equipment constraints / low availability</x:v>
      </x:c>
      <x:c r="E1595" t="str">
        <x:v>Resource inefficiency (materials/labor/energy)</x:v>
      </x:c>
      <x:c r="F1595" t="str">
        <x:v>Planning &amp; estimation / coordination complexity</x:v>
      </x:c>
      <x:c r="G1595" t="str">
        <x:v>Resource inefficiency (materials/labor/energy), Planning &amp; estimation / coordination complexity, Equipment constraints / low availability</x:v>
      </x:c>
      <x:c r="H1595" t="str">
        <x:v>Cost overrun mainly linked to resource inefficiency (materials/labor/energy); schedule overrun mainly linked to resource inefficiency (materials/labor/energy).</x:v>
      </x:c>
    </x:row>
    <x:row r="1596">
      <x:c r="A1596" t="str">
        <x:v>PJT_1595</x:v>
      </x:c>
      <x:c r="B1596" t="str">
        <x:v>Equipment constraints / low availability</x:v>
      </x:c>
      <x:c r="C1596" t="str">
        <x:v>Resource inefficiency (materials/labor/energy)</x:v>
      </x:c>
      <x:c r="D1596" t="str">
        <x:v>Equipment constraints / low availability, Resource inefficiency (materials/labor/energy), Planning &amp; estimation / coordination complexity</x:v>
      </x:c>
      <x:c r="E1596" t="str">
        <x:v>Equipment constraints / low availability</x:v>
      </x:c>
      <x:c r="F1596" t="str">
        <x:v>Resource inefficiency (materials/labor/energy)</x:v>
      </x:c>
      <x:c r="G1596" t="str">
        <x:v>Equipment constraints / low availability, Resource inefficiency (materials/labor/energy), Planning &amp; estimation / coordination complexity</x:v>
      </x:c>
      <x:c r="H1596" t="str">
        <x:v>Cost overrun mainly linked to equipment constraints / low availability; schedule overrun mainly linked to equipment constraints / low availability.</x:v>
      </x:c>
    </x:row>
    <x:row r="1597">
      <x:c r="A1597" t="str">
        <x:v>PJT_1596</x:v>
      </x:c>
      <x:c r="B1597" t="str">
        <x:v>Planning &amp; estimation / coordination complexity</x:v>
      </x:c>
      <x:c r="C1597" t="str">
        <x:v>Equipment constraints / low availability</x:v>
      </x:c>
      <x:c r="D1597" t="str">
        <x:v>Planning &amp; estimation / coordination complexity, Equipment constraints / low availability, Weather disruption / environmental constraints</x:v>
      </x:c>
      <x:c r="E1597" t="str">
        <x:v>Planning &amp; estimation / coordination complexity</x:v>
      </x:c>
      <x:c r="F1597" t="str">
        <x:v>Equipment constraints / low availability</x:v>
      </x:c>
      <x:c r="G1597" t="str">
        <x:v>Planning &amp; estimation / coordination complexity, Equipment constraints / low availability, Weather disruption / environmental constraints</x:v>
      </x:c>
      <x:c r="H1597" t="str">
        <x:v>Cost overrun mainly linked to planning &amp; estimation / coordination complexity; schedule overrun mainly linked to planning &amp; estimation / coordination complexity.</x:v>
      </x:c>
    </x:row>
    <x:row r="1598">
      <x:c r="A1598" t="str">
        <x:v>PJT_1597</x:v>
      </x:c>
      <x:c r="B1598" t="str">
        <x:v>Resource inefficiency (materials/labor/energy)</x:v>
      </x:c>
      <x:c r="C1598" t="str">
        <x:v>Planning &amp; estimation / coordination complexity</x:v>
      </x:c>
      <x:c r="D1598" t="str">
        <x:v>Resource inefficiency (materials/labor/energy), Planning &amp; estimation / coordination complexity, Material supply / logistics &amp; market disruption</x:v>
      </x:c>
      <x:c r="E1598" t="str">
        <x:v>Resource inefficiency (materials/labor/energy)</x:v>
      </x:c>
      <x:c r="F1598" t="str">
        <x:v>Planning &amp; estimation / coordination complexity</x:v>
      </x:c>
      <x:c r="G1598" t="str">
        <x:v>Resource inefficiency (materials/labor/energy), Planning &amp; estimation / coordination complexity, Unforeseen site/structural issues &amp; rework</x:v>
      </x:c>
      <x:c r="H1598" t="str">
        <x:v>Cost overrun mainly linked to resource inefficiency (materials/labor/energy); schedule overrun mainly linked to resource inefficiency (materials/labor/energy).</x:v>
      </x:c>
    </x:row>
    <x:row r="1599">
      <x:c r="A1599" t="str">
        <x:v>PJT_1598</x:v>
      </x:c>
      <x:c r="B1599" t="str">
        <x:v>Planning &amp; estimation / coordination complexity</x:v>
      </x:c>
      <x:c r="C1599" t="str">
        <x:v>Resource inefficiency (materials/labor/energy)</x:v>
      </x:c>
      <x:c r="D1599" t="str">
        <x:v>Planning &amp; estimation / coordination complexity, Resource inefficiency (materials/labor/energy), Equipment constraints / low availability</x:v>
      </x:c>
      <x:c r="E1599" t="str">
        <x:v>Resource inefficiency (materials/labor/energy)</x:v>
      </x:c>
      <x:c r="F1599" t="str">
        <x:v>Planning &amp; estimation / coordination complexity</x:v>
      </x:c>
      <x:c r="G1599" t="str">
        <x:v>Resource inefficiency (materials/labor/energy), Planning &amp; estimation / coordination complexity, Weather disruption / environmental constraints</x:v>
      </x:c>
      <x:c r="H1599" t="str">
        <x:v>Cost overrun mainly linked to planning &amp; estimation / coordination complexity; schedule overrun mainly linked to resource inefficiency (materials/labor/energy).</x:v>
      </x:c>
    </x:row>
    <x:row r="1600">
      <x:c r="A1600" t="str">
        <x:v>PJT_1599</x:v>
      </x:c>
      <x:c r="B1600" t="str">
        <x:v>Planning &amp; estimation / coordination complexity</x:v>
      </x:c>
      <x:c r="C1600" t="str">
        <x:v>Unforeseen site/structural issues &amp; rework</x:v>
      </x:c>
      <x:c r="D1600" t="str">
        <x:v>Planning &amp; estimation / coordination complexity, Unforeseen site/structural issues &amp; rework, Equipment constraints / low availability</x:v>
      </x:c>
      <x:c r="E1600" t="str">
        <x:v>Unforeseen site/structural issues &amp; rework</x:v>
      </x:c>
      <x:c r="F1600" t="str">
        <x:v>Planning &amp; estimation / coordination complexity</x:v>
      </x:c>
      <x:c r="G1600" t="str">
        <x:v>Unforeseen site/structural issues &amp; rework, Planning &amp; estimation / coordination complexity, Equipment constraints / low availability</x:v>
      </x:c>
      <x:c r="H1600" t="str">
        <x:v>Cost overrun mainly linked to planning &amp; estimation / coordination complexity; schedule overrun mainly linked to unforeseen site/structural issues &amp; rework.</x:v>
      </x:c>
    </x:row>
    <x:row r="1601">
      <x:c r="A1601" t="str">
        <x:v>PJT_1600</x:v>
      </x:c>
      <x:c r="B1601" t="str">
        <x:v>Unforeseen site/structural issues &amp; rework</x:v>
      </x:c>
      <x:c r="C1601" t="str">
        <x:v>Planning &amp; estimation / coordination complexity</x:v>
      </x:c>
      <x:c r="D1601" t="str">
        <x:v>Unforeseen site/structural issues &amp; rework, Planning &amp; estimation / coordination complexity, Weather disruption / environmental constraints</x:v>
      </x:c>
      <x:c r="E1601" t="str">
        <x:v>Unforeseen site/structural issues &amp; rework</x:v>
      </x:c>
      <x:c r="F1601" t="str">
        <x:v>Planning &amp; estimation / coordination complexity</x:v>
      </x:c>
      <x:c r="G1601" t="str">
        <x:v>Unforeseen site/structural issues &amp; rework, Planning &amp; estimation / coordination complexity, Weather disruption / environmental constraints</x:v>
      </x:c>
      <x:c r="H1601" t="str">
        <x:v>Cost overrun mainly linked to unforeseen site/structural issues &amp; rework; schedule overrun mainly linked to unforeseen site/structural issues &amp; rework.</x:v>
      </x:c>
    </x:row>
    <x:row r="1602">
      <x:c r="A1602" t="str">
        <x:v>PJT_1601</x:v>
      </x:c>
      <x:c r="B1602" t="str">
        <x:v>Resource inefficiency (materials/labor/energy)</x:v>
      </x:c>
      <x:c r="C1602" t="str">
        <x:v>Equipment constraints / low availability</x:v>
      </x:c>
      <x:c r="D1602" t="str">
        <x:v>Resource inefficiency (materials/labor/energy), Equipment constraints / low availability, Material supply / logistics &amp; market disruption</x:v>
      </x:c>
      <x:c r="E1602" t="str">
        <x:v>Resource inefficiency (materials/labor/energy)</x:v>
      </x:c>
      <x:c r="F1602" t="str">
        <x:v>Equipment constraints / low availability</x:v>
      </x:c>
      <x:c r="G1602" t="str">
        <x:v>Resource inefficiency (materials/labor/energy), Equipment constraints / low availability, Material supply / logistics &amp; market disruption</x:v>
      </x:c>
      <x:c r="H1602" t="str">
        <x:v>Cost overrun mainly linked to resource inefficiency (materials/labor/energy); schedule overrun mainly linked to resource inefficiency (materials/labor/energy).</x:v>
      </x:c>
    </x:row>
    <x:row r="1603">
      <x:c r="A1603" t="str">
        <x:v>PJT_1602</x:v>
      </x:c>
      <x:c r="B1603" t="str">
        <x:v>Material supply / logistics &amp; market disruption</x:v>
      </x:c>
      <x:c r="C1603" t="str">
        <x:v>Resource inefficiency (materials/labor/energy)</x:v>
      </x:c>
      <x:c r="D1603" t="str">
        <x:v>Material supply / logistics &amp; market disruption, Resource inefficiency (materials/labor/energy), Weather disruption / environmental constraints</x:v>
      </x:c>
      <x:c r="E1603" t="str">
        <x:v>Resource inefficiency (materials/labor/energy)</x:v>
      </x:c>
      <x:c r="F1603" t="str">
        <x:v>Material supply / logistics &amp; market disruption</x:v>
      </x:c>
      <x:c r="G1603" t="str">
        <x:v>Resource inefficiency (materials/labor/energy), Material supply / logistics &amp; market disruption, Weather disruption / environmental constraints</x:v>
      </x:c>
      <x:c r="H1603" t="str">
        <x:v>Cost overrun mainly linked to material supply / logistics &amp; market disruption; schedule overrun mainly linked to resource inefficiency (materials/labor/energy).</x:v>
      </x:c>
    </x:row>
    <x:row r="1604">
      <x:c r="A1604" t="str">
        <x:v>PJT_1603</x:v>
      </x:c>
      <x:c r="B1604" t="str">
        <x:v>Equipment constraints / low availability</x:v>
      </x:c>
      <x:c r="C1604" t="str">
        <x:v>Weather disruption / environmental constraints</x:v>
      </x:c>
      <x:c r="D1604" t="str">
        <x:v>Equipment constraints / low availability, Weather disruption / environmental constraints, Resource inefficiency (materials/labor/energy)</x:v>
      </x:c>
      <x:c r="E1604" t="str">
        <x:v>Equipment constraints / low availability</x:v>
      </x:c>
      <x:c r="F1604" t="str">
        <x:v>Weather disruption / environmental constraints</x:v>
      </x:c>
      <x:c r="G1604" t="str">
        <x:v>Equipment constraints / low availability, Weather disruption / environmental constraints, Resource inefficiency (materials/labor/energy)</x:v>
      </x:c>
      <x:c r="H1604" t="str">
        <x:v>Cost overrun mainly linked to equipment constraints / low availability; schedule overrun mainly linked to equipment constraints / low availability.</x:v>
      </x:c>
    </x:row>
    <x:row r="1605">
      <x:c r="A1605" t="str">
        <x:v>PJT_1604</x:v>
      </x:c>
      <x:c r="B1605" t="str">
        <x:v>Unforeseen site/structural issues &amp; rework</x:v>
      </x:c>
      <x:c r="C1605" t="str">
        <x:v>Weather disruption / environmental constraints</x:v>
      </x:c>
      <x:c r="D1605" t="str">
        <x:v>Unforeseen site/structural issues &amp; rework, Weather disruption / environmental constraints, Material supply / logistics &amp; market disruption</x:v>
      </x:c>
      <x:c r="E1605" t="str">
        <x:v>Weather disruption / environmental constraints</x:v>
      </x:c>
      <x:c r="F1605" t="str">
        <x:v>Unforeseen site/structural issues &amp; rework</x:v>
      </x:c>
      <x:c r="G1605" t="str">
        <x:v>Weather disruption / environmental constraints, Unforeseen site/structural issues &amp; rework, Material supply / logistics &amp; market disruption</x:v>
      </x:c>
      <x:c r="H1605" t="str">
        <x:v>Cost overrun mainly linked to unforeseen site/structural issues &amp; rework; schedule overrun mainly linked to weather disruption / environmental constraints.</x:v>
      </x:c>
    </x:row>
    <x:row r="1606">
      <x:c r="A1606" t="str">
        <x:v>PJT_1605</x:v>
      </x:c>
      <x:c r="B1606" t="str">
        <x:v>Weather disruption / environmental constraints</x:v>
      </x:c>
      <x:c r="C1606" t="str">
        <x:v>Equipment constraints / low availability</x:v>
      </x:c>
      <x:c r="D1606" t="str">
        <x:v>Weather disruption / environmental constraints, Equipment constraints / low availability, Planning &amp; estimation / coordination complexity</x:v>
      </x:c>
      <x:c r="E1606" t="str">
        <x:v>Weather disruption / environmental constraints</x:v>
      </x:c>
      <x:c r="F1606" t="str">
        <x:v>Equipment constraints / low availability</x:v>
      </x:c>
      <x:c r="G1606" t="str">
        <x:v>Weather disruption / environmental constraints, Equipment constraints / low availability, Planning &amp; estimation / coordination complexity</x:v>
      </x:c>
      <x:c r="H1606" t="str">
        <x:v>Cost overrun mainly linked to weather disruption / environmental constraints; schedule overrun mainly linked to weather disruption / environmental constraints.</x:v>
      </x:c>
    </x:row>
    <x:row r="1607">
      <x:c r="A1607" t="str">
        <x:v>PJT_1606</x:v>
      </x:c>
      <x:c r="B1607" t="str">
        <x:v>Resource inefficiency (materials/labor/energy)</x:v>
      </x:c>
      <x:c r="C1607" t="str">
        <x:v>Material supply / logistics &amp; market disruption</x:v>
      </x:c>
      <x:c r="D1607" t="str">
        <x:v>Resource inefficiency (materials/labor/energy), Material supply / logistics &amp; market disruption, Planning &amp; estimation / coordination complexity</x:v>
      </x:c>
      <x:c r="E1607" t="str">
        <x:v>Resource inefficiency (materials/labor/energy)</x:v>
      </x:c>
      <x:c r="F1607" t="str">
        <x:v>Planning &amp; estimation / coordination complexity</x:v>
      </x:c>
      <x:c r="G1607" t="str">
        <x:v>Resource inefficiency (materials/labor/energy), Planning &amp; estimation / coordination complexity, Material supply / logistics &amp; market disruption</x:v>
      </x:c>
      <x:c r="H1607" t="str">
        <x:v>Cost overrun mainly linked to resource inefficiency (materials/labor/energy); schedule overrun mainly linked to resource inefficiency (materials/labor/energy).</x:v>
      </x:c>
    </x:row>
    <x:row r="1608">
      <x:c r="A1608" t="str">
        <x:v>PJT_1607</x:v>
      </x:c>
      <x:c r="B1608" t="str">
        <x:v>Material supply / logistics &amp; market disruption</x:v>
      </x:c>
      <x:c r="C1608" t="str">
        <x:v>Resource inefficiency (materials/labor/energy)</x:v>
      </x:c>
      <x:c r="D1608" t="str">
        <x:v>Material supply / logistics &amp; market disruption, Resource inefficiency (materials/labor/energy), Planning &amp; estimation / coordination complexity</x:v>
      </x:c>
      <x:c r="E1608" t="str">
        <x:v>Resource inefficiency (materials/labor/energy)</x:v>
      </x:c>
      <x:c r="F1608" t="str">
        <x:v>Material supply / logistics &amp; market disruption</x:v>
      </x:c>
      <x:c r="G1608" t="str">
        <x:v>Resource inefficiency (materials/labor/energy), Material supply / logistics &amp; market disruption, Equipment constraints / low availability</x:v>
      </x:c>
      <x:c r="H1608" t="str">
        <x:v>Cost overrun mainly linked to material supply / logistics &amp; market disruption; schedule overrun mainly linked to resource inefficiency (materials/labor/energy).</x:v>
      </x:c>
    </x:row>
    <x:row r="1609">
      <x:c r="A1609" t="str">
        <x:v>PJT_1608</x:v>
      </x:c>
      <x:c r="B1609" t="str">
        <x:v>Unforeseen site/structural issues &amp; rework</x:v>
      </x:c>
      <x:c r="C1609" t="str">
        <x:v>Equipment constraints / low availability</x:v>
      </x:c>
      <x:c r="D1609" t="str">
        <x:v>Unforeseen site/structural issues &amp; rework, Equipment constraints / low availability, Planning &amp; estimation / coordination complexity</x:v>
      </x:c>
      <x:c r="E1609" t="str">
        <x:v>Unforeseen site/structural issues &amp; rework</x:v>
      </x:c>
      <x:c r="F1609" t="str">
        <x:v>Planning &amp; estimation / coordination complexity</x:v>
      </x:c>
      <x:c r="G1609" t="str">
        <x:v>Unforeseen site/structural issues &amp; rework, Planning &amp; estimation / coordination complexity, Equipment constraints / low availability</x:v>
      </x:c>
      <x:c r="H1609" t="str">
        <x:v>Cost overrun mainly linked to unforeseen site/structural issues &amp; rework; schedule overrun mainly linked to unforeseen site/structural issues &amp; rework.</x:v>
      </x:c>
    </x:row>
    <x:row r="1610">
      <x:c r="A1610" t="str">
        <x:v>PJT_1609</x:v>
      </x:c>
      <x:c r="B1610" t="str">
        <x:v>Resource inefficiency (materials/labor/energy)</x:v>
      </x:c>
      <x:c r="C1610" t="str">
        <x:v>Planning &amp; estimation / coordination complexity</x:v>
      </x:c>
      <x:c r="D1610" t="str">
        <x:v>Resource inefficiency (materials/labor/energy), Planning &amp; estimation / coordination complexity, Equipment constraints / low availability</x:v>
      </x:c>
      <x:c r="E1610" t="str">
        <x:v>Resource inefficiency (materials/labor/energy)</x:v>
      </x:c>
      <x:c r="F1610" t="str">
        <x:v>Planning &amp; estimation / coordination complexity</x:v>
      </x:c>
      <x:c r="G1610" t="str">
        <x:v>Resource inefficiency (materials/labor/energy), Planning &amp; estimation / coordination complexity, Equipment constraints / low availability</x:v>
      </x:c>
      <x:c r="H1610" t="str">
        <x:v>Cost overrun mainly linked to resource inefficiency (materials/labor/energy); schedule overrun mainly linked to resource inefficiency (materials/labor/energy).</x:v>
      </x:c>
    </x:row>
    <x:row r="1611">
      <x:c r="A1611" t="str">
        <x:v>PJT_1610</x:v>
      </x:c>
      <x:c r="B1611" t="str">
        <x:v>Weather disruption / environmental constraints</x:v>
      </x:c>
      <x:c r="C1611" t="str">
        <x:v>Unforeseen site/structural issues &amp; rework</x:v>
      </x:c>
      <x:c r="D1611" t="str">
        <x:v>Weather disruption / environmental constraints, Unforeseen site/structural issues &amp; rework, Material supply / logistics &amp; market disruption</x:v>
      </x:c>
      <x:c r="E1611" t="str">
        <x:v>Weather disruption / environmental constraints</x:v>
      </x:c>
      <x:c r="F1611" t="str">
        <x:v>Unforeseen site/structural issues &amp; rework</x:v>
      </x:c>
      <x:c r="G1611" t="str">
        <x:v>Weather disruption / environmental constraints, Unforeseen site/structural issues &amp; rework, Material supply / logistics &amp; market disruption</x:v>
      </x:c>
      <x:c r="H1611" t="str">
        <x:v>Cost overrun mainly linked to weather disruption / environmental constraints; schedule overrun mainly linked to weather disruption / environmental constraints.</x:v>
      </x:c>
    </x:row>
    <x:row r="1612">
      <x:c r="A1612" t="str">
        <x:v>PJT_1611</x:v>
      </x:c>
      <x:c r="B1612" t="str">
        <x:v>Planning &amp; estimation / coordination complexity</x:v>
      </x:c>
      <x:c r="C1612" t="str">
        <x:v>Unforeseen site/structural issues &amp; rework</x:v>
      </x:c>
      <x:c r="D1612" t="str">
        <x:v>Planning &amp; estimation / coordination complexity, Unforeseen site/structural issues &amp; rework, Resource inefficiency (materials/labor/energy)</x:v>
      </x:c>
      <x:c r="E1612" t="str">
        <x:v>Planning &amp; estimation / coordination complexity</x:v>
      </x:c>
      <x:c r="F1612" t="str">
        <x:v>Unforeseen site/structural issues &amp; rework</x:v>
      </x:c>
      <x:c r="G1612" t="str">
        <x:v>Planning &amp; estimation / coordination complexity, Unforeseen site/structural issues &amp; rework, Resource inefficiency (materials/labor/energy)</x:v>
      </x:c>
      <x:c r="H1612" t="str">
        <x:v>Cost overrun mainly linked to planning &amp; estimation / coordination complexity; schedule overrun mainly linked to planning &amp; estimation / coordination complexity.</x:v>
      </x:c>
    </x:row>
    <x:row r="1613">
      <x:c r="A1613" t="str">
        <x:v>PJT_1612</x:v>
      </x:c>
      <x:c r="B1613" t="str">
        <x:v>Unforeseen site/structural issues &amp; rework</x:v>
      </x:c>
      <x:c r="C1613" t="str">
        <x:v>Planning &amp; estimation / coordination complexity</x:v>
      </x:c>
      <x:c r="D1613" t="str">
        <x:v>Unforeseen site/structural issues &amp; rework, Planning &amp; estimation / coordination complexity, Equipment constraints / low availability</x:v>
      </x:c>
      <x:c r="E1613" t="str">
        <x:v>Unforeseen site/structural issues &amp; rework</x:v>
      </x:c>
      <x:c r="F1613" t="str">
        <x:v>Planning &amp; estimation / coordination complexity</x:v>
      </x:c>
      <x:c r="G1613" t="str">
        <x:v>Unforeseen site/structural issues &amp; rework, Planning &amp; estimation / coordination complexity, Equipment constraints / low availability</x:v>
      </x:c>
      <x:c r="H1613" t="str">
        <x:v>Cost overrun mainly linked to unforeseen site/structural issues &amp; rework; schedule overrun mainly linked to unforeseen site/structural issues &amp; rework.</x:v>
      </x:c>
    </x:row>
    <x:row r="1614">
      <x:c r="A1614" t="str">
        <x:v>PJT_1613</x:v>
      </x:c>
      <x:c r="B1614" t="str">
        <x:v>Unforeseen site/structural issues &amp; rework</x:v>
      </x:c>
      <x:c r="C1614" t="str">
        <x:v>Material supply / logistics &amp; market disruption</x:v>
      </x:c>
      <x:c r="D1614" t="str">
        <x:v>Unforeseen site/structural issues &amp; rework, Material supply / logistics &amp; market disruption, Weather disruption / environmental constraints</x:v>
      </x:c>
      <x:c r="E1614" t="str">
        <x:v>Unforeseen site/structural issues &amp; rework</x:v>
      </x:c>
      <x:c r="F1614" t="str">
        <x:v>Material supply / logistics &amp; market disruption</x:v>
      </x:c>
      <x:c r="G1614" t="str">
        <x:v>Unforeseen site/structural issues &amp; rework, Material supply / logistics &amp; market disruption, Weather disruption / environmental constraints</x:v>
      </x:c>
      <x:c r="H1614" t="str">
        <x:v>Cost overrun mainly linked to unforeseen site/structural issues &amp; rework; schedule overrun mainly linked to unforeseen site/structural issues &amp; rework.</x:v>
      </x:c>
    </x:row>
    <x:row r="1615">
      <x:c r="A1615" t="str">
        <x:v>PJT_1614</x:v>
      </x:c>
      <x:c r="B1615" t="str">
        <x:v>Resource inefficiency (materials/labor/energy)</x:v>
      </x:c>
      <x:c r="C1615" t="str">
        <x:v>Planning &amp; estimation / coordination complexity</x:v>
      </x:c>
      <x:c r="D1615" t="str">
        <x:v>Resource inefficiency (materials/labor/energy), Planning &amp; estimation / coordination complexity, Equipment constraints / low availability</x:v>
      </x:c>
      <x:c r="E1615" t="str">
        <x:v>Resource inefficiency (materials/labor/energy)</x:v>
      </x:c>
      <x:c r="F1615" t="str">
        <x:v>Planning &amp; estimation / coordination complexity</x:v>
      </x:c>
      <x:c r="G1615" t="str">
        <x:v>Resource inefficiency (materials/labor/energy), Planning &amp; estimation / coordination complexity, Equipment constraints / low availability</x:v>
      </x:c>
      <x:c r="H1615" t="str">
        <x:v>Cost overrun mainly linked to resource inefficiency (materials/labor/energy); schedule overrun mainly linked to resource inefficiency (materials/labor/energy).</x:v>
      </x:c>
    </x:row>
    <x:row r="1616">
      <x:c r="A1616" t="str">
        <x:v>PJT_1615</x:v>
      </x:c>
      <x:c r="B1616" t="str">
        <x:v>Resource inefficiency (materials/labor/energy)</x:v>
      </x:c>
      <x:c r="C1616" t="str">
        <x:v>Planning &amp; estimation / coordination complexity</x:v>
      </x:c>
      <x:c r="D1616" t="str">
        <x:v>Resource inefficiency (materials/labor/energy), Planning &amp; estimation / coordination complexity, Equipment constraints / low availability</x:v>
      </x:c>
      <x:c r="E1616" t="str">
        <x:v>Resource inefficiency (materials/labor/energy)</x:v>
      </x:c>
      <x:c r="F1616" t="str">
        <x:v>Planning &amp; estimation / coordination complexity</x:v>
      </x:c>
      <x:c r="G1616" t="str">
        <x:v>Resource inefficiency (materials/labor/energy), Planning &amp; estimation / coordination complexity, Equipment constraints / low availability</x:v>
      </x:c>
      <x:c r="H1616" t="str">
        <x:v>Cost overrun mainly linked to resource inefficiency (materials/labor/energy); schedule overrun mainly linked to resource inefficiency (materials/labor/energy).</x:v>
      </x:c>
    </x:row>
    <x:row r="1617">
      <x:c r="A1617" t="str">
        <x:v>PJT_1616</x:v>
      </x:c>
      <x:c r="B1617" t="str">
        <x:v>Resource inefficiency (materials/labor/energy)</x:v>
      </x:c>
      <x:c r="C1617" t="str">
        <x:v>Planning &amp; estimation / coordination complexity</x:v>
      </x:c>
      <x:c r="D1617" t="str">
        <x:v>Resource inefficiency (materials/labor/energy), Planning &amp; estimation / coordination complexity, Equipment constraints / low availability</x:v>
      </x:c>
      <x:c r="E1617" t="str">
        <x:v>Resource inefficiency (materials/labor/energy)</x:v>
      </x:c>
      <x:c r="F1617" t="str">
        <x:v>Planning &amp; estimation / coordination complexity</x:v>
      </x:c>
      <x:c r="G1617" t="str">
        <x:v>Resource inefficiency (materials/labor/energy), Planning &amp; estimation / coordination complexity, Equipment constraints / low availability</x:v>
      </x:c>
      <x:c r="H1617" t="str">
        <x:v>Cost overrun mainly linked to resource inefficiency (materials/labor/energy); schedule overrun mainly linked to resource inefficiency (materials/labor/energy).</x:v>
      </x:c>
    </x:row>
    <x:row r="1618">
      <x:c r="A1618" t="str">
        <x:v>PJT_1617</x:v>
      </x:c>
      <x:c r="B1618" t="str">
        <x:v>Planning &amp; estimation / coordination complexity</x:v>
      </x:c>
      <x:c r="C1618" t="str">
        <x:v>Resource inefficiency (materials/labor/energy)</x:v>
      </x:c>
      <x:c r="D1618" t="str">
        <x:v>Planning &amp; estimation / coordination complexity, Resource inefficiency (materials/labor/energy), Unforeseen site/structural issues &amp; rework</x:v>
      </x:c>
      <x:c r="E1618" t="str">
        <x:v>Planning &amp; estimation / coordination complexity</x:v>
      </x:c>
      <x:c r="F1618" t="str">
        <x:v>Unforeseen site/structural issues &amp; rework</x:v>
      </x:c>
      <x:c r="G1618" t="str">
        <x:v>Planning &amp; estimation / coordination complexity, Unforeseen site/structural issues &amp; rework, Resource inefficiency (materials/labor/energy)</x:v>
      </x:c>
      <x:c r="H1618" t="str">
        <x:v>Cost overrun mainly linked to planning &amp; estimation / coordination complexity; schedule overrun mainly linked to planning &amp; estimation / coordination complexity.</x:v>
      </x:c>
    </x:row>
    <x:row r="1619">
      <x:c r="A1619" t="str">
        <x:v>PJT_1618</x:v>
      </x:c>
      <x:c r="B1619" t="str">
        <x:v>Unforeseen site/structural issues &amp; rework</x:v>
      </x:c>
      <x:c r="C1619" t="str">
        <x:v>Weather disruption / environmental constraints</x:v>
      </x:c>
      <x:c r="D1619" t="str">
        <x:v>Unforeseen site/structural issues &amp; rework, Weather disruption / environmental constraints, Planning &amp; estimation / coordination complexity</x:v>
      </x:c>
      <x:c r="E1619" t="str">
        <x:v>Unforeseen site/structural issues &amp; rework</x:v>
      </x:c>
      <x:c r="F1619" t="str">
        <x:v>Planning &amp; estimation / coordination complexity</x:v>
      </x:c>
      <x:c r="G1619" t="str">
        <x:v>Unforeseen site/structural issues &amp; rework, Planning &amp; estimation / coordination complexity, Weather disruption / environmental constraints</x:v>
      </x:c>
      <x:c r="H1619" t="str">
        <x:v>Cost overrun mainly linked to unforeseen site/structural issues &amp; rework; schedule overrun mainly linked to unforeseen site/structural issues &amp; rework.</x:v>
      </x:c>
    </x:row>
    <x:row r="1620">
      <x:c r="A1620" t="str">
        <x:v>PJT_1619</x:v>
      </x:c>
      <x:c r="B1620" t="str">
        <x:v>Resource inefficiency (materials/labor/energy)</x:v>
      </x:c>
      <x:c r="C1620" t="str">
        <x:v>Unforeseen site/structural issues &amp; rework</x:v>
      </x:c>
      <x:c r="D1620" t="str">
        <x:v>Resource inefficiency (materials/labor/energy), Unforeseen site/structural issues &amp; rework, Equipment constraints / low availability</x:v>
      </x:c>
      <x:c r="E1620" t="str">
        <x:v>Resource inefficiency (materials/labor/energy)</x:v>
      </x:c>
      <x:c r="F1620" t="str">
        <x:v>Unforeseen site/structural issues &amp; rework</x:v>
      </x:c>
      <x:c r="G1620" t="str">
        <x:v>Resource inefficiency (materials/labor/energy), Unforeseen site/structural issues &amp; rework, Equipment constraints / low availability</x:v>
      </x:c>
      <x:c r="H1620" t="str">
        <x:v>Cost overrun mainly linked to resource inefficiency (materials/labor/energy); schedule overrun mainly linked to resource inefficiency (materials/labor/energy).</x:v>
      </x:c>
    </x:row>
    <x:row r="1621">
      <x:c r="A1621" t="str">
        <x:v>PJT_1620</x:v>
      </x:c>
      <x:c r="B1621" t="str">
        <x:v>Planning &amp; estimation / coordination complexity</x:v>
      </x:c>
      <x:c r="C1621" t="str">
        <x:v>Resource inefficiency (materials/labor/energy)</x:v>
      </x:c>
      <x:c r="D1621" t="str">
        <x:v>Planning &amp; estimation / coordination complexity, Resource inefficiency (materials/labor/energy), Unforeseen site/structural issues &amp; rework</x:v>
      </x:c>
      <x:c r="E1621" t="str">
        <x:v>Planning &amp; estimation / coordination complexity</x:v>
      </x:c>
      <x:c r="F1621" t="str">
        <x:v>Unforeseen site/structural issues &amp; rework</x:v>
      </x:c>
      <x:c r="G1621" t="str">
        <x:v>Planning &amp; estimation / coordination complexity, Unforeseen site/structural issues &amp; rework, Resource inefficiency (materials/labor/energy)</x:v>
      </x:c>
      <x:c r="H1621" t="str">
        <x:v>Cost overrun mainly linked to planning &amp; estimation / coordination complexity; schedule overrun mainly linked to planning &amp; estimation / coordination complexity.</x:v>
      </x:c>
    </x:row>
    <x:row r="1622">
      <x:c r="A1622" t="str">
        <x:v>PJT_1621</x:v>
      </x:c>
      <x:c r="B1622" t="str">
        <x:v>Resource inefficiency (materials/labor/energy)</x:v>
      </x:c>
      <x:c r="C1622" t="str">
        <x:v>Material supply / logistics &amp; market disruption</x:v>
      </x:c>
      <x:c r="D1622" t="str">
        <x:v>Resource inefficiency (materials/labor/energy), Material supply / logistics &amp; market disruption, Planning &amp; estimation / coordination complexity</x:v>
      </x:c>
      <x:c r="E1622" t="str">
        <x:v>Resource inefficiency (materials/labor/energy)</x:v>
      </x:c>
      <x:c r="F1622" t="str">
        <x:v>Planning &amp; estimation / coordination complexity</x:v>
      </x:c>
      <x:c r="G1622" t="str">
        <x:v>Resource inefficiency (materials/labor/energy), Planning &amp; estimation / coordination complexity, Material supply / logistics &amp; market disruption</x:v>
      </x:c>
      <x:c r="H1622" t="str">
        <x:v>Cost overrun mainly linked to resource inefficiency (materials/labor/energy); schedule overrun mainly linked to resource inefficiency (materials/labor/energy).</x:v>
      </x:c>
    </x:row>
    <x:row r="1623">
      <x:c r="A1623" t="str">
        <x:v>PJT_1622</x:v>
      </x:c>
      <x:c r="B1623" t="str">
        <x:v>Weather disruption / environmental constraints</x:v>
      </x:c>
      <x:c r="C1623" t="str">
        <x:v>Equipment constraints / low availability</x:v>
      </x:c>
      <x:c r="D1623" t="str">
        <x:v>Weather disruption / environmental constraints, Equipment constraints / low availability, Material supply / logistics &amp; market disruption</x:v>
      </x:c>
      <x:c r="E1623" t="str">
        <x:v>Weather disruption / environmental constraints</x:v>
      </x:c>
      <x:c r="F1623" t="str">
        <x:v>Equipment constraints / low availability</x:v>
      </x:c>
      <x:c r="G1623" t="str">
        <x:v>Weather disruption / environmental constraints, Equipment constraints / low availability, Material supply / logistics &amp; market disruption</x:v>
      </x:c>
      <x:c r="H1623" t="str">
        <x:v>Cost overrun mainly linked to weather disruption / environmental constraints; schedule overrun mainly linked to weather disruption / environmental constraints.</x:v>
      </x:c>
    </x:row>
    <x:row r="1624">
      <x:c r="A1624" t="str">
        <x:v>PJT_1623</x:v>
      </x:c>
      <x:c r="B1624" t="str">
        <x:v>Unforeseen site/structural issues &amp; rework</x:v>
      </x:c>
      <x:c r="C1624" t="str">
        <x:v>Planning &amp; estimation / coordination complexity</x:v>
      </x:c>
      <x:c r="D1624" t="str">
        <x:v>Unforeseen site/structural issues &amp; rework, Planning &amp; estimation / coordination complexity, Weather disruption / environmental constraints</x:v>
      </x:c>
      <x:c r="E1624" t="str">
        <x:v>Unforeseen site/structural issues &amp; rework</x:v>
      </x:c>
      <x:c r="F1624" t="str">
        <x:v>Planning &amp; estimation / coordination complexity</x:v>
      </x:c>
      <x:c r="G1624" t="str">
        <x:v>Unforeseen site/structural issues &amp; rework, Planning &amp; estimation / coordination complexity, Weather disruption / environmental constraints</x:v>
      </x:c>
      <x:c r="H1624" t="str">
        <x:v>Cost overrun mainly linked to unforeseen site/structural issues &amp; rework; schedule overrun mainly linked to unforeseen site/structural issues &amp; rework.</x:v>
      </x:c>
    </x:row>
    <x:row r="1625">
      <x:c r="A1625" t="str">
        <x:v>PJT_1624</x:v>
      </x:c>
      <x:c r="B1625" t="str">
        <x:v>Material supply / logistics &amp; market disruption</x:v>
      </x:c>
      <x:c r="C1625" t="str">
        <x:v>Resource inefficiency (materials/labor/energy)</x:v>
      </x:c>
      <x:c r="D1625" t="str">
        <x:v>Material supply / logistics &amp; market disruption, Resource inefficiency (materials/labor/energy), Equipment constraints / low availability</x:v>
      </x:c>
      <x:c r="E1625" t="str">
        <x:v>Resource inefficiency (materials/labor/energy)</x:v>
      </x:c>
      <x:c r="F1625" t="str">
        <x:v>Equipment constraints / low availability</x:v>
      </x:c>
      <x:c r="G1625" t="str">
        <x:v>Resource inefficiency (materials/labor/energy), Equipment constraints / low availability, Material supply / logistics &amp; market disruption</x:v>
      </x:c>
      <x:c r="H1625" t="str">
        <x:v>Cost overrun mainly linked to material supply / logistics &amp; market disruption; schedule overrun mainly linked to resource inefficiency (materials/labor/energy).</x:v>
      </x:c>
    </x:row>
    <x:row r="1626">
      <x:c r="A1626" t="str">
        <x:v>PJT_1625</x:v>
      </x:c>
      <x:c r="B1626" t="str">
        <x:v>Weather disruption / environmental constraints</x:v>
      </x:c>
      <x:c r="C1626" t="str">
        <x:v>Equipment constraints / low availability</x:v>
      </x:c>
      <x:c r="D1626" t="str">
        <x:v>Weather disruption / environmental constraints, Equipment constraints / low availability, Material supply / logistics &amp; market disruption</x:v>
      </x:c>
      <x:c r="E1626" t="str">
        <x:v>Weather disruption / environmental constraints</x:v>
      </x:c>
      <x:c r="F1626" t="str">
        <x:v>Material supply / logistics &amp; market disruption</x:v>
      </x:c>
      <x:c r="G1626" t="str">
        <x:v>Weather disruption / environmental constraints, Material supply / logistics &amp; market disruption, Equipment constraints / low availability</x:v>
      </x:c>
      <x:c r="H1626" t="str">
        <x:v>Cost overrun mainly linked to weather disruption / environmental constraints; schedule overrun mainly linked to weather disruption / environmental constraints.</x:v>
      </x:c>
    </x:row>
    <x:row r="1627">
      <x:c r="A1627" t="str">
        <x:v>PJT_1626</x:v>
      </x:c>
      <x:c r="B1627" t="str">
        <x:v>Resource inefficiency (materials/labor/energy)</x:v>
      </x:c>
      <x:c r="C1627" t="str">
        <x:v>Equipment constraints / low availability</x:v>
      </x:c>
      <x:c r="D1627" t="str">
        <x:v>Resource inefficiency (materials/labor/energy), Equipment constraints / low availability, Planning &amp; estimation / coordination complexity</x:v>
      </x:c>
      <x:c r="E1627" t="str">
        <x:v>Resource inefficiency (materials/labor/energy)</x:v>
      </x:c>
      <x:c r="F1627" t="str">
        <x:v>Equipment constraints / low availability</x:v>
      </x:c>
      <x:c r="G1627" t="str">
        <x:v>Resource inefficiency (materials/labor/energy), Equipment constraints / low availability, Planning &amp; estimation / coordination complexity</x:v>
      </x:c>
      <x:c r="H1627" t="str">
        <x:v>Cost overrun mainly linked to resource inefficiency (materials/labor/energy); schedule overrun mainly linked to resource inefficiency (materials/labor/energy).</x:v>
      </x:c>
    </x:row>
    <x:row r="1628">
      <x:c r="A1628" t="str">
        <x:v>PJT_1627</x:v>
      </x:c>
      <x:c r="B1628" t="str">
        <x:v>Resource inefficiency (materials/labor/energy)</x:v>
      </x:c>
      <x:c r="C1628" t="str">
        <x:v>Planning &amp; estimation / coordination complexity</x:v>
      </x:c>
      <x:c r="D1628" t="str">
        <x:v>Resource inefficiency (materials/labor/energy), Planning &amp; estimation / coordination complexity, Material supply / logistics &amp; market disruption</x:v>
      </x:c>
      <x:c r="E1628" t="str">
        <x:v>Planning &amp; estimation / coordination complexity</x:v>
      </x:c>
      <x:c r="F1628" t="str">
        <x:v>Resource inefficiency (materials/labor/energy)</x:v>
      </x:c>
      <x:c r="G1628" t="str">
        <x:v>Planning &amp; estimation / coordination complexity, Resource inefficiency (materials/labor/energy), Unforeseen site/structural issues &amp; rework</x:v>
      </x:c>
      <x:c r="H1628" t="str">
        <x:v>Cost overrun mainly linked to resource inefficiency (materials/labor/energy); schedule overrun mainly linked to planning &amp; estimation / coordination complexity.</x:v>
      </x:c>
    </x:row>
    <x:row r="1629">
      <x:c r="A1629" t="str">
        <x:v>PJT_1628</x:v>
      </x:c>
      <x:c r="B1629" t="str">
        <x:v>Equipment constraints / low availability</x:v>
      </x:c>
      <x:c r="C1629" t="str">
        <x:v>Planning &amp; estimation / coordination complexity</x:v>
      </x:c>
      <x:c r="D1629" t="str">
        <x:v>Equipment constraints / low availability, Planning &amp; estimation / coordination complexity, Resource inefficiency (materials/labor/energy)</x:v>
      </x:c>
      <x:c r="E1629" t="str">
        <x:v>Equipment constraints / low availability</x:v>
      </x:c>
      <x:c r="F1629" t="str">
        <x:v>Resource inefficiency (materials/labor/energy)</x:v>
      </x:c>
      <x:c r="G1629" t="str">
        <x:v>Equipment constraints / low availability, Resource inefficiency (materials/labor/energy), Planning &amp; estimation / coordination complexity</x:v>
      </x:c>
      <x:c r="H1629" t="str">
        <x:v>Cost overrun mainly linked to equipment constraints / low availability; schedule overrun mainly linked to equipment constraints / low availability.</x:v>
      </x:c>
    </x:row>
    <x:row r="1630">
      <x:c r="A1630" t="str">
        <x:v>PJT_1629</x:v>
      </x:c>
      <x:c r="B1630" t="str">
        <x:v>Weather disruption / environmental constraints</x:v>
      </x:c>
      <x:c r="C1630" t="str">
        <x:v>Unforeseen site/structural issues &amp; rework</x:v>
      </x:c>
      <x:c r="D1630" t="str">
        <x:v>Weather disruption / environmental constraints, Unforeseen site/structural issues &amp; rework, Material supply / logistics &amp; market disruption</x:v>
      </x:c>
      <x:c r="E1630" t="str">
        <x:v>Weather disruption / environmental constraints</x:v>
      </x:c>
      <x:c r="F1630" t="str">
        <x:v>Unforeseen site/structural issues &amp; rework</x:v>
      </x:c>
      <x:c r="G1630" t="str">
        <x:v>Weather disruption / environmental constraints, Unforeseen site/structural issues &amp; rework, Material supply / logistics &amp; market disruption</x:v>
      </x:c>
      <x:c r="H1630" t="str">
        <x:v>Cost overrun mainly linked to weather disruption / environmental constraints; schedule overrun mainly linked to weather disruption / environmental constraints.</x:v>
      </x:c>
    </x:row>
    <x:row r="1631">
      <x:c r="A1631" t="str">
        <x:v>PJT_1630</x:v>
      </x:c>
      <x:c r="B1631" t="str">
        <x:v>Resource inefficiency (materials/labor/energy)</x:v>
      </x:c>
      <x:c r="C1631" t="str">
        <x:v>Equipment constraints / low availability</x:v>
      </x:c>
      <x:c r="D1631" t="str">
        <x:v>Resource inefficiency (materials/labor/energy), Equipment constraints / low availability, Planning &amp; estimation / coordination complexity</x:v>
      </x:c>
      <x:c r="E1631" t="str">
        <x:v>Resource inefficiency (materials/labor/energy)</x:v>
      </x:c>
      <x:c r="F1631" t="str">
        <x:v>Equipment constraints / low availability</x:v>
      </x:c>
      <x:c r="G1631" t="str">
        <x:v>Resource inefficiency (materials/labor/energy), Equipment constraints / low availability, Planning &amp; estimation / coordination complexity</x:v>
      </x:c>
      <x:c r="H1631" t="str">
        <x:v>Cost overrun mainly linked to resource inefficiency (materials/labor/energy); schedule overrun mainly linked to resource inefficiency (materials/labor/energy).</x:v>
      </x:c>
    </x:row>
    <x:row r="1632">
      <x:c r="A1632" t="str">
        <x:v>PJT_1631</x:v>
      </x:c>
      <x:c r="B1632" t="str">
        <x:v>Weather disruption / environmental constraints</x:v>
      </x:c>
      <x:c r="C1632" t="str">
        <x:v>Equipment constraints / low availability</x:v>
      </x:c>
      <x:c r="D1632" t="str">
        <x:v>Weather disruption / environmental constraints, Equipment constraints / low availability, Unforeseen site/structural issues &amp; rework</x:v>
      </x:c>
      <x:c r="E1632" t="str">
        <x:v>Weather disruption / environmental constraints</x:v>
      </x:c>
      <x:c r="F1632" t="str">
        <x:v>Equipment constraints / low availability</x:v>
      </x:c>
      <x:c r="G1632" t="str">
        <x:v>Weather disruption / environmental constraints, Equipment constraints / low availability, Unforeseen site/structural issues &amp; rework</x:v>
      </x:c>
      <x:c r="H1632" t="str">
        <x:v>Cost overrun mainly linked to weather disruption / environmental constraints; schedule overrun mainly linked to weather disruption / environmental constraints.</x:v>
      </x:c>
    </x:row>
    <x:row r="1633">
      <x:c r="A1633" t="str">
        <x:v>PJT_1632</x:v>
      </x:c>
      <x:c r="B1633" t="str">
        <x:v>Planning &amp; estimation / coordination complexity</x:v>
      </x:c>
      <x:c r="C1633" t="str">
        <x:v>Resource inefficiency (materials/labor/energy)</x:v>
      </x:c>
      <x:c r="D1633" t="str">
        <x:v>Planning &amp; estimation / coordination complexity, Resource inefficiency (materials/labor/energy), Equipment constraints / low availability</x:v>
      </x:c>
      <x:c r="E1633" t="str">
        <x:v>Planning &amp; estimation / coordination complexity</x:v>
      </x:c>
      <x:c r="F1633" t="str">
        <x:v>Resource inefficiency (materials/labor/energy)</x:v>
      </x:c>
      <x:c r="G1633" t="str">
        <x:v>Planning &amp; estimation / coordination complexity, Resource inefficiency (materials/labor/energy), Equipment constraints / low availability</x:v>
      </x:c>
      <x:c r="H1633" t="str">
        <x:v>Cost overrun mainly linked to planning &amp; estimation / coordination complexity; schedule overrun mainly linked to planning &amp; estimation / coordination complexity.</x:v>
      </x:c>
    </x:row>
    <x:row r="1634">
      <x:c r="A1634" t="str">
        <x:v>PJT_1633</x:v>
      </x:c>
      <x:c r="B1634" t="str">
        <x:v>Unforeseen site/structural issues &amp; rework</x:v>
      </x:c>
      <x:c r="C1634" t="str">
        <x:v>Weather disruption / environmental constraints</x:v>
      </x:c>
      <x:c r="D1634" t="str">
        <x:v>Unforeseen site/structural issues &amp; rework, Weather disruption / environmental constraints, Material supply / logistics &amp; market disruption</x:v>
      </x:c>
      <x:c r="E1634" t="str">
        <x:v>Weather disruption / environmental constraints</x:v>
      </x:c>
      <x:c r="F1634" t="str">
        <x:v>Unforeseen site/structural issues &amp; rework</x:v>
      </x:c>
      <x:c r="G1634" t="str">
        <x:v>Weather disruption / environmental constraints, Unforeseen site/structural issues &amp; rework, Material supply / logistics &amp; market disruption</x:v>
      </x:c>
      <x:c r="H1634" t="str">
        <x:v>Cost overrun mainly linked to unforeseen site/structural issues &amp; rework; schedule overrun mainly linked to weather disruption / environmental constraints.</x:v>
      </x:c>
    </x:row>
    <x:row r="1635">
      <x:c r="A1635" t="str">
        <x:v>PJT_1634</x:v>
      </x:c>
      <x:c r="B1635" t="str">
        <x:v>Weather disruption / environmental constraints</x:v>
      </x:c>
      <x:c r="C1635" t="str">
        <x:v>Material supply / logistics &amp; market disruption</x:v>
      </x:c>
      <x:c r="D1635" t="str">
        <x:v>Weather disruption / environmental constraints, Material supply / logistics &amp; market disruption, Equipment constraints / low availability</x:v>
      </x:c>
      <x:c r="E1635" t="str">
        <x:v>Weather disruption / environmental constraints</x:v>
      </x:c>
      <x:c r="F1635" t="str">
        <x:v>Material supply / logistics &amp; market disruption</x:v>
      </x:c>
      <x:c r="G1635" t="str">
        <x:v>Weather disruption / environmental constraints, Material supply / logistics &amp; market disruption, Equipment constraints / low availability</x:v>
      </x:c>
      <x:c r="H1635" t="str">
        <x:v>Cost overrun mainly linked to weather disruption / environmental constraints; schedule overrun mainly linked to weather disruption / environmental constraints.</x:v>
      </x:c>
    </x:row>
    <x:row r="1636">
      <x:c r="A1636" t="str">
        <x:v>PJT_1635</x:v>
      </x:c>
      <x:c r="B1636" t="str">
        <x:v>Unforeseen site/structural issues &amp; rework</x:v>
      </x:c>
      <x:c r="C1636" t="str">
        <x:v>Equipment constraints / low availability</x:v>
      </x:c>
      <x:c r="D1636" t="str">
        <x:v>Unforeseen site/structural issues &amp; rework, Equipment constraints / low availability, Planning &amp; estimation / coordination complexity</x:v>
      </x:c>
      <x:c r="E1636" t="str">
        <x:v>Unforeseen site/structural issues &amp; rework</x:v>
      </x:c>
      <x:c r="F1636" t="str">
        <x:v>Equipment constraints / low availability</x:v>
      </x:c>
      <x:c r="G1636" t="str">
        <x:v>Unforeseen site/structural issues &amp; rework, Equipment constraints / low availability, Weather disruption / environmental constraints</x:v>
      </x:c>
      <x:c r="H1636" t="str">
        <x:v>Cost overrun mainly linked to unforeseen site/structural issues &amp; rework; schedule overrun mainly linked to unforeseen site/structural issues &amp; rework.</x:v>
      </x:c>
    </x:row>
    <x:row r="1637">
      <x:c r="A1637" t="str">
        <x:v>PJT_1636</x:v>
      </x:c>
      <x:c r="B1637" t="str">
        <x:v>Weather disruption / environmental constraints</x:v>
      </x:c>
      <x:c r="C1637" t="str">
        <x:v>Material supply / logistics &amp; market disruption</x:v>
      </x:c>
      <x:c r="D1637" t="str">
        <x:v>Weather disruption / environmental constraints, Material supply / logistics &amp; market disruption, Equipment constraints / low availability</x:v>
      </x:c>
      <x:c r="E1637" t="str">
        <x:v>Weather disruption / environmental constraints</x:v>
      </x:c>
      <x:c r="F1637" t="str">
        <x:v>Material supply / logistics &amp; market disruption</x:v>
      </x:c>
      <x:c r="G1637" t="str">
        <x:v>Weather disruption / environmental constraints, Material supply / logistics &amp; market disruption, Equipment constraints / low availability</x:v>
      </x:c>
      <x:c r="H1637" t="str">
        <x:v>Cost overrun mainly linked to weather disruption / environmental constraints; schedule overrun mainly linked to weather disruption / environmental constraints.</x:v>
      </x:c>
    </x:row>
    <x:row r="1638">
      <x:c r="A1638" t="str">
        <x:v>PJT_1637</x:v>
      </x:c>
      <x:c r="B1638" t="str">
        <x:v>Unforeseen site/structural issues &amp; rework</x:v>
      </x:c>
      <x:c r="C1638" t="str">
        <x:v>Planning &amp; estimation / coordination complexity</x:v>
      </x:c>
      <x:c r="D1638" t="str">
        <x:v>Unforeseen site/structural issues &amp; rework, Planning &amp; estimation / coordination complexity, Equipment constraints / low availability</x:v>
      </x:c>
      <x:c r="E1638" t="str">
        <x:v>Unforeseen site/structural issues &amp; rework</x:v>
      </x:c>
      <x:c r="F1638" t="str">
        <x:v>Planning &amp; estimation / coordination complexity</x:v>
      </x:c>
      <x:c r="G1638" t="str">
        <x:v>Unforeseen site/structural issues &amp; rework, Planning &amp; estimation / coordination complexity, Equipment constraints / low availability</x:v>
      </x:c>
      <x:c r="H1638" t="str">
        <x:v>Cost overrun mainly linked to unforeseen site/structural issues &amp; rework; schedule overrun mainly linked to unforeseen site/structural issues &amp; rework.</x:v>
      </x:c>
    </x:row>
    <x:row r="1639">
      <x:c r="A1639" t="str">
        <x:v>PJT_1638</x:v>
      </x:c>
      <x:c r="B1639" t="str">
        <x:v>Equipment constraints / low availability</x:v>
      </x:c>
      <x:c r="C1639" t="str">
        <x:v>Resource inefficiency (materials/labor/energy)</x:v>
      </x:c>
      <x:c r="D1639" t="str">
        <x:v>Equipment constraints / low availability, Resource inefficiency (materials/labor/energy), Planning &amp; estimation / coordination complexity</x:v>
      </x:c>
      <x:c r="E1639" t="str">
        <x:v>Equipment constraints / low availability</x:v>
      </x:c>
      <x:c r="F1639" t="str">
        <x:v>Resource inefficiency (materials/labor/energy)</x:v>
      </x:c>
      <x:c r="G1639" t="str">
        <x:v>Equipment constraints / low availability, Resource inefficiency (materials/labor/energy), Planning &amp; estimation / coordination complexity</x:v>
      </x:c>
      <x:c r="H1639" t="str">
        <x:v>Cost overrun mainly linked to equipment constraints / low availability; schedule overrun mainly linked to equipment constraints / low availability.</x:v>
      </x:c>
    </x:row>
    <x:row r="1640">
      <x:c r="A1640" t="str">
        <x:v>PJT_1639</x:v>
      </x:c>
      <x:c r="B1640" t="str">
        <x:v>Planning &amp; estimation / coordination complexity</x:v>
      </x:c>
      <x:c r="C1640" t="str">
        <x:v>Equipment constraints / low availability</x:v>
      </x:c>
      <x:c r="D1640" t="str">
        <x:v>Planning &amp; estimation / coordination complexity, Equipment constraints / low availability, Resource inefficiency (materials/labor/energy)</x:v>
      </x:c>
      <x:c r="E1640" t="str">
        <x:v>Planning &amp; estimation / coordination complexity</x:v>
      </x:c>
      <x:c r="F1640" t="str">
        <x:v>Equipment constraints / low availability</x:v>
      </x:c>
      <x:c r="G1640" t="str">
        <x:v>Planning &amp; estimation / coordination complexity, Equipment constraints / low availability, Unforeseen site/structural issues &amp; rework</x:v>
      </x:c>
      <x:c r="H1640" t="str">
        <x:v>Cost overrun mainly linked to planning &amp; estimation / coordination complexity; schedule overrun mainly linked to planning &amp; estimation / coordination complexity.</x:v>
      </x:c>
    </x:row>
    <x:row r="1641">
      <x:c r="A1641" t="str">
        <x:v>PJT_1640</x:v>
      </x:c>
      <x:c r="B1641" t="str">
        <x:v>Material supply / logistics &amp; market disruption</x:v>
      </x:c>
      <x:c r="C1641" t="str">
        <x:v>Planning &amp; estimation / coordination complexity</x:v>
      </x:c>
      <x:c r="D1641" t="str">
        <x:v>Material supply / logistics &amp; market disruption, Planning &amp; estimation / coordination complexity, Resource inefficiency (materials/labor/energy)</x:v>
      </x:c>
      <x:c r="E1641" t="str">
        <x:v>Planning &amp; estimation / coordination complexity</x:v>
      </x:c>
      <x:c r="F1641" t="str">
        <x:v>Resource inefficiency (materials/labor/energy)</x:v>
      </x:c>
      <x:c r="G1641" t="str">
        <x:v>Planning &amp; estimation / coordination complexity, Resource inefficiency (materials/labor/energy), Material supply / logistics &amp; market disruption</x:v>
      </x:c>
      <x:c r="H1641" t="str">
        <x:v>Cost overrun mainly linked to material supply / logistics &amp; market disruption; schedule overrun mainly linked to planning &amp; estimation / coordination complexity.</x:v>
      </x:c>
    </x:row>
    <x:row r="1642">
      <x:c r="A1642" t="str">
        <x:v>PJT_1641</x:v>
      </x:c>
      <x:c r="B1642" t="str">
        <x:v>Unforeseen site/structural issues &amp; rework</x:v>
      </x:c>
      <x:c r="C1642" t="str">
        <x:v>Planning &amp; estimation / coordination complexity</x:v>
      </x:c>
      <x:c r="D1642" t="str">
        <x:v>Unforeseen site/structural issues &amp; rework, Planning &amp; estimation / coordination complexity, Equipment constraints / low availability</x:v>
      </x:c>
      <x:c r="E1642" t="str">
        <x:v>Unforeseen site/structural issues &amp; rework</x:v>
      </x:c>
      <x:c r="F1642" t="str">
        <x:v>Planning &amp; estimation / coordination complexity</x:v>
      </x:c>
      <x:c r="G1642" t="str">
        <x:v>Unforeseen site/structural issues &amp; rework, Planning &amp; estimation / coordination complexity, Equipment constraints / low availability</x:v>
      </x:c>
      <x:c r="H1642" t="str">
        <x:v>Cost overrun mainly linked to unforeseen site/structural issues &amp; rework; schedule overrun mainly linked to unforeseen site/structural issues &amp; rework.</x:v>
      </x:c>
    </x:row>
    <x:row r="1643">
      <x:c r="A1643" t="str">
        <x:v>PJT_1642</x:v>
      </x:c>
      <x:c r="B1643" t="str">
        <x:v>Equipment constraints / low availability</x:v>
      </x:c>
      <x:c r="C1643" t="str">
        <x:v>Resource inefficiency (materials/labor/energy)</x:v>
      </x:c>
      <x:c r="D1643" t="str">
        <x:v>Equipment constraints / low availability, Resource inefficiency (materials/labor/energy), Planning &amp; estimation / coordination complexity</x:v>
      </x:c>
      <x:c r="E1643" t="str">
        <x:v>Equipment constraints / low availability</x:v>
      </x:c>
      <x:c r="F1643" t="str">
        <x:v>Resource inefficiency (materials/labor/energy)</x:v>
      </x:c>
      <x:c r="G1643" t="str">
        <x:v>Equipment constraints / low availability, Resource inefficiency (materials/labor/energy), Planning &amp; estimation / coordination complexity</x:v>
      </x:c>
      <x:c r="H1643" t="str">
        <x:v>Cost overrun mainly linked to equipment constraints / low availability; schedule overrun mainly linked to equipment constraints / low availability.</x:v>
      </x:c>
    </x:row>
    <x:row r="1644">
      <x:c r="A1644" t="str">
        <x:v>PJT_1643</x:v>
      </x:c>
      <x:c r="B1644" t="str">
        <x:v>Weather disruption / environmental constraints</x:v>
      </x:c>
      <x:c r="C1644" t="str">
        <x:v>Material supply / logistics &amp; market disruption</x:v>
      </x:c>
      <x:c r="D1644" t="str">
        <x:v>Weather disruption / environmental constraints, Material supply / logistics &amp; market disruption, Equipment constraints / low availability</x:v>
      </x:c>
      <x:c r="E1644" t="str">
        <x:v>Weather disruption / environmental constraints</x:v>
      </x:c>
      <x:c r="F1644" t="str">
        <x:v>Material supply / logistics &amp; market disruption</x:v>
      </x:c>
      <x:c r="G1644" t="str">
        <x:v>Weather disruption / environmental constraints, Material supply / logistics &amp; market disruption, Resource inefficiency (materials/labor/energy)</x:v>
      </x:c>
      <x:c r="H1644" t="str">
        <x:v>Cost overrun mainly linked to weather disruption / environmental constraints; schedule overrun mainly linked to weather disruption / environmental constraints.</x:v>
      </x:c>
    </x:row>
    <x:row r="1645">
      <x:c r="A1645" t="str">
        <x:v>PJT_1644</x:v>
      </x:c>
      <x:c r="B1645" t="str">
        <x:v>Planning &amp; estimation / coordination complexity</x:v>
      </x:c>
      <x:c r="C1645" t="str">
        <x:v>Equipment constraints / low availability</x:v>
      </x:c>
      <x:c r="D1645" t="str">
        <x:v>Planning &amp; estimation / coordination complexity, Equipment constraints / low availability, Resource inefficiency (materials/labor/energy)</x:v>
      </x:c>
      <x:c r="E1645" t="str">
        <x:v>Planning &amp; estimation / coordination complexity</x:v>
      </x:c>
      <x:c r="F1645" t="str">
        <x:v>Equipment constraints / low availability</x:v>
      </x:c>
      <x:c r="G1645" t="str">
        <x:v>Planning &amp; estimation / coordination complexity, Equipment constraints / low availability, Unforeseen site/structural issues &amp; rework</x:v>
      </x:c>
      <x:c r="H1645" t="str">
        <x:v>Cost overrun mainly linked to planning &amp; estimation / coordination complexity; schedule overrun mainly linked to planning &amp; estimation / coordination complexity.</x:v>
      </x:c>
    </x:row>
    <x:row r="1646">
      <x:c r="A1646" t="str">
        <x:v>PJT_1645</x:v>
      </x:c>
      <x:c r="B1646" t="str">
        <x:v>Resource inefficiency (materials/labor/energy)</x:v>
      </x:c>
      <x:c r="C1646" t="str">
        <x:v>Material supply / logistics &amp; market disruption</x:v>
      </x:c>
      <x:c r="D1646" t="str">
        <x:v>Resource inefficiency (materials/labor/energy), Material supply / logistics &amp; market disruption, Equipment constraints / low availability</x:v>
      </x:c>
      <x:c r="E1646" t="str">
        <x:v>Resource inefficiency (materials/labor/energy)</x:v>
      </x:c>
      <x:c r="F1646" t="str">
        <x:v>Material supply / logistics &amp; market disruption</x:v>
      </x:c>
      <x:c r="G1646" t="str">
        <x:v>Resource inefficiency (materials/labor/energy), Material supply / logistics &amp; market disruption, Equipment constraints / low availability</x:v>
      </x:c>
      <x:c r="H1646" t="str">
        <x:v>Cost overrun mainly linked to resource inefficiency (materials/labor/energy); schedule overrun mainly linked to resource inefficiency (materials/labor/energy).</x:v>
      </x:c>
    </x:row>
    <x:row r="1647">
      <x:c r="A1647" t="str">
        <x:v>PJT_1646</x:v>
      </x:c>
      <x:c r="B1647" t="str">
        <x:v>Equipment constraints / low availability</x:v>
      </x:c>
      <x:c r="C1647" t="str">
        <x:v>Resource inefficiency (materials/labor/energy)</x:v>
      </x:c>
      <x:c r="D1647" t="str">
        <x:v>Equipment constraints / low availability, Resource inefficiency (materials/labor/energy), Planning &amp; estimation / coordination complexity</x:v>
      </x:c>
      <x:c r="E1647" t="str">
        <x:v>Equipment constraints / low availability</x:v>
      </x:c>
      <x:c r="F1647" t="str">
        <x:v>Resource inefficiency (materials/labor/energy)</x:v>
      </x:c>
      <x:c r="G1647" t="str">
        <x:v>Equipment constraints / low availability, Resource inefficiency (materials/labor/energy), Planning &amp; estimation / coordination complexity</x:v>
      </x:c>
      <x:c r="H1647" t="str">
        <x:v>Cost overrun mainly linked to equipment constraints / low availability; schedule overrun mainly linked to equipment constraints / low availability.</x:v>
      </x:c>
    </x:row>
    <x:row r="1648">
      <x:c r="A1648" t="str">
        <x:v>PJT_1647</x:v>
      </x:c>
      <x:c r="B1648" t="str">
        <x:v>Resource inefficiency (materials/labor/energy)</x:v>
      </x:c>
      <x:c r="C1648" t="str">
        <x:v>Planning &amp; estimation / coordination complexity</x:v>
      </x:c>
      <x:c r="D1648" t="str">
        <x:v>Resource inefficiency (materials/labor/energy), Planning &amp; estimation / coordination complexity, Material supply / logistics &amp; market disruption</x:v>
      </x:c>
      <x:c r="E1648" t="str">
        <x:v>Planning &amp; estimation / coordination complexity</x:v>
      </x:c>
      <x:c r="F1648" t="str">
        <x:v>Resource inefficiency (materials/labor/energy)</x:v>
      </x:c>
      <x:c r="G1648" t="str">
        <x:v>Planning &amp; estimation / coordination complexity, Resource inefficiency (materials/labor/energy), Unforeseen site/structural issues &amp; rework</x:v>
      </x:c>
      <x:c r="H1648" t="str">
        <x:v>Cost overrun mainly linked to resource inefficiency (materials/labor/energy); schedule overrun mainly linked to planning &amp; estimation / coordination complexity.</x:v>
      </x:c>
    </x:row>
    <x:row r="1649">
      <x:c r="A1649" t="str">
        <x:v>PJT_1648</x:v>
      </x:c>
      <x:c r="B1649" t="str">
        <x:v>Weather disruption / environmental constraints</x:v>
      </x:c>
      <x:c r="C1649" t="str">
        <x:v>Unforeseen site/structural issues &amp; rework</x:v>
      </x:c>
      <x:c r="D1649" t="str">
        <x:v>Weather disruption / environmental constraints, Unforeseen site/structural issues &amp; rework, Planning &amp; estimation / coordination complexity</x:v>
      </x:c>
      <x:c r="E1649" t="str">
        <x:v>Weather disruption / environmental constraints</x:v>
      </x:c>
      <x:c r="F1649" t="str">
        <x:v>Unforeseen site/structural issues &amp; rework</x:v>
      </x:c>
      <x:c r="G1649" t="str">
        <x:v>Weather disruption / environmental constraints, Unforeseen site/structural issues &amp; rework, Equipment constraints / low availability</x:v>
      </x:c>
      <x:c r="H1649" t="str">
        <x:v>Cost overrun mainly linked to weather disruption / environmental constraints; schedule overrun mainly linked to weather disruption / environmental constraints.</x:v>
      </x:c>
    </x:row>
    <x:row r="1650">
      <x:c r="A1650" t="str">
        <x:v>PJT_1649</x:v>
      </x:c>
      <x:c r="B1650" t="str">
        <x:v>Equipment constraints / low availability</x:v>
      </x:c>
      <x:c r="C1650" t="str">
        <x:v>Resource inefficiency (materials/labor/energy)</x:v>
      </x:c>
      <x:c r="D1650" t="str">
        <x:v>Equipment constraints / low availability, Resource inefficiency (materials/labor/energy), Material supply / logistics &amp; market disruption</x:v>
      </x:c>
      <x:c r="E1650" t="str">
        <x:v>Equipment constraints / low availability</x:v>
      </x:c>
      <x:c r="F1650" t="str">
        <x:v>Resource inefficiency (materials/labor/energy)</x:v>
      </x:c>
      <x:c r="G1650" t="str">
        <x:v>Equipment constraints / low availability, Resource inefficiency (materials/labor/energy), Material supply / logistics &amp; market disruption</x:v>
      </x:c>
      <x:c r="H1650" t="str">
        <x:v>Cost overrun mainly linked to equipment constraints / low availability; schedule overrun mainly linked to equipment constraints / low availability.</x:v>
      </x:c>
    </x:row>
    <x:row r="1651">
      <x:c r="A1651" t="str">
        <x:v>PJT_1650</x:v>
      </x:c>
      <x:c r="B1651" t="str">
        <x:v>Resource inefficiency (materials/labor/energy)</x:v>
      </x:c>
      <x:c r="C1651" t="str">
        <x:v>Planning &amp; estimation / coordination complexity</x:v>
      </x:c>
      <x:c r="D1651" t="str">
        <x:v>Resource inefficiency (materials/labor/energy), Planning &amp; estimation / coordination complexity, Material supply / logistics &amp; market disruption</x:v>
      </x:c>
      <x:c r="E1651" t="str">
        <x:v>Resource inefficiency (materials/labor/energy)</x:v>
      </x:c>
      <x:c r="F1651" t="str">
        <x:v>Planning &amp; estimation / coordination complexity</x:v>
      </x:c>
      <x:c r="G1651" t="str">
        <x:v>Resource inefficiency (materials/labor/energy), Planning &amp; estimation / coordination complexity, Equipment constraints / low availability</x:v>
      </x:c>
      <x:c r="H1651" t="str">
        <x:v>Cost overrun mainly linked to resource inefficiency (materials/labor/energy); schedule overrun mainly linked to resource inefficiency (materials/labor/energy).</x:v>
      </x:c>
    </x:row>
    <x:row r="1652">
      <x:c r="A1652" t="str">
        <x:v>PJT_1651</x:v>
      </x:c>
      <x:c r="B1652" t="str">
        <x:v>Resource inefficiency (materials/labor/energy)</x:v>
      </x:c>
      <x:c r="C1652" t="str">
        <x:v>Equipment constraints / low availability</x:v>
      </x:c>
      <x:c r="D1652" t="str">
        <x:v>Resource inefficiency (materials/labor/energy), Equipment constraints / low availability, Material supply / logistics &amp; market disruption</x:v>
      </x:c>
      <x:c r="E1652" t="str">
        <x:v>Resource inefficiency (materials/labor/energy)</x:v>
      </x:c>
      <x:c r="F1652" t="str">
        <x:v>Equipment constraints / low availability</x:v>
      </x:c>
      <x:c r="G1652" t="str">
        <x:v>Resource inefficiency (materials/labor/energy), Equipment constraints / low availability, Planning &amp; estimation / coordination complexity</x:v>
      </x:c>
      <x:c r="H1652" t="str">
        <x:v>Cost overrun mainly linked to resource inefficiency (materials/labor/energy); schedule overrun mainly linked to resource inefficiency (materials/labor/energy).</x:v>
      </x:c>
    </x:row>
    <x:row r="1653">
      <x:c r="A1653" t="str">
        <x:v>PJT_1652</x:v>
      </x:c>
      <x:c r="B1653" t="str">
        <x:v>Unforeseen site/structural issues &amp; rework</x:v>
      </x:c>
      <x:c r="C1653" t="str">
        <x:v>Planning &amp; estimation / coordination complexity</x:v>
      </x:c>
      <x:c r="D1653" t="str">
        <x:v>Unforeseen site/structural issues &amp; rework, Planning &amp; estimation / coordination complexity, Material supply / logistics &amp; market disruption</x:v>
      </x:c>
      <x:c r="E1653" t="str">
        <x:v>Unforeseen site/structural issues &amp; rework</x:v>
      </x:c>
      <x:c r="F1653" t="str">
        <x:v>Planning &amp; estimation / coordination complexity</x:v>
      </x:c>
      <x:c r="G1653" t="str">
        <x:v>Unforeseen site/structural issues &amp; rework, Planning &amp; estimation / coordination complexity, Material supply / logistics &amp; market disruption</x:v>
      </x:c>
      <x:c r="H1653" t="str">
        <x:v>Cost overrun mainly linked to unforeseen site/structural issues &amp; rework; schedule overrun mainly linked to unforeseen site/structural issues &amp; rework.</x:v>
      </x:c>
    </x:row>
    <x:row r="1654">
      <x:c r="A1654" t="str">
        <x:v>PJT_1653</x:v>
      </x:c>
      <x:c r="B1654" t="str">
        <x:v>Unforeseen site/structural issues &amp; rework</x:v>
      </x:c>
      <x:c r="C1654" t="str">
        <x:v>Weather disruption / environmental constraints</x:v>
      </x:c>
      <x:c r="D1654" t="str">
        <x:v>Unforeseen site/structural issues &amp; rework, Weather disruption / environmental constraints, Planning &amp; estimation / coordination complexity</x:v>
      </x:c>
      <x:c r="E1654" t="str">
        <x:v>Unforeseen site/structural issues &amp; rework</x:v>
      </x:c>
      <x:c r="F1654" t="str">
        <x:v>Weather disruption / environmental constraints</x:v>
      </x:c>
      <x:c r="G1654" t="str">
        <x:v>Unforeseen site/structural issues &amp; rework, Weather disruption / environmental constraints, Planning &amp; estimation / coordination complexity</x:v>
      </x:c>
      <x:c r="H1654" t="str">
        <x:v>Cost overrun mainly linked to unforeseen site/structural issues &amp; rework; schedule overrun mainly linked to unforeseen site/structural issues &amp; rework.</x:v>
      </x:c>
    </x:row>
    <x:row r="1655">
      <x:c r="A1655" t="str">
        <x:v>PJT_1654</x:v>
      </x:c>
      <x:c r="B1655" t="str">
        <x:v>Resource inefficiency (materials/labor/energy)</x:v>
      </x:c>
      <x:c r="C1655" t="str">
        <x:v>Equipment constraints / low availability</x:v>
      </x:c>
      <x:c r="D1655" t="str">
        <x:v>Resource inefficiency (materials/labor/energy), Equipment constraints / low availability, Planning &amp; estimation / coordination complexity</x:v>
      </x:c>
      <x:c r="E1655" t="str">
        <x:v>Resource inefficiency (materials/labor/energy)</x:v>
      </x:c>
      <x:c r="F1655" t="str">
        <x:v>Equipment constraints / low availability</x:v>
      </x:c>
      <x:c r="G1655" t="str">
        <x:v>Resource inefficiency (materials/labor/energy), Equipment constraints / low availability, Planning &amp; estimation / coordination complexity</x:v>
      </x:c>
      <x:c r="H1655" t="str">
        <x:v>Cost overrun mainly linked to resource inefficiency (materials/labor/energy); schedule overrun mainly linked to resource inefficiency (materials/labor/energy).</x:v>
      </x:c>
    </x:row>
    <x:row r="1656">
      <x:c r="A1656" t="str">
        <x:v>PJT_1655</x:v>
      </x:c>
      <x:c r="B1656" t="str">
        <x:v>Weather disruption / environmental constraints</x:v>
      </x:c>
      <x:c r="C1656" t="str">
        <x:v>Material supply / logistics &amp; market disruption</x:v>
      </x:c>
      <x:c r="D1656" t="str">
        <x:v>Weather disruption / environmental constraints, Material supply / logistics &amp; market disruption, Equipment constraints / low availability</x:v>
      </x:c>
      <x:c r="E1656" t="str">
        <x:v>Weather disruption / environmental constraints</x:v>
      </x:c>
      <x:c r="F1656" t="str">
        <x:v>Material supply / logistics &amp; market disruption</x:v>
      </x:c>
      <x:c r="G1656" t="str">
        <x:v>Weather disruption / environmental constraints, Material supply / logistics &amp; market disruption, Resource inefficiency (materials/labor/energy)</x:v>
      </x:c>
      <x:c r="H1656" t="str">
        <x:v>Cost overrun mainly linked to weather disruption / environmental constraints; schedule overrun mainly linked to weather disruption / environmental constraints.</x:v>
      </x:c>
    </x:row>
    <x:row r="1657">
      <x:c r="A1657" t="str">
        <x:v>PJT_1656</x:v>
      </x:c>
      <x:c r="B1657" t="str">
        <x:v>Resource inefficiency (materials/labor/energy)</x:v>
      </x:c>
      <x:c r="C1657" t="str">
        <x:v>Unforeseen site/structural issues &amp; rework</x:v>
      </x:c>
      <x:c r="D1657" t="str">
        <x:v>Resource inefficiency (materials/labor/energy), Unforeseen site/structural issues &amp; rework, Equipment constraints / low availability</x:v>
      </x:c>
      <x:c r="E1657" t="str">
        <x:v>Resource inefficiency (materials/labor/energy)</x:v>
      </x:c>
      <x:c r="F1657" t="str">
        <x:v>Unforeseen site/structural issues &amp; rework</x:v>
      </x:c>
      <x:c r="G1657" t="str">
        <x:v>Resource inefficiency (materials/labor/energy), Unforeseen site/structural issues &amp; rework, Equipment constraints / low availability</x:v>
      </x:c>
      <x:c r="H1657" t="str">
        <x:v>Cost overrun mainly linked to resource inefficiency (materials/labor/energy); schedule overrun mainly linked to resource inefficiency (materials/labor/energy).</x:v>
      </x:c>
    </x:row>
    <x:row r="1658">
      <x:c r="A1658" t="str">
        <x:v>PJT_1657</x:v>
      </x:c>
      <x:c r="B1658" t="str">
        <x:v>Unforeseen site/structural issues &amp; rework</x:v>
      </x:c>
      <x:c r="C1658" t="str">
        <x:v>Resource inefficiency (materials/labor/energy)</x:v>
      </x:c>
      <x:c r="D1658" t="str">
        <x:v>Unforeseen site/structural issues &amp; rework, Resource inefficiency (materials/labor/energy), Equipment constraints / low availability</x:v>
      </x:c>
      <x:c r="E1658" t="str">
        <x:v>Unforeseen site/structural issues &amp; rework</x:v>
      </x:c>
      <x:c r="F1658" t="str">
        <x:v>Equipment constraints / low availability</x:v>
      </x:c>
      <x:c r="G1658" t="str">
        <x:v>Unforeseen site/structural issues &amp; rework, Equipment constraints / low availability, Resource inefficiency (materials/labor/energy)</x:v>
      </x:c>
      <x:c r="H1658" t="str">
        <x:v>Cost overrun mainly linked to unforeseen site/structural issues &amp; rework; schedule overrun mainly linked to unforeseen site/structural issues &amp; rework.</x:v>
      </x:c>
    </x:row>
    <x:row r="1659">
      <x:c r="A1659" t="str">
        <x:v>PJT_1658</x:v>
      </x:c>
      <x:c r="B1659" t="str">
        <x:v>Unforeseen site/structural issues &amp; rework</x:v>
      </x:c>
      <x:c r="C1659" t="str">
        <x:v>Planning &amp; estimation / coordination complexity</x:v>
      </x:c>
      <x:c r="D1659" t="str">
        <x:v>Unforeseen site/structural issues &amp; rework, Planning &amp; estimation / coordination complexity, Equipment constraints / low availability</x:v>
      </x:c>
      <x:c r="E1659" t="str">
        <x:v>Unforeseen site/structural issues &amp; rework</x:v>
      </x:c>
      <x:c r="F1659" t="str">
        <x:v>Planning &amp; estimation / coordination complexity</x:v>
      </x:c>
      <x:c r="G1659" t="str">
        <x:v>Unforeseen site/structural issues &amp; rework, Planning &amp; estimation / coordination complexity, Equipment constraints / low availability</x:v>
      </x:c>
      <x:c r="H1659" t="str">
        <x:v>Cost overrun mainly linked to unforeseen site/structural issues &amp; rework; schedule overrun mainly linked to unforeseen site/structural issues &amp; rework.</x:v>
      </x:c>
    </x:row>
    <x:row r="1660">
      <x:c r="A1660" t="str">
        <x:v>PJT_1659</x:v>
      </x:c>
      <x:c r="B1660" t="str">
        <x:v>Unforeseen site/structural issues &amp; rework</x:v>
      </x:c>
      <x:c r="C1660" t="str">
        <x:v>Planning &amp; estimation / coordination complexity</x:v>
      </x:c>
      <x:c r="D1660" t="str">
        <x:v>Unforeseen site/structural issues &amp; rework, Planning &amp; estimation / coordination complexity, Equipment constraints / low availability</x:v>
      </x:c>
      <x:c r="E1660" t="str">
        <x:v>Unforeseen site/structural issues &amp; rework</x:v>
      </x:c>
      <x:c r="F1660" t="str">
        <x:v>Planning &amp; estimation / coordination complexity</x:v>
      </x:c>
      <x:c r="G1660" t="str">
        <x:v>Unforeseen site/structural issues &amp; rework, Planning &amp; estimation / coordination complexity, Equipment constraints / low availability</x:v>
      </x:c>
      <x:c r="H1660" t="str">
        <x:v>Cost overrun mainly linked to unforeseen site/structural issues &amp; rework; schedule overrun mainly linked to unforeseen site/structural issues &amp; rework.</x:v>
      </x:c>
    </x:row>
    <x:row r="1661">
      <x:c r="A1661" t="str">
        <x:v>PJT_1660</x:v>
      </x:c>
      <x:c r="B1661" t="str">
        <x:v>Planning &amp; estimation / coordination complexity</x:v>
      </x:c>
      <x:c r="C1661" t="str">
        <x:v>Unforeseen site/structural issues &amp; rework</x:v>
      </x:c>
      <x:c r="D1661" t="str">
        <x:v>Planning &amp; estimation / coordination complexity, Unforeseen site/structural issues &amp; rework, Equipment constraints / low availability</x:v>
      </x:c>
      <x:c r="E1661" t="str">
        <x:v>Unforeseen site/structural issues &amp; rework</x:v>
      </x:c>
      <x:c r="F1661" t="str">
        <x:v>Planning &amp; estimation / coordination complexity</x:v>
      </x:c>
      <x:c r="G1661" t="str">
        <x:v>Unforeseen site/structural issues &amp; rework, Planning &amp; estimation / coordination complexity, Equipment constraints / low availability</x:v>
      </x:c>
      <x:c r="H1661" t="str">
        <x:v>Cost overrun mainly linked to planning &amp; estimation / coordination complexity; schedule overrun mainly linked to unforeseen site/structural issues &amp; rework.</x:v>
      </x:c>
    </x:row>
    <x:row r="1662">
      <x:c r="A1662" t="str">
        <x:v>PJT_1661</x:v>
      </x:c>
      <x:c r="B1662" t="str">
        <x:v>Unforeseen site/structural issues &amp; rework</x:v>
      </x:c>
      <x:c r="C1662" t="str">
        <x:v>Weather disruption / environmental constraints</x:v>
      </x:c>
      <x:c r="D1662" t="str">
        <x:v>Unforeseen site/structural issues &amp; rework, Weather disruption / environmental constraints, Planning &amp; estimation / coordination complexity</x:v>
      </x:c>
      <x:c r="E1662" t="str">
        <x:v>Unforeseen site/structural issues &amp; rework</x:v>
      </x:c>
      <x:c r="F1662" t="str">
        <x:v>Weather disruption / environmental constraints</x:v>
      </x:c>
      <x:c r="G1662" t="str">
        <x:v>Unforeseen site/structural issues &amp; rework, Weather disruption / environmental constraints, Planning &amp; estimation / coordination complexity</x:v>
      </x:c>
      <x:c r="H1662" t="str">
        <x:v>Cost overrun mainly linked to unforeseen site/structural issues &amp; rework; schedule overrun mainly linked to unforeseen site/structural issues &amp; rework.</x:v>
      </x:c>
    </x:row>
    <x:row r="1663">
      <x:c r="A1663" t="str">
        <x:v>PJT_1662</x:v>
      </x:c>
      <x:c r="B1663" t="str">
        <x:v>Resource inefficiency (materials/labor/energy)</x:v>
      </x:c>
      <x:c r="C1663" t="str">
        <x:v>Equipment constraints / low availability</x:v>
      </x:c>
      <x:c r="D1663" t="str">
        <x:v>Resource inefficiency (materials/labor/energy), Equipment constraints / low availability, Weather disruption / environmental constraints</x:v>
      </x:c>
      <x:c r="E1663" t="str">
        <x:v>Resource inefficiency (materials/labor/energy)</x:v>
      </x:c>
      <x:c r="F1663" t="str">
        <x:v>Equipment constraints / low availability</x:v>
      </x:c>
      <x:c r="G1663" t="str">
        <x:v>Resource inefficiency (materials/labor/energy), Equipment constraints / low availability, Weather disruption / environmental constraints</x:v>
      </x:c>
      <x:c r="H1663" t="str">
        <x:v>Cost overrun mainly linked to resource inefficiency (materials/labor/energy); schedule overrun mainly linked to resource inefficiency (materials/labor/energy).</x:v>
      </x:c>
    </x:row>
    <x:row r="1664">
      <x:c r="A1664" t="str">
        <x:v>PJT_1663</x:v>
      </x:c>
      <x:c r="B1664" t="str">
        <x:v>Resource inefficiency (materials/labor/energy)</x:v>
      </x:c>
      <x:c r="C1664" t="str">
        <x:v>Material supply / logistics &amp; market disruption</x:v>
      </x:c>
      <x:c r="D1664" t="str">
        <x:v>Resource inefficiency (materials/labor/energy), Material supply / logistics &amp; market disruption, Planning &amp; estimation / coordination complexity</x:v>
      </x:c>
      <x:c r="E1664" t="str">
        <x:v>Resource inefficiency (materials/labor/energy)</x:v>
      </x:c>
      <x:c r="F1664" t="str">
        <x:v>Material supply / logistics &amp; market disruption</x:v>
      </x:c>
      <x:c r="G1664" t="str">
        <x:v>Resource inefficiency (materials/labor/energy), Material supply / logistics &amp; market disruption, Planning &amp; estimation / coordination complexity</x:v>
      </x:c>
      <x:c r="H1664" t="str">
        <x:v>Cost overrun mainly linked to resource inefficiency (materials/labor/energy); schedule overrun mainly linked to resource inefficiency (materials/labor/energy).</x:v>
      </x:c>
    </x:row>
    <x:row r="1665">
      <x:c r="A1665" t="str">
        <x:v>PJT_1664</x:v>
      </x:c>
      <x:c r="B1665" t="str">
        <x:v>Resource inefficiency (materials/labor/energy)</x:v>
      </x:c>
      <x:c r="C1665" t="str">
        <x:v>Planning &amp; estimation / coordination complexity</x:v>
      </x:c>
      <x:c r="D1665" t="str">
        <x:v>Resource inefficiency (materials/labor/energy), Planning &amp; estimation / coordination complexity, Material supply / logistics &amp; market disruption</x:v>
      </x:c>
      <x:c r="E1665" t="str">
        <x:v>Planning &amp; estimation / coordination complexity</x:v>
      </x:c>
      <x:c r="F1665" t="str">
        <x:v>Resource inefficiency (materials/labor/energy)</x:v>
      </x:c>
      <x:c r="G1665" t="str">
        <x:v>Planning &amp; estimation / coordination complexity, Resource inefficiency (materials/labor/energy), Material supply / logistics &amp; market disruption</x:v>
      </x:c>
      <x:c r="H1665" t="str">
        <x:v>Cost overrun mainly linked to resource inefficiency (materials/labor/energy); schedule overrun mainly linked to planning &amp; estimation / coordination complexity.</x:v>
      </x:c>
    </x:row>
    <x:row r="1666">
      <x:c r="A1666" t="str">
        <x:v>PJT_1665</x:v>
      </x:c>
      <x:c r="B1666" t="str">
        <x:v>Planning &amp; estimation / coordination complexity</x:v>
      </x:c>
      <x:c r="C1666" t="str">
        <x:v>Equipment constraints / low availability</x:v>
      </x:c>
      <x:c r="D1666" t="str">
        <x:v>Planning &amp; estimation / coordination complexity, Equipment constraints / low availability, Weather disruption / environmental constraints</x:v>
      </x:c>
      <x:c r="E1666" t="str">
        <x:v>Planning &amp; estimation / coordination complexity</x:v>
      </x:c>
      <x:c r="F1666" t="str">
        <x:v>Equipment constraints / low availability</x:v>
      </x:c>
      <x:c r="G1666" t="str">
        <x:v>Planning &amp; estimation / coordination complexity, Equipment constraints / low availability, Weather disruption / environmental constraints</x:v>
      </x:c>
      <x:c r="H1666" t="str">
        <x:v>Cost overrun mainly linked to planning &amp; estimation / coordination complexity; schedule overrun mainly linked to planning &amp; estimation / coordination complexity.</x:v>
      </x:c>
    </x:row>
    <x:row r="1667">
      <x:c r="A1667" t="str">
        <x:v>PJT_1666</x:v>
      </x:c>
      <x:c r="B1667" t="str">
        <x:v>Unforeseen site/structural issues &amp; rework</x:v>
      </x:c>
      <x:c r="C1667" t="str">
        <x:v>Resource inefficiency (materials/labor/energy)</x:v>
      </x:c>
      <x:c r="D1667" t="str">
        <x:v>Unforeseen site/structural issues &amp; rework, Resource inefficiency (materials/labor/energy), Material supply / logistics &amp; market disruption</x:v>
      </x:c>
      <x:c r="E1667" t="str">
        <x:v>Unforeseen site/structural issues &amp; rework</x:v>
      </x:c>
      <x:c r="F1667" t="str">
        <x:v>Resource inefficiency (materials/labor/energy)</x:v>
      </x:c>
      <x:c r="G1667" t="str">
        <x:v>Unforeseen site/structural issues &amp; rework, Resource inefficiency (materials/labor/energy), Equipment constraints / low availability</x:v>
      </x:c>
      <x:c r="H1667" t="str">
        <x:v>Cost overrun mainly linked to unforeseen site/structural issues &amp; rework; schedule overrun mainly linked to unforeseen site/structural issues &amp; rework.</x:v>
      </x:c>
    </x:row>
    <x:row r="1668">
      <x:c r="A1668" t="str">
        <x:v>PJT_1667</x:v>
      </x:c>
      <x:c r="B1668" t="str">
        <x:v>Unforeseen site/structural issues &amp; rework</x:v>
      </x:c>
      <x:c r="C1668" t="str">
        <x:v>Planning &amp; estimation / coordination complexity</x:v>
      </x:c>
      <x:c r="D1668" t="str">
        <x:v>Unforeseen site/structural issues &amp; rework, Planning &amp; estimation / coordination complexity, Equipment constraints / low availability</x:v>
      </x:c>
      <x:c r="E1668" t="str">
        <x:v>Unforeseen site/structural issues &amp; rework</x:v>
      </x:c>
      <x:c r="F1668" t="str">
        <x:v>Planning &amp; estimation / coordination complexity</x:v>
      </x:c>
      <x:c r="G1668" t="str">
        <x:v>Unforeseen site/structural issues &amp; rework, Planning &amp; estimation / coordination complexity, Equipment constraints / low availability</x:v>
      </x:c>
      <x:c r="H1668" t="str">
        <x:v>Cost overrun mainly linked to unforeseen site/structural issues &amp; rework; schedule overrun mainly linked to unforeseen site/structural issues &amp; rework.</x:v>
      </x:c>
    </x:row>
    <x:row r="1669">
      <x:c r="A1669" t="str">
        <x:v>PJT_1668</x:v>
      </x:c>
      <x:c r="B1669" t="str">
        <x:v>Planning &amp; estimation / coordination complexity</x:v>
      </x:c>
      <x:c r="C1669" t="str">
        <x:v>Material supply / logistics &amp; market disruption</x:v>
      </x:c>
      <x:c r="D1669" t="str">
        <x:v>Planning &amp; estimation / coordination complexity, Material supply / logistics &amp; market disruption, Weather disruption / environmental constraints</x:v>
      </x:c>
      <x:c r="E1669" t="str">
        <x:v>Planning &amp; estimation / coordination complexity</x:v>
      </x:c>
      <x:c r="F1669" t="str">
        <x:v>Material supply / logistics &amp; market disruption</x:v>
      </x:c>
      <x:c r="G1669" t="str">
        <x:v>Planning &amp; estimation / coordination complexity, Material supply / logistics &amp; market disruption, Resource inefficiency (materials/labor/energy)</x:v>
      </x:c>
      <x:c r="H1669" t="str">
        <x:v>Cost overrun mainly linked to planning &amp; estimation / coordination complexity; schedule overrun mainly linked to planning &amp; estimation / coordination complexity.</x:v>
      </x:c>
    </x:row>
    <x:row r="1670">
      <x:c r="A1670" t="str">
        <x:v>PJT_1669</x:v>
      </x:c>
      <x:c r="B1670" t="str">
        <x:v>Equipment constraints / low availability</x:v>
      </x:c>
      <x:c r="C1670" t="str">
        <x:v>Weather disruption / environmental constraints</x:v>
      </x:c>
      <x:c r="D1670" t="str">
        <x:v>Equipment constraints / low availability, Weather disruption / environmental constraints, Material supply / logistics &amp; market disruption</x:v>
      </x:c>
      <x:c r="E1670" t="str">
        <x:v>Equipment constraints / low availability</x:v>
      </x:c>
      <x:c r="F1670" t="str">
        <x:v>Resource inefficiency (materials/labor/energy)</x:v>
      </x:c>
      <x:c r="G1670" t="str">
        <x:v>Equipment constraints / low availability, Resource inefficiency (materials/labor/energy), Material supply / logistics &amp; market disruption</x:v>
      </x:c>
      <x:c r="H1670" t="str">
        <x:v>Cost overrun mainly linked to equipment constraints / low availability; schedule overrun mainly linked to equipment constraints / low availability.</x:v>
      </x:c>
    </x:row>
    <x:row r="1671">
      <x:c r="A1671" t="str">
        <x:v>PJT_1670</x:v>
      </x:c>
      <x:c r="B1671" t="str">
        <x:v>Planning &amp; estimation / coordination complexity</x:v>
      </x:c>
      <x:c r="C1671" t="str">
        <x:v>Resource inefficiency (materials/labor/energy)</x:v>
      </x:c>
      <x:c r="D1671" t="str">
        <x:v>Planning &amp; estimation / coordination complexity, Resource inefficiency (materials/labor/energy), Equipment constraints / low availability</x:v>
      </x:c>
      <x:c r="E1671" t="str">
        <x:v>Planning &amp; estimation / coordination complexity</x:v>
      </x:c>
      <x:c r="F1671" t="str">
        <x:v>Resource inefficiency (materials/labor/energy)</x:v>
      </x:c>
      <x:c r="G1671" t="str">
        <x:v>Planning &amp; estimation / coordination complexity, Resource inefficiency (materials/labor/energy), Equipment constraints / low availability</x:v>
      </x:c>
      <x:c r="H1671" t="str">
        <x:v>Cost overrun mainly linked to planning &amp; estimation / coordination complexity; schedule overrun mainly linked to planning &amp; estimation / coordination complexity.</x:v>
      </x:c>
    </x:row>
    <x:row r="1672">
      <x:c r="A1672" t="str">
        <x:v>PJT_1671</x:v>
      </x:c>
      <x:c r="B1672" t="str">
        <x:v>Unforeseen site/structural issues &amp; rework</x:v>
      </x:c>
      <x:c r="C1672" t="str">
        <x:v>Planning &amp; estimation / coordination complexity</x:v>
      </x:c>
      <x:c r="D1672" t="str">
        <x:v>Unforeseen site/structural issues &amp; rework, Planning &amp; estimation / coordination complexity, Weather disruption / environmental constraints</x:v>
      </x:c>
      <x:c r="E1672" t="str">
        <x:v>Unforeseen site/structural issues &amp; rework</x:v>
      </x:c>
      <x:c r="F1672" t="str">
        <x:v>Planning &amp; estimation / coordination complexity</x:v>
      </x:c>
      <x:c r="G1672" t="str">
        <x:v>Unforeseen site/structural issues &amp; rework, Planning &amp; estimation / coordination complexity, Weather disruption / environmental constraints</x:v>
      </x:c>
      <x:c r="H1672" t="str">
        <x:v>Cost overrun mainly linked to unforeseen site/structural issues &amp; rework; schedule overrun mainly linked to unforeseen site/structural issues &amp; rework.</x:v>
      </x:c>
    </x:row>
    <x:row r="1673">
      <x:c r="A1673" t="str">
        <x:v>PJT_1672</x:v>
      </x:c>
      <x:c r="B1673" t="str">
        <x:v>Planning &amp; estimation / coordination complexity</x:v>
      </x:c>
      <x:c r="C1673" t="str">
        <x:v>Resource inefficiency (materials/labor/energy)</x:v>
      </x:c>
      <x:c r="D1673" t="str">
        <x:v>Planning &amp; estimation / coordination complexity, Resource inefficiency (materials/labor/energy), Unforeseen site/structural issues &amp; rework</x:v>
      </x:c>
      <x:c r="E1673" t="str">
        <x:v>Planning &amp; estimation / coordination complexity</x:v>
      </x:c>
      <x:c r="F1673" t="str">
        <x:v>Unforeseen site/structural issues &amp; rework</x:v>
      </x:c>
      <x:c r="G1673" t="str">
        <x:v>Planning &amp; estimation / coordination complexity, Unforeseen site/structural issues &amp; rework, Resource inefficiency (materials/labor/energy)</x:v>
      </x:c>
      <x:c r="H1673" t="str">
        <x:v>Cost overrun mainly linked to planning &amp; estimation / coordination complexity; schedule overrun mainly linked to planning &amp; estimation / coordination complexity.</x:v>
      </x:c>
    </x:row>
    <x:row r="1674">
      <x:c r="A1674" t="str">
        <x:v>PJT_1673</x:v>
      </x:c>
      <x:c r="B1674" t="str">
        <x:v>Unforeseen site/structural issues &amp; rework</x:v>
      </x:c>
      <x:c r="C1674" t="str">
        <x:v>Resource inefficiency (materials/labor/energy)</x:v>
      </x:c>
      <x:c r="D1674" t="str">
        <x:v>Unforeseen site/structural issues &amp; rework, Resource inefficiency (materials/labor/energy), Equipment constraints / low availability</x:v>
      </x:c>
      <x:c r="E1674" t="str">
        <x:v>Unforeseen site/structural issues &amp; rework</x:v>
      </x:c>
      <x:c r="F1674" t="str">
        <x:v>Resource inefficiency (materials/labor/energy)</x:v>
      </x:c>
      <x:c r="G1674" t="str">
        <x:v>Unforeseen site/structural issues &amp; rework, Resource inefficiency (materials/labor/energy), Equipment constraints / low availability</x:v>
      </x:c>
      <x:c r="H1674" t="str">
        <x:v>Cost overrun mainly linked to unforeseen site/structural issues &amp; rework; schedule overrun mainly linked to unforeseen site/structural issues &amp; rework.</x:v>
      </x:c>
    </x:row>
    <x:row r="1675">
      <x:c r="A1675" t="str">
        <x:v>PJT_1674</x:v>
      </x:c>
      <x:c r="B1675" t="str">
        <x:v>Resource inefficiency (materials/labor/energy)</x:v>
      </x:c>
      <x:c r="C1675" t="str">
        <x:v>Planning &amp; estimation / coordination complexity</x:v>
      </x:c>
      <x:c r="D1675" t="str">
        <x:v>Resource inefficiency (materials/labor/energy), Planning &amp; estimation / coordination complexity, Material supply / logistics &amp; market disruption</x:v>
      </x:c>
      <x:c r="E1675" t="str">
        <x:v>Resource inefficiency (materials/labor/energy)</x:v>
      </x:c>
      <x:c r="F1675" t="str">
        <x:v>Planning &amp; estimation / coordination complexity</x:v>
      </x:c>
      <x:c r="G1675" t="str">
        <x:v>Resource inefficiency (materials/labor/energy), Planning &amp; estimation / coordination complexity, Unforeseen site/structural issues &amp; rework</x:v>
      </x:c>
      <x:c r="H1675" t="str">
        <x:v>Cost overrun mainly linked to resource inefficiency (materials/labor/energy); schedule overrun mainly linked to resource inefficiency (materials/labor/energy).</x:v>
      </x:c>
    </x:row>
    <x:row r="1676">
      <x:c r="A1676" t="str">
        <x:v>PJT_1675</x:v>
      </x:c>
      <x:c r="B1676" t="str">
        <x:v>Unforeseen site/structural issues &amp; rework</x:v>
      </x:c>
      <x:c r="C1676" t="str">
        <x:v>Weather disruption / environmental constraints</x:v>
      </x:c>
      <x:c r="D1676" t="str">
        <x:v>Unforeseen site/structural issues &amp; rework, Weather disruption / environmental constraints, Material supply / logistics &amp; market disruption</x:v>
      </x:c>
      <x:c r="E1676" t="str">
        <x:v>Unforeseen site/structural issues &amp; rework</x:v>
      </x:c>
      <x:c r="F1676" t="str">
        <x:v>Planning &amp; estimation / coordination complexity</x:v>
      </x:c>
      <x:c r="G1676" t="str">
        <x:v>Unforeseen site/structural issues &amp; rework, Planning &amp; estimation / coordination complexity, Weather disruption / environmental constraints</x:v>
      </x:c>
      <x:c r="H1676" t="str">
        <x:v>Cost overrun mainly linked to unforeseen site/structural issues &amp; rework; schedule overrun mainly linked to unforeseen site/structural issues &amp; rework.</x:v>
      </x:c>
    </x:row>
    <x:row r="1677">
      <x:c r="A1677" t="str">
        <x:v>PJT_1676</x:v>
      </x:c>
      <x:c r="B1677" t="str">
        <x:v>Resource inefficiency (materials/labor/energy)</x:v>
      </x:c>
      <x:c r="C1677" t="str">
        <x:v>Equipment constraints / low availability</x:v>
      </x:c>
      <x:c r="D1677" t="str">
        <x:v>Resource inefficiency (materials/labor/energy), Equipment constraints / low availability, Material supply / logistics &amp; market disruption</x:v>
      </x:c>
      <x:c r="E1677" t="str">
        <x:v>Resource inefficiency (materials/labor/energy)</x:v>
      </x:c>
      <x:c r="F1677" t="str">
        <x:v>Equipment constraints / low availability</x:v>
      </x:c>
      <x:c r="G1677" t="str">
        <x:v>Resource inefficiency (materials/labor/energy), Equipment constraints / low availability, Material supply / logistics &amp; market disruption</x:v>
      </x:c>
      <x:c r="H1677" t="str">
        <x:v>Cost overrun mainly linked to resource inefficiency (materials/labor/energy); schedule overrun mainly linked to resource inefficiency (materials/labor/energy).</x:v>
      </x:c>
    </x:row>
    <x:row r="1678">
      <x:c r="A1678" t="str">
        <x:v>PJT_1677</x:v>
      </x:c>
      <x:c r="B1678" t="str">
        <x:v>Unforeseen site/structural issues &amp; rework</x:v>
      </x:c>
      <x:c r="C1678" t="str">
        <x:v>Resource inefficiency (materials/labor/energy)</x:v>
      </x:c>
      <x:c r="D1678" t="str">
        <x:v>Unforeseen site/structural issues &amp; rework, Resource inefficiency (materials/labor/energy), Equipment constraints / low availability</x:v>
      </x:c>
      <x:c r="E1678" t="str">
        <x:v>Unforeseen site/structural issues &amp; rework</x:v>
      </x:c>
      <x:c r="F1678" t="str">
        <x:v>Resource inefficiency (materials/labor/energy)</x:v>
      </x:c>
      <x:c r="G1678" t="str">
        <x:v>Unforeseen site/structural issues &amp; rework, Resource inefficiency (materials/labor/energy), Equipment constraints / low availability</x:v>
      </x:c>
      <x:c r="H1678" t="str">
        <x:v>Cost overrun mainly linked to unforeseen site/structural issues &amp; rework; schedule overrun mainly linked to unforeseen site/structural issues &amp; rework.</x:v>
      </x:c>
    </x:row>
    <x:row r="1679">
      <x:c r="A1679" t="str">
        <x:v>PJT_1678</x:v>
      </x:c>
      <x:c r="B1679" t="str">
        <x:v>Unforeseen site/structural issues &amp; rework</x:v>
      </x:c>
      <x:c r="C1679" t="str">
        <x:v>Planning &amp; estimation / coordination complexity</x:v>
      </x:c>
      <x:c r="D1679" t="str">
        <x:v>Unforeseen site/structural issues &amp; rework, Planning &amp; estimation / coordination complexity, Weather disruption / environmental constraints</x:v>
      </x:c>
      <x:c r="E1679" t="str">
        <x:v>Unforeseen site/structural issues &amp; rework</x:v>
      </x:c>
      <x:c r="F1679" t="str">
        <x:v>Planning &amp; estimation / coordination complexity</x:v>
      </x:c>
      <x:c r="G1679" t="str">
        <x:v>Unforeseen site/structural issues &amp; rework, Planning &amp; estimation / coordination complexity, Weather disruption / environmental constraints</x:v>
      </x:c>
      <x:c r="H1679" t="str">
        <x:v>Cost overrun mainly linked to unforeseen site/structural issues &amp; rework; schedule overrun mainly linked to unforeseen site/structural issues &amp; rework.</x:v>
      </x:c>
    </x:row>
    <x:row r="1680">
      <x:c r="A1680" t="str">
        <x:v>PJT_1679</x:v>
      </x:c>
      <x:c r="B1680" t="str">
        <x:v>Planning &amp; estimation / coordination complexity</x:v>
      </x:c>
      <x:c r="C1680" t="str">
        <x:v>Unforeseen site/structural issues &amp; rework</x:v>
      </x:c>
      <x:c r="D1680" t="str">
        <x:v>Planning &amp; estimation / coordination complexity, Unforeseen site/structural issues &amp; rework, Material supply / logistics &amp; market disruption</x:v>
      </x:c>
      <x:c r="E1680" t="str">
        <x:v>Planning &amp; estimation / coordination complexity</x:v>
      </x:c>
      <x:c r="F1680" t="str">
        <x:v>Unforeseen site/structural issues &amp; rework</x:v>
      </x:c>
      <x:c r="G1680" t="str">
        <x:v>Planning &amp; estimation / coordination complexity, Unforeseen site/structural issues &amp; rework, Material supply / logistics &amp; market disruption</x:v>
      </x:c>
      <x:c r="H1680" t="str">
        <x:v>Cost overrun mainly linked to planning &amp; estimation / coordination complexity; schedule overrun mainly linked to planning &amp; estimation / coordination complexity.</x:v>
      </x:c>
    </x:row>
    <x:row r="1681">
      <x:c r="A1681" t="str">
        <x:v>PJT_1680</x:v>
      </x:c>
      <x:c r="B1681" t="str">
        <x:v>Unforeseen site/structural issues &amp; rework</x:v>
      </x:c>
      <x:c r="C1681" t="str">
        <x:v>Weather disruption / environmental constraints</x:v>
      </x:c>
      <x:c r="D1681" t="str">
        <x:v>Unforeseen site/structural issues &amp; rework, Weather disruption / environmental constraints, Planning &amp; estimation / coordination complexity</x:v>
      </x:c>
      <x:c r="E1681" t="str">
        <x:v>Unforeseen site/structural issues &amp; rework</x:v>
      </x:c>
      <x:c r="F1681" t="str">
        <x:v>Weather disruption / environmental constraints</x:v>
      </x:c>
      <x:c r="G1681" t="str">
        <x:v>Unforeseen site/structural issues &amp; rework, Weather disruption / environmental constraints, Planning &amp; estimation / coordination complexity</x:v>
      </x:c>
      <x:c r="H1681" t="str">
        <x:v>Cost overrun mainly linked to unforeseen site/structural issues &amp; rework; schedule overrun mainly linked to unforeseen site/structural issues &amp; rework.</x:v>
      </x:c>
    </x:row>
    <x:row r="1682">
      <x:c r="A1682" t="str">
        <x:v>PJT_1681</x:v>
      </x:c>
      <x:c r="B1682" t="str">
        <x:v>Weather disruption / environmental constraints</x:v>
      </x:c>
      <x:c r="C1682" t="str">
        <x:v>Unforeseen site/structural issues &amp; rework</x:v>
      </x:c>
      <x:c r="D1682" t="str">
        <x:v>Weather disruption / environmental constraints, Unforeseen site/structural issues &amp; rework, Material supply / logistics &amp; market disruption</x:v>
      </x:c>
      <x:c r="E1682" t="str">
        <x:v>Weather disruption / environmental constraints</x:v>
      </x:c>
      <x:c r="F1682" t="str">
        <x:v>Unforeseen site/structural issues &amp; rework</x:v>
      </x:c>
      <x:c r="G1682" t="str">
        <x:v>Weather disruption / environmental constraints, Unforeseen site/structural issues &amp; rework, Material supply / logistics &amp; market disruption</x:v>
      </x:c>
      <x:c r="H1682" t="str">
        <x:v>Cost overrun mainly linked to weather disruption / environmental constraints; schedule overrun mainly linked to weather disruption / environmental constraints.</x:v>
      </x:c>
    </x:row>
    <x:row r="1683">
      <x:c r="A1683" t="str">
        <x:v>PJT_1682</x:v>
      </x:c>
      <x:c r="B1683" t="str">
        <x:v>Resource inefficiency (materials/labor/energy)</x:v>
      </x:c>
      <x:c r="C1683" t="str">
        <x:v>Planning &amp; estimation / coordination complexity</x:v>
      </x:c>
      <x:c r="D1683" t="str">
        <x:v>Resource inefficiency (materials/labor/energy), Planning &amp; estimation / coordination complexity, Material supply / logistics &amp; market disruption</x:v>
      </x:c>
      <x:c r="E1683" t="str">
        <x:v>Resource inefficiency (materials/labor/energy)</x:v>
      </x:c>
      <x:c r="F1683" t="str">
        <x:v>Planning &amp; estimation / coordination complexity</x:v>
      </x:c>
      <x:c r="G1683" t="str">
        <x:v>Resource inefficiency (materials/labor/energy), Planning &amp; estimation / coordination complexity, Equipment constraints / low availability</x:v>
      </x:c>
      <x:c r="H1683" t="str">
        <x:v>Cost overrun mainly linked to resource inefficiency (materials/labor/energy); schedule overrun mainly linked to resource inefficiency (materials/labor/energy).</x:v>
      </x:c>
    </x:row>
    <x:row r="1684">
      <x:c r="A1684" t="str">
        <x:v>PJT_1683</x:v>
      </x:c>
      <x:c r="B1684" t="str">
        <x:v>Equipment constraints / low availability</x:v>
      </x:c>
      <x:c r="C1684" t="str">
        <x:v>Resource inefficiency (materials/labor/energy)</x:v>
      </x:c>
      <x:c r="D1684" t="str">
        <x:v>Equipment constraints / low availability, Resource inefficiency (materials/labor/energy), Material supply / logistics &amp; market disruption</x:v>
      </x:c>
      <x:c r="E1684" t="str">
        <x:v>Resource inefficiency (materials/labor/energy)</x:v>
      </x:c>
      <x:c r="F1684" t="str">
        <x:v>Equipment constraints / low availability</x:v>
      </x:c>
      <x:c r="G1684" t="str">
        <x:v>Resource inefficiency (materials/labor/energy), Equipment constraints / low availability, Material supply / logistics &amp; market disruption</x:v>
      </x:c>
      <x:c r="H1684" t="str">
        <x:v>Cost overrun mainly linked to equipment constraints / low availability; schedule overrun mainly linked to resource inefficiency (materials/labor/energy).</x:v>
      </x:c>
    </x:row>
    <x:row r="1685">
      <x:c r="A1685" t="str">
        <x:v>PJT_1684</x:v>
      </x:c>
      <x:c r="B1685" t="str">
        <x:v>Unforeseen site/structural issues &amp; rework</x:v>
      </x:c>
      <x:c r="C1685" t="str">
        <x:v>Planning &amp; estimation / coordination complexity</x:v>
      </x:c>
      <x:c r="D1685" t="str">
        <x:v>Unforeseen site/structural issues &amp; rework, Planning &amp; estimation / coordination complexity, Material supply / logistics &amp; market disruption</x:v>
      </x:c>
      <x:c r="E1685" t="str">
        <x:v>Unforeseen site/structural issues &amp; rework</x:v>
      </x:c>
      <x:c r="F1685" t="str">
        <x:v>Planning &amp; estimation / coordination complexity</x:v>
      </x:c>
      <x:c r="G1685" t="str">
        <x:v>Unforeseen site/structural issues &amp; rework, Planning &amp; estimation / coordination complexity, Material supply / logistics &amp; market disruption</x:v>
      </x:c>
      <x:c r="H1685" t="str">
        <x:v>Cost overrun mainly linked to unforeseen site/structural issues &amp; rework; schedule overrun mainly linked to unforeseen site/structural issues &amp; rework.</x:v>
      </x:c>
    </x:row>
    <x:row r="1686">
      <x:c r="A1686" t="str">
        <x:v>PJT_1685</x:v>
      </x:c>
      <x:c r="B1686" t="str">
        <x:v>Planning &amp; estimation / coordination complexity</x:v>
      </x:c>
      <x:c r="C1686" t="str">
        <x:v>Resource inefficiency (materials/labor/energy)</x:v>
      </x:c>
      <x:c r="D1686" t="str">
        <x:v>Planning &amp; estimation / coordination complexity, Resource inefficiency (materials/labor/energy), Unforeseen site/structural issues &amp; rework</x:v>
      </x:c>
      <x:c r="E1686" t="str">
        <x:v>Planning &amp; estimation / coordination complexity</x:v>
      </x:c>
      <x:c r="F1686" t="str">
        <x:v>Resource inefficiency (materials/labor/energy)</x:v>
      </x:c>
      <x:c r="G1686" t="str">
        <x:v>Planning &amp; estimation / coordination complexity, Resource inefficiency (materials/labor/energy), Unforeseen site/structural issues &amp; rework</x:v>
      </x:c>
      <x:c r="H1686" t="str">
        <x:v>Cost overrun mainly linked to planning &amp; estimation / coordination complexity; schedule overrun mainly linked to planning &amp; estimation / coordination complexity.</x:v>
      </x:c>
    </x:row>
    <x:row r="1687">
      <x:c r="A1687" t="str">
        <x:v>PJT_1686</x:v>
      </x:c>
      <x:c r="B1687" t="str">
        <x:v>Weather disruption / environmental constraints</x:v>
      </x:c>
      <x:c r="C1687" t="str">
        <x:v>Unforeseen site/structural issues &amp; rework</x:v>
      </x:c>
      <x:c r="D1687" t="str">
        <x:v>Weather disruption / environmental constraints, Unforeseen site/structural issues &amp; rework, Equipment constraints / low availability</x:v>
      </x:c>
      <x:c r="E1687" t="str">
        <x:v>Weather disruption / environmental constraints</x:v>
      </x:c>
      <x:c r="F1687" t="str">
        <x:v>Unforeseen site/structural issues &amp; rework</x:v>
      </x:c>
      <x:c r="G1687" t="str">
        <x:v>Weather disruption / environmental constraints, Unforeseen site/structural issues &amp; rework, Equipment constraints / low availability</x:v>
      </x:c>
      <x:c r="H1687" t="str">
        <x:v>Cost overrun mainly linked to weather disruption / environmental constraints; schedule overrun mainly linked to weather disruption / environmental constraints.</x:v>
      </x:c>
    </x:row>
    <x:row r="1688">
      <x:c r="A1688" t="str">
        <x:v>PJT_1687</x:v>
      </x:c>
      <x:c r="B1688" t="str">
        <x:v>Equipment constraints / low availability</x:v>
      </x:c>
      <x:c r="C1688" t="str">
        <x:v>Planning &amp; estimation / coordination complexity</x:v>
      </x:c>
      <x:c r="D1688" t="str">
        <x:v>Equipment constraints / low availability, Planning &amp; estimation / coordination complexity, Resource inefficiency (materials/labor/energy)</x:v>
      </x:c>
      <x:c r="E1688" t="str">
        <x:v>Equipment constraints / low availability</x:v>
      </x:c>
      <x:c r="F1688" t="str">
        <x:v>Planning &amp; estimation / coordination complexity</x:v>
      </x:c>
      <x:c r="G1688" t="str">
        <x:v>Equipment constraints / low availability, Planning &amp; estimation / coordination complexity, Resource inefficiency (materials/labor/energy)</x:v>
      </x:c>
      <x:c r="H1688" t="str">
        <x:v>Cost overrun mainly linked to equipment constraints / low availability; schedule overrun mainly linked to equipment constraints / low availability.</x:v>
      </x:c>
    </x:row>
    <x:row r="1689">
      <x:c r="A1689" t="str">
        <x:v>PJT_1688</x:v>
      </x:c>
      <x:c r="B1689" t="str">
        <x:v>Planning &amp; estimation / coordination complexity</x:v>
      </x:c>
      <x:c r="C1689" t="str">
        <x:v>Resource inefficiency (materials/labor/energy)</x:v>
      </x:c>
      <x:c r="D1689" t="str">
        <x:v>Planning &amp; estimation / coordination complexity, Resource inefficiency (materials/labor/energy), Material supply / logistics &amp; market disruption</x:v>
      </x:c>
      <x:c r="E1689" t="str">
        <x:v>Planning &amp; estimation / coordination complexity</x:v>
      </x:c>
      <x:c r="F1689" t="str">
        <x:v>Resource inefficiency (materials/labor/energy)</x:v>
      </x:c>
      <x:c r="G1689" t="str">
        <x:v>Planning &amp; estimation / coordination complexity, Resource inefficiency (materials/labor/energy), Material supply / logistics &amp; market disruption</x:v>
      </x:c>
      <x:c r="H1689" t="str">
        <x:v>Cost overrun mainly linked to planning &amp; estimation / coordination complexity; schedule overrun mainly linked to planning &amp; estimation / coordination complexity.</x:v>
      </x:c>
    </x:row>
    <x:row r="1690">
      <x:c r="A1690" t="str">
        <x:v>PJT_1689</x:v>
      </x:c>
      <x:c r="B1690" t="str">
        <x:v>Resource inefficiency (materials/labor/energy)</x:v>
      </x:c>
      <x:c r="C1690" t="str">
        <x:v>Planning &amp; estimation / coordination complexity</x:v>
      </x:c>
      <x:c r="D1690" t="str">
        <x:v>Resource inefficiency (materials/labor/energy), Planning &amp; estimation / coordination complexity, Material supply / logistics &amp; market disruption</x:v>
      </x:c>
      <x:c r="E1690" t="str">
        <x:v>Planning &amp; estimation / coordination complexity</x:v>
      </x:c>
      <x:c r="F1690" t="str">
        <x:v>Resource inefficiency (materials/labor/energy)</x:v>
      </x:c>
      <x:c r="G1690" t="str">
        <x:v>Planning &amp; estimation / coordination complexity, Resource inefficiency (materials/labor/energy), Unforeseen site/structural issues &amp; rework</x:v>
      </x:c>
      <x:c r="H1690" t="str">
        <x:v>Cost overrun mainly linked to resource inefficiency (materials/labor/energy); schedule overrun mainly linked to planning &amp; estimation / coordination complexity.</x:v>
      </x:c>
    </x:row>
    <x:row r="1691">
      <x:c r="A1691" t="str">
        <x:v>PJT_1690</x:v>
      </x:c>
      <x:c r="B1691" t="str">
        <x:v>Resource inefficiency (materials/labor/energy)</x:v>
      </x:c>
      <x:c r="C1691" t="str">
        <x:v>Equipment constraints / low availability</x:v>
      </x:c>
      <x:c r="D1691" t="str">
        <x:v>Resource inefficiency (materials/labor/energy), Equipment constraints / low availability, Material supply / logistics &amp; market disruption</x:v>
      </x:c>
      <x:c r="E1691" t="str">
        <x:v>Resource inefficiency (materials/labor/energy)</x:v>
      </x:c>
      <x:c r="F1691" t="str">
        <x:v>Equipment constraints / low availability</x:v>
      </x:c>
      <x:c r="G1691" t="str">
        <x:v>Resource inefficiency (materials/labor/energy), Equipment constraints / low availability, Material supply / logistics &amp; market disruption</x:v>
      </x:c>
      <x:c r="H1691" t="str">
        <x:v>Cost overrun mainly linked to resource inefficiency (materials/labor/energy); schedule overrun mainly linked to resource inefficiency (materials/labor/energy).</x:v>
      </x:c>
    </x:row>
    <x:row r="1692">
      <x:c r="A1692" t="str">
        <x:v>PJT_1691</x:v>
      </x:c>
      <x:c r="B1692" t="str">
        <x:v>Resource inefficiency (materials/labor/energy)</x:v>
      </x:c>
      <x:c r="C1692" t="str">
        <x:v>Material supply / logistics &amp; market disruption</x:v>
      </x:c>
      <x:c r="D1692" t="str">
        <x:v>Resource inefficiency (materials/labor/energy), Material supply / logistics &amp; market disruption, Planning &amp; estimation / coordination complexity</x:v>
      </x:c>
      <x:c r="E1692" t="str">
        <x:v>Resource inefficiency (materials/labor/energy)</x:v>
      </x:c>
      <x:c r="F1692" t="str">
        <x:v>Material supply / logistics &amp; market disruption</x:v>
      </x:c>
      <x:c r="G1692" t="str">
        <x:v>Resource inefficiency (materials/labor/energy), Material supply / logistics &amp; market disruption, Planning &amp; estimation / coordination complexity</x:v>
      </x:c>
      <x:c r="H1692" t="str">
        <x:v>Cost overrun mainly linked to resource inefficiency (materials/labor/energy); schedule overrun mainly linked to resource inefficiency (materials/labor/energy).</x:v>
      </x:c>
    </x:row>
    <x:row r="1693">
      <x:c r="A1693" t="str">
        <x:v>PJT_1692</x:v>
      </x:c>
      <x:c r="B1693" t="str">
        <x:v>Unforeseen site/structural issues &amp; rework</x:v>
      </x:c>
      <x:c r="C1693" t="str">
        <x:v>Weather disruption / environmental constraints</x:v>
      </x:c>
      <x:c r="D1693" t="str">
        <x:v>Unforeseen site/structural issues &amp; rework, Weather disruption / environmental constraints, Planning &amp; estimation / coordination complexity</x:v>
      </x:c>
      <x:c r="E1693" t="str">
        <x:v>Unforeseen site/structural issues &amp; rework</x:v>
      </x:c>
      <x:c r="F1693" t="str">
        <x:v>Weather disruption / environmental constraints</x:v>
      </x:c>
      <x:c r="G1693" t="str">
        <x:v>Unforeseen site/structural issues &amp; rework, Weather disruption / environmental constraints, Planning &amp; estimation / coordination complexity</x:v>
      </x:c>
      <x:c r="H1693" t="str">
        <x:v>Cost overrun mainly linked to unforeseen site/structural issues &amp; rework; schedule overrun mainly linked to unforeseen site/structural issues &amp; rework.</x:v>
      </x:c>
    </x:row>
    <x:row r="1694">
      <x:c r="A1694" t="str">
        <x:v>PJT_1693</x:v>
      </x:c>
      <x:c r="B1694" t="str">
        <x:v>Resource inefficiency (materials/labor/energy)</x:v>
      </x:c>
      <x:c r="C1694" t="str">
        <x:v>Material supply / logistics &amp; market disruption</x:v>
      </x:c>
      <x:c r="D1694" t="str">
        <x:v>Resource inefficiency (materials/labor/energy), Material supply / logistics &amp; market disruption, Equipment constraints / low availability</x:v>
      </x:c>
      <x:c r="E1694" t="str">
        <x:v>Resource inefficiency (materials/labor/energy)</x:v>
      </x:c>
      <x:c r="F1694" t="str">
        <x:v>Material supply / logistics &amp; market disruption</x:v>
      </x:c>
      <x:c r="G1694" t="str">
        <x:v>Resource inefficiency (materials/labor/energy), Material supply / logistics &amp; market disruption, Equipment constraints / low availability</x:v>
      </x:c>
      <x:c r="H1694" t="str">
        <x:v>Cost overrun mainly linked to resource inefficiency (materials/labor/energy); schedule overrun mainly linked to resource inefficiency (materials/labor/energy).</x:v>
      </x:c>
    </x:row>
    <x:row r="1695">
      <x:c r="A1695" t="str">
        <x:v>PJT_1694</x:v>
      </x:c>
      <x:c r="B1695" t="str">
        <x:v>Resource inefficiency (materials/labor/energy)</x:v>
      </x:c>
      <x:c r="C1695" t="str">
        <x:v>Material supply / logistics &amp; market disruption</x:v>
      </x:c>
      <x:c r="D1695" t="str">
        <x:v>Resource inefficiency (materials/labor/energy), Material supply / logistics &amp; market disruption, Equipment constraints / low availability</x:v>
      </x:c>
      <x:c r="E1695" t="str">
        <x:v>Resource inefficiency (materials/labor/energy)</x:v>
      </x:c>
      <x:c r="F1695" t="str">
        <x:v>Material supply / logistics &amp; market disruption</x:v>
      </x:c>
      <x:c r="G1695" t="str">
        <x:v>Resource inefficiency (materials/labor/energy), Material supply / logistics &amp; market disruption, Equipment constraints / low availability</x:v>
      </x:c>
      <x:c r="H1695" t="str">
        <x:v>Cost overrun mainly linked to resource inefficiency (materials/labor/energy); schedule overrun mainly linked to resource inefficiency (materials/labor/energy).</x:v>
      </x:c>
    </x:row>
    <x:row r="1696">
      <x:c r="A1696" t="str">
        <x:v>PJT_1695</x:v>
      </x:c>
      <x:c r="B1696" t="str">
        <x:v>Planning &amp; estimation / coordination complexity</x:v>
      </x:c>
      <x:c r="C1696" t="str">
        <x:v>Resource inefficiency (materials/labor/energy)</x:v>
      </x:c>
      <x:c r="D1696" t="str">
        <x:v>Planning &amp; estimation / coordination complexity, Resource inefficiency (materials/labor/energy), Unforeseen site/structural issues &amp; rework</x:v>
      </x:c>
      <x:c r="E1696" t="str">
        <x:v>Planning &amp; estimation / coordination complexity</x:v>
      </x:c>
      <x:c r="F1696" t="str">
        <x:v>Resource inefficiency (materials/labor/energy)</x:v>
      </x:c>
      <x:c r="G1696" t="str">
        <x:v>Planning &amp; estimation / coordination complexity, Resource inefficiency (materials/labor/energy), Unforeseen site/structural issues &amp; rework</x:v>
      </x:c>
      <x:c r="H1696" t="str">
        <x:v>Cost overrun mainly linked to planning &amp; estimation / coordination complexity; schedule overrun mainly linked to planning &amp; estimation / coordination complexity.</x:v>
      </x:c>
    </x:row>
    <x:row r="1697">
      <x:c r="A1697" t="str">
        <x:v>PJT_1696</x:v>
      </x:c>
      <x:c r="B1697" t="str">
        <x:v>Weather disruption / environmental constraints</x:v>
      </x:c>
      <x:c r="C1697" t="str">
        <x:v>Unforeseen site/structural issues &amp; rework</x:v>
      </x:c>
      <x:c r="D1697" t="str">
        <x:v>Weather disruption / environmental constraints, Unforeseen site/structural issues &amp; rework, Material supply / logistics &amp; market disruption</x:v>
      </x:c>
      <x:c r="E1697" t="str">
        <x:v>Weather disruption / environmental constraints</x:v>
      </x:c>
      <x:c r="F1697" t="str">
        <x:v>Unforeseen site/structural issues &amp; rework</x:v>
      </x:c>
      <x:c r="G1697" t="str">
        <x:v>Weather disruption / environmental constraints, Unforeseen site/structural issues &amp; rework, Material supply / logistics &amp; market disruption</x:v>
      </x:c>
      <x:c r="H1697" t="str">
        <x:v>Cost overrun mainly linked to weather disruption / environmental constraints; schedule overrun mainly linked to weather disruption / environmental constraints.</x:v>
      </x:c>
    </x:row>
    <x:row r="1698">
      <x:c r="A1698" t="str">
        <x:v>PJT_1697</x:v>
      </x:c>
      <x:c r="B1698" t="str">
        <x:v>Weather disruption / environmental constraints</x:v>
      </x:c>
      <x:c r="C1698" t="str">
        <x:v>Material supply / logistics &amp; market disruption</x:v>
      </x:c>
      <x:c r="D1698" t="str">
        <x:v>Weather disruption / environmental constraints, Material supply / logistics &amp; market disruption, Equipment constraints / low availability</x:v>
      </x:c>
      <x:c r="E1698" t="str">
        <x:v>Weather disruption / environmental constraints</x:v>
      </x:c>
      <x:c r="F1698" t="str">
        <x:v>Material supply / logistics &amp; market disruption</x:v>
      </x:c>
      <x:c r="G1698" t="str">
        <x:v>Weather disruption / environmental constraints, Material supply / logistics &amp; market disruption, Equipment constraints / low availability</x:v>
      </x:c>
      <x:c r="H1698" t="str">
        <x:v>Cost overrun mainly linked to weather disruption / environmental constraints; schedule overrun mainly linked to weather disruption / environmental constraints.</x:v>
      </x:c>
    </x:row>
    <x:row r="1699">
      <x:c r="A1699" t="str">
        <x:v>PJT_1698</x:v>
      </x:c>
      <x:c r="B1699" t="str">
        <x:v>Resource inefficiency (materials/labor/energy)</x:v>
      </x:c>
      <x:c r="C1699" t="str">
        <x:v>Planning &amp; estimation / coordination complexity</x:v>
      </x:c>
      <x:c r="D1699" t="str">
        <x:v>Resource inefficiency (materials/labor/energy), Planning &amp; estimation / coordination complexity, Material supply / logistics &amp; market disruption</x:v>
      </x:c>
      <x:c r="E1699" t="str">
        <x:v>Resource inefficiency (materials/labor/energy)</x:v>
      </x:c>
      <x:c r="F1699" t="str">
        <x:v>Planning &amp; estimation / coordination complexity</x:v>
      </x:c>
      <x:c r="G1699" t="str">
        <x:v>Resource inefficiency (materials/labor/energy), Planning &amp; estimation / coordination complexity, Unforeseen site/structural issues &amp; rework</x:v>
      </x:c>
      <x:c r="H1699" t="str">
        <x:v>Cost overrun mainly linked to resource inefficiency (materials/labor/energy); schedule overrun mainly linked to resource inefficiency (materials/labor/energy).</x:v>
      </x:c>
    </x:row>
    <x:row r="1700">
      <x:c r="A1700" t="str">
        <x:v>PJT_1699</x:v>
      </x:c>
      <x:c r="B1700" t="str">
        <x:v>Weather disruption / environmental constraints</x:v>
      </x:c>
      <x:c r="C1700" t="str">
        <x:v>Equipment constraints / low availability</x:v>
      </x:c>
      <x:c r="D1700" t="str">
        <x:v>Weather disruption / environmental constraints, Equipment constraints / low availability, Planning &amp; estimation / coordination complexity</x:v>
      </x:c>
      <x:c r="E1700" t="str">
        <x:v>Weather disruption / environmental constraints</x:v>
      </x:c>
      <x:c r="F1700" t="str">
        <x:v>Equipment constraints / low availability</x:v>
      </x:c>
      <x:c r="G1700" t="str">
        <x:v>Weather disruption / environmental constraints, Equipment constraints / low availability, Material supply / logistics &amp; market disruption</x:v>
      </x:c>
      <x:c r="H1700" t="str">
        <x:v>Cost overrun mainly linked to weather disruption / environmental constraints; schedule overrun mainly linked to weather disruption / environmental constraints.</x:v>
      </x:c>
    </x:row>
    <x:row r="1701">
      <x:c r="A1701" t="str">
        <x:v>PJT_1700</x:v>
      </x:c>
      <x:c r="B1701" t="str">
        <x:v>Unforeseen site/structural issues &amp; rework</x:v>
      </x:c>
      <x:c r="C1701" t="str">
        <x:v>Weather disruption / environmental constraints</x:v>
      </x:c>
      <x:c r="D1701" t="str">
        <x:v>Unforeseen site/structural issues &amp; rework, Weather disruption / environmental constraints, Planning &amp; estimation / coordination complexity</x:v>
      </x:c>
      <x:c r="E1701" t="str">
        <x:v>Unforeseen site/structural issues &amp; rework</x:v>
      </x:c>
      <x:c r="F1701" t="str">
        <x:v>Weather disruption / environmental constraints</x:v>
      </x:c>
      <x:c r="G1701" t="str">
        <x:v>Unforeseen site/structural issues &amp; rework, Weather disruption / environmental constraints, Planning &amp; estimation / coordination complexity</x:v>
      </x:c>
      <x:c r="H1701" t="str">
        <x:v>Cost overrun mainly linked to unforeseen site/structural issues &amp; rework; schedule overrun mainly linked to unforeseen site/structural issues &amp; rework.</x:v>
      </x:c>
    </x:row>
    <x:row r="1702">
      <x:c r="A1702" t="str">
        <x:v>PJT_1701</x:v>
      </x:c>
      <x:c r="B1702" t="str">
        <x:v>Unforeseen site/structural issues &amp; rework</x:v>
      </x:c>
      <x:c r="C1702" t="str">
        <x:v>Equipment constraints / low availability</x:v>
      </x:c>
      <x:c r="D1702" t="str">
        <x:v>Unforeseen site/structural issues &amp; rework, Equipment constraints / low availability, Planning &amp; estimation / coordination complexity</x:v>
      </x:c>
      <x:c r="E1702" t="str">
        <x:v>Unforeseen site/structural issues &amp; rework</x:v>
      </x:c>
      <x:c r="F1702" t="str">
        <x:v>Planning &amp; estimation / coordination complexity</x:v>
      </x:c>
      <x:c r="G1702" t="str">
        <x:v>Unforeseen site/structural issues &amp; rework, Planning &amp; estimation / coordination complexity, Equipment constraints / low availability</x:v>
      </x:c>
      <x:c r="H1702" t="str">
        <x:v>Cost overrun mainly linked to unforeseen site/structural issues &amp; rework; schedule overrun mainly linked to unforeseen site/structural issues &amp; rework.</x:v>
      </x:c>
    </x:row>
    <x:row r="1703">
      <x:c r="A1703" t="str">
        <x:v>PJT_1702</x:v>
      </x:c>
      <x:c r="B1703" t="str">
        <x:v>Resource inefficiency (materials/labor/energy)</x:v>
      </x:c>
      <x:c r="C1703" t="str">
        <x:v>Planning &amp; estimation / coordination complexity</x:v>
      </x:c>
      <x:c r="D1703" t="str">
        <x:v>Resource inefficiency (materials/labor/energy), Planning &amp; estimation / coordination complexity, Equipment constraints / low availability</x:v>
      </x:c>
      <x:c r="E1703" t="str">
        <x:v>Resource inefficiency (materials/labor/energy)</x:v>
      </x:c>
      <x:c r="F1703" t="str">
        <x:v>Planning &amp; estimation / coordination complexity</x:v>
      </x:c>
      <x:c r="G1703" t="str">
        <x:v>Resource inefficiency (materials/labor/energy), Planning &amp; estimation / coordination complexity, Equipment constraints / low availability</x:v>
      </x:c>
      <x:c r="H1703" t="str">
        <x:v>Cost overrun mainly linked to resource inefficiency (materials/labor/energy); schedule overrun mainly linked to resource inefficiency (materials/labor/energy).</x:v>
      </x:c>
    </x:row>
    <x:row r="1704">
      <x:c r="A1704" t="str">
        <x:v>PJT_1703</x:v>
      </x:c>
      <x:c r="B1704" t="str">
        <x:v>Unforeseen site/structural issues &amp; rework</x:v>
      </x:c>
      <x:c r="C1704" t="str">
        <x:v>Equipment constraints / low availability</x:v>
      </x:c>
      <x:c r="D1704" t="str">
        <x:v>Unforeseen site/structural issues &amp; rework, Equipment constraints / low availability, Planning &amp; estimation / coordination complexity</x:v>
      </x:c>
      <x:c r="E1704" t="str">
        <x:v>Unforeseen site/structural issues &amp; rework</x:v>
      </x:c>
      <x:c r="F1704" t="str">
        <x:v>Equipment constraints / low availability</x:v>
      </x:c>
      <x:c r="G1704" t="str">
        <x:v>Unforeseen site/structural issues &amp; rework, Equipment constraints / low availability, Planning &amp; estimation / coordination complexity</x:v>
      </x:c>
      <x:c r="H1704" t="str">
        <x:v>Cost overrun mainly linked to unforeseen site/structural issues &amp; rework; schedule overrun mainly linked to unforeseen site/structural issues &amp; rework.</x:v>
      </x:c>
    </x:row>
    <x:row r="1705">
      <x:c r="A1705" t="str">
        <x:v>PJT_1704</x:v>
      </x:c>
      <x:c r="B1705" t="str">
        <x:v>Resource inefficiency (materials/labor/energy)</x:v>
      </x:c>
      <x:c r="C1705" t="str">
        <x:v>Planning &amp; estimation / coordination complexity</x:v>
      </x:c>
      <x:c r="D1705" t="str">
        <x:v>Resource inefficiency (materials/labor/energy), Planning &amp; estimation / coordination complexity, Equipment constraints / low availability</x:v>
      </x:c>
      <x:c r="E1705" t="str">
        <x:v>Resource inefficiency (materials/labor/energy)</x:v>
      </x:c>
      <x:c r="F1705" t="str">
        <x:v>Planning &amp; estimation / coordination complexity</x:v>
      </x:c>
      <x:c r="G1705" t="str">
        <x:v>Resource inefficiency (materials/labor/energy), Planning &amp; estimation / coordination complexity, Equipment constraints / low availability</x:v>
      </x:c>
      <x:c r="H1705" t="str">
        <x:v>Cost overrun mainly linked to resource inefficiency (materials/labor/energy); schedule overrun mainly linked to resource inefficiency (materials/labor/energy).</x:v>
      </x:c>
    </x:row>
    <x:row r="1706">
      <x:c r="A1706" t="str">
        <x:v>PJT_1705</x:v>
      </x:c>
      <x:c r="B1706" t="str">
        <x:v>Planning &amp; estimation / coordination complexity</x:v>
      </x:c>
      <x:c r="C1706" t="str">
        <x:v>Resource inefficiency (materials/labor/energy)</x:v>
      </x:c>
      <x:c r="D1706" t="str">
        <x:v>Planning &amp; estimation / coordination complexity, Resource inefficiency (materials/labor/energy), Unforeseen site/structural issues &amp; rework</x:v>
      </x:c>
      <x:c r="E1706" t="str">
        <x:v>Planning &amp; estimation / coordination complexity</x:v>
      </x:c>
      <x:c r="F1706" t="str">
        <x:v>Unforeseen site/structural issues &amp; rework</x:v>
      </x:c>
      <x:c r="G1706" t="str">
        <x:v>Planning &amp; estimation / coordination complexity, Unforeseen site/structural issues &amp; rework, Resource inefficiency (materials/labor/energy)</x:v>
      </x:c>
      <x:c r="H1706" t="str">
        <x:v>Cost overrun mainly linked to planning &amp; estimation / coordination complexity; schedule overrun mainly linked to planning &amp; estimation / coordination complexity.</x:v>
      </x:c>
    </x:row>
    <x:row r="1707">
      <x:c r="A1707" t="str">
        <x:v>PJT_1706</x:v>
      </x:c>
      <x:c r="B1707" t="str">
        <x:v>Weather disruption / environmental constraints</x:v>
      </x:c>
      <x:c r="C1707" t="str">
        <x:v>Material supply / logistics &amp; market disruption</x:v>
      </x:c>
      <x:c r="D1707" t="str">
        <x:v>Weather disruption / environmental constraints, Material supply / logistics &amp; market disruption, Resource inefficiency (materials/labor/energy)</x:v>
      </x:c>
      <x:c r="E1707" t="str">
        <x:v>Weather disruption / environmental constraints</x:v>
      </x:c>
      <x:c r="F1707" t="str">
        <x:v>Material supply / logistics &amp; market disruption</x:v>
      </x:c>
      <x:c r="G1707" t="str">
        <x:v>Weather disruption / environmental constraints, Material supply / logistics &amp; market disruption, Resource inefficiency (materials/labor/energy)</x:v>
      </x:c>
      <x:c r="H1707" t="str">
        <x:v>Cost overrun mainly linked to weather disruption / environmental constraints; schedule overrun mainly linked to weather disruption / environmental constraints.</x:v>
      </x:c>
    </x:row>
    <x:row r="1708">
      <x:c r="A1708" t="str">
        <x:v>PJT_1707</x:v>
      </x:c>
      <x:c r="B1708" t="str">
        <x:v>Planning &amp; estimation / coordination complexity</x:v>
      </x:c>
      <x:c r="C1708" t="str">
        <x:v>Equipment constraints / low availability</x:v>
      </x:c>
      <x:c r="D1708" t="str">
        <x:v>Planning &amp; estimation / coordination complexity, Equipment constraints / low availability, Unforeseen site/structural issues &amp; rework</x:v>
      </x:c>
      <x:c r="E1708" t="str">
        <x:v>Planning &amp; estimation / coordination complexity</x:v>
      </x:c>
      <x:c r="F1708" t="str">
        <x:v>Equipment constraints / low availability</x:v>
      </x:c>
      <x:c r="G1708" t="str">
        <x:v>Planning &amp; estimation / coordination complexity, Equipment constraints / low availability, Unforeseen site/structural issues &amp; rework</x:v>
      </x:c>
      <x:c r="H1708" t="str">
        <x:v>Cost overrun mainly linked to planning &amp; estimation / coordination complexity; schedule overrun mainly linked to planning &amp; estimation / coordination complexity.</x:v>
      </x:c>
    </x:row>
    <x:row r="1709">
      <x:c r="A1709" t="str">
        <x:v>PJT_1708</x:v>
      </x:c>
      <x:c r="B1709" t="str">
        <x:v>Unforeseen site/structural issues &amp; rework</x:v>
      </x:c>
      <x:c r="C1709" t="str">
        <x:v>Resource inefficiency (materials/labor/energy)</x:v>
      </x:c>
      <x:c r="D1709" t="str">
        <x:v>Unforeseen site/structural issues &amp; rework, Resource inefficiency (materials/labor/energy), Equipment constraints / low availability</x:v>
      </x:c>
      <x:c r="E1709" t="str">
        <x:v>Unforeseen site/structural issues &amp; rework</x:v>
      </x:c>
      <x:c r="F1709" t="str">
        <x:v>Resource inefficiency (materials/labor/energy)</x:v>
      </x:c>
      <x:c r="G1709" t="str">
        <x:v>Unforeseen site/structural issues &amp; rework, Resource inefficiency (materials/labor/energy), Equipment constraints / low availability</x:v>
      </x:c>
      <x:c r="H1709" t="str">
        <x:v>Cost overrun mainly linked to unforeseen site/structural issues &amp; rework; schedule overrun mainly linked to unforeseen site/structural issues &amp; rework.</x:v>
      </x:c>
    </x:row>
    <x:row r="1710">
      <x:c r="A1710" t="str">
        <x:v>PJT_1709</x:v>
      </x:c>
      <x:c r="B1710" t="str">
        <x:v>Unforeseen site/structural issues &amp; rework</x:v>
      </x:c>
      <x:c r="C1710" t="str">
        <x:v>Resource inefficiency (materials/labor/energy)</x:v>
      </x:c>
      <x:c r="D1710" t="str">
        <x:v>Unforeseen site/structural issues &amp; rework, Resource inefficiency (materials/labor/energy), Planning &amp; estimation / coordination complexity</x:v>
      </x:c>
      <x:c r="E1710" t="str">
        <x:v>Unforeseen site/structural issues &amp; rework</x:v>
      </x:c>
      <x:c r="F1710" t="str">
        <x:v>Planning &amp; estimation / coordination complexity</x:v>
      </x:c>
      <x:c r="G1710" t="str">
        <x:v>Unforeseen site/structural issues &amp; rework, Planning &amp; estimation / coordination complexity, Resource inefficiency (materials/labor/energy)</x:v>
      </x:c>
      <x:c r="H1710" t="str">
        <x:v>Cost overrun mainly linked to unforeseen site/structural issues &amp; rework; schedule overrun mainly linked to unforeseen site/structural issues &amp; rework.</x:v>
      </x:c>
    </x:row>
    <x:row r="1711">
      <x:c r="A1711" t="str">
        <x:v>PJT_1710</x:v>
      </x:c>
      <x:c r="B1711" t="str">
        <x:v>Resource inefficiency (materials/labor/energy)</x:v>
      </x:c>
      <x:c r="C1711" t="str">
        <x:v>Material supply / logistics &amp; market disruption</x:v>
      </x:c>
      <x:c r="D1711" t="str">
        <x:v>Resource inefficiency (materials/labor/energy), Material supply / logistics &amp; market disruption, Planning &amp; estimation / coordination complexity</x:v>
      </x:c>
      <x:c r="E1711" t="str">
        <x:v>Resource inefficiency (materials/labor/energy)</x:v>
      </x:c>
      <x:c r="F1711" t="str">
        <x:v>Material supply / logistics &amp; market disruption</x:v>
      </x:c>
      <x:c r="G1711" t="str">
        <x:v>Resource inefficiency (materials/labor/energy), Material supply / logistics &amp; market disruption, Planning &amp; estimation / coordination complexity</x:v>
      </x:c>
      <x:c r="H1711" t="str">
        <x:v>Cost overrun mainly linked to resource inefficiency (materials/labor/energy); schedule overrun mainly linked to resource inefficiency (materials/labor/energy).</x:v>
      </x:c>
    </x:row>
    <x:row r="1712">
      <x:c r="A1712" t="str">
        <x:v>PJT_1711</x:v>
      </x:c>
      <x:c r="B1712" t="str">
        <x:v>Resource inefficiency (materials/labor/energy)</x:v>
      </x:c>
      <x:c r="C1712" t="str">
        <x:v>Material supply / logistics &amp; market disruption</x:v>
      </x:c>
      <x:c r="D1712" t="str">
        <x:v>Resource inefficiency (materials/labor/energy), Material supply / logistics &amp; market disruption, Planning &amp; estimation / coordination complexity</x:v>
      </x:c>
      <x:c r="E1712" t="str">
        <x:v>Resource inefficiency (materials/labor/energy)</x:v>
      </x:c>
      <x:c r="F1712" t="str">
        <x:v>Planning &amp; estimation / coordination complexity</x:v>
      </x:c>
      <x:c r="G1712" t="str">
        <x:v>Resource inefficiency (materials/labor/energy), Planning &amp; estimation / coordination complexity, Material supply / logistics &amp; market disruption</x:v>
      </x:c>
      <x:c r="H1712" t="str">
        <x:v>Cost overrun mainly linked to resource inefficiency (materials/labor/energy); schedule overrun mainly linked to resource inefficiency (materials/labor/energy).</x:v>
      </x:c>
    </x:row>
    <x:row r="1713">
      <x:c r="A1713" t="str">
        <x:v>PJT_1712</x:v>
      </x:c>
      <x:c r="B1713" t="str">
        <x:v>Equipment constraints / low availability</x:v>
      </x:c>
      <x:c r="C1713" t="str">
        <x:v>Resource inefficiency (materials/labor/energy)</x:v>
      </x:c>
      <x:c r="D1713" t="str">
        <x:v>Equipment constraints / low availability, Resource inefficiency (materials/labor/energy), Material supply / logistics &amp; market disruption</x:v>
      </x:c>
      <x:c r="E1713" t="str">
        <x:v>Equipment constraints / low availability</x:v>
      </x:c>
      <x:c r="F1713" t="str">
        <x:v>Resource inefficiency (materials/labor/energy)</x:v>
      </x:c>
      <x:c r="G1713" t="str">
        <x:v>Equipment constraints / low availability, Resource inefficiency (materials/labor/energy), Material supply / logistics &amp; market disruption</x:v>
      </x:c>
      <x:c r="H1713" t="str">
        <x:v>Cost overrun mainly linked to equipment constraints / low availability; schedule overrun mainly linked to equipment constraints / low availability.</x:v>
      </x:c>
    </x:row>
    <x:row r="1714">
      <x:c r="A1714" t="str">
        <x:v>PJT_1713</x:v>
      </x:c>
      <x:c r="B1714" t="str">
        <x:v>Resource inefficiency (materials/labor/energy)</x:v>
      </x:c>
      <x:c r="C1714" t="str">
        <x:v>Unforeseen site/structural issues &amp; rework</x:v>
      </x:c>
      <x:c r="D1714" t="str">
        <x:v>Resource inefficiency (materials/labor/energy), Unforeseen site/structural issues &amp; rework, Planning &amp; estimation / coordination complexity</x:v>
      </x:c>
      <x:c r="E1714" t="str">
        <x:v>Unforeseen site/structural issues &amp; rework</x:v>
      </x:c>
      <x:c r="F1714" t="str">
        <x:v>Resource inefficiency (materials/labor/energy)</x:v>
      </x:c>
      <x:c r="G1714" t="str">
        <x:v>Unforeseen site/structural issues &amp; rework, Resource inefficiency (materials/labor/energy), Planning &amp; estimation / coordination complexity</x:v>
      </x:c>
      <x:c r="H1714" t="str">
        <x:v>Cost overrun mainly linked to resource inefficiency (materials/labor/energy); schedule overrun mainly linked to unforeseen site/structural issues &amp; rework.</x:v>
      </x:c>
    </x:row>
    <x:row r="1715">
      <x:c r="A1715" t="str">
        <x:v>PJT_1714</x:v>
      </x:c>
      <x:c r="B1715" t="str">
        <x:v>Resource inefficiency (materials/labor/energy)</x:v>
      </x:c>
      <x:c r="C1715" t="str">
        <x:v>Planning &amp; estimation / coordination complexity</x:v>
      </x:c>
      <x:c r="D1715" t="str">
        <x:v>Resource inefficiency (materials/labor/energy), Planning &amp; estimation / coordination complexity, Equipment constraints / low availability</x:v>
      </x:c>
      <x:c r="E1715" t="str">
        <x:v>Planning &amp; estimation / coordination complexity</x:v>
      </x:c>
      <x:c r="F1715" t="str">
        <x:v>Resource inefficiency (materials/labor/energy)</x:v>
      </x:c>
      <x:c r="G1715" t="str">
        <x:v>Planning &amp; estimation / coordination complexity, Resource inefficiency (materials/labor/energy), Equipment constraints / low availability</x:v>
      </x:c>
      <x:c r="H1715" t="str">
        <x:v>Cost overrun mainly linked to resource inefficiency (materials/labor/energy); schedule overrun mainly linked to planning &amp; estimation / coordination complexity.</x:v>
      </x:c>
    </x:row>
    <x:row r="1716">
      <x:c r="A1716" t="str">
        <x:v>PJT_1715</x:v>
      </x:c>
      <x:c r="B1716" t="str">
        <x:v>Weather disruption / environmental constraints</x:v>
      </x:c>
      <x:c r="C1716" t="str">
        <x:v>Unforeseen site/structural issues &amp; rework</x:v>
      </x:c>
      <x:c r="D1716" t="str">
        <x:v>Weather disruption / environmental constraints, Unforeseen site/structural issues &amp; rework, Planning &amp; estimation / coordination complexity</x:v>
      </x:c>
      <x:c r="E1716" t="str">
        <x:v>Weather disruption / environmental constraints</x:v>
      </x:c>
      <x:c r="F1716" t="str">
        <x:v>Unforeseen site/structural issues &amp; rework</x:v>
      </x:c>
      <x:c r="G1716" t="str">
        <x:v>Weather disruption / environmental constraints, Unforeseen site/structural issues &amp; rework, Planning &amp; estimation / coordination complexity</x:v>
      </x:c>
      <x:c r="H1716" t="str">
        <x:v>Cost overrun mainly linked to weather disruption / environmental constraints; schedule overrun mainly linked to weather disruption / environmental constraints.</x:v>
      </x:c>
    </x:row>
    <x:row r="1717">
      <x:c r="A1717" t="str">
        <x:v>PJT_1716</x:v>
      </x:c>
      <x:c r="B1717" t="str">
        <x:v>Material supply / logistics &amp; market disruption</x:v>
      </x:c>
      <x:c r="C1717" t="str">
        <x:v>Resource inefficiency (materials/labor/energy)</x:v>
      </x:c>
      <x:c r="D1717" t="str">
        <x:v>Material supply / logistics &amp; market disruption, Resource inefficiency (materials/labor/energy), Weather disruption / environmental constraints</x:v>
      </x:c>
      <x:c r="E1717" t="str">
        <x:v>Material supply / logistics &amp; market disruption</x:v>
      </x:c>
      <x:c r="F1717" t="str">
        <x:v>Resource inefficiency (materials/labor/energy)</x:v>
      </x:c>
      <x:c r="G1717" t="str">
        <x:v>Material supply / logistics &amp; market disruption, Resource inefficiency (materials/labor/energy), Weather disruption / environmental constraints</x:v>
      </x:c>
      <x:c r="H1717" t="str">
        <x:v>Cost overrun mainly linked to material supply / logistics &amp; market disruption; schedule overrun mainly linked to material supply / logistics &amp; market disruption.</x:v>
      </x:c>
    </x:row>
    <x:row r="1718">
      <x:c r="A1718" t="str">
        <x:v>PJT_1717</x:v>
      </x:c>
      <x:c r="B1718" t="str">
        <x:v>Resource inefficiency (materials/labor/energy)</x:v>
      </x:c>
      <x:c r="C1718" t="str">
        <x:v>Unforeseen site/structural issues &amp; rework</x:v>
      </x:c>
      <x:c r="D1718" t="str">
        <x:v>Resource inefficiency (materials/labor/energy), Unforeseen site/structural issues &amp; rework, Material supply / logistics &amp; market disruption</x:v>
      </x:c>
      <x:c r="E1718" t="str">
        <x:v>Resource inefficiency (materials/labor/energy)</x:v>
      </x:c>
      <x:c r="F1718" t="str">
        <x:v>Unforeseen site/structural issues &amp; rework</x:v>
      </x:c>
      <x:c r="G1718" t="str">
        <x:v>Resource inefficiency (materials/labor/energy), Unforeseen site/structural issues &amp; rework, Planning &amp; estimation / coordination complexity</x:v>
      </x:c>
      <x:c r="H1718" t="str">
        <x:v>Cost overrun mainly linked to resource inefficiency (materials/labor/energy); schedule overrun mainly linked to resource inefficiency (materials/labor/energy).</x:v>
      </x:c>
    </x:row>
    <x:row r="1719">
      <x:c r="A1719" t="str">
        <x:v>PJT_1718</x:v>
      </x:c>
      <x:c r="B1719" t="str">
        <x:v>Planning &amp; estimation / coordination complexity</x:v>
      </x:c>
      <x:c r="C1719" t="str">
        <x:v>Resource inefficiency (materials/labor/energy)</x:v>
      </x:c>
      <x:c r="D1719" t="str">
        <x:v>Planning &amp; estimation / coordination complexity, Resource inefficiency (materials/labor/energy), Equipment constraints / low availability</x:v>
      </x:c>
      <x:c r="E1719" t="str">
        <x:v>Planning &amp; estimation / coordination complexity</x:v>
      </x:c>
      <x:c r="F1719" t="str">
        <x:v>Resource inefficiency (materials/labor/energy)</x:v>
      </x:c>
      <x:c r="G1719" t="str">
        <x:v>Planning &amp; estimation / coordination complexity, Resource inefficiency (materials/labor/energy), Equipment constraints / low availability</x:v>
      </x:c>
      <x:c r="H1719" t="str">
        <x:v>Cost overrun mainly linked to planning &amp; estimation / coordination complexity; schedule overrun mainly linked to planning &amp; estimation / coordination complexity.</x:v>
      </x:c>
    </x:row>
    <x:row r="1720">
      <x:c r="A1720" t="str">
        <x:v>PJT_1719</x:v>
      </x:c>
      <x:c r="B1720" t="str">
        <x:v>Unforeseen site/structural issues &amp; rework</x:v>
      </x:c>
      <x:c r="C1720" t="str">
        <x:v>Planning &amp; estimation / coordination complexity</x:v>
      </x:c>
      <x:c r="D1720" t="str">
        <x:v>Unforeseen site/structural issues &amp; rework, Planning &amp; estimation / coordination complexity, Resource inefficiency (materials/labor/energy)</x:v>
      </x:c>
      <x:c r="E1720" t="str">
        <x:v>Unforeseen site/structural issues &amp; rework</x:v>
      </x:c>
      <x:c r="F1720" t="str">
        <x:v>Planning &amp; estimation / coordination complexity</x:v>
      </x:c>
      <x:c r="G1720" t="str">
        <x:v>Unforeseen site/structural issues &amp; rework, Planning &amp; estimation / coordination complexity, Resource inefficiency (materials/labor/energy)</x:v>
      </x:c>
      <x:c r="H1720" t="str">
        <x:v>Cost overrun mainly linked to unforeseen site/structural issues &amp; rework; schedule overrun mainly linked to unforeseen site/structural issues &amp; rework.</x:v>
      </x:c>
    </x:row>
    <x:row r="1721">
      <x:c r="A1721" t="str">
        <x:v>PJT_1720</x:v>
      </x:c>
      <x:c r="B1721" t="str">
        <x:v>Planning &amp; estimation / coordination complexity</x:v>
      </x:c>
      <x:c r="C1721" t="str">
        <x:v>Material supply / logistics &amp; market disruption</x:v>
      </x:c>
      <x:c r="D1721" t="str">
        <x:v>Planning &amp; estimation / coordination complexity, Material supply / logistics &amp; market disruption, Resource inefficiency (materials/labor/energy)</x:v>
      </x:c>
      <x:c r="E1721" t="str">
        <x:v>Planning &amp; estimation / coordination complexity</x:v>
      </x:c>
      <x:c r="F1721" t="str">
        <x:v>Unforeseen site/structural issues &amp; rework</x:v>
      </x:c>
      <x:c r="G1721" t="str">
        <x:v>Planning &amp; estimation / coordination complexity, Unforeseen site/structural issues &amp; rework, Material supply / logistics &amp; market disruption</x:v>
      </x:c>
      <x:c r="H1721" t="str">
        <x:v>Cost overrun mainly linked to planning &amp; estimation / coordination complexity; schedule overrun mainly linked to planning &amp; estimation / coordination complexity.</x:v>
      </x:c>
    </x:row>
    <x:row r="1722">
      <x:c r="A1722" t="str">
        <x:v>PJT_1721</x:v>
      </x:c>
      <x:c r="B1722" t="str">
        <x:v>Unforeseen site/structural issues &amp; rework</x:v>
      </x:c>
      <x:c r="C1722" t="str">
        <x:v>Resource inefficiency (materials/labor/energy)</x:v>
      </x:c>
      <x:c r="D1722" t="str">
        <x:v>Unforeseen site/structural issues &amp; rework, Resource inefficiency (materials/labor/energy), Planning &amp; estimation / coordination complexity</x:v>
      </x:c>
      <x:c r="E1722" t="str">
        <x:v>Unforeseen site/structural issues &amp; rework</x:v>
      </x:c>
      <x:c r="F1722" t="str">
        <x:v>Resource inefficiency (materials/labor/energy)</x:v>
      </x:c>
      <x:c r="G1722" t="str">
        <x:v>Unforeseen site/structural issues &amp; rework, Resource inefficiency (materials/labor/energy), Planning &amp; estimation / coordination complexity</x:v>
      </x:c>
      <x:c r="H1722" t="str">
        <x:v>Cost overrun mainly linked to unforeseen site/structural issues &amp; rework; schedule overrun mainly linked to unforeseen site/structural issues &amp; rework.</x:v>
      </x:c>
    </x:row>
    <x:row r="1723">
      <x:c r="A1723" t="str">
        <x:v>PJT_1722</x:v>
      </x:c>
      <x:c r="B1723" t="str">
        <x:v>Planning &amp; estimation / coordination complexity</x:v>
      </x:c>
      <x:c r="C1723" t="str">
        <x:v>Unforeseen site/structural issues &amp; rework</x:v>
      </x:c>
      <x:c r="D1723" t="str">
        <x:v>Planning &amp; estimation / coordination complexity, Unforeseen site/structural issues &amp; rework, Resource inefficiency (materials/labor/energy)</x:v>
      </x:c>
      <x:c r="E1723" t="str">
        <x:v>Planning &amp; estimation / coordination complexity</x:v>
      </x:c>
      <x:c r="F1723" t="str">
        <x:v>Unforeseen site/structural issues &amp; rework</x:v>
      </x:c>
      <x:c r="G1723" t="str">
        <x:v>Planning &amp; estimation / coordination complexity, Unforeseen site/structural issues &amp; rework, Resource inefficiency (materials/labor/energy)</x:v>
      </x:c>
      <x:c r="H1723" t="str">
        <x:v>Cost overrun mainly linked to planning &amp; estimation / coordination complexity; schedule overrun mainly linked to planning &amp; estimation / coordination complexity.</x:v>
      </x:c>
    </x:row>
    <x:row r="1724">
      <x:c r="A1724" t="str">
        <x:v>PJT_1723</x:v>
      </x:c>
      <x:c r="B1724" t="str">
        <x:v>Planning &amp; estimation / coordination complexity</x:v>
      </x:c>
      <x:c r="C1724" t="str">
        <x:v>Unforeseen site/structural issues &amp; rework</x:v>
      </x:c>
      <x:c r="D1724" t="str">
        <x:v>Planning &amp; estimation / coordination complexity, Unforeseen site/structural issues &amp; rework, Equipment constraints / low availability</x:v>
      </x:c>
      <x:c r="E1724" t="str">
        <x:v>Planning &amp; estimation / coordination complexity</x:v>
      </x:c>
      <x:c r="F1724" t="str">
        <x:v>Unforeseen site/structural issues &amp; rework</x:v>
      </x:c>
      <x:c r="G1724" t="str">
        <x:v>Planning &amp; estimation / coordination complexity, Unforeseen site/structural issues &amp; rework, Equipment constraints / low availability</x:v>
      </x:c>
      <x:c r="H1724" t="str">
        <x:v>Cost overrun mainly linked to planning &amp; estimation / coordination complexity; schedule overrun mainly linked to planning &amp; estimation / coordination complexity.</x:v>
      </x:c>
    </x:row>
    <x:row r="1725">
      <x:c r="A1725" t="str">
        <x:v>PJT_1724</x:v>
      </x:c>
      <x:c r="B1725" t="str">
        <x:v>Unforeseen site/structural issues &amp; rework</x:v>
      </x:c>
      <x:c r="C1725" t="str">
        <x:v>Weather disruption / environmental constraints</x:v>
      </x:c>
      <x:c r="D1725" t="str">
        <x:v>Unforeseen site/structural issues &amp; rework, Weather disruption / environmental constraints, Resource inefficiency (materials/labor/energy)</x:v>
      </x:c>
      <x:c r="E1725" t="str">
        <x:v>Unforeseen site/structural issues &amp; rework</x:v>
      </x:c>
      <x:c r="F1725" t="str">
        <x:v>Resource inefficiency (materials/labor/energy)</x:v>
      </x:c>
      <x:c r="G1725" t="str">
        <x:v>Unforeseen site/structural issues &amp; rework, Resource inefficiency (materials/labor/energy), Weather disruption / environmental constraints</x:v>
      </x:c>
      <x:c r="H1725" t="str">
        <x:v>Cost overrun mainly linked to unforeseen site/structural issues &amp; rework; schedule overrun mainly linked to unforeseen site/structural issues &amp; rework.</x:v>
      </x:c>
    </x:row>
    <x:row r="1726">
      <x:c r="A1726" t="str">
        <x:v>PJT_1725</x:v>
      </x:c>
      <x:c r="B1726" t="str">
        <x:v>Resource inefficiency (materials/labor/energy)</x:v>
      </x:c>
      <x:c r="C1726" t="str">
        <x:v>Material supply / logistics &amp; market disruption</x:v>
      </x:c>
      <x:c r="D1726" t="str">
        <x:v>Resource inefficiency (materials/labor/energy), Material supply / logistics &amp; market disruption, Planning &amp; estimation / coordination complexity</x:v>
      </x:c>
      <x:c r="E1726" t="str">
        <x:v>Resource inefficiency (materials/labor/energy)</x:v>
      </x:c>
      <x:c r="F1726" t="str">
        <x:v>Planning &amp; estimation / coordination complexity</x:v>
      </x:c>
      <x:c r="G1726" t="str">
        <x:v>Resource inefficiency (materials/labor/energy), Planning &amp; estimation / coordination complexity, Material supply / logistics &amp; market disruption</x:v>
      </x:c>
      <x:c r="H1726" t="str">
        <x:v>Cost overrun mainly linked to resource inefficiency (materials/labor/energy); schedule overrun mainly linked to resource inefficiency (materials/labor/energy).</x:v>
      </x:c>
    </x:row>
    <x:row r="1727">
      <x:c r="A1727" t="str">
        <x:v>PJT_1726</x:v>
      </x:c>
      <x:c r="B1727" t="str">
        <x:v>Equipment constraints / low availability</x:v>
      </x:c>
      <x:c r="C1727" t="str">
        <x:v>Resource inefficiency (materials/labor/energy)</x:v>
      </x:c>
      <x:c r="D1727" t="str">
        <x:v>Equipment constraints / low availability, Resource inefficiency (materials/labor/energy), Planning &amp; estimation / coordination complexity</x:v>
      </x:c>
      <x:c r="E1727" t="str">
        <x:v>Equipment constraints / low availability</x:v>
      </x:c>
      <x:c r="F1727" t="str">
        <x:v>Resource inefficiency (materials/labor/energy)</x:v>
      </x:c>
      <x:c r="G1727" t="str">
        <x:v>Equipment constraints / low availability, Resource inefficiency (materials/labor/energy), Planning &amp; estimation / coordination complexity</x:v>
      </x:c>
      <x:c r="H1727" t="str">
        <x:v>Cost overrun mainly linked to equipment constraints / low availability; schedule overrun mainly linked to equipment constraints / low availability.</x:v>
      </x:c>
    </x:row>
    <x:row r="1728">
      <x:c r="A1728" t="str">
        <x:v>PJT_1727</x:v>
      </x:c>
      <x:c r="B1728" t="str">
        <x:v>Unforeseen site/structural issues &amp; rework</x:v>
      </x:c>
      <x:c r="C1728" t="str">
        <x:v>Planning &amp; estimation / coordination complexity</x:v>
      </x:c>
      <x:c r="D1728" t="str">
        <x:v>Unforeseen site/structural issues &amp; rework, Planning &amp; estimation / coordination complexity, Equipment constraints / low availability</x:v>
      </x:c>
      <x:c r="E1728" t="str">
        <x:v>Unforeseen site/structural issues &amp; rework</x:v>
      </x:c>
      <x:c r="F1728" t="str">
        <x:v>Planning &amp; estimation / coordination complexity</x:v>
      </x:c>
      <x:c r="G1728" t="str">
        <x:v>Unforeseen site/structural issues &amp; rework, Planning &amp; estimation / coordination complexity, Equipment constraints / low availability</x:v>
      </x:c>
      <x:c r="H1728" t="str">
        <x:v>Cost overrun mainly linked to unforeseen site/structural issues &amp; rework; schedule overrun mainly linked to unforeseen site/structural issues &amp; rework.</x:v>
      </x:c>
    </x:row>
    <x:row r="1729">
      <x:c r="A1729" t="str">
        <x:v>PJT_1728</x:v>
      </x:c>
      <x:c r="B1729" t="str">
        <x:v>Weather disruption / environmental constraints</x:v>
      </x:c>
      <x:c r="C1729" t="str">
        <x:v>Unforeseen site/structural issues &amp; rework</x:v>
      </x:c>
      <x:c r="D1729" t="str">
        <x:v>Weather disruption / environmental constraints, Unforeseen site/structural issues &amp; rework, Equipment constraints / low availability</x:v>
      </x:c>
      <x:c r="E1729" t="str">
        <x:v>Weather disruption / environmental constraints</x:v>
      </x:c>
      <x:c r="F1729" t="str">
        <x:v>Unforeseen site/structural issues &amp; rework</x:v>
      </x:c>
      <x:c r="G1729" t="str">
        <x:v>Weather disruption / environmental constraints, Unforeseen site/structural issues &amp; rework, Material supply / logistics &amp; market disruption</x:v>
      </x:c>
      <x:c r="H1729" t="str">
        <x:v>Cost overrun mainly linked to weather disruption / environmental constraints; schedule overrun mainly linked to weather disruption / environmental constraints.</x:v>
      </x:c>
    </x:row>
    <x:row r="1730">
      <x:c r="A1730" t="str">
        <x:v>PJT_1729</x:v>
      </x:c>
      <x:c r="B1730" t="str">
        <x:v>Equipment constraints / low availability</x:v>
      </x:c>
      <x:c r="C1730" t="str">
        <x:v>Weather disruption / environmental constraints</x:v>
      </x:c>
      <x:c r="D1730" t="str">
        <x:v>Equipment constraints / low availability, Weather disruption / environmental constraints, Material supply / logistics &amp; market disruption</x:v>
      </x:c>
      <x:c r="E1730" t="str">
        <x:v>Equipment constraints / low availability</x:v>
      </x:c>
      <x:c r="F1730" t="str">
        <x:v>Weather disruption / environmental constraints</x:v>
      </x:c>
      <x:c r="G1730" t="str">
        <x:v>Equipment constraints / low availability, Weather disruption / environmental constraints, Material supply / logistics &amp; market disruption</x:v>
      </x:c>
      <x:c r="H1730" t="str">
        <x:v>Cost overrun mainly linked to equipment constraints / low availability; schedule overrun mainly linked to equipment constraints / low availability.</x:v>
      </x:c>
    </x:row>
    <x:row r="1731">
      <x:c r="A1731" t="str">
        <x:v>PJT_1730</x:v>
      </x:c>
      <x:c r="B1731" t="str">
        <x:v>Weather disruption / environmental constraints</x:v>
      </x:c>
      <x:c r="C1731" t="str">
        <x:v>Unforeseen site/structural issues &amp; rework</x:v>
      </x:c>
      <x:c r="D1731" t="str">
        <x:v>Weather disruption / environmental constraints, Unforeseen site/structural issues &amp; rework, Material supply / logistics &amp; market disruption</x:v>
      </x:c>
      <x:c r="E1731" t="str">
        <x:v>Weather disruption / environmental constraints</x:v>
      </x:c>
      <x:c r="F1731" t="str">
        <x:v>Unforeseen site/structural issues &amp; rework</x:v>
      </x:c>
      <x:c r="G1731" t="str">
        <x:v>Weather disruption / environmental constraints, Unforeseen site/structural issues &amp; rework, Material supply / logistics &amp; market disruption</x:v>
      </x:c>
      <x:c r="H1731" t="str">
        <x:v>Cost overrun mainly linked to weather disruption / environmental constraints; schedule overrun mainly linked to weather disruption / environmental constraints.</x:v>
      </x:c>
    </x:row>
    <x:row r="1732">
      <x:c r="A1732" t="str">
        <x:v>PJT_1731</x:v>
      </x:c>
      <x:c r="B1732" t="str">
        <x:v>Resource inefficiency (materials/labor/energy)</x:v>
      </x:c>
      <x:c r="C1732" t="str">
        <x:v>Material supply / logistics &amp; market disruption</x:v>
      </x:c>
      <x:c r="D1732" t="str">
        <x:v>Resource inefficiency (materials/labor/energy), Material supply / logistics &amp; market disruption, Unforeseen site/structural issues &amp; rework</x:v>
      </x:c>
      <x:c r="E1732" t="str">
        <x:v>Resource inefficiency (materials/labor/energy)</x:v>
      </x:c>
      <x:c r="F1732" t="str">
        <x:v>Material supply / logistics &amp; market disruption</x:v>
      </x:c>
      <x:c r="G1732" t="str">
        <x:v>Resource inefficiency (materials/labor/energy), Material supply / logistics &amp; market disruption, Unforeseen site/structural issues &amp; rework</x:v>
      </x:c>
      <x:c r="H1732" t="str">
        <x:v>Cost overrun mainly linked to resource inefficiency (materials/labor/energy); schedule overrun mainly linked to resource inefficiency (materials/labor/energy).</x:v>
      </x:c>
    </x:row>
    <x:row r="1733">
      <x:c r="A1733" t="str">
        <x:v>PJT_1732</x:v>
      </x:c>
      <x:c r="B1733" t="str">
        <x:v>Weather disruption / environmental constraints</x:v>
      </x:c>
      <x:c r="C1733" t="str">
        <x:v>Material supply / logistics &amp; market disruption</x:v>
      </x:c>
      <x:c r="D1733" t="str">
        <x:v>Weather disruption / environmental constraints, Material supply / logistics &amp; market disruption, Planning &amp; estimation / coordination complexity</x:v>
      </x:c>
      <x:c r="E1733" t="str">
        <x:v>Weather disruption / environmental constraints</x:v>
      </x:c>
      <x:c r="F1733" t="str">
        <x:v>Material supply / logistics &amp; market disruption</x:v>
      </x:c>
      <x:c r="G1733" t="str">
        <x:v>Weather disruption / environmental constraints, Material supply / logistics &amp; market disruption, Planning &amp; estimation / coordination complexity</x:v>
      </x:c>
      <x:c r="H1733" t="str">
        <x:v>Cost overrun mainly linked to weather disruption / environmental constraints; schedule overrun mainly linked to weather disruption / environmental constraints.</x:v>
      </x:c>
    </x:row>
    <x:row r="1734">
      <x:c r="A1734" t="str">
        <x:v>PJT_1733</x:v>
      </x:c>
      <x:c r="B1734" t="str">
        <x:v>Material supply / logistics &amp; market disruption</x:v>
      </x:c>
      <x:c r="C1734" t="str">
        <x:v>Unforeseen site/structural issues &amp; rework</x:v>
      </x:c>
      <x:c r="D1734" t="str">
        <x:v>Material supply / logistics &amp; market disruption, Unforeseen site/structural issues &amp; rework, Resource inefficiency (materials/labor/energy)</x:v>
      </x:c>
      <x:c r="E1734" t="str">
        <x:v>Material supply / logistics &amp; market disruption</x:v>
      </x:c>
      <x:c r="F1734" t="str">
        <x:v>Unforeseen site/structural issues &amp; rework</x:v>
      </x:c>
      <x:c r="G1734" t="str">
        <x:v>Material supply / logistics &amp; market disruption, Unforeseen site/structural issues &amp; rework, Planning &amp; estimation / coordination complexity</x:v>
      </x:c>
      <x:c r="H1734" t="str">
        <x:v>Cost overrun mainly linked to material supply / logistics &amp; market disruption; schedule overrun mainly linked to material supply / logistics &amp; market disruption.</x:v>
      </x:c>
    </x:row>
    <x:row r="1735">
      <x:c r="A1735" t="str">
        <x:v>PJT_1734</x:v>
      </x:c>
      <x:c r="B1735" t="str">
        <x:v>Unforeseen site/structural issues &amp; rework</x:v>
      </x:c>
      <x:c r="C1735" t="str">
        <x:v>Resource inefficiency (materials/labor/energy)</x:v>
      </x:c>
      <x:c r="D1735" t="str">
        <x:v>Unforeseen site/structural issues &amp; rework, Resource inefficiency (materials/labor/energy), Planning &amp; estimation / coordination complexity</x:v>
      </x:c>
      <x:c r="E1735" t="str">
        <x:v>Unforeseen site/structural issues &amp; rework</x:v>
      </x:c>
      <x:c r="F1735" t="str">
        <x:v>Resource inefficiency (materials/labor/energy)</x:v>
      </x:c>
      <x:c r="G1735" t="str">
        <x:v>Unforeseen site/structural issues &amp; rework, Resource inefficiency (materials/labor/energy), Planning &amp; estimation / coordination complexity</x:v>
      </x:c>
      <x:c r="H1735" t="str">
        <x:v>Cost overrun mainly linked to unforeseen site/structural issues &amp; rework; schedule overrun mainly linked to unforeseen site/structural issues &amp; rework.</x:v>
      </x:c>
    </x:row>
    <x:row r="1736">
      <x:c r="A1736" t="str">
        <x:v>PJT_1735</x:v>
      </x:c>
      <x:c r="B1736" t="str">
        <x:v>Unforeseen site/structural issues &amp; rework</x:v>
      </x:c>
      <x:c r="C1736" t="str">
        <x:v>Material supply / logistics &amp; market disruption</x:v>
      </x:c>
      <x:c r="D1736" t="str">
        <x:v>Unforeseen site/structural issues &amp; rework, Material supply / logistics &amp; market disruption, Resource inefficiency (materials/labor/energy)</x:v>
      </x:c>
      <x:c r="E1736" t="str">
        <x:v>Unforeseen site/structural issues &amp; rework</x:v>
      </x:c>
      <x:c r="F1736" t="str">
        <x:v>Material supply / logistics &amp; market disruption</x:v>
      </x:c>
      <x:c r="G1736" t="str">
        <x:v>Unforeseen site/structural issues &amp; rework, Material supply / logistics &amp; market disruption, Planning &amp; estimation / coordination complexity</x:v>
      </x:c>
      <x:c r="H1736" t="str">
        <x:v>Cost overrun mainly linked to unforeseen site/structural issues &amp; rework; schedule overrun mainly linked to unforeseen site/structural issues &amp; rework.</x:v>
      </x:c>
    </x:row>
    <x:row r="1737">
      <x:c r="A1737" t="str">
        <x:v>PJT_1736</x:v>
      </x:c>
      <x:c r="B1737" t="str">
        <x:v>Unforeseen site/structural issues &amp; rework</x:v>
      </x:c>
      <x:c r="C1737" t="str">
        <x:v>Material supply / logistics &amp; market disruption</x:v>
      </x:c>
      <x:c r="D1737" t="str">
        <x:v>Unforeseen site/structural issues &amp; rework, Material supply / logistics &amp; market disruption, Equipment constraints / low availability</x:v>
      </x:c>
      <x:c r="E1737" t="str">
        <x:v>Unforeseen site/structural issues &amp; rework</x:v>
      </x:c>
      <x:c r="F1737" t="str">
        <x:v>Material supply / logistics &amp; market disruption</x:v>
      </x:c>
      <x:c r="G1737" t="str">
        <x:v>Unforeseen site/structural issues &amp; rework, Material supply / logistics &amp; market disruption, Resource inefficiency (materials/labor/energy)</x:v>
      </x:c>
      <x:c r="H1737" t="str">
        <x:v>Cost overrun mainly linked to unforeseen site/structural issues &amp; rework; schedule overrun mainly linked to unforeseen site/structural issues &amp; rework.</x:v>
      </x:c>
    </x:row>
    <x:row r="1738">
      <x:c r="A1738" t="str">
        <x:v>PJT_1737</x:v>
      </x:c>
      <x:c r="B1738" t="str">
        <x:v>Unforeseen site/structural issues &amp; rework</x:v>
      </x:c>
      <x:c r="C1738" t="str">
        <x:v>Planning &amp; estimation / coordination complexity</x:v>
      </x:c>
      <x:c r="D1738" t="str">
        <x:v>Unforeseen site/structural issues &amp; rework, Planning &amp; estimation / coordination complexity, Material supply / logistics &amp; market disruption</x:v>
      </x:c>
      <x:c r="E1738" t="str">
        <x:v>Unforeseen site/structural issues &amp; rework</x:v>
      </x:c>
      <x:c r="F1738" t="str">
        <x:v>Planning &amp; estimation / coordination complexity</x:v>
      </x:c>
      <x:c r="G1738" t="str">
        <x:v>Unforeseen site/structural issues &amp; rework, Planning &amp; estimation / coordination complexity, Material supply / logistics &amp; market disruption</x:v>
      </x:c>
      <x:c r="H1738" t="str">
        <x:v>Cost overrun mainly linked to unforeseen site/structural issues &amp; rework; schedule overrun mainly linked to unforeseen site/structural issues &amp; rework.</x:v>
      </x:c>
    </x:row>
    <x:row r="1739">
      <x:c r="A1739" t="str">
        <x:v>PJT_1738</x:v>
      </x:c>
      <x:c r="B1739" t="str">
        <x:v>Resource inefficiency (materials/labor/energy)</x:v>
      </x:c>
      <x:c r="C1739" t="str">
        <x:v>Equipment constraints / low availability</x:v>
      </x:c>
      <x:c r="D1739" t="str">
        <x:v>Resource inefficiency (materials/labor/energy), Equipment constraints / low availability, Planning &amp; estimation / coordination complexity</x:v>
      </x:c>
      <x:c r="E1739" t="str">
        <x:v>Resource inefficiency (materials/labor/energy)</x:v>
      </x:c>
      <x:c r="F1739" t="str">
        <x:v>Equipment constraints / low availability</x:v>
      </x:c>
      <x:c r="G1739" t="str">
        <x:v>Resource inefficiency (materials/labor/energy), Equipment constraints / low availability, Planning &amp; estimation / coordination complexity</x:v>
      </x:c>
      <x:c r="H1739" t="str">
        <x:v>Cost overrun mainly linked to resource inefficiency (materials/labor/energy); schedule overrun mainly linked to resource inefficiency (materials/labor/energy).</x:v>
      </x:c>
    </x:row>
    <x:row r="1740">
      <x:c r="A1740" t="str">
        <x:v>PJT_1739</x:v>
      </x:c>
      <x:c r="B1740" t="str">
        <x:v>Unforeseen site/structural issues &amp; rework</x:v>
      </x:c>
      <x:c r="C1740" t="str">
        <x:v>Weather disruption / environmental constraints</x:v>
      </x:c>
      <x:c r="D1740" t="str">
        <x:v>Unforeseen site/structural issues &amp; rework, Weather disruption / environmental constraints, Planning &amp; estimation / coordination complexity</x:v>
      </x:c>
      <x:c r="E1740" t="str">
        <x:v>Unforeseen site/structural issues &amp; rework</x:v>
      </x:c>
      <x:c r="F1740" t="str">
        <x:v>Weather disruption / environmental constraints</x:v>
      </x:c>
      <x:c r="G1740" t="str">
        <x:v>Unforeseen site/structural issues &amp; rework, Weather disruption / environmental constraints, Planning &amp; estimation / coordination complexity</x:v>
      </x:c>
      <x:c r="H1740" t="str">
        <x:v>Cost overrun mainly linked to unforeseen site/structural issues &amp; rework; schedule overrun mainly linked to unforeseen site/structural issues &amp; rework.</x:v>
      </x:c>
    </x:row>
    <x:row r="1741">
      <x:c r="A1741" t="str">
        <x:v>PJT_1740</x:v>
      </x:c>
      <x:c r="B1741" t="str">
        <x:v>Equipment constraints / low availability</x:v>
      </x:c>
      <x:c r="C1741" t="str">
        <x:v>Resource inefficiency (materials/labor/energy)</x:v>
      </x:c>
      <x:c r="D1741" t="str">
        <x:v>Equipment constraints / low availability, Resource inefficiency (materials/labor/energy), Planning &amp; estimation / coordination complexity</x:v>
      </x:c>
      <x:c r="E1741" t="str">
        <x:v>Resource inefficiency (materials/labor/energy)</x:v>
      </x:c>
      <x:c r="F1741" t="str">
        <x:v>Equipment constraints / low availability</x:v>
      </x:c>
      <x:c r="G1741" t="str">
        <x:v>Resource inefficiency (materials/labor/energy), Equipment constraints / low availability, Planning &amp; estimation / coordination complexity</x:v>
      </x:c>
      <x:c r="H1741" t="str">
        <x:v>Cost overrun mainly linked to equipment constraints / low availability; schedule overrun mainly linked to resource inefficiency (materials/labor/energy).</x:v>
      </x:c>
    </x:row>
    <x:row r="1742">
      <x:c r="A1742" t="str">
        <x:v>PJT_1741</x:v>
      </x:c>
      <x:c r="B1742" t="str">
        <x:v>Unforeseen site/structural issues &amp; rework</x:v>
      </x:c>
      <x:c r="C1742" t="str">
        <x:v>Resource inefficiency (materials/labor/energy)</x:v>
      </x:c>
      <x:c r="D1742" t="str">
        <x:v>Unforeseen site/structural issues &amp; rework, Resource inefficiency (materials/labor/energy), Planning &amp; estimation / coordination complexity</x:v>
      </x:c>
      <x:c r="E1742" t="str">
        <x:v>Unforeseen site/structural issues &amp; rework</x:v>
      </x:c>
      <x:c r="F1742" t="str">
        <x:v>Resource inefficiency (materials/labor/energy)</x:v>
      </x:c>
      <x:c r="G1742" t="str">
        <x:v>Unforeseen site/structural issues &amp; rework, Resource inefficiency (materials/labor/energy), Planning &amp; estimation / coordination complexity</x:v>
      </x:c>
      <x:c r="H1742" t="str">
        <x:v>Cost overrun mainly linked to unforeseen site/structural issues &amp; rework; schedule overrun mainly linked to unforeseen site/structural issues &amp; rework.</x:v>
      </x:c>
    </x:row>
    <x:row r="1743">
      <x:c r="A1743" t="str">
        <x:v>PJT_1742</x:v>
      </x:c>
      <x:c r="B1743" t="str">
        <x:v>Unforeseen site/structural issues &amp; rework</x:v>
      </x:c>
      <x:c r="C1743" t="str">
        <x:v>Planning &amp; estimation / coordination complexity</x:v>
      </x:c>
      <x:c r="D1743" t="str">
        <x:v>Unforeseen site/structural issues &amp; rework, Planning &amp; estimation / coordination complexity, Equipment constraints / low availability</x:v>
      </x:c>
      <x:c r="E1743" t="str">
        <x:v>Unforeseen site/structural issues &amp; rework</x:v>
      </x:c>
      <x:c r="F1743" t="str">
        <x:v>Planning &amp; estimation / coordination complexity</x:v>
      </x:c>
      <x:c r="G1743" t="str">
        <x:v>Unforeseen site/structural issues &amp; rework, Planning &amp; estimation / coordination complexity, Equipment constraints / low availability</x:v>
      </x:c>
      <x:c r="H1743" t="str">
        <x:v>Cost overrun mainly linked to unforeseen site/structural issues &amp; rework; schedule overrun mainly linked to unforeseen site/structural issues &amp; rework.</x:v>
      </x:c>
    </x:row>
    <x:row r="1744">
      <x:c r="A1744" t="str">
        <x:v>PJT_1743</x:v>
      </x:c>
      <x:c r="B1744" t="str">
        <x:v>Unforeseen site/structural issues &amp; rework</x:v>
      </x:c>
      <x:c r="C1744" t="str">
        <x:v>Weather disruption / environmental constraints</x:v>
      </x:c>
      <x:c r="D1744" t="str">
        <x:v>Unforeseen site/structural issues &amp; rework, Weather disruption / environmental constraints, Material supply / logistics &amp; market disruption</x:v>
      </x:c>
      <x:c r="E1744" t="str">
        <x:v>Weather disruption / environmental constraints</x:v>
      </x:c>
      <x:c r="F1744" t="str">
        <x:v>Unforeseen site/structural issues &amp; rework</x:v>
      </x:c>
      <x:c r="G1744" t="str">
        <x:v>Weather disruption / environmental constraints, Unforeseen site/structural issues &amp; rework, Material supply / logistics &amp; market disruption</x:v>
      </x:c>
      <x:c r="H1744" t="str">
        <x:v>Cost overrun mainly linked to unforeseen site/structural issues &amp; rework; schedule overrun mainly linked to weather disruption / environmental constraints.</x:v>
      </x:c>
    </x:row>
    <x:row r="1745">
      <x:c r="A1745" t="str">
        <x:v>PJT_1744</x:v>
      </x:c>
      <x:c r="B1745" t="str">
        <x:v>Unforeseen site/structural issues &amp; rework</x:v>
      </x:c>
      <x:c r="C1745" t="str">
        <x:v>Planning &amp; estimation / coordination complexity</x:v>
      </x:c>
      <x:c r="D1745" t="str">
        <x:v>Unforeseen site/structural issues &amp; rework, Planning &amp; estimation / coordination complexity, Weather disruption / environmental constraints</x:v>
      </x:c>
      <x:c r="E1745" t="str">
        <x:v>Unforeseen site/structural issues &amp; rework</x:v>
      </x:c>
      <x:c r="F1745" t="str">
        <x:v>Planning &amp; estimation / coordination complexity</x:v>
      </x:c>
      <x:c r="G1745" t="str">
        <x:v>Unforeseen site/structural issues &amp; rework, Planning &amp; estimation / coordination complexity, Weather disruption / environmental constraints</x:v>
      </x:c>
      <x:c r="H1745" t="str">
        <x:v>Cost overrun mainly linked to unforeseen site/structural issues &amp; rework; schedule overrun mainly linked to unforeseen site/structural issues &amp; rework.</x:v>
      </x:c>
    </x:row>
    <x:row r="1746">
      <x:c r="A1746" t="str">
        <x:v>PJT_1745</x:v>
      </x:c>
      <x:c r="B1746" t="str">
        <x:v>Resource inefficiency (materials/labor/energy)</x:v>
      </x:c>
      <x:c r="C1746" t="str">
        <x:v>Equipment constraints / low availability</x:v>
      </x:c>
      <x:c r="D1746" t="str">
        <x:v>Resource inefficiency (materials/labor/energy), Equipment constraints / low availability, Planning &amp; estimation / coordination complexity</x:v>
      </x:c>
      <x:c r="E1746" t="str">
        <x:v>Resource inefficiency (materials/labor/energy)</x:v>
      </x:c>
      <x:c r="F1746" t="str">
        <x:v>Equipment constraints / low availability</x:v>
      </x:c>
      <x:c r="G1746" t="str">
        <x:v>Resource inefficiency (materials/labor/energy), Equipment constraints / low availability, Planning &amp; estimation / coordination complexity</x:v>
      </x:c>
      <x:c r="H1746" t="str">
        <x:v>Cost overrun mainly linked to resource inefficiency (materials/labor/energy); schedule overrun mainly linked to resource inefficiency (materials/labor/energy).</x:v>
      </x:c>
    </x:row>
    <x:row r="1747">
      <x:c r="A1747" t="str">
        <x:v>PJT_1746</x:v>
      </x:c>
      <x:c r="B1747" t="str">
        <x:v>Weather disruption / environmental constraints</x:v>
      </x:c>
      <x:c r="C1747" t="str">
        <x:v>Material supply / logistics &amp; market disruption</x:v>
      </x:c>
      <x:c r="D1747" t="str">
        <x:v>Weather disruption / environmental constraints, Material supply / logistics &amp; market disruption, Equipment constraints / low availability</x:v>
      </x:c>
      <x:c r="E1747" t="str">
        <x:v>Weather disruption / environmental constraints</x:v>
      </x:c>
      <x:c r="F1747" t="str">
        <x:v>Material supply / logistics &amp; market disruption</x:v>
      </x:c>
      <x:c r="G1747" t="str">
        <x:v>Weather disruption / environmental constraints, Material supply / logistics &amp; market disruption, Equipment constraints / low availability</x:v>
      </x:c>
      <x:c r="H1747" t="str">
        <x:v>Cost overrun mainly linked to weather disruption / environmental constraints; schedule overrun mainly linked to weather disruption / environmental constraints.</x:v>
      </x:c>
    </x:row>
    <x:row r="1748">
      <x:c r="A1748" t="str">
        <x:v>PJT_1747</x:v>
      </x:c>
      <x:c r="B1748" t="str">
        <x:v>Weather disruption / environmental constraints</x:v>
      </x:c>
      <x:c r="C1748" t="str">
        <x:v>Material supply / logistics &amp; market disruption</x:v>
      </x:c>
      <x:c r="D1748" t="str">
        <x:v>Weather disruption / environmental constraints, Material supply / logistics &amp; market disruption, Equipment constraints / low availability</x:v>
      </x:c>
      <x:c r="E1748" t="str">
        <x:v>Weather disruption / environmental constraints</x:v>
      </x:c>
      <x:c r="F1748" t="str">
        <x:v>Material supply / logistics &amp; market disruption</x:v>
      </x:c>
      <x:c r="G1748" t="str">
        <x:v>Weather disruption / environmental constraints, Material supply / logistics &amp; market disruption, Equipment constraints / low availability</x:v>
      </x:c>
      <x:c r="H1748" t="str">
        <x:v>Cost overrun mainly linked to weather disruption / environmental constraints; schedule overrun mainly linked to weather disruption / environmental constraints.</x:v>
      </x:c>
    </x:row>
    <x:row r="1749">
      <x:c r="A1749" t="str">
        <x:v>PJT_1748</x:v>
      </x:c>
      <x:c r="B1749" t="str">
        <x:v>Planning &amp; estimation / coordination complexity</x:v>
      </x:c>
      <x:c r="C1749" t="str">
        <x:v>Resource inefficiency (materials/labor/energy)</x:v>
      </x:c>
      <x:c r="D1749" t="str">
        <x:v>Planning &amp; estimation / coordination complexity, Resource inefficiency (materials/labor/energy), Equipment constraints / low availability</x:v>
      </x:c>
      <x:c r="E1749" t="str">
        <x:v>Planning &amp; estimation / coordination complexity</x:v>
      </x:c>
      <x:c r="F1749" t="str">
        <x:v>Resource inefficiency (materials/labor/energy)</x:v>
      </x:c>
      <x:c r="G1749" t="str">
        <x:v>Planning &amp; estimation / coordination complexity, Resource inefficiency (materials/labor/energy), Equipment constraints / low availability</x:v>
      </x:c>
      <x:c r="H1749" t="str">
        <x:v>Cost overrun mainly linked to planning &amp; estimation / coordination complexity; schedule overrun mainly linked to planning &amp; estimation / coordination complexity.</x:v>
      </x:c>
    </x:row>
    <x:row r="1750">
      <x:c r="A1750" t="str">
        <x:v>PJT_1749</x:v>
      </x:c>
      <x:c r="B1750" t="str">
        <x:v>Planning &amp; estimation / coordination complexity</x:v>
      </x:c>
      <x:c r="C1750" t="str">
        <x:v>Unforeseen site/structural issues &amp; rework</x:v>
      </x:c>
      <x:c r="D1750" t="str">
        <x:v>Planning &amp; estimation / coordination complexity, Unforeseen site/structural issues &amp; rework, Weather disruption / environmental constraints</x:v>
      </x:c>
      <x:c r="E1750" t="str">
        <x:v>Planning &amp; estimation / coordination complexity</x:v>
      </x:c>
      <x:c r="F1750" t="str">
        <x:v>Unforeseen site/structural issues &amp; rework</x:v>
      </x:c>
      <x:c r="G1750" t="str">
        <x:v>Planning &amp; estimation / coordination complexity, Unforeseen site/structural issues &amp; rework, Weather disruption / environmental constraints</x:v>
      </x:c>
      <x:c r="H1750" t="str">
        <x:v>Cost overrun mainly linked to planning &amp; estimation / coordination complexity; schedule overrun mainly linked to planning &amp; estimation / coordination complexity.</x:v>
      </x:c>
    </x:row>
    <x:row r="1751">
      <x:c r="A1751" t="str">
        <x:v>PJT_1750</x:v>
      </x:c>
      <x:c r="B1751" t="str">
        <x:v>Unforeseen site/structural issues &amp; rework</x:v>
      </x:c>
      <x:c r="C1751" t="str">
        <x:v>Planning &amp; estimation / coordination complexity</x:v>
      </x:c>
      <x:c r="D1751" t="str">
        <x:v>Unforeseen site/structural issues &amp; rework, Planning &amp; estimation / coordination complexity, Weather disruption / environmental constraints</x:v>
      </x:c>
      <x:c r="E1751" t="str">
        <x:v>Unforeseen site/structural issues &amp; rework</x:v>
      </x:c>
      <x:c r="F1751" t="str">
        <x:v>Planning &amp; estimation / coordination complexity</x:v>
      </x:c>
      <x:c r="G1751" t="str">
        <x:v>Unforeseen site/structural issues &amp; rework, Planning &amp; estimation / coordination complexity, Weather disruption / environmental constraints</x:v>
      </x:c>
      <x:c r="H1751" t="str">
        <x:v>Cost overrun mainly linked to unforeseen site/structural issues &amp; rework; schedule overrun mainly linked to unforeseen site/structural issues &amp; rework.</x:v>
      </x:c>
    </x:row>
    <x:row r="1752">
      <x:c r="A1752" t="str">
        <x:v>PJT_1751</x:v>
      </x:c>
      <x:c r="B1752" t="str">
        <x:v>Equipment constraints / low availability</x:v>
      </x:c>
      <x:c r="C1752" t="str">
        <x:v>Resource inefficiency (materials/labor/energy)</x:v>
      </x:c>
      <x:c r="D1752" t="str">
        <x:v>Equipment constraints / low availability, Resource inefficiency (materials/labor/energy), Planning &amp; estimation / coordination complexity</x:v>
      </x:c>
      <x:c r="E1752" t="str">
        <x:v>Resource inefficiency (materials/labor/energy)</x:v>
      </x:c>
      <x:c r="F1752" t="str">
        <x:v>Equipment constraints / low availability</x:v>
      </x:c>
      <x:c r="G1752" t="str">
        <x:v>Resource inefficiency (materials/labor/energy), Equipment constraints / low availability, Material supply / logistics &amp; market disruption</x:v>
      </x:c>
      <x:c r="H1752" t="str">
        <x:v>Cost overrun mainly linked to equipment constraints / low availability; schedule overrun mainly linked to resource inefficiency (materials/labor/energy).</x:v>
      </x:c>
    </x:row>
    <x:row r="1753">
      <x:c r="A1753" t="str">
        <x:v>PJT_1752</x:v>
      </x:c>
      <x:c r="B1753" t="str">
        <x:v>Resource inefficiency (materials/labor/energy)</x:v>
      </x:c>
      <x:c r="C1753" t="str">
        <x:v>Planning &amp; estimation / coordination complexity</x:v>
      </x:c>
      <x:c r="D1753" t="str">
        <x:v>Resource inefficiency (materials/labor/energy), Planning &amp; estimation / coordination complexity, Material supply / logistics &amp; market disruption</x:v>
      </x:c>
      <x:c r="E1753" t="str">
        <x:v>Resource inefficiency (materials/labor/energy)</x:v>
      </x:c>
      <x:c r="F1753" t="str">
        <x:v>Planning &amp; estimation / coordination complexity</x:v>
      </x:c>
      <x:c r="G1753" t="str">
        <x:v>Resource inefficiency (materials/labor/energy), Planning &amp; estimation / coordination complexity, Equipment constraints / low availability</x:v>
      </x:c>
      <x:c r="H1753" t="str">
        <x:v>Cost overrun mainly linked to resource inefficiency (materials/labor/energy); schedule overrun mainly linked to resource inefficiency (materials/labor/energy).</x:v>
      </x:c>
    </x:row>
    <x:row r="1754">
      <x:c r="A1754" t="str">
        <x:v>PJT_1753</x:v>
      </x:c>
      <x:c r="B1754" t="str">
        <x:v>Unforeseen site/structural issues &amp; rework</x:v>
      </x:c>
      <x:c r="C1754" t="str">
        <x:v>Planning &amp; estimation / coordination complexity</x:v>
      </x:c>
      <x:c r="D1754" t="str">
        <x:v>Unforeseen site/structural issues &amp; rework, Planning &amp; estimation / coordination complexity, Material supply / logistics &amp; market disruption</x:v>
      </x:c>
      <x:c r="E1754" t="str">
        <x:v>Unforeseen site/structural issues &amp; rework</x:v>
      </x:c>
      <x:c r="F1754" t="str">
        <x:v>Planning &amp; estimation / coordination complexity</x:v>
      </x:c>
      <x:c r="G1754" t="str">
        <x:v>Unforeseen site/structural issues &amp; rework, Planning &amp; estimation / coordination complexity, Material supply / logistics &amp; market disruption</x:v>
      </x:c>
      <x:c r="H1754" t="str">
        <x:v>Cost overrun mainly linked to unforeseen site/structural issues &amp; rework; schedule overrun mainly linked to unforeseen site/structural issues &amp; rework.</x:v>
      </x:c>
    </x:row>
    <x:row r="1755">
      <x:c r="A1755" t="str">
        <x:v>PJT_1754</x:v>
      </x:c>
      <x:c r="B1755" t="str">
        <x:v>Unforeseen site/structural issues &amp; rework</x:v>
      </x:c>
      <x:c r="C1755" t="str">
        <x:v>Material supply / logistics &amp; market disruption</x:v>
      </x:c>
      <x:c r="D1755" t="str">
        <x:v>Unforeseen site/structural issues &amp; rework, Material supply / logistics &amp; market disruption, Planning &amp; estimation / coordination complexity</x:v>
      </x:c>
      <x:c r="E1755" t="str">
        <x:v>Unforeseen site/structural issues &amp; rework</x:v>
      </x:c>
      <x:c r="F1755" t="str">
        <x:v>Planning &amp; estimation / coordination complexity</x:v>
      </x:c>
      <x:c r="G1755" t="str">
        <x:v>Unforeseen site/structural issues &amp; rework, Planning &amp; estimation / coordination complexity, Material supply / logistics &amp; market disruption</x:v>
      </x:c>
      <x:c r="H1755" t="str">
        <x:v>Cost overrun mainly linked to unforeseen site/structural issues &amp; rework; schedule overrun mainly linked to unforeseen site/structural issues &amp; rework.</x:v>
      </x:c>
    </x:row>
    <x:row r="1756">
      <x:c r="A1756" t="str">
        <x:v>PJT_1755</x:v>
      </x:c>
      <x:c r="B1756" t="str">
        <x:v>Weather disruption / environmental constraints</x:v>
      </x:c>
      <x:c r="C1756" t="str">
        <x:v>Material supply / logistics &amp; market disruption</x:v>
      </x:c>
      <x:c r="D1756" t="str">
        <x:v>Weather disruption / environmental constraints, Material supply / logistics &amp; market disruption, Unforeseen site/structural issues &amp; rework</x:v>
      </x:c>
      <x:c r="E1756" t="str">
        <x:v>Weather disruption / environmental constraints</x:v>
      </x:c>
      <x:c r="F1756" t="str">
        <x:v>Material supply / logistics &amp; market disruption</x:v>
      </x:c>
      <x:c r="G1756" t="str">
        <x:v>Weather disruption / environmental constraints, Material supply / logistics &amp; market disruption, Unforeseen site/structural issues &amp; rework</x:v>
      </x:c>
      <x:c r="H1756" t="str">
        <x:v>Cost overrun mainly linked to weather disruption / environmental constraints; schedule overrun mainly linked to weather disruption / environmental constraints.</x:v>
      </x:c>
    </x:row>
    <x:row r="1757">
      <x:c r="A1757" t="str">
        <x:v>PJT_1756</x:v>
      </x:c>
      <x:c r="B1757" t="str">
        <x:v>Unforeseen site/structural issues &amp; rework</x:v>
      </x:c>
      <x:c r="C1757" t="str">
        <x:v>Weather disruption / environmental constraints</x:v>
      </x:c>
      <x:c r="D1757" t="str">
        <x:v>Unforeseen site/structural issues &amp; rework, Weather disruption / environmental constraints, Material supply / logistics &amp; market disruption</x:v>
      </x:c>
      <x:c r="E1757" t="str">
        <x:v>Unforeseen site/structural issues &amp; rework</x:v>
      </x:c>
      <x:c r="F1757" t="str">
        <x:v>Weather disruption / environmental constraints</x:v>
      </x:c>
      <x:c r="G1757" t="str">
        <x:v>Unforeseen site/structural issues &amp; rework, Weather disruption / environmental constraints, Material supply / logistics &amp; market disruption</x:v>
      </x:c>
      <x:c r="H1757" t="str">
        <x:v>Cost overrun mainly linked to unforeseen site/structural issues &amp; rework; schedule overrun mainly linked to unforeseen site/structural issues &amp; rework.</x:v>
      </x:c>
    </x:row>
    <x:row r="1758">
      <x:c r="A1758" t="str">
        <x:v>PJT_1757</x:v>
      </x:c>
      <x:c r="B1758" t="str">
        <x:v>Weather disruption / environmental constraints</x:v>
      </x:c>
      <x:c r="C1758" t="str">
        <x:v>Equipment constraints / low availability</x:v>
      </x:c>
      <x:c r="D1758" t="str">
        <x:v>Weather disruption / environmental constraints, Equipment constraints / low availability, Material supply / logistics &amp; market disruption</x:v>
      </x:c>
      <x:c r="E1758" t="str">
        <x:v>Weather disruption / environmental constraints</x:v>
      </x:c>
      <x:c r="F1758" t="str">
        <x:v>Material supply / logistics &amp; market disruption</x:v>
      </x:c>
      <x:c r="G1758" t="str">
        <x:v>Weather disruption / environmental constraints, Material supply / logistics &amp; market disruption, Equipment constraints / low availability</x:v>
      </x:c>
      <x:c r="H1758" t="str">
        <x:v>Cost overrun mainly linked to weather disruption / environmental constraints; schedule overrun mainly linked to weather disruption / environmental constraints.</x:v>
      </x:c>
    </x:row>
    <x:row r="1759">
      <x:c r="A1759" t="str">
        <x:v>PJT_1758</x:v>
      </x:c>
      <x:c r="B1759" t="str">
        <x:v>Equipment constraints / low availability</x:v>
      </x:c>
      <x:c r="C1759" t="str">
        <x:v>Planning &amp; estimation / coordination complexity</x:v>
      </x:c>
      <x:c r="D1759" t="str">
        <x:v>Equipment constraints / low availability, Planning &amp; estimation / coordination complexity, Resource inefficiency (materials/labor/energy)</x:v>
      </x:c>
      <x:c r="E1759" t="str">
        <x:v>Equipment constraints / low availability</x:v>
      </x:c>
      <x:c r="F1759" t="str">
        <x:v>Planning &amp; estimation / coordination complexity</x:v>
      </x:c>
      <x:c r="G1759" t="str">
        <x:v>Equipment constraints / low availability, Planning &amp; estimation / coordination complexity, Resource inefficiency (materials/labor/energy)</x:v>
      </x:c>
      <x:c r="H1759" t="str">
        <x:v>Cost overrun mainly linked to equipment constraints / low availability; schedule overrun mainly linked to equipment constraints / low availability.</x:v>
      </x:c>
    </x:row>
    <x:row r="1760">
      <x:c r="A1760" t="str">
        <x:v>PJT_1759</x:v>
      </x:c>
      <x:c r="B1760" t="str">
        <x:v>Resource inefficiency (materials/labor/energy)</x:v>
      </x:c>
      <x:c r="C1760" t="str">
        <x:v>Equipment constraints / low availability</x:v>
      </x:c>
      <x:c r="D1760" t="str">
        <x:v>Resource inefficiency (materials/labor/energy), Equipment constraints / low availability, Material supply / logistics &amp; market disruption</x:v>
      </x:c>
      <x:c r="E1760" t="str">
        <x:v>Resource inefficiency (materials/labor/energy)</x:v>
      </x:c>
      <x:c r="F1760" t="str">
        <x:v>Equipment constraints / low availability</x:v>
      </x:c>
      <x:c r="G1760" t="str">
        <x:v>Resource inefficiency (materials/labor/energy), Equipment constraints / low availability, Material supply / logistics &amp; market disruption</x:v>
      </x:c>
      <x:c r="H1760" t="str">
        <x:v>Cost overrun mainly linked to resource inefficiency (materials/labor/energy); schedule overrun mainly linked to resource inefficiency (materials/labor/energy).</x:v>
      </x:c>
    </x:row>
    <x:row r="1761">
      <x:c r="A1761" t="str">
        <x:v>PJT_1760</x:v>
      </x:c>
      <x:c r="B1761" t="str">
        <x:v>Resource inefficiency (materials/labor/energy)</x:v>
      </x:c>
      <x:c r="C1761" t="str">
        <x:v>Material supply / logistics &amp; market disruption</x:v>
      </x:c>
      <x:c r="D1761" t="str">
        <x:v>Resource inefficiency (materials/labor/energy), Material supply / logistics &amp; market disruption, Planning &amp; estimation / coordination complexity</x:v>
      </x:c>
      <x:c r="E1761" t="str">
        <x:v>Resource inefficiency (materials/labor/energy)</x:v>
      </x:c>
      <x:c r="F1761" t="str">
        <x:v>Material supply / logistics &amp; market disruption</x:v>
      </x:c>
      <x:c r="G1761" t="str">
        <x:v>Resource inefficiency (materials/labor/energy), Material supply / logistics &amp; market disruption, Planning &amp; estimation / coordination complexity</x:v>
      </x:c>
      <x:c r="H1761" t="str">
        <x:v>Cost overrun mainly linked to resource inefficiency (materials/labor/energy); schedule overrun mainly linked to resource inefficiency (materials/labor/energy).</x:v>
      </x:c>
    </x:row>
    <x:row r="1762">
      <x:c r="A1762" t="str">
        <x:v>PJT_1761</x:v>
      </x:c>
      <x:c r="B1762" t="str">
        <x:v>Unforeseen site/structural issues &amp; rework</x:v>
      </x:c>
      <x:c r="C1762" t="str">
        <x:v>Resource inefficiency (materials/labor/energy)</x:v>
      </x:c>
      <x:c r="D1762" t="str">
        <x:v>Unforeseen site/structural issues &amp; rework, Resource inefficiency (materials/labor/energy), Planning &amp; estimation / coordination complexity</x:v>
      </x:c>
      <x:c r="E1762" t="str">
        <x:v>Unforeseen site/structural issues &amp; rework</x:v>
      </x:c>
      <x:c r="F1762" t="str">
        <x:v>Planning &amp; estimation / coordination complexity</x:v>
      </x:c>
      <x:c r="G1762" t="str">
        <x:v>Unforeseen site/structural issues &amp; rework, Planning &amp; estimation / coordination complexity, Resource inefficiency (materials/labor/energy)</x:v>
      </x:c>
      <x:c r="H1762" t="str">
        <x:v>Cost overrun mainly linked to unforeseen site/structural issues &amp; rework; schedule overrun mainly linked to unforeseen site/structural issues &amp; rework.</x:v>
      </x:c>
    </x:row>
    <x:row r="1763">
      <x:c r="A1763" t="str">
        <x:v>PJT_1762</x:v>
      </x:c>
      <x:c r="B1763" t="str">
        <x:v>Weather disruption / environmental constraints</x:v>
      </x:c>
      <x:c r="C1763" t="str">
        <x:v>Unforeseen site/structural issues &amp; rework</x:v>
      </x:c>
      <x:c r="D1763" t="str">
        <x:v>Weather disruption / environmental constraints, Unforeseen site/structural issues &amp; rework, Equipment constraints / low availability</x:v>
      </x:c>
      <x:c r="E1763" t="str">
        <x:v>Weather disruption / environmental constraints</x:v>
      </x:c>
      <x:c r="F1763" t="str">
        <x:v>Unforeseen site/structural issues &amp; rework</x:v>
      </x:c>
      <x:c r="G1763" t="str">
        <x:v>Weather disruption / environmental constraints, Unforeseen site/structural issues &amp; rework, Equipment constraints / low availability</x:v>
      </x:c>
      <x:c r="H1763" t="str">
        <x:v>Cost overrun mainly linked to weather disruption / environmental constraints; schedule overrun mainly linked to weather disruption / environmental constraints.</x:v>
      </x:c>
    </x:row>
    <x:row r="1764">
      <x:c r="A1764" t="str">
        <x:v>PJT_1763</x:v>
      </x:c>
      <x:c r="B1764" t="str">
        <x:v>Equipment constraints / low availability</x:v>
      </x:c>
      <x:c r="C1764" t="str">
        <x:v>Weather disruption / environmental constraints</x:v>
      </x:c>
      <x:c r="D1764" t="str">
        <x:v>Equipment constraints / low availability, Weather disruption / environmental constraints, Resource inefficiency (materials/labor/energy)</x:v>
      </x:c>
      <x:c r="E1764" t="str">
        <x:v>Equipment constraints / low availability</x:v>
      </x:c>
      <x:c r="F1764" t="str">
        <x:v>Weather disruption / environmental constraints</x:v>
      </x:c>
      <x:c r="G1764" t="str">
        <x:v>Equipment constraints / low availability, Weather disruption / environmental constraints, Resource inefficiency (materials/labor/energy)</x:v>
      </x:c>
      <x:c r="H1764" t="str">
        <x:v>Cost overrun mainly linked to equipment constraints / low availability; schedule overrun mainly linked to equipment constraints / low availability.</x:v>
      </x:c>
    </x:row>
    <x:row r="1765">
      <x:c r="A1765" t="str">
        <x:v>PJT_1764</x:v>
      </x:c>
      <x:c r="B1765" t="str">
        <x:v>Resource inefficiency (materials/labor/energy)</x:v>
      </x:c>
      <x:c r="C1765" t="str">
        <x:v>Equipment constraints / low availability</x:v>
      </x:c>
      <x:c r="D1765" t="str">
        <x:v>Resource inefficiency (materials/labor/energy), Equipment constraints / low availability, Planning &amp; estimation / coordination complexity</x:v>
      </x:c>
      <x:c r="E1765" t="str">
        <x:v>Resource inefficiency (materials/labor/energy)</x:v>
      </x:c>
      <x:c r="F1765" t="str">
        <x:v>Equipment constraints / low availability</x:v>
      </x:c>
      <x:c r="G1765" t="str">
        <x:v>Resource inefficiency (materials/labor/energy), Equipment constraints / low availability, Planning &amp; estimation / coordination complexity</x:v>
      </x:c>
      <x:c r="H1765" t="str">
        <x:v>Cost overrun mainly linked to resource inefficiency (materials/labor/energy); schedule overrun mainly linked to resource inefficiency (materials/labor/energy).</x:v>
      </x:c>
    </x:row>
    <x:row r="1766">
      <x:c r="A1766" t="str">
        <x:v>PJT_1765</x:v>
      </x:c>
      <x:c r="B1766" t="str">
        <x:v>Planning &amp; estimation / coordination complexity</x:v>
      </x:c>
      <x:c r="C1766" t="str">
        <x:v>Unforeseen site/structural issues &amp; rework</x:v>
      </x:c>
      <x:c r="D1766" t="str">
        <x:v>Planning &amp; estimation / coordination complexity, Unforeseen site/structural issues &amp; rework, Resource inefficiency (materials/labor/energy)</x:v>
      </x:c>
      <x:c r="E1766" t="str">
        <x:v>Planning &amp; estimation / coordination complexity</x:v>
      </x:c>
      <x:c r="F1766" t="str">
        <x:v>Unforeseen site/structural issues &amp; rework</x:v>
      </x:c>
      <x:c r="G1766" t="str">
        <x:v>Planning &amp; estimation / coordination complexity, Unforeseen site/structural issues &amp; rework, Resource inefficiency (materials/labor/energy)</x:v>
      </x:c>
      <x:c r="H1766" t="str">
        <x:v>Cost overrun mainly linked to planning &amp; estimation / coordination complexity; schedule overrun mainly linked to planning &amp; estimation / coordination complexity.</x:v>
      </x:c>
    </x:row>
    <x:row r="1767">
      <x:c r="A1767" t="str">
        <x:v>PJT_1766</x:v>
      </x:c>
      <x:c r="B1767" t="str">
        <x:v>Planning &amp; estimation / coordination complexity</x:v>
      </x:c>
      <x:c r="C1767" t="str">
        <x:v>Equipment constraints / low availability</x:v>
      </x:c>
      <x:c r="D1767" t="str">
        <x:v>Planning &amp; estimation / coordination complexity, Equipment constraints / low availability, Unforeseen site/structural issues &amp; rework</x:v>
      </x:c>
      <x:c r="E1767" t="str">
        <x:v>Planning &amp; estimation / coordination complexity</x:v>
      </x:c>
      <x:c r="F1767" t="str">
        <x:v>Equipment constraints / low availability</x:v>
      </x:c>
      <x:c r="G1767" t="str">
        <x:v>Planning &amp; estimation / coordination complexity, Equipment constraints / low availability, Unforeseen site/structural issues &amp; rework</x:v>
      </x:c>
      <x:c r="H1767" t="str">
        <x:v>Cost overrun mainly linked to planning &amp; estimation / coordination complexity; schedule overrun mainly linked to planning &amp; estimation / coordination complexity.</x:v>
      </x:c>
    </x:row>
    <x:row r="1768">
      <x:c r="A1768" t="str">
        <x:v>PJT_1767</x:v>
      </x:c>
      <x:c r="B1768" t="str">
        <x:v>Material supply / logistics &amp; market disruption</x:v>
      </x:c>
      <x:c r="C1768" t="str">
        <x:v>Resource inefficiency (materials/labor/energy)</x:v>
      </x:c>
      <x:c r="D1768" t="str">
        <x:v>Material supply / logistics &amp; market disruption, Resource inefficiency (materials/labor/energy), Planning &amp; estimation / coordination complexity</x:v>
      </x:c>
      <x:c r="E1768" t="str">
        <x:v>Material supply / logistics &amp; market disruption</x:v>
      </x:c>
      <x:c r="F1768" t="str">
        <x:v>Resource inefficiency (materials/labor/energy)</x:v>
      </x:c>
      <x:c r="G1768" t="str">
        <x:v>Material supply / logistics &amp; market disruption, Resource inefficiency (materials/labor/energy), Planning &amp; estimation / coordination complexity</x:v>
      </x:c>
      <x:c r="H1768" t="str">
        <x:v>Cost overrun mainly linked to material supply / logistics &amp; market disruption; schedule overrun mainly linked to material supply / logistics &amp; market disruption.</x:v>
      </x:c>
    </x:row>
    <x:row r="1769">
      <x:c r="A1769" t="str">
        <x:v>PJT_1768</x:v>
      </x:c>
      <x:c r="B1769" t="str">
        <x:v>Weather disruption / environmental constraints</x:v>
      </x:c>
      <x:c r="C1769" t="str">
        <x:v>Unforeseen site/structural issues &amp; rework</x:v>
      </x:c>
      <x:c r="D1769" t="str">
        <x:v>Weather disruption / environmental constraints, Unforeseen site/structural issues &amp; rework, Equipment constraints / low availability</x:v>
      </x:c>
      <x:c r="E1769" t="str">
        <x:v>Weather disruption / environmental constraints</x:v>
      </x:c>
      <x:c r="F1769" t="str">
        <x:v>Unforeseen site/structural issues &amp; rework</x:v>
      </x:c>
      <x:c r="G1769" t="str">
        <x:v>Weather disruption / environmental constraints, Unforeseen site/structural issues &amp; rework, Material supply / logistics &amp; market disruption</x:v>
      </x:c>
      <x:c r="H1769" t="str">
        <x:v>Cost overrun mainly linked to weather disruption / environmental constraints; schedule overrun mainly linked to weather disruption / environmental constraints.</x:v>
      </x:c>
    </x:row>
    <x:row r="1770">
      <x:c r="A1770" t="str">
        <x:v>PJT_1769</x:v>
      </x:c>
      <x:c r="B1770" t="str">
        <x:v>Planning &amp; estimation / coordination complexity</x:v>
      </x:c>
      <x:c r="C1770" t="str">
        <x:v>Resource inefficiency (materials/labor/energy)</x:v>
      </x:c>
      <x:c r="D1770" t="str">
        <x:v>Planning &amp; estimation / coordination complexity, Resource inefficiency (materials/labor/energy), Equipment constraints / low availability</x:v>
      </x:c>
      <x:c r="E1770" t="str">
        <x:v>Planning &amp; estimation / coordination complexity</x:v>
      </x:c>
      <x:c r="F1770" t="str">
        <x:v>Resource inefficiency (materials/labor/energy)</x:v>
      </x:c>
      <x:c r="G1770" t="str">
        <x:v>Planning &amp; estimation / coordination complexity, Resource inefficiency (materials/labor/energy), Equipment constraints / low availability</x:v>
      </x:c>
      <x:c r="H1770" t="str">
        <x:v>Cost overrun mainly linked to planning &amp; estimation / coordination complexity; schedule overrun mainly linked to planning &amp; estimation / coordination complexity.</x:v>
      </x:c>
    </x:row>
    <x:row r="1771">
      <x:c r="A1771" t="str">
        <x:v>PJT_1770</x:v>
      </x:c>
      <x:c r="B1771" t="str">
        <x:v>Unforeseen site/structural issues &amp; rework</x:v>
      </x:c>
      <x:c r="C1771" t="str">
        <x:v>Planning &amp; estimation / coordination complexity</x:v>
      </x:c>
      <x:c r="D1771" t="str">
        <x:v>Unforeseen site/structural issues &amp; rework, Planning &amp; estimation / coordination complexity, Equipment constraints / low availability</x:v>
      </x:c>
      <x:c r="E1771" t="str">
        <x:v>Unforeseen site/structural issues &amp; rework</x:v>
      </x:c>
      <x:c r="F1771" t="str">
        <x:v>Planning &amp; estimation / coordination complexity</x:v>
      </x:c>
      <x:c r="G1771" t="str">
        <x:v>Unforeseen site/structural issues &amp; rework, Planning &amp; estimation / coordination complexity, Equipment constraints / low availability</x:v>
      </x:c>
      <x:c r="H1771" t="str">
        <x:v>Cost overrun mainly linked to unforeseen site/structural issues &amp; rework; schedule overrun mainly linked to unforeseen site/structural issues &amp; rework.</x:v>
      </x:c>
    </x:row>
    <x:row r="1772">
      <x:c r="A1772" t="str">
        <x:v>PJT_1771</x:v>
      </x:c>
      <x:c r="B1772" t="str">
        <x:v>Resource inefficiency (materials/labor/energy)</x:v>
      </x:c>
      <x:c r="C1772" t="str">
        <x:v>Equipment constraints / low availability</x:v>
      </x:c>
      <x:c r="D1772" t="str">
        <x:v>Resource inefficiency (materials/labor/energy), Equipment constraints / low availability, Planning &amp; estimation / coordination complexity</x:v>
      </x:c>
      <x:c r="E1772" t="str">
        <x:v>Resource inefficiency (materials/labor/energy)</x:v>
      </x:c>
      <x:c r="F1772" t="str">
        <x:v>Planning &amp; estimation / coordination complexity</x:v>
      </x:c>
      <x:c r="G1772" t="str">
        <x:v>Resource inefficiency (materials/labor/energy), Planning &amp; estimation / coordination complexity, Equipment constraints / low availability</x:v>
      </x:c>
      <x:c r="H1772" t="str">
        <x:v>Cost overrun mainly linked to resource inefficiency (materials/labor/energy); schedule overrun mainly linked to resource inefficiency (materials/labor/energy).</x:v>
      </x:c>
    </x:row>
    <x:row r="1773">
      <x:c r="A1773" t="str">
        <x:v>PJT_1772</x:v>
      </x:c>
      <x:c r="B1773" t="str">
        <x:v>Planning &amp; estimation / coordination complexity</x:v>
      </x:c>
      <x:c r="C1773" t="str">
        <x:v>Resource inefficiency (materials/labor/energy)</x:v>
      </x:c>
      <x:c r="D1773" t="str">
        <x:v>Planning &amp; estimation / coordination complexity, Resource inefficiency (materials/labor/energy), Equipment constraints / low availability</x:v>
      </x:c>
      <x:c r="E1773" t="str">
        <x:v>Planning &amp; estimation / coordination complexity</x:v>
      </x:c>
      <x:c r="F1773" t="str">
        <x:v>Resource inefficiency (materials/labor/energy)</x:v>
      </x:c>
      <x:c r="G1773" t="str">
        <x:v>Planning &amp; estimation / coordination complexity, Resource inefficiency (materials/labor/energy), Equipment constraints / low availability</x:v>
      </x:c>
      <x:c r="H1773" t="str">
        <x:v>Cost overrun mainly linked to planning &amp; estimation / coordination complexity; schedule overrun mainly linked to planning &amp; estimation / coordination complexity.</x:v>
      </x:c>
    </x:row>
    <x:row r="1774">
      <x:c r="A1774" t="str">
        <x:v>PJT_1773</x:v>
      </x:c>
      <x:c r="B1774" t="str">
        <x:v>Equipment constraints / low availability</x:v>
      </x:c>
      <x:c r="C1774" t="str">
        <x:v>Planning &amp; estimation / coordination complexity</x:v>
      </x:c>
      <x:c r="D1774" t="str">
        <x:v>Equipment constraints / low availability, Planning &amp; estimation / coordination complexity, Unforeseen site/structural issues &amp; rework</x:v>
      </x:c>
      <x:c r="E1774" t="str">
        <x:v>Equipment constraints / low availability</x:v>
      </x:c>
      <x:c r="F1774" t="str">
        <x:v>Unforeseen site/structural issues &amp; rework</x:v>
      </x:c>
      <x:c r="G1774" t="str">
        <x:v>Equipment constraints / low availability, Unforeseen site/structural issues &amp; rework, Planning &amp; estimation / coordination complexity</x:v>
      </x:c>
      <x:c r="H1774" t="str">
        <x:v>Cost overrun mainly linked to equipment constraints / low availability; schedule overrun mainly linked to equipment constraints / low availability.</x:v>
      </x:c>
    </x:row>
    <x:row r="1775">
      <x:c r="A1775" t="str">
        <x:v>PJT_1774</x:v>
      </x:c>
      <x:c r="B1775" t="str">
        <x:v>Unforeseen site/structural issues &amp; rework</x:v>
      </x:c>
      <x:c r="C1775" t="str">
        <x:v>Planning &amp; estimation / coordination complexity</x:v>
      </x:c>
      <x:c r="D1775" t="str">
        <x:v>Unforeseen site/structural issues &amp; rework, Planning &amp; estimation / coordination complexity, Equipment constraints / low availability</x:v>
      </x:c>
      <x:c r="E1775" t="str">
        <x:v>Unforeseen site/structural issues &amp; rework</x:v>
      </x:c>
      <x:c r="F1775" t="str">
        <x:v>Planning &amp; estimation / coordination complexity</x:v>
      </x:c>
      <x:c r="G1775" t="str">
        <x:v>Unforeseen site/structural issues &amp; rework, Planning &amp; estimation / coordination complexity, Equipment constraints / low availability</x:v>
      </x:c>
      <x:c r="H1775" t="str">
        <x:v>Cost overrun mainly linked to unforeseen site/structural issues &amp; rework; schedule overrun mainly linked to unforeseen site/structural issues &amp; rework.</x:v>
      </x:c>
    </x:row>
    <x:row r="1776">
      <x:c r="A1776" t="str">
        <x:v>PJT_1775</x:v>
      </x:c>
      <x:c r="B1776" t="str">
        <x:v>Resource inefficiency (materials/labor/energy)</x:v>
      </x:c>
      <x:c r="C1776" t="str">
        <x:v>Planning &amp; estimation / coordination complexity</x:v>
      </x:c>
      <x:c r="D1776" t="str">
        <x:v>Resource inefficiency (materials/labor/energy), Planning &amp; estimation / coordination complexity, Material supply / logistics &amp; market disruption</x:v>
      </x:c>
      <x:c r="E1776" t="str">
        <x:v>Resource inefficiency (materials/labor/energy)</x:v>
      </x:c>
      <x:c r="F1776" t="str">
        <x:v>Planning &amp; estimation / coordination complexity</x:v>
      </x:c>
      <x:c r="G1776" t="str">
        <x:v>Resource inefficiency (materials/labor/energy), Planning &amp; estimation / coordination complexity, Unforeseen site/structural issues &amp; rework</x:v>
      </x:c>
      <x:c r="H1776" t="str">
        <x:v>Cost overrun mainly linked to resource inefficiency (materials/labor/energy); schedule overrun mainly linked to resource inefficiency (materials/labor/energy).</x:v>
      </x:c>
    </x:row>
    <x:row r="1777">
      <x:c r="A1777" t="str">
        <x:v>PJT_1776</x:v>
      </x:c>
      <x:c r="B1777" t="str">
        <x:v>Planning &amp; estimation / coordination complexity</x:v>
      </x:c>
      <x:c r="C1777" t="str">
        <x:v>Unforeseen site/structural issues &amp; rework</x:v>
      </x:c>
      <x:c r="D1777" t="str">
        <x:v>Planning &amp; estimation / coordination complexity, Unforeseen site/structural issues &amp; rework, Equipment constraints / low availability</x:v>
      </x:c>
      <x:c r="E1777" t="str">
        <x:v>Planning &amp; estimation / coordination complexity</x:v>
      </x:c>
      <x:c r="F1777" t="str">
        <x:v>Unforeseen site/structural issues &amp; rework</x:v>
      </x:c>
      <x:c r="G1777" t="str">
        <x:v>Planning &amp; estimation / coordination complexity, Unforeseen site/structural issues &amp; rework, Equipment constraints / low availability</x:v>
      </x:c>
      <x:c r="H1777" t="str">
        <x:v>Cost overrun mainly linked to planning &amp; estimation / coordination complexity; schedule overrun mainly linked to planning &amp; estimation / coordination complexity.</x:v>
      </x:c>
    </x:row>
    <x:row r="1778">
      <x:c r="A1778" t="str">
        <x:v>PJT_1777</x:v>
      </x:c>
      <x:c r="B1778" t="str">
        <x:v>Planning &amp; estimation / coordination complexity</x:v>
      </x:c>
      <x:c r="C1778" t="str">
        <x:v>Equipment constraints / low availability</x:v>
      </x:c>
      <x:c r="D1778" t="str">
        <x:v>Planning &amp; estimation / coordination complexity, Equipment constraints / low availability, Unforeseen site/structural issues &amp; rework</x:v>
      </x:c>
      <x:c r="E1778" t="str">
        <x:v>Planning &amp; estimation / coordination complexity</x:v>
      </x:c>
      <x:c r="F1778" t="str">
        <x:v>Unforeseen site/structural issues &amp; rework</x:v>
      </x:c>
      <x:c r="G1778" t="str">
        <x:v>Planning &amp; estimation / coordination complexity, Unforeseen site/structural issues &amp; rework, Equipment constraints / low availability</x:v>
      </x:c>
      <x:c r="H1778" t="str">
        <x:v>Cost overrun mainly linked to planning &amp; estimation / coordination complexity; schedule overrun mainly linked to planning &amp; estimation / coordination complexity.</x:v>
      </x:c>
    </x:row>
    <x:row r="1779">
      <x:c r="A1779" t="str">
        <x:v>PJT_1778</x:v>
      </x:c>
      <x:c r="B1779" t="str">
        <x:v>Weather disruption / environmental constraints</x:v>
      </x:c>
      <x:c r="C1779" t="str">
        <x:v>Planning &amp; estimation / coordination complexity</x:v>
      </x:c>
      <x:c r="D1779" t="str">
        <x:v>Weather disruption / environmental constraints, Planning &amp; estimation / coordination complexity, Material supply / logistics &amp; market disruption</x:v>
      </x:c>
      <x:c r="E1779" t="str">
        <x:v>Weather disruption / environmental constraints</x:v>
      </x:c>
      <x:c r="F1779" t="str">
        <x:v>Unforeseen site/structural issues &amp; rework</x:v>
      </x:c>
      <x:c r="G1779" t="str">
        <x:v>Weather disruption / environmental constraints, Unforeseen site/structural issues &amp; rework, Planning &amp; estimation / coordination complexity</x:v>
      </x:c>
      <x:c r="H1779" t="str">
        <x:v>Cost overrun mainly linked to weather disruption / environmental constraints; schedule overrun mainly linked to weather disruption / environmental constraints.</x:v>
      </x:c>
    </x:row>
    <x:row r="1780">
      <x:c r="A1780" t="str">
        <x:v>PJT_1779</x:v>
      </x:c>
      <x:c r="B1780" t="str">
        <x:v>Planning &amp; estimation / coordination complexity</x:v>
      </x:c>
      <x:c r="C1780" t="str">
        <x:v>Resource inefficiency (materials/labor/energy)</x:v>
      </x:c>
      <x:c r="D1780" t="str">
        <x:v>Planning &amp; estimation / coordination complexity, Resource inefficiency (materials/labor/energy), Unforeseen site/structural issues &amp; rework</x:v>
      </x:c>
      <x:c r="E1780" t="str">
        <x:v>Planning &amp; estimation / coordination complexity</x:v>
      </x:c>
      <x:c r="F1780" t="str">
        <x:v>Unforeseen site/structural issues &amp; rework</x:v>
      </x:c>
      <x:c r="G1780" t="str">
        <x:v>Planning &amp; estimation / coordination complexity, Unforeseen site/structural issues &amp; rework, Resource inefficiency (materials/labor/energy)</x:v>
      </x:c>
      <x:c r="H1780" t="str">
        <x:v>Cost overrun mainly linked to planning &amp; estimation / coordination complexity; schedule overrun mainly linked to planning &amp; estimation / coordination complexity.</x:v>
      </x:c>
    </x:row>
    <x:row r="1781">
      <x:c r="A1781" t="str">
        <x:v>PJT_1780</x:v>
      </x:c>
      <x:c r="B1781" t="str">
        <x:v>Planning &amp; estimation / coordination complexity</x:v>
      </x:c>
      <x:c r="C1781" t="str">
        <x:v>Equipment constraints / low availability</x:v>
      </x:c>
      <x:c r="D1781" t="str">
        <x:v>Planning &amp; estimation / coordination complexity, Equipment constraints / low availability, Resource inefficiency (materials/labor/energy)</x:v>
      </x:c>
      <x:c r="E1781" t="str">
        <x:v>Resource inefficiency (materials/labor/energy)</x:v>
      </x:c>
      <x:c r="F1781" t="str">
        <x:v>Equipment constraints / low availability</x:v>
      </x:c>
      <x:c r="G1781" t="str">
        <x:v>Resource inefficiency (materials/labor/energy), Equipment constraints / low availability, Planning &amp; estimation / coordination complexity</x:v>
      </x:c>
      <x:c r="H1781" t="str">
        <x:v>Cost overrun mainly linked to planning &amp; estimation / coordination complexity; schedule overrun mainly linked to resource inefficiency (materials/labor/energy).</x:v>
      </x:c>
    </x:row>
    <x:row r="1782">
      <x:c r="A1782" t="str">
        <x:v>PJT_1781</x:v>
      </x:c>
      <x:c r="B1782" t="str">
        <x:v>Unforeseen site/structural issues &amp; rework</x:v>
      </x:c>
      <x:c r="C1782" t="str">
        <x:v>Weather disruption / environmental constraints</x:v>
      </x:c>
      <x:c r="D1782" t="str">
        <x:v>Unforeseen site/structural issues &amp; rework, Weather disruption / environmental constraints, Equipment constraints / low availability</x:v>
      </x:c>
      <x:c r="E1782" t="str">
        <x:v>Unforeseen site/structural issues &amp; rework</x:v>
      </x:c>
      <x:c r="F1782" t="str">
        <x:v>Weather disruption / environmental constraints</x:v>
      </x:c>
      <x:c r="G1782" t="str">
        <x:v>Unforeseen site/structural issues &amp; rework, Weather disruption / environmental constraints, Equipment constraints / low availability</x:v>
      </x:c>
      <x:c r="H1782" t="str">
        <x:v>Cost overrun mainly linked to unforeseen site/structural issues &amp; rework; schedule overrun mainly linked to unforeseen site/structural issues &amp; rework.</x:v>
      </x:c>
    </x:row>
    <x:row r="1783">
      <x:c r="A1783" t="str">
        <x:v>PJT_1782</x:v>
      </x:c>
      <x:c r="B1783" t="str">
        <x:v>Unforeseen site/structural issues &amp; rework</x:v>
      </x:c>
      <x:c r="C1783" t="str">
        <x:v>Planning &amp; estimation / coordination complexity</x:v>
      </x:c>
      <x:c r="D1783" t="str">
        <x:v>Unforeseen site/structural issues &amp; rework, Planning &amp; estimation / coordination complexity, Equipment constraints / low availability</x:v>
      </x:c>
      <x:c r="E1783" t="str">
        <x:v>Unforeseen site/structural issues &amp; rework</x:v>
      </x:c>
      <x:c r="F1783" t="str">
        <x:v>Planning &amp; estimation / coordination complexity</x:v>
      </x:c>
      <x:c r="G1783" t="str">
        <x:v>Unforeseen site/structural issues &amp; rework, Planning &amp; estimation / coordination complexity, Equipment constraints / low availability</x:v>
      </x:c>
      <x:c r="H1783" t="str">
        <x:v>Cost overrun mainly linked to unforeseen site/structural issues &amp; rework; schedule overrun mainly linked to unforeseen site/structural issues &amp; rework.</x:v>
      </x:c>
    </x:row>
    <x:row r="1784">
      <x:c r="A1784" t="str">
        <x:v>PJT_1783</x:v>
      </x:c>
      <x:c r="B1784" t="str">
        <x:v>Weather disruption / environmental constraints</x:v>
      </x:c>
      <x:c r="C1784" t="str">
        <x:v>Equipment constraints / low availability</x:v>
      </x:c>
      <x:c r="D1784" t="str">
        <x:v>Weather disruption / environmental constraints, Equipment constraints / low availability, Material supply / logistics &amp; market disruption</x:v>
      </x:c>
      <x:c r="E1784" t="str">
        <x:v>Weather disruption / environmental constraints</x:v>
      </x:c>
      <x:c r="F1784" t="str">
        <x:v>Equipment constraints / low availability</x:v>
      </x:c>
      <x:c r="G1784" t="str">
        <x:v>Weather disruption / environmental constraints, Equipment constraints / low availability, Material supply / logistics &amp; market disruption</x:v>
      </x:c>
      <x:c r="H1784" t="str">
        <x:v>Cost overrun mainly linked to weather disruption / environmental constraints; schedule overrun mainly linked to weather disruption / environmental constraints.</x:v>
      </x:c>
    </x:row>
    <x:row r="1785">
      <x:c r="A1785" t="str">
        <x:v>PJT_1784</x:v>
      </x:c>
      <x:c r="B1785" t="str">
        <x:v>Unforeseen site/structural issues &amp; rework</x:v>
      </x:c>
      <x:c r="C1785" t="str">
        <x:v>Weather disruption / environmental constraints</x:v>
      </x:c>
      <x:c r="D1785" t="str">
        <x:v>Unforeseen site/structural issues &amp; rework, Weather disruption / environmental constraints, Planning &amp; estimation / coordination complexity</x:v>
      </x:c>
      <x:c r="E1785" t="str">
        <x:v>Unforeseen site/structural issues &amp; rework</x:v>
      </x:c>
      <x:c r="F1785" t="str">
        <x:v>Weather disruption / environmental constraints</x:v>
      </x:c>
      <x:c r="G1785" t="str">
        <x:v>Unforeseen site/structural issues &amp; rework, Weather disruption / environmental constraints, Planning &amp; estimation / coordination complexity</x:v>
      </x:c>
      <x:c r="H1785" t="str">
        <x:v>Cost overrun mainly linked to unforeseen site/structural issues &amp; rework; schedule overrun mainly linked to unforeseen site/structural issues &amp; rework.</x:v>
      </x:c>
    </x:row>
    <x:row r="1786">
      <x:c r="A1786" t="str">
        <x:v>PJT_1785</x:v>
      </x:c>
      <x:c r="B1786" t="str">
        <x:v>Material supply / logistics &amp; market disruption</x:v>
      </x:c>
      <x:c r="C1786" t="str">
        <x:v>Unforeseen site/structural issues &amp; rework</x:v>
      </x:c>
      <x:c r="D1786" t="str">
        <x:v>Material supply / logistics &amp; market disruption, Unforeseen site/structural issues &amp; rework, Resource inefficiency (materials/labor/energy)</x:v>
      </x:c>
      <x:c r="E1786" t="str">
        <x:v>Unforeseen site/structural issues &amp; rework</x:v>
      </x:c>
      <x:c r="F1786" t="str">
        <x:v>Material supply / logistics &amp; market disruption</x:v>
      </x:c>
      <x:c r="G1786" t="str">
        <x:v>Unforeseen site/structural issues &amp; rework, Material supply / logistics &amp; market disruption, Planning &amp; estimation / coordination complexity</x:v>
      </x:c>
      <x:c r="H1786" t="str">
        <x:v>Cost overrun mainly linked to material supply / logistics &amp; market disruption; schedule overrun mainly linked to unforeseen site/structural issues &amp; rework.</x:v>
      </x:c>
    </x:row>
    <x:row r="1787">
      <x:c r="A1787" t="str">
        <x:v>PJT_1786</x:v>
      </x:c>
      <x:c r="B1787" t="str">
        <x:v>Planning &amp; estimation / coordination complexity</x:v>
      </x:c>
      <x:c r="C1787" t="str">
        <x:v>Equipment constraints / low availability</x:v>
      </x:c>
      <x:c r="D1787" t="str">
        <x:v>Planning &amp; estimation / coordination complexity, Equipment constraints / low availability, Weather disruption / environmental constraints</x:v>
      </x:c>
      <x:c r="E1787" t="str">
        <x:v>Planning &amp; estimation / coordination complexity</x:v>
      </x:c>
      <x:c r="F1787" t="str">
        <x:v>Equipment constraints / low availability</x:v>
      </x:c>
      <x:c r="G1787" t="str">
        <x:v>Planning &amp; estimation / coordination complexity, Equipment constraints / low availability, Weather disruption / environmental constraints</x:v>
      </x:c>
      <x:c r="H1787" t="str">
        <x:v>Cost overrun mainly linked to planning &amp; estimation / coordination complexity; schedule overrun mainly linked to planning &amp; estimation / coordination complexity.</x:v>
      </x:c>
    </x:row>
    <x:row r="1788">
      <x:c r="A1788" t="str">
        <x:v>PJT_1787</x:v>
      </x:c>
      <x:c r="B1788" t="str">
        <x:v>Unforeseen site/structural issues &amp; rework</x:v>
      </x:c>
      <x:c r="C1788" t="str">
        <x:v>Planning &amp; estimation / coordination complexity</x:v>
      </x:c>
      <x:c r="D1788" t="str">
        <x:v>Unforeseen site/structural issues &amp; rework, Planning &amp; estimation / coordination complexity, Equipment constraints / low availability</x:v>
      </x:c>
      <x:c r="E1788" t="str">
        <x:v>Unforeseen site/structural issues &amp; rework</x:v>
      </x:c>
      <x:c r="F1788" t="str">
        <x:v>Planning &amp; estimation / coordination complexity</x:v>
      </x:c>
      <x:c r="G1788" t="str">
        <x:v>Unforeseen site/structural issues &amp; rework, Planning &amp; estimation / coordination complexity, Equipment constraints / low availability</x:v>
      </x:c>
      <x:c r="H1788" t="str">
        <x:v>Cost overrun mainly linked to unforeseen site/structural issues &amp; rework; schedule overrun mainly linked to unforeseen site/structural issues &amp; rework.</x:v>
      </x:c>
    </x:row>
    <x:row r="1789">
      <x:c r="A1789" t="str">
        <x:v>PJT_1788</x:v>
      </x:c>
      <x:c r="B1789" t="str">
        <x:v>Resource inefficiency (materials/labor/energy)</x:v>
      </x:c>
      <x:c r="C1789" t="str">
        <x:v>Material supply / logistics &amp; market disruption</x:v>
      </x:c>
      <x:c r="D1789" t="str">
        <x:v>Resource inefficiency (materials/labor/energy), Material supply / logistics &amp; market disruption, Equipment constraints / low availability</x:v>
      </x:c>
      <x:c r="E1789" t="str">
        <x:v>Resource inefficiency (materials/labor/energy)</x:v>
      </x:c>
      <x:c r="F1789" t="str">
        <x:v>Material supply / logistics &amp; market disruption</x:v>
      </x:c>
      <x:c r="G1789" t="str">
        <x:v>Resource inefficiency (materials/labor/energy), Material supply / logistics &amp; market disruption, Equipment constraints / low availability</x:v>
      </x:c>
      <x:c r="H1789" t="str">
        <x:v>Cost overrun mainly linked to resource inefficiency (materials/labor/energy); schedule overrun mainly linked to resource inefficiency (materials/labor/energy).</x:v>
      </x:c>
    </x:row>
    <x:row r="1790">
      <x:c r="A1790" t="str">
        <x:v>PJT_1789</x:v>
      </x:c>
      <x:c r="B1790" t="str">
        <x:v>Resource inefficiency (materials/labor/energy)</x:v>
      </x:c>
      <x:c r="C1790" t="str">
        <x:v>Material supply / logistics &amp; market disruption</x:v>
      </x:c>
      <x:c r="D1790" t="str">
        <x:v>Resource inefficiency (materials/labor/energy), Material supply / logistics &amp; market disruption, Equipment constraints / low availability</x:v>
      </x:c>
      <x:c r="E1790" t="str">
        <x:v>Resource inefficiency (materials/labor/energy)</x:v>
      </x:c>
      <x:c r="F1790" t="str">
        <x:v>Equipment constraints / low availability</x:v>
      </x:c>
      <x:c r="G1790" t="str">
        <x:v>Resource inefficiency (materials/labor/energy), Equipment constraints / low availability, Planning &amp; estimation / coordination complexity</x:v>
      </x:c>
      <x:c r="H1790" t="str">
        <x:v>Cost overrun mainly linked to resource inefficiency (materials/labor/energy); schedule overrun mainly linked to resource inefficiency (materials/labor/energy).</x:v>
      </x:c>
    </x:row>
    <x:row r="1791">
      <x:c r="A1791" t="str">
        <x:v>PJT_1790</x:v>
      </x:c>
      <x:c r="B1791" t="str">
        <x:v>Unforeseen site/structural issues &amp; rework</x:v>
      </x:c>
      <x:c r="C1791" t="str">
        <x:v>Planning &amp; estimation / coordination complexity</x:v>
      </x:c>
      <x:c r="D1791" t="str">
        <x:v>Unforeseen site/structural issues &amp; rework, Planning &amp; estimation / coordination complexity, Material supply / logistics &amp; market disruption</x:v>
      </x:c>
      <x:c r="E1791" t="str">
        <x:v>Unforeseen site/structural issues &amp; rework</x:v>
      </x:c>
      <x:c r="F1791" t="str">
        <x:v>Planning &amp; estimation / coordination complexity</x:v>
      </x:c>
      <x:c r="G1791" t="str">
        <x:v>Unforeseen site/structural issues &amp; rework, Planning &amp; estimation / coordination complexity, Material supply / logistics &amp; market disruption</x:v>
      </x:c>
      <x:c r="H1791" t="str">
        <x:v>Cost overrun mainly linked to unforeseen site/structural issues &amp; rework; schedule overrun mainly linked to unforeseen site/structural issues &amp; rework.</x:v>
      </x:c>
    </x:row>
    <x:row r="1792">
      <x:c r="A1792" t="str">
        <x:v>PJT_1791</x:v>
      </x:c>
      <x:c r="B1792" t="str">
        <x:v>Unforeseen site/structural issues &amp; rework</x:v>
      </x:c>
      <x:c r="C1792" t="str">
        <x:v>Weather disruption / environmental constraints</x:v>
      </x:c>
      <x:c r="D1792" t="str">
        <x:v>Unforeseen site/structural issues &amp; rework, Weather disruption / environmental constraints, Equipment constraints / low availability</x:v>
      </x:c>
      <x:c r="E1792" t="str">
        <x:v>Unforeseen site/structural issues &amp; rework</x:v>
      </x:c>
      <x:c r="F1792" t="str">
        <x:v>Weather disruption / environmental constraints</x:v>
      </x:c>
      <x:c r="G1792" t="str">
        <x:v>Unforeseen site/structural issues &amp; rework, Weather disruption / environmental constraints, Material supply / logistics &amp; market disruption</x:v>
      </x:c>
      <x:c r="H1792" t="str">
        <x:v>Cost overrun mainly linked to unforeseen site/structural issues &amp; rework; schedule overrun mainly linked to unforeseen site/structural issues &amp; rework.</x:v>
      </x:c>
    </x:row>
    <x:row r="1793">
      <x:c r="A1793" t="str">
        <x:v>PJT_1792</x:v>
      </x:c>
      <x:c r="B1793" t="str">
        <x:v>Resource inefficiency (materials/labor/energy)</x:v>
      </x:c>
      <x:c r="C1793" t="str">
        <x:v>Equipment constraints / low availability</x:v>
      </x:c>
      <x:c r="D1793" t="str">
        <x:v>Resource inefficiency (materials/labor/energy), Equipment constraints / low availability, Planning &amp; estimation / coordination complexity</x:v>
      </x:c>
      <x:c r="E1793" t="str">
        <x:v>Resource inefficiency (materials/labor/energy)</x:v>
      </x:c>
      <x:c r="F1793" t="str">
        <x:v>Equipment constraints / low availability</x:v>
      </x:c>
      <x:c r="G1793" t="str">
        <x:v>Resource inefficiency (materials/labor/energy), Equipment constraints / low availability, Planning &amp; estimation / coordination complexity</x:v>
      </x:c>
      <x:c r="H1793" t="str">
        <x:v>Cost overrun mainly linked to resource inefficiency (materials/labor/energy); schedule overrun mainly linked to resource inefficiency (materials/labor/energy).</x:v>
      </x:c>
    </x:row>
    <x:row r="1794">
      <x:c r="A1794" t="str">
        <x:v>PJT_1793</x:v>
      </x:c>
      <x:c r="B1794" t="str">
        <x:v>Resource inefficiency (materials/labor/energy)</x:v>
      </x:c>
      <x:c r="C1794" t="str">
        <x:v>Equipment constraints / low availability</x:v>
      </x:c>
      <x:c r="D1794" t="str">
        <x:v>Resource inefficiency (materials/labor/energy), Equipment constraints / low availability, Planning &amp; estimation / coordination complexity</x:v>
      </x:c>
      <x:c r="E1794" t="str">
        <x:v>Resource inefficiency (materials/labor/energy)</x:v>
      </x:c>
      <x:c r="F1794" t="str">
        <x:v>Equipment constraints / low availability</x:v>
      </x:c>
      <x:c r="G1794" t="str">
        <x:v>Resource inefficiency (materials/labor/energy), Equipment constraints / low availability, Planning &amp; estimation / coordination complexity</x:v>
      </x:c>
      <x:c r="H1794" t="str">
        <x:v>Cost overrun mainly linked to resource inefficiency (materials/labor/energy); schedule overrun mainly linked to resource inefficiency (materials/labor/energy).</x:v>
      </x:c>
    </x:row>
    <x:row r="1795">
      <x:c r="A1795" t="str">
        <x:v>PJT_1794</x:v>
      </x:c>
      <x:c r="B1795" t="str">
        <x:v>Resource inefficiency (materials/labor/energy)</x:v>
      </x:c>
      <x:c r="C1795" t="str">
        <x:v>Planning &amp; estimation / coordination complexity</x:v>
      </x:c>
      <x:c r="D1795" t="str">
        <x:v>Resource inefficiency (materials/labor/energy), Planning &amp; estimation / coordination complexity, Unforeseen site/structural issues &amp; rework</x:v>
      </x:c>
      <x:c r="E1795" t="str">
        <x:v>Planning &amp; estimation / coordination complexity</x:v>
      </x:c>
      <x:c r="F1795" t="str">
        <x:v>Unforeseen site/structural issues &amp; rework</x:v>
      </x:c>
      <x:c r="G1795" t="str">
        <x:v>Planning &amp; estimation / coordination complexity, Unforeseen site/structural issues &amp; rework, Resource inefficiency (materials/labor/energy)</x:v>
      </x:c>
      <x:c r="H1795" t="str">
        <x:v>Cost overrun mainly linked to resource inefficiency (materials/labor/energy); schedule overrun mainly linked to planning &amp; estimation / coordination complexity.</x:v>
      </x:c>
    </x:row>
    <x:row r="1796">
      <x:c r="A1796" t="str">
        <x:v>PJT_1795</x:v>
      </x:c>
      <x:c r="B1796" t="str">
        <x:v>Resource inefficiency (materials/labor/energy)</x:v>
      </x:c>
      <x:c r="C1796" t="str">
        <x:v>Planning &amp; estimation / coordination complexity</x:v>
      </x:c>
      <x:c r="D1796" t="str">
        <x:v>Resource inefficiency (materials/labor/energy), Planning &amp; estimation / coordination complexity, Material supply / logistics &amp; market disruption</x:v>
      </x:c>
      <x:c r="E1796" t="str">
        <x:v>Resource inefficiency (materials/labor/energy)</x:v>
      </x:c>
      <x:c r="F1796" t="str">
        <x:v>Planning &amp; estimation / coordination complexity</x:v>
      </x:c>
      <x:c r="G1796" t="str">
        <x:v>Resource inefficiency (materials/labor/energy), Planning &amp; estimation / coordination complexity, Equipment constraints / low availability</x:v>
      </x:c>
      <x:c r="H1796" t="str">
        <x:v>Cost overrun mainly linked to resource inefficiency (materials/labor/energy); schedule overrun mainly linked to resource inefficiency (materials/labor/energy).</x:v>
      </x:c>
    </x:row>
    <x:row r="1797">
      <x:c r="A1797" t="str">
        <x:v>PJT_1796</x:v>
      </x:c>
      <x:c r="B1797" t="str">
        <x:v>Resource inefficiency (materials/labor/energy)</x:v>
      </x:c>
      <x:c r="C1797" t="str">
        <x:v>Equipment constraints / low availability</x:v>
      </x:c>
      <x:c r="D1797" t="str">
        <x:v>Resource inefficiency (materials/labor/energy), Equipment constraints / low availability, Planning &amp; estimation / coordination complexity</x:v>
      </x:c>
      <x:c r="E1797" t="str">
        <x:v>Resource inefficiency (materials/labor/energy)</x:v>
      </x:c>
      <x:c r="F1797" t="str">
        <x:v>Equipment constraints / low availability</x:v>
      </x:c>
      <x:c r="G1797" t="str">
        <x:v>Resource inefficiency (materials/labor/energy), Equipment constraints / low availability, Planning &amp; estimation / coordination complexity</x:v>
      </x:c>
      <x:c r="H1797" t="str">
        <x:v>Cost overrun mainly linked to resource inefficiency (materials/labor/energy); schedule overrun mainly linked to resource inefficiency (materials/labor/energy).</x:v>
      </x:c>
    </x:row>
    <x:row r="1798">
      <x:c r="A1798" t="str">
        <x:v>PJT_1797</x:v>
      </x:c>
      <x:c r="B1798" t="str">
        <x:v>Resource inefficiency (materials/labor/energy)</x:v>
      </x:c>
      <x:c r="C1798" t="str">
        <x:v>Planning &amp; estimation / coordination complexity</x:v>
      </x:c>
      <x:c r="D1798" t="str">
        <x:v>Resource inefficiency (materials/labor/energy), Planning &amp; estimation / coordination complexity, Equipment constraints / low availability</x:v>
      </x:c>
      <x:c r="E1798" t="str">
        <x:v>Planning &amp; estimation / coordination complexity</x:v>
      </x:c>
      <x:c r="F1798" t="str">
        <x:v>Resource inefficiency (materials/labor/energy)</x:v>
      </x:c>
      <x:c r="G1798" t="str">
        <x:v>Planning &amp; estimation / coordination complexity, Resource inefficiency (materials/labor/energy), Equipment constraints / low availability</x:v>
      </x:c>
      <x:c r="H1798" t="str">
        <x:v>Cost overrun mainly linked to resource inefficiency (materials/labor/energy); schedule overrun mainly linked to planning &amp; estimation / coordination complexity.</x:v>
      </x:c>
    </x:row>
    <x:row r="1799">
      <x:c r="A1799" t="str">
        <x:v>PJT_1798</x:v>
      </x:c>
      <x:c r="B1799" t="str">
        <x:v>Planning &amp; estimation / coordination complexity</x:v>
      </x:c>
      <x:c r="C1799" t="str">
        <x:v>Unforeseen site/structural issues &amp; rework</x:v>
      </x:c>
      <x:c r="D1799" t="str">
        <x:v>Planning &amp; estimation / coordination complexity, Unforeseen site/structural issues &amp; rework, Weather disruption / environmental constraints</x:v>
      </x:c>
      <x:c r="E1799" t="str">
        <x:v>Planning &amp; estimation / coordination complexity</x:v>
      </x:c>
      <x:c r="F1799" t="str">
        <x:v>Unforeseen site/structural issues &amp; rework</x:v>
      </x:c>
      <x:c r="G1799" t="str">
        <x:v>Planning &amp; estimation / coordination complexity, Unforeseen site/structural issues &amp; rework, Weather disruption / environmental constraints</x:v>
      </x:c>
      <x:c r="H1799" t="str">
        <x:v>Cost overrun mainly linked to planning &amp; estimation / coordination complexity; schedule overrun mainly linked to planning &amp; estimation / coordination complexity.</x:v>
      </x:c>
    </x:row>
    <x:row r="1800">
      <x:c r="A1800" t="str">
        <x:v>PJT_1799</x:v>
      </x:c>
      <x:c r="B1800" t="str">
        <x:v>Unforeseen site/structural issues &amp; rework</x:v>
      </x:c>
      <x:c r="C1800" t="str">
        <x:v>Weather disruption / environmental constraints</x:v>
      </x:c>
      <x:c r="D1800" t="str">
        <x:v>Unforeseen site/structural issues &amp; rework, Weather disruption / environmental constraints, Material supply / logistics &amp; market disruption</x:v>
      </x:c>
      <x:c r="E1800" t="str">
        <x:v>Unforeseen site/structural issues &amp; rework</x:v>
      </x:c>
      <x:c r="F1800" t="str">
        <x:v>Weather disruption / environmental constraints</x:v>
      </x:c>
      <x:c r="G1800" t="str">
        <x:v>Unforeseen site/structural issues &amp; rework, Weather disruption / environmental constraints, Material supply / logistics &amp; market disruption</x:v>
      </x:c>
      <x:c r="H1800" t="str">
        <x:v>Cost overrun mainly linked to unforeseen site/structural issues &amp; rework; schedule overrun mainly linked to unforeseen site/structural issues &amp; rework.</x:v>
      </x:c>
    </x:row>
    <x:row r="1801">
      <x:c r="A1801" t="str">
        <x:v>PJT_1800</x:v>
      </x:c>
      <x:c r="B1801" t="str">
        <x:v>Unforeseen site/structural issues &amp; rework</x:v>
      </x:c>
      <x:c r="C1801" t="str">
        <x:v>Planning &amp; estimation / coordination complexity</x:v>
      </x:c>
      <x:c r="D1801" t="str">
        <x:v>Unforeseen site/structural issues &amp; rework, Planning &amp; estimation / coordination complexity, Resource inefficiency (materials/labor/energy)</x:v>
      </x:c>
      <x:c r="E1801" t="str">
        <x:v>Unforeseen site/structural issues &amp; rework</x:v>
      </x:c>
      <x:c r="F1801" t="str">
        <x:v>Planning &amp; estimation / coordination complexity</x:v>
      </x:c>
      <x:c r="G1801" t="str">
        <x:v>Unforeseen site/structural issues &amp; rework, Planning &amp; estimation / coordination complexity, Resource inefficiency (materials/labor/energy)</x:v>
      </x:c>
      <x:c r="H1801" t="str">
        <x:v>Cost overrun mainly linked to unforeseen site/structural issues &amp; rework; schedule overrun mainly linked to unforeseen site/structural issues &amp; rework.</x:v>
      </x:c>
    </x:row>
    <x:row r="1802">
      <x:c r="A1802" t="str">
        <x:v>PJT_1801</x:v>
      </x:c>
      <x:c r="B1802" t="str">
        <x:v>Equipment constraints / low availability</x:v>
      </x:c>
      <x:c r="C1802" t="str">
        <x:v>Weather disruption / environmental constraints</x:v>
      </x:c>
      <x:c r="D1802" t="str">
        <x:v>Equipment constraints / low availability, Weather disruption / environmental constraints, Unforeseen site/structural issues &amp; rework</x:v>
      </x:c>
      <x:c r="E1802" t="str">
        <x:v>Equipment constraints / low availability</x:v>
      </x:c>
      <x:c r="F1802" t="str">
        <x:v>Weather disruption / environmental constraints</x:v>
      </x:c>
      <x:c r="G1802" t="str">
        <x:v>Equipment constraints / low availability, Weather disruption / environmental constraints, Unforeseen site/structural issues &amp; rework</x:v>
      </x:c>
      <x:c r="H1802" t="str">
        <x:v>Cost overrun mainly linked to equipment constraints / low availability; schedule overrun mainly linked to equipment constraints / low availability.</x:v>
      </x:c>
    </x:row>
    <x:row r="1803">
      <x:c r="A1803" t="str">
        <x:v>PJT_1802</x:v>
      </x:c>
      <x:c r="B1803" t="str">
        <x:v>Planning &amp; estimation / coordination complexity</x:v>
      </x:c>
      <x:c r="C1803" t="str">
        <x:v>Unforeseen site/structural issues &amp; rework</x:v>
      </x:c>
      <x:c r="D1803" t="str">
        <x:v>Planning &amp; estimation / coordination complexity, Unforeseen site/structural issues &amp; rework, Weather disruption / environmental constraints</x:v>
      </x:c>
      <x:c r="E1803" t="str">
        <x:v>Planning &amp; estimation / coordination complexity</x:v>
      </x:c>
      <x:c r="F1803" t="str">
        <x:v>Unforeseen site/structural issues &amp; rework</x:v>
      </x:c>
      <x:c r="G1803" t="str">
        <x:v>Planning &amp; estimation / coordination complexity, Unforeseen site/structural issues &amp; rework, Weather disruption / environmental constraints</x:v>
      </x:c>
      <x:c r="H1803" t="str">
        <x:v>Cost overrun mainly linked to planning &amp; estimation / coordination complexity; schedule overrun mainly linked to planning &amp; estimation / coordination complexity.</x:v>
      </x:c>
    </x:row>
    <x:row r="1804">
      <x:c r="A1804" t="str">
        <x:v>PJT_1803</x:v>
      </x:c>
      <x:c r="B1804" t="str">
        <x:v>Material supply / logistics &amp; market disruption</x:v>
      </x:c>
      <x:c r="C1804" t="str">
        <x:v>Resource inefficiency (materials/labor/energy)</x:v>
      </x:c>
      <x:c r="D1804" t="str">
        <x:v>Material supply / logistics &amp; market disruption, Resource inefficiency (materials/labor/energy), Unforeseen site/structural issues &amp; rework</x:v>
      </x:c>
      <x:c r="E1804" t="str">
        <x:v>Resource inefficiency (materials/labor/energy)</x:v>
      </x:c>
      <x:c r="F1804" t="str">
        <x:v>Material supply / logistics &amp; market disruption</x:v>
      </x:c>
      <x:c r="G1804" t="str">
        <x:v>Resource inefficiency (materials/labor/energy), Material supply / logistics &amp; market disruption, Weather disruption / environmental constraints</x:v>
      </x:c>
      <x:c r="H1804" t="str">
        <x:v>Cost overrun mainly linked to material supply / logistics &amp; market disruption; schedule overrun mainly linked to resource inefficiency (materials/labor/energy).</x:v>
      </x:c>
    </x:row>
    <x:row r="1805">
      <x:c r="A1805" t="str">
        <x:v>PJT_1804</x:v>
      </x:c>
      <x:c r="B1805" t="str">
        <x:v>Unforeseen site/structural issues &amp; rework</x:v>
      </x:c>
      <x:c r="C1805" t="str">
        <x:v>Weather disruption / environmental constraints</x:v>
      </x:c>
      <x:c r="D1805" t="str">
        <x:v>Unforeseen site/structural issues &amp; rework, Weather disruption / environmental constraints, Equipment constraints / low availability</x:v>
      </x:c>
      <x:c r="E1805" t="str">
        <x:v>Unforeseen site/structural issues &amp; rework</x:v>
      </x:c>
      <x:c r="F1805" t="str">
        <x:v>Weather disruption / environmental constraints</x:v>
      </x:c>
      <x:c r="G1805" t="str">
        <x:v>Unforeseen site/structural issues &amp; rework, Weather disruption / environmental constraints, Equipment constraints / low availability</x:v>
      </x:c>
      <x:c r="H1805" t="str">
        <x:v>Cost overrun mainly linked to unforeseen site/structural issues &amp; rework; schedule overrun mainly linked to unforeseen site/structural issues &amp; rework.</x:v>
      </x:c>
    </x:row>
    <x:row r="1806">
      <x:c r="A1806" t="str">
        <x:v>PJT_1805</x:v>
      </x:c>
      <x:c r="B1806" t="str">
        <x:v>Resource inefficiency (materials/labor/energy)</x:v>
      </x:c>
      <x:c r="C1806" t="str">
        <x:v>Material supply / logistics &amp; market disruption</x:v>
      </x:c>
      <x:c r="D1806" t="str">
        <x:v>Resource inefficiency (materials/labor/energy), Material supply / logistics &amp; market disruption, Planning &amp; estimation / coordination complexity</x:v>
      </x:c>
      <x:c r="E1806" t="str">
        <x:v>Resource inefficiency (materials/labor/energy)</x:v>
      </x:c>
      <x:c r="F1806" t="str">
        <x:v>Material supply / logistics &amp; market disruption</x:v>
      </x:c>
      <x:c r="G1806" t="str">
        <x:v>Resource inefficiency (materials/labor/energy), Material supply / logistics &amp; market disruption, Planning &amp; estimation / coordination complexity</x:v>
      </x:c>
      <x:c r="H1806" t="str">
        <x:v>Cost overrun mainly linked to resource inefficiency (materials/labor/energy); schedule overrun mainly linked to resource inefficiency (materials/labor/energy).</x:v>
      </x:c>
    </x:row>
    <x:row r="1807">
      <x:c r="A1807" t="str">
        <x:v>PJT_1806</x:v>
      </x:c>
      <x:c r="B1807" t="str">
        <x:v>Weather disruption / environmental constraints</x:v>
      </x:c>
      <x:c r="C1807" t="str">
        <x:v>Unforeseen site/structural issues &amp; rework</x:v>
      </x:c>
      <x:c r="D1807" t="str">
        <x:v>Weather disruption / environmental constraints, Unforeseen site/structural issues &amp; rework, Material supply / logistics &amp; market disruption</x:v>
      </x:c>
      <x:c r="E1807" t="str">
        <x:v>Weather disruption / environmental constraints</x:v>
      </x:c>
      <x:c r="F1807" t="str">
        <x:v>Material supply / logistics &amp; market disruption</x:v>
      </x:c>
      <x:c r="G1807" t="str">
        <x:v>Weather disruption / environmental constraints, Material supply / logistics &amp; market disruption, Unforeseen site/structural issues &amp; rework</x:v>
      </x:c>
      <x:c r="H1807" t="str">
        <x:v>Cost overrun mainly linked to weather disruption / environmental constraints; schedule overrun mainly linked to weather disruption / environmental constraints.</x:v>
      </x:c>
    </x:row>
    <x:row r="1808">
      <x:c r="A1808" t="str">
        <x:v>PJT_1807</x:v>
      </x:c>
      <x:c r="B1808" t="str">
        <x:v>Resource inefficiency (materials/labor/energy)</x:v>
      </x:c>
      <x:c r="C1808" t="str">
        <x:v>Equipment constraints / low availability</x:v>
      </x:c>
      <x:c r="D1808" t="str">
        <x:v>Resource inefficiency (materials/labor/energy), Equipment constraints / low availability, Planning &amp; estimation / coordination complexity</x:v>
      </x:c>
      <x:c r="E1808" t="str">
        <x:v>Resource inefficiency (materials/labor/energy)</x:v>
      </x:c>
      <x:c r="F1808" t="str">
        <x:v>Equipment constraints / low availability</x:v>
      </x:c>
      <x:c r="G1808" t="str">
        <x:v>Resource inefficiency (materials/labor/energy), Equipment constraints / low availability, Planning &amp; estimation / coordination complexity</x:v>
      </x:c>
      <x:c r="H1808" t="str">
        <x:v>Cost overrun mainly linked to resource inefficiency (materials/labor/energy); schedule overrun mainly linked to resource inefficiency (materials/labor/energy).</x:v>
      </x:c>
    </x:row>
    <x:row r="1809">
      <x:c r="A1809" t="str">
        <x:v>PJT_1808</x:v>
      </x:c>
      <x:c r="B1809" t="str">
        <x:v>Planning &amp; estimation / coordination complexity</x:v>
      </x:c>
      <x:c r="C1809" t="str">
        <x:v>Equipment constraints / low availability</x:v>
      </x:c>
      <x:c r="D1809" t="str">
        <x:v>Planning &amp; estimation / coordination complexity, Equipment constraints / low availability, Weather disruption / environmental constraints</x:v>
      </x:c>
      <x:c r="E1809" t="str">
        <x:v>Planning &amp; estimation / coordination complexity</x:v>
      </x:c>
      <x:c r="F1809" t="str">
        <x:v>Equipment constraints / low availability</x:v>
      </x:c>
      <x:c r="G1809" t="str">
        <x:v>Planning &amp; estimation / coordination complexity, Equipment constraints / low availability, Weather disruption / environmental constraints</x:v>
      </x:c>
      <x:c r="H1809" t="str">
        <x:v>Cost overrun mainly linked to planning &amp; estimation / coordination complexity; schedule overrun mainly linked to planning &amp; estimation / coordination complexity.</x:v>
      </x:c>
    </x:row>
    <x:row r="1810">
      <x:c r="A1810" t="str">
        <x:v>PJT_1809</x:v>
      </x:c>
      <x:c r="B1810" t="str">
        <x:v>Unforeseen site/structural issues &amp; rework</x:v>
      </x:c>
      <x:c r="C1810" t="str">
        <x:v>Weather disruption / environmental constraints</x:v>
      </x:c>
      <x:c r="D1810" t="str">
        <x:v>Unforeseen site/structural issues &amp; rework, Weather disruption / environmental constraints, Planning &amp; estimation / coordination complexity</x:v>
      </x:c>
      <x:c r="E1810" t="str">
        <x:v>Unforeseen site/structural issues &amp; rework</x:v>
      </x:c>
      <x:c r="F1810" t="str">
        <x:v>Planning &amp; estimation / coordination complexity</x:v>
      </x:c>
      <x:c r="G1810" t="str">
        <x:v>Unforeseen site/structural issues &amp; rework, Planning &amp; estimation / coordination complexity, Weather disruption / environmental constraints</x:v>
      </x:c>
      <x:c r="H1810" t="str">
        <x:v>Cost overrun mainly linked to unforeseen site/structural issues &amp; rework; schedule overrun mainly linked to unforeseen site/structural issues &amp; rework.</x:v>
      </x:c>
    </x:row>
    <x:row r="1811">
      <x:c r="A1811" t="str">
        <x:v>PJT_1810</x:v>
      </x:c>
      <x:c r="B1811" t="str">
        <x:v>Weather disruption / environmental constraints</x:v>
      </x:c>
      <x:c r="C1811" t="str">
        <x:v>Unforeseen site/structural issues &amp; rework</x:v>
      </x:c>
      <x:c r="D1811" t="str">
        <x:v>Weather disruption / environmental constraints, Unforeseen site/structural issues &amp; rework, Equipment constraints / low availability</x:v>
      </x:c>
      <x:c r="E1811" t="str">
        <x:v>Weather disruption / environmental constraints</x:v>
      </x:c>
      <x:c r="F1811" t="str">
        <x:v>Equipment constraints / low availability</x:v>
      </x:c>
      <x:c r="G1811" t="str">
        <x:v>Weather disruption / environmental constraints, Equipment constraints / low availability, Unforeseen site/structural issues &amp; rework</x:v>
      </x:c>
      <x:c r="H1811" t="str">
        <x:v>Cost overrun mainly linked to weather disruption / environmental constraints; schedule overrun mainly linked to weather disruption / environmental constraints.</x:v>
      </x:c>
    </x:row>
    <x:row r="1812">
      <x:c r="A1812" t="str">
        <x:v>PJT_1811</x:v>
      </x:c>
      <x:c r="B1812" t="str">
        <x:v>Weather disruption / environmental constraints</x:v>
      </x:c>
      <x:c r="C1812" t="str">
        <x:v>Unforeseen site/structural issues &amp; rework</x:v>
      </x:c>
      <x:c r="D1812" t="str">
        <x:v>Weather disruption / environmental constraints, Unforeseen site/structural issues &amp; rework, Equipment constraints / low availability</x:v>
      </x:c>
      <x:c r="E1812" t="str">
        <x:v>Weather disruption / environmental constraints</x:v>
      </x:c>
      <x:c r="F1812" t="str">
        <x:v>Unforeseen site/structural issues &amp; rework</x:v>
      </x:c>
      <x:c r="G1812" t="str">
        <x:v>Weather disruption / environmental constraints, Unforeseen site/structural issues &amp; rework, Equipment constraints / low availability</x:v>
      </x:c>
      <x:c r="H1812" t="str">
        <x:v>Cost overrun mainly linked to weather disruption / environmental constraints; schedule overrun mainly linked to weather disruption / environmental constraints.</x:v>
      </x:c>
    </x:row>
    <x:row r="1813">
      <x:c r="A1813" t="str">
        <x:v>PJT_1812</x:v>
      </x:c>
      <x:c r="B1813" t="str">
        <x:v>Equipment constraints / low availability</x:v>
      </x:c>
      <x:c r="C1813" t="str">
        <x:v>Unforeseen site/structural issues &amp; rework</x:v>
      </x:c>
      <x:c r="D1813" t="str">
        <x:v>Equipment constraints / low availability, Unforeseen site/structural issues &amp; rework, Weather disruption / environmental constraints</x:v>
      </x:c>
      <x:c r="E1813" t="str">
        <x:v>Equipment constraints / low availability</x:v>
      </x:c>
      <x:c r="F1813" t="str">
        <x:v>Weather disruption / environmental constraints</x:v>
      </x:c>
      <x:c r="G1813" t="str">
        <x:v>Equipment constraints / low availability, Weather disruption / environmental constraints, Unforeseen site/structural issues &amp; rework</x:v>
      </x:c>
      <x:c r="H1813" t="str">
        <x:v>Cost overrun mainly linked to equipment constraints / low availability; schedule overrun mainly linked to equipment constraints / low availability.</x:v>
      </x:c>
    </x:row>
    <x:row r="1814">
      <x:c r="A1814" t="str">
        <x:v>PJT_1813</x:v>
      </x:c>
      <x:c r="B1814" t="str">
        <x:v>Weather disruption / environmental constraints</x:v>
      </x:c>
      <x:c r="C1814" t="str">
        <x:v>Equipment constraints / low availability</x:v>
      </x:c>
      <x:c r="D1814" t="str">
        <x:v>Weather disruption / environmental constraints, Equipment constraints / low availability, Planning &amp; estimation / coordination complexity</x:v>
      </x:c>
      <x:c r="E1814" t="str">
        <x:v>Weather disruption / environmental constraints</x:v>
      </x:c>
      <x:c r="F1814" t="str">
        <x:v>Equipment constraints / low availability</x:v>
      </x:c>
      <x:c r="G1814" t="str">
        <x:v>Weather disruption / environmental constraints, Equipment constraints / low availability, Planning &amp; estimation / coordination complexity</x:v>
      </x:c>
      <x:c r="H1814" t="str">
        <x:v>Cost overrun mainly linked to weather disruption / environmental constraints; schedule overrun mainly linked to weather disruption / environmental constraints.</x:v>
      </x:c>
    </x:row>
    <x:row r="1815">
      <x:c r="A1815" t="str">
        <x:v>PJT_1814</x:v>
      </x:c>
      <x:c r="B1815" t="str">
        <x:v>Resource inefficiency (materials/labor/energy)</x:v>
      </x:c>
      <x:c r="C1815" t="str">
        <x:v>Equipment constraints / low availability</x:v>
      </x:c>
      <x:c r="D1815" t="str">
        <x:v>Resource inefficiency (materials/labor/energy), Equipment constraints / low availability, Planning &amp; estimation / coordination complexity</x:v>
      </x:c>
      <x:c r="E1815" t="str">
        <x:v>Equipment constraints / low availability</x:v>
      </x:c>
      <x:c r="F1815" t="str">
        <x:v>Resource inefficiency (materials/labor/energy)</x:v>
      </x:c>
      <x:c r="G1815" t="str">
        <x:v>Equipment constraints / low availability, Resource inefficiency (materials/labor/energy), Planning &amp; estimation / coordination complexity</x:v>
      </x:c>
      <x:c r="H1815" t="str">
        <x:v>Cost overrun mainly linked to resource inefficiency (materials/labor/energy); schedule overrun mainly linked to equipment constraints / low availability.</x:v>
      </x:c>
    </x:row>
    <x:row r="1816">
      <x:c r="A1816" t="str">
        <x:v>PJT_1815</x:v>
      </x:c>
      <x:c r="B1816" t="str">
        <x:v>Equipment constraints / low availability</x:v>
      </x:c>
      <x:c r="C1816" t="str">
        <x:v>Unforeseen site/structural issues &amp; rework</x:v>
      </x:c>
      <x:c r="D1816" t="str">
        <x:v>Equipment constraints / low availability, Unforeseen site/structural issues &amp; rework, Weather disruption / environmental constraints</x:v>
      </x:c>
      <x:c r="E1816" t="str">
        <x:v>Equipment constraints / low availability</x:v>
      </x:c>
      <x:c r="F1816" t="str">
        <x:v>Weather disruption / environmental constraints</x:v>
      </x:c>
      <x:c r="G1816" t="str">
        <x:v>Equipment constraints / low availability, Weather disruption / environmental constraints, Unforeseen site/structural issues &amp; rework</x:v>
      </x:c>
      <x:c r="H1816" t="str">
        <x:v>Cost overrun mainly linked to equipment constraints / low availability; schedule overrun mainly linked to equipment constraints / low availability.</x:v>
      </x:c>
    </x:row>
    <x:row r="1817">
      <x:c r="A1817" t="str">
        <x:v>PJT_1816</x:v>
      </x:c>
      <x:c r="B1817" t="str">
        <x:v>Weather disruption / environmental constraints</x:v>
      </x:c>
      <x:c r="C1817" t="str">
        <x:v>Equipment constraints / low availability</x:v>
      </x:c>
      <x:c r="D1817" t="str">
        <x:v>Weather disruption / environmental constraints, Equipment constraints / low availability, Material supply / logistics &amp; market disruption</x:v>
      </x:c>
      <x:c r="E1817" t="str">
        <x:v>Weather disruption / environmental constraints</x:v>
      </x:c>
      <x:c r="F1817" t="str">
        <x:v>Resource inefficiency (materials/labor/energy)</x:v>
      </x:c>
      <x:c r="G1817" t="str">
        <x:v>Weather disruption / environmental constraints, Resource inefficiency (materials/labor/energy), Equipment constraints / low availability</x:v>
      </x:c>
      <x:c r="H1817" t="str">
        <x:v>Cost overrun mainly linked to weather disruption / environmental constraints; schedule overrun mainly linked to weather disruption / environmental constraints.</x:v>
      </x:c>
    </x:row>
    <x:row r="1818">
      <x:c r="A1818" t="str">
        <x:v>PJT_1817</x:v>
      </x:c>
      <x:c r="B1818" t="str">
        <x:v>Unforeseen site/structural issues &amp; rework</x:v>
      </x:c>
      <x:c r="C1818" t="str">
        <x:v>Weather disruption / environmental constraints</x:v>
      </x:c>
      <x:c r="D1818" t="str">
        <x:v>Unforeseen site/structural issues &amp; rework, Weather disruption / environmental constraints, Planning &amp; estimation / coordination complexity</x:v>
      </x:c>
      <x:c r="E1818" t="str">
        <x:v>Unforeseen site/structural issues &amp; rework</x:v>
      </x:c>
      <x:c r="F1818" t="str">
        <x:v>Weather disruption / environmental constraints</x:v>
      </x:c>
      <x:c r="G1818" t="str">
        <x:v>Unforeseen site/structural issues &amp; rework, Weather disruption / environmental constraints, Planning &amp; estimation / coordination complexity</x:v>
      </x:c>
      <x:c r="H1818" t="str">
        <x:v>Cost overrun mainly linked to unforeseen site/structural issues &amp; rework; schedule overrun mainly linked to unforeseen site/structural issues &amp; rework.</x:v>
      </x:c>
    </x:row>
    <x:row r="1819">
      <x:c r="A1819" t="str">
        <x:v>PJT_1818</x:v>
      </x:c>
      <x:c r="B1819" t="str">
        <x:v>Material supply / logistics &amp; market disruption</x:v>
      </x:c>
      <x:c r="C1819" t="str">
        <x:v>Equipment constraints / low availability</x:v>
      </x:c>
      <x:c r="D1819" t="str">
        <x:v>Material supply / logistics &amp; market disruption, Equipment constraints / low availability, Resource inefficiency (materials/labor/energy)</x:v>
      </x:c>
      <x:c r="E1819" t="str">
        <x:v>Material supply / logistics &amp; market disruption</x:v>
      </x:c>
      <x:c r="F1819" t="str">
        <x:v>Resource inefficiency (materials/labor/energy)</x:v>
      </x:c>
      <x:c r="G1819" t="str">
        <x:v>Material supply / logistics &amp; market disruption, Resource inefficiency (materials/labor/energy), Equipment constraints / low availability</x:v>
      </x:c>
      <x:c r="H1819" t="str">
        <x:v>Cost overrun mainly linked to material supply / logistics &amp; market disruption; schedule overrun mainly linked to material supply / logistics &amp; market disruption.</x:v>
      </x:c>
    </x:row>
    <x:row r="1820">
      <x:c r="A1820" t="str">
        <x:v>PJT_1819</x:v>
      </x:c>
      <x:c r="B1820" t="str">
        <x:v>Weather disruption / environmental constraints</x:v>
      </x:c>
      <x:c r="C1820" t="str">
        <x:v>Unforeseen site/structural issues &amp; rework</x:v>
      </x:c>
      <x:c r="D1820" t="str">
        <x:v>Weather disruption / environmental constraints, Unforeseen site/structural issues &amp; rework, Equipment constraints / low availability</x:v>
      </x:c>
      <x:c r="E1820" t="str">
        <x:v>Weather disruption / environmental constraints</x:v>
      </x:c>
      <x:c r="F1820" t="str">
        <x:v>Unforeseen site/structural issues &amp; rework</x:v>
      </x:c>
      <x:c r="G1820" t="str">
        <x:v>Weather disruption / environmental constraints, Unforeseen site/structural issues &amp; rework, Material supply / logistics &amp; market disruption</x:v>
      </x:c>
      <x:c r="H1820" t="str">
        <x:v>Cost overrun mainly linked to weather disruption / environmental constraints; schedule overrun mainly linked to weather disruption / environmental constraints.</x:v>
      </x:c>
    </x:row>
    <x:row r="1821">
      <x:c r="A1821" t="str">
        <x:v>PJT_1820</x:v>
      </x:c>
      <x:c r="B1821" t="str">
        <x:v>Resource inefficiency (materials/labor/energy)</x:v>
      </x:c>
      <x:c r="C1821" t="str">
        <x:v>Planning &amp; estimation / coordination complexity</x:v>
      </x:c>
      <x:c r="D1821" t="str">
        <x:v>Resource inefficiency (materials/labor/energy), Planning &amp; estimation / coordination complexity, Material supply / logistics &amp; market disruption</x:v>
      </x:c>
      <x:c r="E1821" t="str">
        <x:v>Planning &amp; estimation / coordination complexity</x:v>
      </x:c>
      <x:c r="F1821" t="str">
        <x:v>Resource inefficiency (materials/labor/energy)</x:v>
      </x:c>
      <x:c r="G1821" t="str">
        <x:v>Planning &amp; estimation / coordination complexity, Resource inefficiency (materials/labor/energy), Material supply / logistics &amp; market disruption</x:v>
      </x:c>
      <x:c r="H1821" t="str">
        <x:v>Cost overrun mainly linked to resource inefficiency (materials/labor/energy); schedule overrun mainly linked to planning &amp; estimation / coordination complexity.</x:v>
      </x:c>
    </x:row>
    <x:row r="1822">
      <x:c r="A1822" t="str">
        <x:v>PJT_1821</x:v>
      </x:c>
      <x:c r="B1822" t="str">
        <x:v>Unforeseen site/structural issues &amp; rework</x:v>
      </x:c>
      <x:c r="C1822" t="str">
        <x:v>Equipment constraints / low availability</x:v>
      </x:c>
      <x:c r="D1822" t="str">
        <x:v>Unforeseen site/structural issues &amp; rework, Equipment constraints / low availability, Weather disruption / environmental constraints</x:v>
      </x:c>
      <x:c r="E1822" t="str">
        <x:v>Unforeseen site/structural issues &amp; rework</x:v>
      </x:c>
      <x:c r="F1822" t="str">
        <x:v>Equipment constraints / low availability</x:v>
      </x:c>
      <x:c r="G1822" t="str">
        <x:v>Unforeseen site/structural issues &amp; rework, Equipment constraints / low availability, Weather disruption / environmental constraints</x:v>
      </x:c>
      <x:c r="H1822" t="str">
        <x:v>Cost overrun mainly linked to unforeseen site/structural issues &amp; rework; schedule overrun mainly linked to unforeseen site/structural issues &amp; rework.</x:v>
      </x:c>
    </x:row>
    <x:row r="1823">
      <x:c r="A1823" t="str">
        <x:v>PJT_1822</x:v>
      </x:c>
      <x:c r="B1823" t="str">
        <x:v>Resource inefficiency (materials/labor/energy)</x:v>
      </x:c>
      <x:c r="C1823" t="str">
        <x:v>Material supply / logistics &amp; market disruption</x:v>
      </x:c>
      <x:c r="D1823" t="str">
        <x:v>Resource inefficiency (materials/labor/energy), Material supply / logistics &amp; market disruption, Equipment constraints / low availability</x:v>
      </x:c>
      <x:c r="E1823" t="str">
        <x:v>Resource inefficiency (materials/labor/energy)</x:v>
      </x:c>
      <x:c r="F1823" t="str">
        <x:v>Material supply / logistics &amp; market disruption</x:v>
      </x:c>
      <x:c r="G1823" t="str">
        <x:v>Resource inefficiency (materials/labor/energy), Material supply / logistics &amp; market disruption, Equipment constraints / low availability</x:v>
      </x:c>
      <x:c r="H1823" t="str">
        <x:v>Cost overrun mainly linked to resource inefficiency (materials/labor/energy); schedule overrun mainly linked to resource inefficiency (materials/labor/energy).</x:v>
      </x:c>
    </x:row>
    <x:row r="1824">
      <x:c r="A1824" t="str">
        <x:v>PJT_1823</x:v>
      </x:c>
      <x:c r="B1824" t="str">
        <x:v>Weather disruption / environmental constraints</x:v>
      </x:c>
      <x:c r="C1824" t="str">
        <x:v>Unforeseen site/structural issues &amp; rework</x:v>
      </x:c>
      <x:c r="D1824" t="str">
        <x:v>Weather disruption / environmental constraints, Unforeseen site/structural issues &amp; rework, Material supply / logistics &amp; market disruption</x:v>
      </x:c>
      <x:c r="E1824" t="str">
        <x:v>Weather disruption / environmental constraints</x:v>
      </x:c>
      <x:c r="F1824" t="str">
        <x:v>Unforeseen site/structural issues &amp; rework</x:v>
      </x:c>
      <x:c r="G1824" t="str">
        <x:v>Weather disruption / environmental constraints, Unforeseen site/structural issues &amp; rework, Material supply / logistics &amp; market disruption</x:v>
      </x:c>
      <x:c r="H1824" t="str">
        <x:v>Cost overrun mainly linked to weather disruption / environmental constraints; schedule overrun mainly linked to weather disruption / environmental constraints.</x:v>
      </x:c>
    </x:row>
    <x:row r="1825">
      <x:c r="A1825" t="str">
        <x:v>PJT_1824</x:v>
      </x:c>
      <x:c r="B1825" t="str">
        <x:v>Unforeseen site/structural issues &amp; rework</x:v>
      </x:c>
      <x:c r="C1825" t="str">
        <x:v>Weather disruption / environmental constraints</x:v>
      </x:c>
      <x:c r="D1825" t="str">
        <x:v>Unforeseen site/structural issues &amp; rework, Weather disruption / environmental constraints, Planning &amp; estimation / coordination complexity</x:v>
      </x:c>
      <x:c r="E1825" t="str">
        <x:v>Unforeseen site/structural issues &amp; rework</x:v>
      </x:c>
      <x:c r="F1825" t="str">
        <x:v>Weather disruption / environmental constraints</x:v>
      </x:c>
      <x:c r="G1825" t="str">
        <x:v>Unforeseen site/structural issues &amp; rework, Weather disruption / environmental constraints, Planning &amp; estimation / coordination complexity</x:v>
      </x:c>
      <x:c r="H1825" t="str">
        <x:v>Cost overrun mainly linked to unforeseen site/structural issues &amp; rework; schedule overrun mainly linked to unforeseen site/structural issues &amp; rework.</x:v>
      </x:c>
    </x:row>
    <x:row r="1826">
      <x:c r="A1826" t="str">
        <x:v>PJT_1825</x:v>
      </x:c>
      <x:c r="B1826" t="str">
        <x:v>Planning &amp; estimation / coordination complexity</x:v>
      </x:c>
      <x:c r="C1826" t="str">
        <x:v>Equipment constraints / low availability</x:v>
      </x:c>
      <x:c r="D1826" t="str">
        <x:v>Planning &amp; estimation / coordination complexity, Equipment constraints / low availability, Resource inefficiency (materials/labor/energy)</x:v>
      </x:c>
      <x:c r="E1826" t="str">
        <x:v>Planning &amp; estimation / coordination complexity</x:v>
      </x:c>
      <x:c r="F1826" t="str">
        <x:v>Equipment constraints / low availability</x:v>
      </x:c>
      <x:c r="G1826" t="str">
        <x:v>Planning &amp; estimation / coordination complexity, Equipment constraints / low availability, Unforeseen site/structural issues &amp; rework</x:v>
      </x:c>
      <x:c r="H1826" t="str">
        <x:v>Cost overrun mainly linked to planning &amp; estimation / coordination complexity; schedule overrun mainly linked to planning &amp; estimation / coordination complexity.</x:v>
      </x:c>
    </x:row>
    <x:row r="1827">
      <x:c r="A1827" t="str">
        <x:v>PJT_1826</x:v>
      </x:c>
      <x:c r="B1827" t="str">
        <x:v>Planning &amp; estimation / coordination complexity</x:v>
      </x:c>
      <x:c r="C1827" t="str">
        <x:v>Unforeseen site/structural issues &amp; rework</x:v>
      </x:c>
      <x:c r="D1827" t="str">
        <x:v>Planning &amp; estimation / coordination complexity, Unforeseen site/structural issues &amp; rework, Resource inefficiency (materials/labor/energy)</x:v>
      </x:c>
      <x:c r="E1827" t="str">
        <x:v>Planning &amp; estimation / coordination complexity</x:v>
      </x:c>
      <x:c r="F1827" t="str">
        <x:v>Unforeseen site/structural issues &amp; rework</x:v>
      </x:c>
      <x:c r="G1827" t="str">
        <x:v>Planning &amp; estimation / coordination complexity, Unforeseen site/structural issues &amp; rework, Resource inefficiency (materials/labor/energy)</x:v>
      </x:c>
      <x:c r="H1827" t="str">
        <x:v>Cost overrun mainly linked to planning &amp; estimation / coordination complexity; schedule overrun mainly linked to planning &amp; estimation / coordination complexity.</x:v>
      </x:c>
    </x:row>
    <x:row r="1828">
      <x:c r="A1828" t="str">
        <x:v>PJT_1827</x:v>
      </x:c>
      <x:c r="B1828" t="str">
        <x:v>Planning &amp; estimation / coordination complexity</x:v>
      </x:c>
      <x:c r="C1828" t="str">
        <x:v>Resource inefficiency (materials/labor/energy)</x:v>
      </x:c>
      <x:c r="D1828" t="str">
        <x:v>Planning &amp; estimation / coordination complexity, Resource inefficiency (materials/labor/energy), Unforeseen site/structural issues &amp; rework</x:v>
      </x:c>
      <x:c r="E1828" t="str">
        <x:v>Planning &amp; estimation / coordination complexity</x:v>
      </x:c>
      <x:c r="F1828" t="str">
        <x:v>Unforeseen site/structural issues &amp; rework</x:v>
      </x:c>
      <x:c r="G1828" t="str">
        <x:v>Planning &amp; estimation / coordination complexity, Unforeseen site/structural issues &amp; rework, Resource inefficiency (materials/labor/energy)</x:v>
      </x:c>
      <x:c r="H1828" t="str">
        <x:v>Cost overrun mainly linked to planning &amp; estimation / coordination complexity; schedule overrun mainly linked to planning &amp; estimation / coordination complexity.</x:v>
      </x:c>
    </x:row>
    <x:row r="1829">
      <x:c r="A1829" t="str">
        <x:v>PJT_1828</x:v>
      </x:c>
      <x:c r="B1829" t="str">
        <x:v>Planning &amp; estimation / coordination complexity</x:v>
      </x:c>
      <x:c r="C1829" t="str">
        <x:v>Resource inefficiency (materials/labor/energy)</x:v>
      </x:c>
      <x:c r="D1829" t="str">
        <x:v>Planning &amp; estimation / coordination complexity, Resource inefficiency (materials/labor/energy), Unforeseen site/structural issues &amp; rework</x:v>
      </x:c>
      <x:c r="E1829" t="str">
        <x:v>Planning &amp; estimation / coordination complexity</x:v>
      </x:c>
      <x:c r="F1829" t="str">
        <x:v>Resource inefficiency (materials/labor/energy)</x:v>
      </x:c>
      <x:c r="G1829" t="str">
        <x:v>Planning &amp; estimation / coordination complexity, Resource inefficiency (materials/labor/energy), Unforeseen site/structural issues &amp; rework</x:v>
      </x:c>
      <x:c r="H1829" t="str">
        <x:v>Cost overrun mainly linked to planning &amp; estimation / coordination complexity; schedule overrun mainly linked to planning &amp; estimation / coordination complexity.</x:v>
      </x:c>
    </x:row>
    <x:row r="1830">
      <x:c r="A1830" t="str">
        <x:v>PJT_1829</x:v>
      </x:c>
      <x:c r="B1830" t="str">
        <x:v>Weather disruption / environmental constraints</x:v>
      </x:c>
      <x:c r="C1830" t="str">
        <x:v>Unforeseen site/structural issues &amp; rework</x:v>
      </x:c>
      <x:c r="D1830" t="str">
        <x:v>Weather disruption / environmental constraints, Unforeseen site/structural issues &amp; rework, Equipment constraints / low availability</x:v>
      </x:c>
      <x:c r="E1830" t="str">
        <x:v>Weather disruption / environmental constraints</x:v>
      </x:c>
      <x:c r="F1830" t="str">
        <x:v>Unforeseen site/structural issues &amp; rework</x:v>
      </x:c>
      <x:c r="G1830" t="str">
        <x:v>Weather disruption / environmental constraints, Unforeseen site/structural issues &amp; rework, Material supply / logistics &amp; market disruption</x:v>
      </x:c>
      <x:c r="H1830" t="str">
        <x:v>Cost overrun mainly linked to weather disruption / environmental constraints; schedule overrun mainly linked to weather disruption / environmental constraints.</x:v>
      </x:c>
    </x:row>
    <x:row r="1831">
      <x:c r="A1831" t="str">
        <x:v>PJT_1830</x:v>
      </x:c>
      <x:c r="B1831" t="str">
        <x:v>Material supply / logistics &amp; market disruption</x:v>
      </x:c>
      <x:c r="C1831" t="str">
        <x:v>Resource inefficiency (materials/labor/energy)</x:v>
      </x:c>
      <x:c r="D1831" t="str">
        <x:v>Material supply / logistics &amp; market disruption, Resource inefficiency (materials/labor/energy), Planning &amp; estimation / coordination complexity</x:v>
      </x:c>
      <x:c r="E1831" t="str">
        <x:v>Material supply / logistics &amp; market disruption</x:v>
      </x:c>
      <x:c r="F1831" t="str">
        <x:v>Resource inefficiency (materials/labor/energy)</x:v>
      </x:c>
      <x:c r="G1831" t="str">
        <x:v>Material supply / logistics &amp; market disruption, Resource inefficiency (materials/labor/energy), Planning &amp; estimation / coordination complexity</x:v>
      </x:c>
      <x:c r="H1831" t="str">
        <x:v>Cost overrun mainly linked to material supply / logistics &amp; market disruption; schedule overrun mainly linked to material supply / logistics &amp; market disruption.</x:v>
      </x:c>
    </x:row>
    <x:row r="1832">
      <x:c r="A1832" t="str">
        <x:v>PJT_1831</x:v>
      </x:c>
      <x:c r="B1832" t="str">
        <x:v>Resource inefficiency (materials/labor/energy)</x:v>
      </x:c>
      <x:c r="C1832" t="str">
        <x:v>Material supply / logistics &amp; market disruption</x:v>
      </x:c>
      <x:c r="D1832" t="str">
        <x:v>Resource inefficiency (materials/labor/energy), Material supply / logistics &amp; market disruption, Planning &amp; estimation / coordination complexity</x:v>
      </x:c>
      <x:c r="E1832" t="str">
        <x:v>Resource inefficiency (materials/labor/energy)</x:v>
      </x:c>
      <x:c r="F1832" t="str">
        <x:v>Material supply / logistics &amp; market disruption</x:v>
      </x:c>
      <x:c r="G1832" t="str">
        <x:v>Resource inefficiency (materials/labor/energy), Material supply / logistics &amp; market disruption, Planning &amp; estimation / coordination complexity</x:v>
      </x:c>
      <x:c r="H1832" t="str">
        <x:v>Cost overrun mainly linked to resource inefficiency (materials/labor/energy); schedule overrun mainly linked to resource inefficiency (materials/labor/energy).</x:v>
      </x:c>
    </x:row>
    <x:row r="1833">
      <x:c r="A1833" t="str">
        <x:v>PJT_1832</x:v>
      </x:c>
      <x:c r="B1833" t="str">
        <x:v>Resource inefficiency (materials/labor/energy)</x:v>
      </x:c>
      <x:c r="C1833" t="str">
        <x:v>Material supply / logistics &amp; market disruption</x:v>
      </x:c>
      <x:c r="D1833" t="str">
        <x:v>Resource inefficiency (materials/labor/energy), Material supply / logistics &amp; market disruption, Equipment constraints / low availability</x:v>
      </x:c>
      <x:c r="E1833" t="str">
        <x:v>Resource inefficiency (materials/labor/energy)</x:v>
      </x:c>
      <x:c r="F1833" t="str">
        <x:v>Material supply / logistics &amp; market disruption</x:v>
      </x:c>
      <x:c r="G1833" t="str">
        <x:v>Resource inefficiency (materials/labor/energy), Material supply / logistics &amp; market disruption, Equipment constraints / low availability</x:v>
      </x:c>
      <x:c r="H1833" t="str">
        <x:v>Cost overrun mainly linked to resource inefficiency (materials/labor/energy); schedule overrun mainly linked to resource inefficiency (materials/labor/energy).</x:v>
      </x:c>
    </x:row>
    <x:row r="1834">
      <x:c r="A1834" t="str">
        <x:v>PJT_1833</x:v>
      </x:c>
      <x:c r="B1834" t="str">
        <x:v>Material supply / logistics &amp; market disruption</x:v>
      </x:c>
      <x:c r="C1834" t="str">
        <x:v>Resource inefficiency (materials/labor/energy)</x:v>
      </x:c>
      <x:c r="D1834" t="str">
        <x:v>Material supply / logistics &amp; market disruption, Resource inefficiency (materials/labor/energy), Equipment constraints / low availability</x:v>
      </x:c>
      <x:c r="E1834" t="str">
        <x:v>Resource inefficiency (materials/labor/energy)</x:v>
      </x:c>
      <x:c r="F1834" t="str">
        <x:v>Material supply / logistics &amp; market disruption</x:v>
      </x:c>
      <x:c r="G1834" t="str">
        <x:v>Resource inefficiency (materials/labor/energy), Material supply / logistics &amp; market disruption, Equipment constraints / low availability</x:v>
      </x:c>
      <x:c r="H1834" t="str">
        <x:v>Cost overrun mainly linked to material supply / logistics &amp; market disruption; schedule overrun mainly linked to resource inefficiency (materials/labor/energy).</x:v>
      </x:c>
    </x:row>
    <x:row r="1835">
      <x:c r="A1835" t="str">
        <x:v>PJT_1834</x:v>
      </x:c>
      <x:c r="B1835" t="str">
        <x:v>Equipment constraints / low availability</x:v>
      </x:c>
      <x:c r="C1835" t="str">
        <x:v>Weather disruption / environmental constraints</x:v>
      </x:c>
      <x:c r="D1835" t="str">
        <x:v>Equipment constraints / low availability, Weather disruption / environmental constraints, Material supply / logistics &amp; market disruption</x:v>
      </x:c>
      <x:c r="E1835" t="str">
        <x:v>Weather disruption / environmental constraints</x:v>
      </x:c>
      <x:c r="F1835" t="str">
        <x:v>Equipment constraints / low availability</x:v>
      </x:c>
      <x:c r="G1835" t="str">
        <x:v>Weather disruption / environmental constraints, Equipment constraints / low availability, Material supply / logistics &amp; market disruption</x:v>
      </x:c>
      <x:c r="H1835" t="str">
        <x:v>Cost overrun mainly linked to equipment constraints / low availability; schedule overrun mainly linked to weather disruption / environmental constraints.</x:v>
      </x:c>
    </x:row>
    <x:row r="1836">
      <x:c r="A1836" t="str">
        <x:v>PJT_1835</x:v>
      </x:c>
      <x:c r="B1836" t="str">
        <x:v>Equipment constraints / low availability</x:v>
      </x:c>
      <x:c r="C1836" t="str">
        <x:v>Resource inefficiency (materials/labor/energy)</x:v>
      </x:c>
      <x:c r="D1836" t="str">
        <x:v>Equipment constraints / low availability, Resource inefficiency (materials/labor/energy), Material supply / logistics &amp; market disruption</x:v>
      </x:c>
      <x:c r="E1836" t="str">
        <x:v>Equipment constraints / low availability</x:v>
      </x:c>
      <x:c r="F1836" t="str">
        <x:v>Resource inefficiency (materials/labor/energy)</x:v>
      </x:c>
      <x:c r="G1836" t="str">
        <x:v>Equipment constraints / low availability, Resource inefficiency (materials/labor/energy), Material supply / logistics &amp; market disruption</x:v>
      </x:c>
      <x:c r="H1836" t="str">
        <x:v>Cost overrun mainly linked to equipment constraints / low availability; schedule overrun mainly linked to equipment constraints / low availability.</x:v>
      </x:c>
    </x:row>
    <x:row r="1837">
      <x:c r="A1837" t="str">
        <x:v>PJT_1836</x:v>
      </x:c>
      <x:c r="B1837" t="str">
        <x:v>Material supply / logistics &amp; market disruption</x:v>
      </x:c>
      <x:c r="C1837" t="str">
        <x:v>Weather disruption / environmental constraints</x:v>
      </x:c>
      <x:c r="D1837" t="str">
        <x:v>Material supply / logistics &amp; market disruption, Weather disruption / environmental constraints, Resource inefficiency (materials/labor/energy)</x:v>
      </x:c>
      <x:c r="E1837" t="str">
        <x:v>Material supply / logistics &amp; market disruption</x:v>
      </x:c>
      <x:c r="F1837" t="str">
        <x:v>Weather disruption / environmental constraints</x:v>
      </x:c>
      <x:c r="G1837" t="str">
        <x:v>Material supply / logistics &amp; market disruption, Weather disruption / environmental constraints, Resource inefficiency (materials/labor/energy)</x:v>
      </x:c>
      <x:c r="H1837" t="str">
        <x:v>Cost overrun mainly linked to material supply / logistics &amp; market disruption; schedule overrun mainly linked to material supply / logistics &amp; market disruption.</x:v>
      </x:c>
    </x:row>
    <x:row r="1838">
      <x:c r="A1838" t="str">
        <x:v>PJT_1837</x:v>
      </x:c>
      <x:c r="B1838" t="str">
        <x:v>Unforeseen site/structural issues &amp; rework</x:v>
      </x:c>
      <x:c r="C1838" t="str">
        <x:v>Weather disruption / environmental constraints</x:v>
      </x:c>
      <x:c r="D1838" t="str">
        <x:v>Unforeseen site/structural issues &amp; rework, Weather disruption / environmental constraints, Planning &amp; estimation / coordination complexity</x:v>
      </x:c>
      <x:c r="E1838" t="str">
        <x:v>Unforeseen site/structural issues &amp; rework</x:v>
      </x:c>
      <x:c r="F1838" t="str">
        <x:v>Weather disruption / environmental constraints</x:v>
      </x:c>
      <x:c r="G1838" t="str">
        <x:v>Unforeseen site/structural issues &amp; rework, Weather disruption / environmental constraints, Planning &amp; estimation / coordination complexity</x:v>
      </x:c>
      <x:c r="H1838" t="str">
        <x:v>Cost overrun mainly linked to unforeseen site/structural issues &amp; rework; schedule overrun mainly linked to unforeseen site/structural issues &amp; rework.</x:v>
      </x:c>
    </x:row>
    <x:row r="1839">
      <x:c r="A1839" t="str">
        <x:v>PJT_1838</x:v>
      </x:c>
      <x:c r="B1839" t="str">
        <x:v>Equipment constraints / low availability</x:v>
      </x:c>
      <x:c r="C1839" t="str">
        <x:v>Material supply / logistics &amp; market disruption</x:v>
      </x:c>
      <x:c r="D1839" t="str">
        <x:v>Equipment constraints / low availability, Material supply / logistics &amp; market disruption, Resource inefficiency (materials/labor/energy)</x:v>
      </x:c>
      <x:c r="E1839" t="str">
        <x:v>Equipment constraints / low availability</x:v>
      </x:c>
      <x:c r="F1839" t="str">
        <x:v>Material supply / logistics &amp; market disruption</x:v>
      </x:c>
      <x:c r="G1839" t="str">
        <x:v>Equipment constraints / low availability, Material supply / logistics &amp; market disruption, Resource inefficiency (materials/labor/energy)</x:v>
      </x:c>
      <x:c r="H1839" t="str">
        <x:v>Cost overrun mainly linked to equipment constraints / low availability; schedule overrun mainly linked to equipment constraints / low availability.</x:v>
      </x:c>
    </x:row>
    <x:row r="1840">
      <x:c r="A1840" t="str">
        <x:v>PJT_1839</x:v>
      </x:c>
      <x:c r="B1840" t="str">
        <x:v>Equipment constraints / low availability</x:v>
      </x:c>
      <x:c r="C1840" t="str">
        <x:v>Resource inefficiency (materials/labor/energy)</x:v>
      </x:c>
      <x:c r="D1840" t="str">
        <x:v>Equipment constraints / low availability, Resource inefficiency (materials/labor/energy), Planning &amp; estimation / coordination complexity</x:v>
      </x:c>
      <x:c r="E1840" t="str">
        <x:v>Planning &amp; estimation / coordination complexity</x:v>
      </x:c>
      <x:c r="F1840" t="str">
        <x:v>Equipment constraints / low availability</x:v>
      </x:c>
      <x:c r="G1840" t="str">
        <x:v>Planning &amp; estimation / coordination complexity, Equipment constraints / low availability, Resource inefficiency (materials/labor/energy)</x:v>
      </x:c>
      <x:c r="H1840" t="str">
        <x:v>Cost overrun mainly linked to equipment constraints / low availability; schedule overrun mainly linked to planning &amp; estimation / coordination complexity.</x:v>
      </x:c>
    </x:row>
    <x:row r="1841">
      <x:c r="A1841" t="str">
        <x:v>PJT_1840</x:v>
      </x:c>
      <x:c r="B1841" t="str">
        <x:v>Planning &amp; estimation / coordination complexity</x:v>
      </x:c>
      <x:c r="C1841" t="str">
        <x:v>Weather disruption / environmental constraints</x:v>
      </x:c>
      <x:c r="D1841" t="str">
        <x:v>Planning &amp; estimation / coordination complexity, Weather disruption / environmental constraints, Unforeseen site/structural issues &amp; rework</x:v>
      </x:c>
      <x:c r="E1841" t="str">
        <x:v>Unforeseen site/structural issues &amp; rework</x:v>
      </x:c>
      <x:c r="F1841" t="str">
        <x:v>Planning &amp; estimation / coordination complexity</x:v>
      </x:c>
      <x:c r="G1841" t="str">
        <x:v>Unforeseen site/structural issues &amp; rework, Planning &amp; estimation / coordination complexity, Weather disruption / environmental constraints</x:v>
      </x:c>
      <x:c r="H1841" t="str">
        <x:v>Cost overrun mainly linked to planning &amp; estimation / coordination complexity; schedule overrun mainly linked to unforeseen site/structural issues &amp; rework.</x:v>
      </x:c>
    </x:row>
    <x:row r="1842">
      <x:c r="A1842" t="str">
        <x:v>PJT_1841</x:v>
      </x:c>
      <x:c r="B1842" t="str">
        <x:v>Resource inefficiency (materials/labor/energy)</x:v>
      </x:c>
      <x:c r="C1842" t="str">
        <x:v>Material supply / logistics &amp; market disruption</x:v>
      </x:c>
      <x:c r="D1842" t="str">
        <x:v>Resource inefficiency (materials/labor/energy), Material supply / logistics &amp; market disruption, Equipment constraints / low availability</x:v>
      </x:c>
      <x:c r="E1842" t="str">
        <x:v>Resource inefficiency (materials/labor/energy)</x:v>
      </x:c>
      <x:c r="F1842" t="str">
        <x:v>Equipment constraints / low availability</x:v>
      </x:c>
      <x:c r="G1842" t="str">
        <x:v>Resource inefficiency (materials/labor/energy), Equipment constraints / low availability, Material supply / logistics &amp; market disruption</x:v>
      </x:c>
      <x:c r="H1842" t="str">
        <x:v>Cost overrun mainly linked to resource inefficiency (materials/labor/energy); schedule overrun mainly linked to resource inefficiency (materials/labor/energy).</x:v>
      </x:c>
    </x:row>
    <x:row r="1843">
      <x:c r="A1843" t="str">
        <x:v>PJT_1842</x:v>
      </x:c>
      <x:c r="B1843" t="str">
        <x:v>Equipment constraints / low availability</x:v>
      </x:c>
      <x:c r="C1843" t="str">
        <x:v>Weather disruption / environmental constraints</x:v>
      </x:c>
      <x:c r="D1843" t="str">
        <x:v>Equipment constraints / low availability, Weather disruption / environmental constraints, Planning &amp; estimation / coordination complexity</x:v>
      </x:c>
      <x:c r="E1843" t="str">
        <x:v>Equipment constraints / low availability</x:v>
      </x:c>
      <x:c r="F1843" t="str">
        <x:v>Weather disruption / environmental constraints</x:v>
      </x:c>
      <x:c r="G1843" t="str">
        <x:v>Equipment constraints / low availability, Weather disruption / environmental constraints, Planning &amp; estimation / coordination complexity</x:v>
      </x:c>
      <x:c r="H1843" t="str">
        <x:v>Cost overrun mainly linked to equipment constraints / low availability; schedule overrun mainly linked to equipment constraints / low availability.</x:v>
      </x:c>
    </x:row>
    <x:row r="1844">
      <x:c r="A1844" t="str">
        <x:v>PJT_1843</x:v>
      </x:c>
      <x:c r="B1844" t="str">
        <x:v>Unforeseen site/structural issues &amp; rework</x:v>
      </x:c>
      <x:c r="C1844" t="str">
        <x:v>Equipment constraints / low availability</x:v>
      </x:c>
      <x:c r="D1844" t="str">
        <x:v>Unforeseen site/structural issues &amp; rework, Equipment constraints / low availability, Weather disruption / environmental constraints</x:v>
      </x:c>
      <x:c r="E1844" t="str">
        <x:v>Unforeseen site/structural issues &amp; rework</x:v>
      </x:c>
      <x:c r="F1844" t="str">
        <x:v>Equipment constraints / low availability</x:v>
      </x:c>
      <x:c r="G1844" t="str">
        <x:v>Unforeseen site/structural issues &amp; rework, Equipment constraints / low availability, Weather disruption / environmental constraints</x:v>
      </x:c>
      <x:c r="H1844" t="str">
        <x:v>Cost overrun mainly linked to unforeseen site/structural issues &amp; rework; schedule overrun mainly linked to unforeseen site/structural issues &amp; rework.</x:v>
      </x:c>
    </x:row>
    <x:row r="1845">
      <x:c r="A1845" t="str">
        <x:v>PJT_1844</x:v>
      </x:c>
      <x:c r="B1845" t="str">
        <x:v>Equipment constraints / low availability</x:v>
      </x:c>
      <x:c r="C1845" t="str">
        <x:v>Resource inefficiency (materials/labor/energy)</x:v>
      </x:c>
      <x:c r="D1845" t="str">
        <x:v>Equipment constraints / low availability, Resource inefficiency (materials/labor/energy), Planning &amp; estimation / coordination complexity</x:v>
      </x:c>
      <x:c r="E1845" t="str">
        <x:v>Resource inefficiency (materials/labor/energy)</x:v>
      </x:c>
      <x:c r="F1845" t="str">
        <x:v>Equipment constraints / low availability</x:v>
      </x:c>
      <x:c r="G1845" t="str">
        <x:v>Resource inefficiency (materials/labor/energy), Equipment constraints / low availability, Planning &amp; estimation / coordination complexity</x:v>
      </x:c>
      <x:c r="H1845" t="str">
        <x:v>Cost overrun mainly linked to equipment constraints / low availability; schedule overrun mainly linked to resource inefficiency (materials/labor/energy).</x:v>
      </x:c>
    </x:row>
    <x:row r="1846">
      <x:c r="A1846" t="str">
        <x:v>PJT_1845</x:v>
      </x:c>
      <x:c r="B1846" t="str">
        <x:v>Weather disruption / environmental constraints</x:v>
      </x:c>
      <x:c r="C1846" t="str">
        <x:v>Material supply / logistics &amp; market disruption</x:v>
      </x:c>
      <x:c r="D1846" t="str">
        <x:v>Weather disruption / environmental constraints, Material supply / logistics &amp; market disruption, Planning &amp; estimation / coordination complexity</x:v>
      </x:c>
      <x:c r="E1846" t="str">
        <x:v>Weather disruption / environmental constraints</x:v>
      </x:c>
      <x:c r="F1846" t="str">
        <x:v>Material supply / logistics &amp; market disruption</x:v>
      </x:c>
      <x:c r="G1846" t="str">
        <x:v>Weather disruption / environmental constraints, Material supply / logistics &amp; market disruption, Planning &amp; estimation / coordination complexity</x:v>
      </x:c>
      <x:c r="H1846" t="str">
        <x:v>Cost overrun mainly linked to weather disruption / environmental constraints; schedule overrun mainly linked to weather disruption / environmental constraints.</x:v>
      </x:c>
    </x:row>
    <x:row r="1847">
      <x:c r="A1847" t="str">
        <x:v>PJT_1846</x:v>
      </x:c>
      <x:c r="B1847" t="str">
        <x:v>Resource inefficiency (materials/labor/energy)</x:v>
      </x:c>
      <x:c r="C1847" t="str">
        <x:v>Planning &amp; estimation / coordination complexity</x:v>
      </x:c>
      <x:c r="D1847" t="str">
        <x:v>Resource inefficiency (materials/labor/energy), Planning &amp; estimation / coordination complexity, Material supply / logistics &amp; market disruption</x:v>
      </x:c>
      <x:c r="E1847" t="str">
        <x:v>Resource inefficiency (materials/labor/energy)</x:v>
      </x:c>
      <x:c r="F1847" t="str">
        <x:v>Planning &amp; estimation / coordination complexity</x:v>
      </x:c>
      <x:c r="G1847" t="str">
        <x:v>Resource inefficiency (materials/labor/energy), Planning &amp; estimation / coordination complexity, Material supply / logistics &amp; market disruption</x:v>
      </x:c>
      <x:c r="H1847" t="str">
        <x:v>Cost overrun mainly linked to resource inefficiency (materials/labor/energy); schedule overrun mainly linked to resource inefficiency (materials/labor/energy).</x:v>
      </x:c>
    </x:row>
    <x:row r="1848">
      <x:c r="A1848" t="str">
        <x:v>PJT_1847</x:v>
      </x:c>
      <x:c r="B1848" t="str">
        <x:v>Resource inefficiency (materials/labor/energy)</x:v>
      </x:c>
      <x:c r="C1848" t="str">
        <x:v>Planning &amp; estimation / coordination complexity</x:v>
      </x:c>
      <x:c r="D1848" t="str">
        <x:v>Resource inefficiency (materials/labor/energy), Planning &amp; estimation / coordination complexity, Equipment constraints / low availability</x:v>
      </x:c>
      <x:c r="E1848" t="str">
        <x:v>Planning &amp; estimation / coordination complexity</x:v>
      </x:c>
      <x:c r="F1848" t="str">
        <x:v>Resource inefficiency (materials/labor/energy)</x:v>
      </x:c>
      <x:c r="G1848" t="str">
        <x:v>Planning &amp; estimation / coordination complexity, Resource inefficiency (materials/labor/energy), Equipment constraints / low availability</x:v>
      </x:c>
      <x:c r="H1848" t="str">
        <x:v>Cost overrun mainly linked to resource inefficiency (materials/labor/energy); schedule overrun mainly linked to planning &amp; estimation / coordination complexity.</x:v>
      </x:c>
    </x:row>
    <x:row r="1849">
      <x:c r="A1849" t="str">
        <x:v>PJT_1848</x:v>
      </x:c>
      <x:c r="B1849" t="str">
        <x:v>Material supply / logistics &amp; market disruption</x:v>
      </x:c>
      <x:c r="C1849" t="str">
        <x:v>Weather disruption / environmental constraints</x:v>
      </x:c>
      <x:c r="D1849" t="str">
        <x:v>Material supply / logistics &amp; market disruption, Weather disruption / environmental constraints, Resource inefficiency (materials/labor/energy)</x:v>
      </x:c>
      <x:c r="E1849" t="str">
        <x:v>Material supply / logistics &amp; market disruption</x:v>
      </x:c>
      <x:c r="F1849" t="str">
        <x:v>Weather disruption / environmental constraints</x:v>
      </x:c>
      <x:c r="G1849" t="str">
        <x:v>Material supply / logistics &amp; market disruption, Weather disruption / environmental constraints, Resource inefficiency (materials/labor/energy)</x:v>
      </x:c>
      <x:c r="H1849" t="str">
        <x:v>Cost overrun mainly linked to material supply / logistics &amp; market disruption; schedule overrun mainly linked to material supply / logistics &amp; market disruption.</x:v>
      </x:c>
    </x:row>
    <x:row r="1850">
      <x:c r="A1850" t="str">
        <x:v>PJT_1849</x:v>
      </x:c>
      <x:c r="B1850" t="str">
        <x:v>Resource inefficiency (materials/labor/energy)</x:v>
      </x:c>
      <x:c r="C1850" t="str">
        <x:v>Material supply / logistics &amp; market disruption</x:v>
      </x:c>
      <x:c r="D1850" t="str">
        <x:v>Resource inefficiency (materials/labor/energy), Material supply / logistics &amp; market disruption, Planning &amp; estimation / coordination complexity</x:v>
      </x:c>
      <x:c r="E1850" t="str">
        <x:v>Resource inefficiency (materials/labor/energy)</x:v>
      </x:c>
      <x:c r="F1850" t="str">
        <x:v>Planning &amp; estimation / coordination complexity</x:v>
      </x:c>
      <x:c r="G1850" t="str">
        <x:v>Resource inefficiency (materials/labor/energy), Planning &amp; estimation / coordination complexity, Material supply / logistics &amp; market disruption</x:v>
      </x:c>
      <x:c r="H1850" t="str">
        <x:v>Cost overrun mainly linked to resource inefficiency (materials/labor/energy); schedule overrun mainly linked to resource inefficiency (materials/labor/energy).</x:v>
      </x:c>
    </x:row>
    <x:row r="1851">
      <x:c r="A1851" t="str">
        <x:v>PJT_1850</x:v>
      </x:c>
      <x:c r="B1851" t="str">
        <x:v>Unforeseen site/structural issues &amp; rework</x:v>
      </x:c>
      <x:c r="C1851" t="str">
        <x:v>Resource inefficiency (materials/labor/energy)</x:v>
      </x:c>
      <x:c r="D1851" t="str">
        <x:v>Unforeseen site/structural issues &amp; rework, Resource inefficiency (materials/labor/energy), Material supply / logistics &amp; market disruption</x:v>
      </x:c>
      <x:c r="E1851" t="str">
        <x:v>Resource inefficiency (materials/labor/energy)</x:v>
      </x:c>
      <x:c r="F1851" t="str">
        <x:v>Unforeseen site/structural issues &amp; rework</x:v>
      </x:c>
      <x:c r="G1851" t="str">
        <x:v>Resource inefficiency (materials/labor/energy), Unforeseen site/structural issues &amp; rework, Planning &amp; estimation / coordination complexity</x:v>
      </x:c>
      <x:c r="H1851" t="str">
        <x:v>Cost overrun mainly linked to unforeseen site/structural issues &amp; rework; schedule overrun mainly linked to resource inefficiency (materials/labor/energy).</x:v>
      </x:c>
    </x:row>
    <x:row r="1852">
      <x:c r="A1852" t="str">
        <x:v>PJT_1851</x:v>
      </x:c>
      <x:c r="B1852" t="str">
        <x:v>Unforeseen site/structural issues &amp; rework</x:v>
      </x:c>
      <x:c r="C1852" t="str">
        <x:v>Planning &amp; estimation / coordination complexity</x:v>
      </x:c>
      <x:c r="D1852" t="str">
        <x:v>Unforeseen site/structural issues &amp; rework, Planning &amp; estimation / coordination complexity, Material supply / logistics &amp; market disruption</x:v>
      </x:c>
      <x:c r="E1852" t="str">
        <x:v>Unforeseen site/structural issues &amp; rework</x:v>
      </x:c>
      <x:c r="F1852" t="str">
        <x:v>Planning &amp; estimation / coordination complexity</x:v>
      </x:c>
      <x:c r="G1852" t="str">
        <x:v>Unforeseen site/structural issues &amp; rework, Planning &amp; estimation / coordination complexity, Material supply / logistics &amp; market disruption</x:v>
      </x:c>
      <x:c r="H1852" t="str">
        <x:v>Cost overrun mainly linked to unforeseen site/structural issues &amp; rework; schedule overrun mainly linked to unforeseen site/structural issues &amp; rework.</x:v>
      </x:c>
    </x:row>
    <x:row r="1853">
      <x:c r="A1853" t="str">
        <x:v>PJT_1852</x:v>
      </x:c>
      <x:c r="B1853" t="str">
        <x:v>Unforeseen site/structural issues &amp; rework</x:v>
      </x:c>
      <x:c r="C1853" t="str">
        <x:v>Weather disruption / environmental constraints</x:v>
      </x:c>
      <x:c r="D1853" t="str">
        <x:v>Unforeseen site/structural issues &amp; rework, Weather disruption / environmental constraints, Equipment constraints / low availability</x:v>
      </x:c>
      <x:c r="E1853" t="str">
        <x:v>Weather disruption / environmental constraints</x:v>
      </x:c>
      <x:c r="F1853" t="str">
        <x:v>Unforeseen site/structural issues &amp; rework</x:v>
      </x:c>
      <x:c r="G1853" t="str">
        <x:v>Weather disruption / environmental constraints, Unforeseen site/structural issues &amp; rework, Equipment constraints / low availability</x:v>
      </x:c>
      <x:c r="H1853" t="str">
        <x:v>Cost overrun mainly linked to unforeseen site/structural issues &amp; rework; schedule overrun mainly linked to weather disruption / environmental constraints.</x:v>
      </x:c>
    </x:row>
    <x:row r="1854">
      <x:c r="A1854" t="str">
        <x:v>PJT_1853</x:v>
      </x:c>
      <x:c r="B1854" t="str">
        <x:v>Equipment constraints / low availability</x:v>
      </x:c>
      <x:c r="C1854" t="str">
        <x:v>Resource inefficiency (materials/labor/energy)</x:v>
      </x:c>
      <x:c r="D1854" t="str">
        <x:v>Equipment constraints / low availability, Resource inefficiency (materials/labor/energy), Planning &amp; estimation / coordination complexity</x:v>
      </x:c>
      <x:c r="E1854" t="str">
        <x:v>Equipment constraints / low availability</x:v>
      </x:c>
      <x:c r="F1854" t="str">
        <x:v>Resource inefficiency (materials/labor/energy)</x:v>
      </x:c>
      <x:c r="G1854" t="str">
        <x:v>Equipment constraints / low availability, Resource inefficiency (materials/labor/energy), Planning &amp; estimation / coordination complexity</x:v>
      </x:c>
      <x:c r="H1854" t="str">
        <x:v>Cost overrun mainly linked to equipment constraints / low availability; schedule overrun mainly linked to equipment constraints / low availability.</x:v>
      </x:c>
    </x:row>
    <x:row r="1855">
      <x:c r="A1855" t="str">
        <x:v>PJT_1854</x:v>
      </x:c>
      <x:c r="B1855" t="str">
        <x:v>Resource inefficiency (materials/labor/energy)</x:v>
      </x:c>
      <x:c r="C1855" t="str">
        <x:v>Material supply / logistics &amp; market disruption</x:v>
      </x:c>
      <x:c r="D1855" t="str">
        <x:v>Resource inefficiency (materials/labor/energy), Material supply / logistics &amp; market disruption, Planning &amp; estimation / coordination complexity</x:v>
      </x:c>
      <x:c r="E1855" t="str">
        <x:v>Resource inefficiency (materials/labor/energy)</x:v>
      </x:c>
      <x:c r="F1855" t="str">
        <x:v>Planning &amp; estimation / coordination complexity</x:v>
      </x:c>
      <x:c r="G1855" t="str">
        <x:v>Resource inefficiency (materials/labor/energy), Planning &amp; estimation / coordination complexity, Material supply / logistics &amp; market disruption</x:v>
      </x:c>
      <x:c r="H1855" t="str">
        <x:v>Cost overrun mainly linked to resource inefficiency (materials/labor/energy); schedule overrun mainly linked to resource inefficiency (materials/labor/energy).</x:v>
      </x:c>
    </x:row>
    <x:row r="1856">
      <x:c r="A1856" t="str">
        <x:v>PJT_1855</x:v>
      </x:c>
      <x:c r="B1856" t="str">
        <x:v>Material supply / logistics &amp; market disruption</x:v>
      </x:c>
      <x:c r="C1856" t="str">
        <x:v>Resource inefficiency (materials/labor/energy)</x:v>
      </x:c>
      <x:c r="D1856" t="str">
        <x:v>Material supply / logistics &amp; market disruption, Resource inefficiency (materials/labor/energy), Planning &amp; estimation / coordination complexity</x:v>
      </x:c>
      <x:c r="E1856" t="str">
        <x:v>Resource inefficiency (materials/labor/energy)</x:v>
      </x:c>
      <x:c r="F1856" t="str">
        <x:v>Material supply / logistics &amp; market disruption</x:v>
      </x:c>
      <x:c r="G1856" t="str">
        <x:v>Resource inefficiency (materials/labor/energy), Material supply / logistics &amp; market disruption, Equipment constraints / low availability</x:v>
      </x:c>
      <x:c r="H1856" t="str">
        <x:v>Cost overrun mainly linked to material supply / logistics &amp; market disruption; schedule overrun mainly linked to resource inefficiency (materials/labor/energy).</x:v>
      </x:c>
    </x:row>
    <x:row r="1857">
      <x:c r="A1857" t="str">
        <x:v>PJT_1856</x:v>
      </x:c>
      <x:c r="B1857" t="str">
        <x:v>Unforeseen site/structural issues &amp; rework</x:v>
      </x:c>
      <x:c r="C1857" t="str">
        <x:v>Planning &amp; estimation / coordination complexity</x:v>
      </x:c>
      <x:c r="D1857" t="str">
        <x:v>Unforeseen site/structural issues &amp; rework, Planning &amp; estimation / coordination complexity, Material supply / logistics &amp; market disruption</x:v>
      </x:c>
      <x:c r="E1857" t="str">
        <x:v>Unforeseen site/structural issues &amp; rework</x:v>
      </x:c>
      <x:c r="F1857" t="str">
        <x:v>Planning &amp; estimation / coordination complexity</x:v>
      </x:c>
      <x:c r="G1857" t="str">
        <x:v>Unforeseen site/structural issues &amp; rework, Planning &amp; estimation / coordination complexity, Resource inefficiency (materials/labor/energy)</x:v>
      </x:c>
      <x:c r="H1857" t="str">
        <x:v>Cost overrun mainly linked to unforeseen site/structural issues &amp; rework; schedule overrun mainly linked to unforeseen site/structural issues &amp; rework.</x:v>
      </x:c>
    </x:row>
    <x:row r="1858">
      <x:c r="A1858" t="str">
        <x:v>PJT_1857</x:v>
      </x:c>
      <x:c r="B1858" t="str">
        <x:v>Weather disruption / environmental constraints</x:v>
      </x:c>
      <x:c r="C1858" t="str">
        <x:v>Unforeseen site/structural issues &amp; rework</x:v>
      </x:c>
      <x:c r="D1858" t="str">
        <x:v>Weather disruption / environmental constraints, Unforeseen site/structural issues &amp; rework, Material supply / logistics &amp; market disruption</x:v>
      </x:c>
      <x:c r="E1858" t="str">
        <x:v>Weather disruption / environmental constraints</x:v>
      </x:c>
      <x:c r="F1858" t="str">
        <x:v>Material supply / logistics &amp; market disruption</x:v>
      </x:c>
      <x:c r="G1858" t="str">
        <x:v>Weather disruption / environmental constraints, Material supply / logistics &amp; market disruption, Unforeseen site/structural issues &amp; rework</x:v>
      </x:c>
      <x:c r="H1858" t="str">
        <x:v>Cost overrun mainly linked to weather disruption / environmental constraints; schedule overrun mainly linked to weather disruption / environmental constraints.</x:v>
      </x:c>
    </x:row>
    <x:row r="1859">
      <x:c r="A1859" t="str">
        <x:v>PJT_1858</x:v>
      </x:c>
      <x:c r="B1859" t="str">
        <x:v>Material supply / logistics &amp; market disruption</x:v>
      </x:c>
      <x:c r="C1859" t="str">
        <x:v>Planning &amp; estimation / coordination complexity</x:v>
      </x:c>
      <x:c r="D1859" t="str">
        <x:v>Material supply / logistics &amp; market disruption, Planning &amp; estimation / coordination complexity, Resource inefficiency (materials/labor/energy)</x:v>
      </x:c>
      <x:c r="E1859" t="str">
        <x:v>Planning &amp; estimation / coordination complexity</x:v>
      </x:c>
      <x:c r="F1859" t="str">
        <x:v>Material supply / logistics &amp; market disruption</x:v>
      </x:c>
      <x:c r="G1859" t="str">
        <x:v>Planning &amp; estimation / coordination complexity, Material supply / logistics &amp; market disruption, Unforeseen site/structural issues &amp; rework</x:v>
      </x:c>
      <x:c r="H1859" t="str">
        <x:v>Cost overrun mainly linked to material supply / logistics &amp; market disruption; schedule overrun mainly linked to planning &amp; estimation / coordination complexity.</x:v>
      </x:c>
    </x:row>
    <x:row r="1860">
      <x:c r="A1860" t="str">
        <x:v>PJT_1859</x:v>
      </x:c>
      <x:c r="B1860" t="str">
        <x:v>Material supply / logistics &amp; market disruption</x:v>
      </x:c>
      <x:c r="C1860" t="str">
        <x:v>Resource inefficiency (materials/labor/energy)</x:v>
      </x:c>
      <x:c r="D1860" t="str">
        <x:v>Material supply / logistics &amp; market disruption, Resource inefficiency (materials/labor/energy), Unforeseen site/structural issues &amp; rework</x:v>
      </x:c>
      <x:c r="E1860" t="str">
        <x:v>Material supply / logistics &amp; market disruption</x:v>
      </x:c>
      <x:c r="F1860" t="str">
        <x:v>Unforeseen site/structural issues &amp; rework</x:v>
      </x:c>
      <x:c r="G1860" t="str">
        <x:v>Material supply / logistics &amp; market disruption, Unforeseen site/structural issues &amp; rework, Resource inefficiency (materials/labor/energy)</x:v>
      </x:c>
      <x:c r="H1860" t="str">
        <x:v>Cost overrun mainly linked to material supply / logistics &amp; market disruption; schedule overrun mainly linked to material supply / logistics &amp; market disruption.</x:v>
      </x:c>
    </x:row>
    <x:row r="1861">
      <x:c r="A1861" t="str">
        <x:v>PJT_1860</x:v>
      </x:c>
      <x:c r="B1861" t="str">
        <x:v>Unforeseen site/structural issues &amp; rework</x:v>
      </x:c>
      <x:c r="C1861" t="str">
        <x:v>Material supply / logistics &amp; market disruption</x:v>
      </x:c>
      <x:c r="D1861" t="str">
        <x:v>Unforeseen site/structural issues &amp; rework, Material supply / logistics &amp; market disruption, Resource inefficiency (materials/labor/energy)</x:v>
      </x:c>
      <x:c r="E1861" t="str">
        <x:v>Unforeseen site/structural issues &amp; rework</x:v>
      </x:c>
      <x:c r="F1861" t="str">
        <x:v>Material supply / logistics &amp; market disruption</x:v>
      </x:c>
      <x:c r="G1861" t="str">
        <x:v>Unforeseen site/structural issues &amp; rework, Material supply / logistics &amp; market disruption, Resource inefficiency (materials/labor/energy)</x:v>
      </x:c>
      <x:c r="H1861" t="str">
        <x:v>Cost overrun mainly linked to unforeseen site/structural issues &amp; rework; schedule overrun mainly linked to unforeseen site/structural issues &amp; rework.</x:v>
      </x:c>
    </x:row>
    <x:row r="1862">
      <x:c r="A1862" t="str">
        <x:v>PJT_1861</x:v>
      </x:c>
      <x:c r="B1862" t="str">
        <x:v>Weather disruption / environmental constraints</x:v>
      </x:c>
      <x:c r="C1862" t="str">
        <x:v>Unforeseen site/structural issues &amp; rework</x:v>
      </x:c>
      <x:c r="D1862" t="str">
        <x:v>Weather disruption / environmental constraints, Unforeseen site/structural issues &amp; rework, Material supply / logistics &amp; market disruption</x:v>
      </x:c>
      <x:c r="E1862" t="str">
        <x:v>Weather disruption / environmental constraints</x:v>
      </x:c>
      <x:c r="F1862" t="str">
        <x:v>Unforeseen site/structural issues &amp; rework</x:v>
      </x:c>
      <x:c r="G1862" t="str">
        <x:v>Weather disruption / environmental constraints, Unforeseen site/structural issues &amp; rework, Material supply / logistics &amp; market disruption</x:v>
      </x:c>
      <x:c r="H1862" t="str">
        <x:v>Cost overrun mainly linked to weather disruption / environmental constraints; schedule overrun mainly linked to weather disruption / environmental constraints.</x:v>
      </x:c>
    </x:row>
    <x:row r="1863">
      <x:c r="A1863" t="str">
        <x:v>PJT_1862</x:v>
      </x:c>
      <x:c r="B1863" t="str">
        <x:v>Material supply / logistics &amp; market disruption</x:v>
      </x:c>
      <x:c r="C1863" t="str">
        <x:v>Resource inefficiency (materials/labor/energy)</x:v>
      </x:c>
      <x:c r="D1863" t="str">
        <x:v>Material supply / logistics &amp; market disruption, Resource inefficiency (materials/labor/energy), Planning &amp; estimation / coordination complexity</x:v>
      </x:c>
      <x:c r="E1863" t="str">
        <x:v>Material supply / logistics &amp; market disruption</x:v>
      </x:c>
      <x:c r="F1863" t="str">
        <x:v>Resource inefficiency (materials/labor/energy)</x:v>
      </x:c>
      <x:c r="G1863" t="str">
        <x:v>Material supply / logistics &amp; market disruption, Resource inefficiency (materials/labor/energy), Planning &amp; estimation / coordination complexity</x:v>
      </x:c>
      <x:c r="H1863" t="str">
        <x:v>Cost overrun mainly linked to material supply / logistics &amp; market disruption; schedule overrun mainly linked to material supply / logistics &amp; market disruption.</x:v>
      </x:c>
    </x:row>
    <x:row r="1864">
      <x:c r="A1864" t="str">
        <x:v>PJT_1863</x:v>
      </x:c>
      <x:c r="B1864" t="str">
        <x:v>Unforeseen site/structural issues &amp; rework</x:v>
      </x:c>
      <x:c r="C1864" t="str">
        <x:v>Resource inefficiency (materials/labor/energy)</x:v>
      </x:c>
      <x:c r="D1864" t="str">
        <x:v>Unforeseen site/structural issues &amp; rework, Resource inefficiency (materials/labor/energy), Planning &amp; estimation / coordination complexity</x:v>
      </x:c>
      <x:c r="E1864" t="str">
        <x:v>Unforeseen site/structural issues &amp; rework</x:v>
      </x:c>
      <x:c r="F1864" t="str">
        <x:v>Resource inefficiency (materials/labor/energy)</x:v>
      </x:c>
      <x:c r="G1864" t="str">
        <x:v>Unforeseen site/structural issues &amp; rework, Resource inefficiency (materials/labor/energy), Planning &amp; estimation / coordination complexity</x:v>
      </x:c>
      <x:c r="H1864" t="str">
        <x:v>Cost overrun mainly linked to unforeseen site/structural issues &amp; rework; schedule overrun mainly linked to unforeseen site/structural issues &amp; rework.</x:v>
      </x:c>
    </x:row>
    <x:row r="1865">
      <x:c r="A1865" t="str">
        <x:v>PJT_1864</x:v>
      </x:c>
      <x:c r="B1865" t="str">
        <x:v>Resource inefficiency (materials/labor/energy)</x:v>
      </x:c>
      <x:c r="C1865" t="str">
        <x:v>Planning &amp; estimation / coordination complexity</x:v>
      </x:c>
      <x:c r="D1865" t="str">
        <x:v>Resource inefficiency (materials/labor/energy), Planning &amp; estimation / coordination complexity, Equipment constraints / low availability</x:v>
      </x:c>
      <x:c r="E1865" t="str">
        <x:v>Resource inefficiency (materials/labor/energy)</x:v>
      </x:c>
      <x:c r="F1865" t="str">
        <x:v>Planning &amp; estimation / coordination complexity</x:v>
      </x:c>
      <x:c r="G1865" t="str">
        <x:v>Resource inefficiency (materials/labor/energy), Planning &amp; estimation / coordination complexity, Equipment constraints / low availability</x:v>
      </x:c>
      <x:c r="H1865" t="str">
        <x:v>Cost overrun mainly linked to resource inefficiency (materials/labor/energy); schedule overrun mainly linked to resource inefficiency (materials/labor/energy).</x:v>
      </x:c>
    </x:row>
    <x:row r="1866">
      <x:c r="A1866" t="str">
        <x:v>PJT_1865</x:v>
      </x:c>
      <x:c r="B1866" t="str">
        <x:v>Weather disruption / environmental constraints</x:v>
      </x:c>
      <x:c r="C1866" t="str">
        <x:v>Unforeseen site/structural issues &amp; rework</x:v>
      </x:c>
      <x:c r="D1866" t="str">
        <x:v>Weather disruption / environmental constraints, Unforeseen site/structural issues &amp; rework, Equipment constraints / low availability</x:v>
      </x:c>
      <x:c r="E1866" t="str">
        <x:v>Weather disruption / environmental constraints</x:v>
      </x:c>
      <x:c r="F1866" t="str">
        <x:v>Unforeseen site/structural issues &amp; rework</x:v>
      </x:c>
      <x:c r="G1866" t="str">
        <x:v>Weather disruption / environmental constraints, Unforeseen site/structural issues &amp; rework, Equipment constraints / low availability</x:v>
      </x:c>
      <x:c r="H1866" t="str">
        <x:v>Cost overrun mainly linked to weather disruption / environmental constraints; schedule overrun mainly linked to weather disruption / environmental constraints.</x:v>
      </x:c>
    </x:row>
    <x:row r="1867">
      <x:c r="A1867" t="str">
        <x:v>PJT_1866</x:v>
      </x:c>
      <x:c r="B1867" t="str">
        <x:v>Equipment constraints / low availability</x:v>
      </x:c>
      <x:c r="C1867" t="str">
        <x:v>Resource inefficiency (materials/labor/energy)</x:v>
      </x:c>
      <x:c r="D1867" t="str">
        <x:v>Equipment constraints / low availability, Resource inefficiency (materials/labor/energy), Planning &amp; estimation / coordination complexity</x:v>
      </x:c>
      <x:c r="E1867" t="str">
        <x:v>Equipment constraints / low availability</x:v>
      </x:c>
      <x:c r="F1867" t="str">
        <x:v>Resource inefficiency (materials/labor/energy)</x:v>
      </x:c>
      <x:c r="G1867" t="str">
        <x:v>Equipment constraints / low availability, Resource inefficiency (materials/labor/energy), Planning &amp; estimation / coordination complexity</x:v>
      </x:c>
      <x:c r="H1867" t="str">
        <x:v>Cost overrun mainly linked to equipment constraints / low availability; schedule overrun mainly linked to equipment constraints / low availability.</x:v>
      </x:c>
    </x:row>
    <x:row r="1868">
      <x:c r="A1868" t="str">
        <x:v>PJT_1867</x:v>
      </x:c>
      <x:c r="B1868" t="str">
        <x:v>Equipment constraints / low availability</x:v>
      </x:c>
      <x:c r="C1868" t="str">
        <x:v>Planning &amp; estimation / coordination complexity</x:v>
      </x:c>
      <x:c r="D1868" t="str">
        <x:v>Equipment constraints / low availability, Planning &amp; estimation / coordination complexity, Resource inefficiency (materials/labor/energy)</x:v>
      </x:c>
      <x:c r="E1868" t="str">
        <x:v>Equipment constraints / low availability</x:v>
      </x:c>
      <x:c r="F1868" t="str">
        <x:v>Resource inefficiency (materials/labor/energy)</x:v>
      </x:c>
      <x:c r="G1868" t="str">
        <x:v>Equipment constraints / low availability, Resource inefficiency (materials/labor/energy), Planning &amp; estimation / coordination complexity</x:v>
      </x:c>
      <x:c r="H1868" t="str">
        <x:v>Cost overrun mainly linked to equipment constraints / low availability; schedule overrun mainly linked to equipment constraints / low availability.</x:v>
      </x:c>
    </x:row>
    <x:row r="1869">
      <x:c r="A1869" t="str">
        <x:v>PJT_1868</x:v>
      </x:c>
      <x:c r="B1869" t="str">
        <x:v>Material supply / logistics &amp; market disruption</x:v>
      </x:c>
      <x:c r="C1869" t="str">
        <x:v>Resource inefficiency (materials/labor/energy)</x:v>
      </x:c>
      <x:c r="D1869" t="str">
        <x:v>Material supply / logistics &amp; market disruption, Resource inefficiency (materials/labor/energy), Planning &amp; estimation / coordination complexity</x:v>
      </x:c>
      <x:c r="E1869" t="str">
        <x:v>Resource inefficiency (materials/labor/energy)</x:v>
      </x:c>
      <x:c r="F1869" t="str">
        <x:v>Material supply / logistics &amp; market disruption</x:v>
      </x:c>
      <x:c r="G1869" t="str">
        <x:v>Resource inefficiency (materials/labor/energy), Material supply / logistics &amp; market disruption, Planning &amp; estimation / coordination complexity</x:v>
      </x:c>
      <x:c r="H1869" t="str">
        <x:v>Cost overrun mainly linked to material supply / logistics &amp; market disruption; schedule overrun mainly linked to resource inefficiency (materials/labor/energy).</x:v>
      </x:c>
    </x:row>
    <x:row r="1870">
      <x:c r="A1870" t="str">
        <x:v>PJT_1869</x:v>
      </x:c>
      <x:c r="B1870" t="str">
        <x:v>Weather disruption / environmental constraints</x:v>
      </x:c>
      <x:c r="C1870" t="str">
        <x:v>Material supply / logistics &amp; market disruption</x:v>
      </x:c>
      <x:c r="D1870" t="str">
        <x:v>Weather disruption / environmental constraints, Material supply / logistics &amp; market disruption, Planning &amp; estimation / coordination complexity</x:v>
      </x:c>
      <x:c r="E1870" t="str">
        <x:v>Weather disruption / environmental constraints</x:v>
      </x:c>
      <x:c r="F1870" t="str">
        <x:v>Material supply / logistics &amp; market disruption</x:v>
      </x:c>
      <x:c r="G1870" t="str">
        <x:v>Weather disruption / environmental constraints, Material supply / logistics &amp; market disruption, Planning &amp; estimation / coordination complexity</x:v>
      </x:c>
      <x:c r="H1870" t="str">
        <x:v>Cost overrun mainly linked to weather disruption / environmental constraints; schedule overrun mainly linked to weather disruption / environmental constraints.</x:v>
      </x:c>
    </x:row>
    <x:row r="1871">
      <x:c r="A1871" t="str">
        <x:v>PJT_1870</x:v>
      </x:c>
      <x:c r="B1871" t="str">
        <x:v>Unforeseen site/structural issues &amp; rework</x:v>
      </x:c>
      <x:c r="C1871" t="str">
        <x:v>Planning &amp; estimation / coordination complexity</x:v>
      </x:c>
      <x:c r="D1871" t="str">
        <x:v>Unforeseen site/structural issues &amp; rework, Planning &amp; estimation / coordination complexity, Equipment constraints / low availability</x:v>
      </x:c>
      <x:c r="E1871" t="str">
        <x:v>Unforeseen site/structural issues &amp; rework</x:v>
      </x:c>
      <x:c r="F1871" t="str">
        <x:v>Planning &amp; estimation / coordination complexity</x:v>
      </x:c>
      <x:c r="G1871" t="str">
        <x:v>Unforeseen site/structural issues &amp; rework, Planning &amp; estimation / coordination complexity, Equipment constraints / low availability</x:v>
      </x:c>
      <x:c r="H1871" t="str">
        <x:v>Cost overrun mainly linked to unforeseen site/structural issues &amp; rework; schedule overrun mainly linked to unforeseen site/structural issues &amp; rework.</x:v>
      </x:c>
    </x:row>
    <x:row r="1872">
      <x:c r="A1872" t="str">
        <x:v>PJT_1871</x:v>
      </x:c>
      <x:c r="B1872" t="str">
        <x:v>Planning &amp; estimation / coordination complexity</x:v>
      </x:c>
      <x:c r="C1872" t="str">
        <x:v>Equipment constraints / low availability</x:v>
      </x:c>
      <x:c r="D1872" t="str">
        <x:v>Planning &amp; estimation / coordination complexity, Equipment constraints / low availability, Unforeseen site/structural issues &amp; rework</x:v>
      </x:c>
      <x:c r="E1872" t="str">
        <x:v>Planning &amp; estimation / coordination complexity</x:v>
      </x:c>
      <x:c r="F1872" t="str">
        <x:v>Equipment constraints / low availability</x:v>
      </x:c>
      <x:c r="G1872" t="str">
        <x:v>Planning &amp; estimation / coordination complexity, Equipment constraints / low availability, Unforeseen site/structural issues &amp; rework</x:v>
      </x:c>
      <x:c r="H1872" t="str">
        <x:v>Cost overrun mainly linked to planning &amp; estimation / coordination complexity; schedule overrun mainly linked to planning &amp; estimation / coordination complexity.</x:v>
      </x:c>
    </x:row>
    <x:row r="1873">
      <x:c r="A1873" t="str">
        <x:v>PJT_1872</x:v>
      </x:c>
      <x:c r="B1873" t="str">
        <x:v>Equipment constraints / low availability</x:v>
      </x:c>
      <x:c r="C1873" t="str">
        <x:v>Weather disruption / environmental constraints</x:v>
      </x:c>
      <x:c r="D1873" t="str">
        <x:v>Equipment constraints / low availability, Weather disruption / environmental constraints, Planning &amp; estimation / coordination complexity</x:v>
      </x:c>
      <x:c r="E1873" t="str">
        <x:v>Weather disruption / environmental constraints</x:v>
      </x:c>
      <x:c r="F1873" t="str">
        <x:v>Equipment constraints / low availability</x:v>
      </x:c>
      <x:c r="G1873" t="str">
        <x:v>Weather disruption / environmental constraints, Equipment constraints / low availability, Resource inefficiency (materials/labor/energy)</x:v>
      </x:c>
      <x:c r="H1873" t="str">
        <x:v>Cost overrun mainly linked to equipment constraints / low availability; schedule overrun mainly linked to weather disruption / environmental constraints.</x:v>
      </x:c>
    </x:row>
    <x:row r="1874">
      <x:c r="A1874" t="str">
        <x:v>PJT_1873</x:v>
      </x:c>
      <x:c r="B1874" t="str">
        <x:v>Resource inefficiency (materials/labor/energy)</x:v>
      </x:c>
      <x:c r="C1874" t="str">
        <x:v>Material supply / logistics &amp; market disruption</x:v>
      </x:c>
      <x:c r="D1874" t="str">
        <x:v>Resource inefficiency (materials/labor/energy), Material supply / logistics &amp; market disruption, Planning &amp; estimation / coordination complexity</x:v>
      </x:c>
      <x:c r="E1874" t="str">
        <x:v>Resource inefficiency (materials/labor/energy)</x:v>
      </x:c>
      <x:c r="F1874" t="str">
        <x:v>Material supply / logistics &amp; market disruption</x:v>
      </x:c>
      <x:c r="G1874" t="str">
        <x:v>Resource inefficiency (materials/labor/energy), Material supply / logistics &amp; market disruption, Planning &amp; estimation / coordination complexity</x:v>
      </x:c>
      <x:c r="H1874" t="str">
        <x:v>Cost overrun mainly linked to resource inefficiency (materials/labor/energy); schedule overrun mainly linked to resource inefficiency (materials/labor/energy).</x:v>
      </x:c>
    </x:row>
    <x:row r="1875">
      <x:c r="A1875" t="str">
        <x:v>PJT_1874</x:v>
      </x:c>
      <x:c r="B1875" t="str">
        <x:v>Material supply / logistics &amp; market disruption</x:v>
      </x:c>
      <x:c r="C1875" t="str">
        <x:v>Resource inefficiency (materials/labor/energy)</x:v>
      </x:c>
      <x:c r="D1875" t="str">
        <x:v>Material supply / logistics &amp; market disruption, Resource inefficiency (materials/labor/energy), Equipment constraints / low availability</x:v>
      </x:c>
      <x:c r="E1875" t="str">
        <x:v>Resource inefficiency (materials/labor/energy)</x:v>
      </x:c>
      <x:c r="F1875" t="str">
        <x:v>Material supply / logistics &amp; market disruption</x:v>
      </x:c>
      <x:c r="G1875" t="str">
        <x:v>Resource inefficiency (materials/labor/energy), Material supply / logistics &amp; market disruption, Planning &amp; estimation / coordination complexity</x:v>
      </x:c>
      <x:c r="H1875" t="str">
        <x:v>Cost overrun mainly linked to material supply / logistics &amp; market disruption; schedule overrun mainly linked to resource inefficiency (materials/labor/energy).</x:v>
      </x:c>
    </x:row>
    <x:row r="1876">
      <x:c r="A1876" t="str">
        <x:v>PJT_1875</x:v>
      </x:c>
      <x:c r="B1876" t="str">
        <x:v>Resource inefficiency (materials/labor/energy)</x:v>
      </x:c>
      <x:c r="C1876" t="str">
        <x:v>Material supply / logistics &amp; market disruption</x:v>
      </x:c>
      <x:c r="D1876" t="str">
        <x:v>Resource inefficiency (materials/labor/energy), Material supply / logistics &amp; market disruption, Equipment constraints / low availability</x:v>
      </x:c>
      <x:c r="E1876" t="str">
        <x:v>Resource inefficiency (materials/labor/energy)</x:v>
      </x:c>
      <x:c r="F1876" t="str">
        <x:v>Equipment constraints / low availability</x:v>
      </x:c>
      <x:c r="G1876" t="str">
        <x:v>Resource inefficiency (materials/labor/energy), Equipment constraints / low availability, Material supply / logistics &amp; market disruption</x:v>
      </x:c>
      <x:c r="H1876" t="str">
        <x:v>Cost overrun mainly linked to resource inefficiency (materials/labor/energy); schedule overrun mainly linked to resource inefficiency (materials/labor/energy).</x:v>
      </x:c>
    </x:row>
    <x:row r="1877">
      <x:c r="A1877" t="str">
        <x:v>PJT_1876</x:v>
      </x:c>
      <x:c r="B1877" t="str">
        <x:v>Resource inefficiency (materials/labor/energy)</x:v>
      </x:c>
      <x:c r="C1877" t="str">
        <x:v>Equipment constraints / low availability</x:v>
      </x:c>
      <x:c r="D1877" t="str">
        <x:v>Resource inefficiency (materials/labor/energy), Equipment constraints / low availability, Material supply / logistics &amp; market disruption</x:v>
      </x:c>
      <x:c r="E1877" t="str">
        <x:v>Resource inefficiency (materials/labor/energy)</x:v>
      </x:c>
      <x:c r="F1877" t="str">
        <x:v>Equipment constraints / low availability</x:v>
      </x:c>
      <x:c r="G1877" t="str">
        <x:v>Resource inefficiency (materials/labor/energy), Equipment constraints / low availability, Material supply / logistics &amp; market disruption</x:v>
      </x:c>
      <x:c r="H1877" t="str">
        <x:v>Cost overrun mainly linked to resource inefficiency (materials/labor/energy); schedule overrun mainly linked to resource inefficiency (materials/labor/energy).</x:v>
      </x:c>
    </x:row>
    <x:row r="1878">
      <x:c r="A1878" t="str">
        <x:v>PJT_1877</x:v>
      </x:c>
      <x:c r="B1878" t="str">
        <x:v>Equipment constraints / low availability</x:v>
      </x:c>
      <x:c r="C1878" t="str">
        <x:v>Weather disruption / environmental constraints</x:v>
      </x:c>
      <x:c r="D1878" t="str">
        <x:v>Equipment constraints / low availability, Weather disruption / environmental constraints, Planning &amp; estimation / coordination complexity</x:v>
      </x:c>
      <x:c r="E1878" t="str">
        <x:v>Equipment constraints / low availability</x:v>
      </x:c>
      <x:c r="F1878" t="str">
        <x:v>Weather disruption / environmental constraints</x:v>
      </x:c>
      <x:c r="G1878" t="str">
        <x:v>Equipment constraints / low availability, Weather disruption / environmental constraints, Planning &amp; estimation / coordination complexity</x:v>
      </x:c>
      <x:c r="H1878" t="str">
        <x:v>Cost overrun mainly linked to equipment constraints / low availability; schedule overrun mainly linked to equipment constraints / low availability.</x:v>
      </x:c>
    </x:row>
    <x:row r="1879">
      <x:c r="A1879" t="str">
        <x:v>PJT_1878</x:v>
      </x:c>
      <x:c r="B1879" t="str">
        <x:v>Unforeseen site/structural issues &amp; rework</x:v>
      </x:c>
      <x:c r="C1879" t="str">
        <x:v>Weather disruption / environmental constraints</x:v>
      </x:c>
      <x:c r="D1879" t="str">
        <x:v>Unforeseen site/structural issues &amp; rework, Weather disruption / environmental constraints, Material supply / logistics &amp; market disruption</x:v>
      </x:c>
      <x:c r="E1879" t="str">
        <x:v>Unforeseen site/structural issues &amp; rework</x:v>
      </x:c>
      <x:c r="F1879" t="str">
        <x:v>Weather disruption / environmental constraints</x:v>
      </x:c>
      <x:c r="G1879" t="str">
        <x:v>Unforeseen site/structural issues &amp; rework, Weather disruption / environmental constraints, Planning &amp; estimation / coordination complexity</x:v>
      </x:c>
      <x:c r="H1879" t="str">
        <x:v>Cost overrun mainly linked to unforeseen site/structural issues &amp; rework; schedule overrun mainly linked to unforeseen site/structural issues &amp; rework.</x:v>
      </x:c>
    </x:row>
    <x:row r="1880">
      <x:c r="A1880" t="str">
        <x:v>PJT_1879</x:v>
      </x:c>
      <x:c r="B1880" t="str">
        <x:v>Unforeseen site/structural issues &amp; rework</x:v>
      </x:c>
      <x:c r="C1880" t="str">
        <x:v>Equipment constraints / low availability</x:v>
      </x:c>
      <x:c r="D1880" t="str">
        <x:v>Unforeseen site/structural issues &amp; rework, Equipment constraints / low availability, Resource inefficiency (materials/labor/energy)</x:v>
      </x:c>
      <x:c r="E1880" t="str">
        <x:v>Equipment constraints / low availability</x:v>
      </x:c>
      <x:c r="F1880" t="str">
        <x:v>Unforeseen site/structural issues &amp; rework</x:v>
      </x:c>
      <x:c r="G1880" t="str">
        <x:v>Equipment constraints / low availability, Unforeseen site/structural issues &amp; rework, Resource inefficiency (materials/labor/energy)</x:v>
      </x:c>
      <x:c r="H1880" t="str">
        <x:v>Cost overrun mainly linked to unforeseen site/structural issues &amp; rework; schedule overrun mainly linked to equipment constraints / low availability.</x:v>
      </x:c>
    </x:row>
    <x:row r="1881">
      <x:c r="A1881" t="str">
        <x:v>PJT_1880</x:v>
      </x:c>
      <x:c r="B1881" t="str">
        <x:v>Weather disruption / environmental constraints</x:v>
      </x:c>
      <x:c r="C1881" t="str">
        <x:v>Unforeseen site/structural issues &amp; rework</x:v>
      </x:c>
      <x:c r="D1881" t="str">
        <x:v>Weather disruption / environmental constraints, Unforeseen site/structural issues &amp; rework, Material supply / logistics &amp; market disruption</x:v>
      </x:c>
      <x:c r="E1881" t="str">
        <x:v>Weather disruption / environmental constraints</x:v>
      </x:c>
      <x:c r="F1881" t="str">
        <x:v>Unforeseen site/structural issues &amp; rework</x:v>
      </x:c>
      <x:c r="G1881" t="str">
        <x:v>Weather disruption / environmental constraints, Unforeseen site/structural issues &amp; rework, Material supply / logistics &amp; market disruption</x:v>
      </x:c>
      <x:c r="H1881" t="str">
        <x:v>Cost overrun mainly linked to weather disruption / environmental constraints; schedule overrun mainly linked to weather disruption / environmental constraints.</x:v>
      </x:c>
    </x:row>
    <x:row r="1882">
      <x:c r="A1882" t="str">
        <x:v>PJT_1881</x:v>
      </x:c>
      <x:c r="B1882" t="str">
        <x:v>Resource inefficiency (materials/labor/energy)</x:v>
      </x:c>
      <x:c r="C1882" t="str">
        <x:v>Planning &amp; estimation / coordination complexity</x:v>
      </x:c>
      <x:c r="D1882" t="str">
        <x:v>Resource inefficiency (materials/labor/energy), Planning &amp; estimation / coordination complexity, Equipment constraints / low availability</x:v>
      </x:c>
      <x:c r="E1882" t="str">
        <x:v>Resource inefficiency (materials/labor/energy)</x:v>
      </x:c>
      <x:c r="F1882" t="str">
        <x:v>Planning &amp; estimation / coordination complexity</x:v>
      </x:c>
      <x:c r="G1882" t="str">
        <x:v>Resource inefficiency (materials/labor/energy), Planning &amp; estimation / coordination complexity, Equipment constraints / low availability</x:v>
      </x:c>
      <x:c r="H1882" t="str">
        <x:v>Cost overrun mainly linked to resource inefficiency (materials/labor/energy); schedule overrun mainly linked to resource inefficiency (materials/labor/energy).</x:v>
      </x:c>
    </x:row>
    <x:row r="1883">
      <x:c r="A1883" t="str">
        <x:v>PJT_1882</x:v>
      </x:c>
      <x:c r="B1883" t="str">
        <x:v>Unforeseen site/structural issues &amp; rework</x:v>
      </x:c>
      <x:c r="C1883" t="str">
        <x:v>Resource inefficiency (materials/labor/energy)</x:v>
      </x:c>
      <x:c r="D1883" t="str">
        <x:v>Unforeseen site/structural issues &amp; rework, Resource inefficiency (materials/labor/energy), Material supply / logistics &amp; market disruption</x:v>
      </x:c>
      <x:c r="E1883" t="str">
        <x:v>Unforeseen site/structural issues &amp; rework</x:v>
      </x:c>
      <x:c r="F1883" t="str">
        <x:v>Resource inefficiency (materials/labor/energy)</x:v>
      </x:c>
      <x:c r="G1883" t="str">
        <x:v>Unforeseen site/structural issues &amp; rework, Resource inefficiency (materials/labor/energy), Planning &amp; estimation / coordination complexity</x:v>
      </x:c>
      <x:c r="H1883" t="str">
        <x:v>Cost overrun mainly linked to unforeseen site/structural issues &amp; rework; schedule overrun mainly linked to unforeseen site/structural issues &amp; rework.</x:v>
      </x:c>
    </x:row>
    <x:row r="1884">
      <x:c r="A1884" t="str">
        <x:v>PJT_1883</x:v>
      </x:c>
      <x:c r="B1884" t="str">
        <x:v>Resource inefficiency (materials/labor/energy)</x:v>
      </x:c>
      <x:c r="C1884" t="str">
        <x:v>Equipment constraints / low availability</x:v>
      </x:c>
      <x:c r="D1884" t="str">
        <x:v>Resource inefficiency (materials/labor/energy), Equipment constraints / low availability, Planning &amp; estimation / coordination complexity</x:v>
      </x:c>
      <x:c r="E1884" t="str">
        <x:v>Resource inefficiency (materials/labor/energy)</x:v>
      </x:c>
      <x:c r="F1884" t="str">
        <x:v>Equipment constraints / low availability</x:v>
      </x:c>
      <x:c r="G1884" t="str">
        <x:v>Resource inefficiency (materials/labor/energy), Equipment constraints / low availability, Planning &amp; estimation / coordination complexity</x:v>
      </x:c>
      <x:c r="H1884" t="str">
        <x:v>Cost overrun mainly linked to resource inefficiency (materials/labor/energy); schedule overrun mainly linked to resource inefficiency (materials/labor/energy).</x:v>
      </x:c>
    </x:row>
    <x:row r="1885">
      <x:c r="A1885" t="str">
        <x:v>PJT_1884</x:v>
      </x:c>
      <x:c r="B1885" t="str">
        <x:v>Weather disruption / environmental constraints</x:v>
      </x:c>
      <x:c r="C1885" t="str">
        <x:v>Unforeseen site/structural issues &amp; rework</x:v>
      </x:c>
      <x:c r="D1885" t="str">
        <x:v>Weather disruption / environmental constraints, Unforeseen site/structural issues &amp; rework, Equipment constraints / low availability</x:v>
      </x:c>
      <x:c r="E1885" t="str">
        <x:v>Weather disruption / environmental constraints</x:v>
      </x:c>
      <x:c r="F1885" t="str">
        <x:v>Unforeseen site/structural issues &amp; rework</x:v>
      </x:c>
      <x:c r="G1885" t="str">
        <x:v>Weather disruption / environmental constraints, Unforeseen site/structural issues &amp; rework, Equipment constraints / low availability</x:v>
      </x:c>
      <x:c r="H1885" t="str">
        <x:v>Cost overrun mainly linked to weather disruption / environmental constraints; schedule overrun mainly linked to weather disruption / environmental constraints.</x:v>
      </x:c>
    </x:row>
    <x:row r="1886">
      <x:c r="A1886" t="str">
        <x:v>PJT_1885</x:v>
      </x:c>
      <x:c r="B1886" t="str">
        <x:v>Unforeseen site/structural issues &amp; rework</x:v>
      </x:c>
      <x:c r="C1886" t="str">
        <x:v>Planning &amp; estimation / coordination complexity</x:v>
      </x:c>
      <x:c r="D1886" t="str">
        <x:v>Unforeseen site/structural issues &amp; rework, Planning &amp; estimation / coordination complexity, Equipment constraints / low availability</x:v>
      </x:c>
      <x:c r="E1886" t="str">
        <x:v>Unforeseen site/structural issues &amp; rework</x:v>
      </x:c>
      <x:c r="F1886" t="str">
        <x:v>Planning &amp; estimation / coordination complexity</x:v>
      </x:c>
      <x:c r="G1886" t="str">
        <x:v>Unforeseen site/structural issues &amp; rework, Planning &amp; estimation / coordination complexity, Equipment constraints / low availability</x:v>
      </x:c>
      <x:c r="H1886" t="str">
        <x:v>Cost overrun mainly linked to unforeseen site/structural issues &amp; rework; schedule overrun mainly linked to unforeseen site/structural issues &amp; rework.</x:v>
      </x:c>
    </x:row>
    <x:row r="1887">
      <x:c r="A1887" t="str">
        <x:v>PJT_1886</x:v>
      </x:c>
      <x:c r="B1887" t="str">
        <x:v>Weather disruption / environmental constraints</x:v>
      </x:c>
      <x:c r="C1887" t="str">
        <x:v>Unforeseen site/structural issues &amp; rework</x:v>
      </x:c>
      <x:c r="D1887" t="str">
        <x:v>Weather disruption / environmental constraints, Unforeseen site/structural issues &amp; rework, Equipment constraints / low availability</x:v>
      </x:c>
      <x:c r="E1887" t="str">
        <x:v>Weather disruption / environmental constraints</x:v>
      </x:c>
      <x:c r="F1887" t="str">
        <x:v>Material supply / logistics &amp; market disruption</x:v>
      </x:c>
      <x:c r="G1887" t="str">
        <x:v>Weather disruption / environmental constraints, Material supply / logistics &amp; market disruption, Unforeseen site/structural issues &amp; rework</x:v>
      </x:c>
      <x:c r="H1887" t="str">
        <x:v>Cost overrun mainly linked to weather disruption / environmental constraints; schedule overrun mainly linked to weather disruption / environmental constraints.</x:v>
      </x:c>
    </x:row>
    <x:row r="1888">
      <x:c r="A1888" t="str">
        <x:v>PJT_1887</x:v>
      </x:c>
      <x:c r="B1888" t="str">
        <x:v>Unforeseen site/structural issues &amp; rework</x:v>
      </x:c>
      <x:c r="C1888" t="str">
        <x:v>Resource inefficiency (materials/labor/energy)</x:v>
      </x:c>
      <x:c r="D1888" t="str">
        <x:v>Unforeseen site/structural issues &amp; rework, Resource inefficiency (materials/labor/energy), Planning &amp; estimation / coordination complexity</x:v>
      </x:c>
      <x:c r="E1888" t="str">
        <x:v>Unforeseen site/structural issues &amp; rework</x:v>
      </x:c>
      <x:c r="F1888" t="str">
        <x:v>Planning &amp; estimation / coordination complexity</x:v>
      </x:c>
      <x:c r="G1888" t="str">
        <x:v>Unforeseen site/structural issues &amp; rework, Planning &amp; estimation / coordination complexity, Resource inefficiency (materials/labor/energy)</x:v>
      </x:c>
      <x:c r="H1888" t="str">
        <x:v>Cost overrun mainly linked to unforeseen site/structural issues &amp; rework; schedule overrun mainly linked to unforeseen site/structural issues &amp; rework.</x:v>
      </x:c>
    </x:row>
    <x:row r="1889">
      <x:c r="A1889" t="str">
        <x:v>PJT_1888</x:v>
      </x:c>
      <x:c r="B1889" t="str">
        <x:v>Planning &amp; estimation / coordination complexity</x:v>
      </x:c>
      <x:c r="C1889" t="str">
        <x:v>Weather disruption / environmental constraints</x:v>
      </x:c>
      <x:c r="D1889" t="str">
        <x:v>Planning &amp; estimation / coordination complexity, Weather disruption / environmental constraints, Equipment constraints / low availability</x:v>
      </x:c>
      <x:c r="E1889" t="str">
        <x:v>Planning &amp; estimation / coordination complexity</x:v>
      </x:c>
      <x:c r="F1889" t="str">
        <x:v>Weather disruption / environmental constraints</x:v>
      </x:c>
      <x:c r="G1889" t="str">
        <x:v>Planning &amp; estimation / coordination complexity, Weather disruption / environmental constraints, Equipment constraints / low availability</x:v>
      </x:c>
      <x:c r="H1889" t="str">
        <x:v>Cost overrun mainly linked to planning &amp; estimation / coordination complexity; schedule overrun mainly linked to planning &amp; estimation / coordination complexity.</x:v>
      </x:c>
    </x:row>
    <x:row r="1890">
      <x:c r="A1890" t="str">
        <x:v>PJT_1889</x:v>
      </x:c>
      <x:c r="B1890" t="str">
        <x:v>Planning &amp; estimation / coordination complexity</x:v>
      </x:c>
      <x:c r="C1890" t="str">
        <x:v>Resource inefficiency (materials/labor/energy)</x:v>
      </x:c>
      <x:c r="D1890" t="str">
        <x:v>Planning &amp; estimation / coordination complexity, Resource inefficiency (materials/labor/energy), Equipment constraints / low availability</x:v>
      </x:c>
      <x:c r="E1890" t="str">
        <x:v>Planning &amp; estimation / coordination complexity</x:v>
      </x:c>
      <x:c r="F1890" t="str">
        <x:v>Resource inefficiency (materials/labor/energy)</x:v>
      </x:c>
      <x:c r="G1890" t="str">
        <x:v>Planning &amp; estimation / coordination complexity, Resource inefficiency (materials/labor/energy), Equipment constraints / low availability</x:v>
      </x:c>
      <x:c r="H1890" t="str">
        <x:v>Cost overrun mainly linked to planning &amp; estimation / coordination complexity; schedule overrun mainly linked to planning &amp; estimation / coordination complexity.</x:v>
      </x:c>
    </x:row>
    <x:row r="1891">
      <x:c r="A1891" t="str">
        <x:v>PJT_1890</x:v>
      </x:c>
      <x:c r="B1891" t="str">
        <x:v>Equipment constraints / low availability</x:v>
      </x:c>
      <x:c r="C1891" t="str">
        <x:v>Resource inefficiency (materials/labor/energy)</x:v>
      </x:c>
      <x:c r="D1891" t="str">
        <x:v>Equipment constraints / low availability, Resource inefficiency (materials/labor/energy), Planning &amp; estimation / coordination complexity</x:v>
      </x:c>
      <x:c r="E1891" t="str">
        <x:v>Equipment constraints / low availability</x:v>
      </x:c>
      <x:c r="F1891" t="str">
        <x:v>Resource inefficiency (materials/labor/energy)</x:v>
      </x:c>
      <x:c r="G1891" t="str">
        <x:v>Equipment constraints / low availability, Resource inefficiency (materials/labor/energy), Planning &amp; estimation / coordination complexity</x:v>
      </x:c>
      <x:c r="H1891" t="str">
        <x:v>Cost overrun mainly linked to equipment constraints / low availability; schedule overrun mainly linked to equipment constraints / low availability.</x:v>
      </x:c>
    </x:row>
    <x:row r="1892">
      <x:c r="A1892" t="str">
        <x:v>PJT_1891</x:v>
      </x:c>
      <x:c r="B1892" t="str">
        <x:v>Unforeseen site/structural issues &amp; rework</x:v>
      </x:c>
      <x:c r="C1892" t="str">
        <x:v>Resource inefficiency (materials/labor/energy)</x:v>
      </x:c>
      <x:c r="D1892" t="str">
        <x:v>Unforeseen site/structural issues &amp; rework, Resource inefficiency (materials/labor/energy), Planning &amp; estimation / coordination complexity</x:v>
      </x:c>
      <x:c r="E1892" t="str">
        <x:v>Unforeseen site/structural issues &amp; rework</x:v>
      </x:c>
      <x:c r="F1892" t="str">
        <x:v>Planning &amp; estimation / coordination complexity</x:v>
      </x:c>
      <x:c r="G1892" t="str">
        <x:v>Unforeseen site/structural issues &amp; rework, Planning &amp; estimation / coordination complexity, Resource inefficiency (materials/labor/energy)</x:v>
      </x:c>
      <x:c r="H1892" t="str">
        <x:v>Cost overrun mainly linked to unforeseen site/structural issues &amp; rework; schedule overrun mainly linked to unforeseen site/structural issues &amp; rework.</x:v>
      </x:c>
    </x:row>
    <x:row r="1893">
      <x:c r="A1893" t="str">
        <x:v>PJT_1892</x:v>
      </x:c>
      <x:c r="B1893" t="str">
        <x:v>Resource inefficiency (materials/labor/energy)</x:v>
      </x:c>
      <x:c r="C1893" t="str">
        <x:v>Material supply / logistics &amp; market disruption</x:v>
      </x:c>
      <x:c r="D1893" t="str">
        <x:v>Resource inefficiency (materials/labor/energy), Material supply / logistics &amp; market disruption, Equipment constraints / low availability</x:v>
      </x:c>
      <x:c r="E1893" t="str">
        <x:v>Resource inefficiency (materials/labor/energy)</x:v>
      </x:c>
      <x:c r="F1893" t="str">
        <x:v>Equipment constraints / low availability</x:v>
      </x:c>
      <x:c r="G1893" t="str">
        <x:v>Resource inefficiency (materials/labor/energy), Equipment constraints / low availability, Material supply / logistics &amp; market disruption</x:v>
      </x:c>
      <x:c r="H1893" t="str">
        <x:v>Cost overrun mainly linked to resource inefficiency (materials/labor/energy); schedule overrun mainly linked to resource inefficiency (materials/labor/energy).</x:v>
      </x:c>
    </x:row>
    <x:row r="1894">
      <x:c r="A1894" t="str">
        <x:v>PJT_1893</x:v>
      </x:c>
      <x:c r="B1894" t="str">
        <x:v>Resource inefficiency (materials/labor/energy)</x:v>
      </x:c>
      <x:c r="C1894" t="str">
        <x:v>Equipment constraints / low availability</x:v>
      </x:c>
      <x:c r="D1894" t="str">
        <x:v>Resource inefficiency (materials/labor/energy), Equipment constraints / low availability, Material supply / logistics &amp; market disruption</x:v>
      </x:c>
      <x:c r="E1894" t="str">
        <x:v>Resource inefficiency (materials/labor/energy)</x:v>
      </x:c>
      <x:c r="F1894" t="str">
        <x:v>Equipment constraints / low availability</x:v>
      </x:c>
      <x:c r="G1894" t="str">
        <x:v>Resource inefficiency (materials/labor/energy), Equipment constraints / low availability, Planning &amp; estimation / coordination complexity</x:v>
      </x:c>
      <x:c r="H1894" t="str">
        <x:v>Cost overrun mainly linked to resource inefficiency (materials/labor/energy); schedule overrun mainly linked to resource inefficiency (materials/labor/energy).</x:v>
      </x:c>
    </x:row>
    <x:row r="1895">
      <x:c r="A1895" t="str">
        <x:v>PJT_1894</x:v>
      </x:c>
      <x:c r="B1895" t="str">
        <x:v>Resource inefficiency (materials/labor/energy)</x:v>
      </x:c>
      <x:c r="C1895" t="str">
        <x:v>Material supply / logistics &amp; market disruption</x:v>
      </x:c>
      <x:c r="D1895" t="str">
        <x:v>Resource inefficiency (materials/labor/energy), Material supply / logistics &amp; market disruption, Equipment constraints / low availability</x:v>
      </x:c>
      <x:c r="E1895" t="str">
        <x:v>Resource inefficiency (materials/labor/energy)</x:v>
      </x:c>
      <x:c r="F1895" t="str">
        <x:v>Equipment constraints / low availability</x:v>
      </x:c>
      <x:c r="G1895" t="str">
        <x:v>Resource inefficiency (materials/labor/energy), Equipment constraints / low availability, Material supply / logistics &amp; market disruption</x:v>
      </x:c>
      <x:c r="H1895" t="str">
        <x:v>Cost overrun mainly linked to resource inefficiency (materials/labor/energy); schedule overrun mainly linked to resource inefficiency (materials/labor/energy).</x:v>
      </x:c>
    </x:row>
    <x:row r="1896">
      <x:c r="A1896" t="str">
        <x:v>PJT_1895</x:v>
      </x:c>
      <x:c r="B1896" t="str">
        <x:v>Unforeseen site/structural issues &amp; rework</x:v>
      </x:c>
      <x:c r="C1896" t="str">
        <x:v>Weather disruption / environmental constraints</x:v>
      </x:c>
      <x:c r="D1896" t="str">
        <x:v>Unforeseen site/structural issues &amp; rework, Weather disruption / environmental constraints, Equipment constraints / low availability</x:v>
      </x:c>
      <x:c r="E1896" t="str">
        <x:v>Unforeseen site/structural issues &amp; rework</x:v>
      </x:c>
      <x:c r="F1896" t="str">
        <x:v>Weather disruption / environmental constraints</x:v>
      </x:c>
      <x:c r="G1896" t="str">
        <x:v>Unforeseen site/structural issues &amp; rework, Weather disruption / environmental constraints, Planning &amp; estimation / coordination complexity</x:v>
      </x:c>
      <x:c r="H1896" t="str">
        <x:v>Cost overrun mainly linked to unforeseen site/structural issues &amp; rework; schedule overrun mainly linked to unforeseen site/structural issues &amp; rework.</x:v>
      </x:c>
    </x:row>
    <x:row r="1897">
      <x:c r="A1897" t="str">
        <x:v>PJT_1896</x:v>
      </x:c>
      <x:c r="B1897" t="str">
        <x:v>Weather disruption / environmental constraints</x:v>
      </x:c>
      <x:c r="C1897" t="str">
        <x:v>Material supply / logistics &amp; market disruption</x:v>
      </x:c>
      <x:c r="D1897" t="str">
        <x:v>Weather disruption / environmental constraints, Material supply / logistics &amp; market disruption, Resource inefficiency (materials/labor/energy)</x:v>
      </x:c>
      <x:c r="E1897" t="str">
        <x:v>Weather disruption / environmental constraints</x:v>
      </x:c>
      <x:c r="F1897" t="str">
        <x:v>Material supply / logistics &amp; market disruption</x:v>
      </x:c>
      <x:c r="G1897" t="str">
        <x:v>Weather disruption / environmental constraints, Material supply / logistics &amp; market disruption, Resource inefficiency (materials/labor/energy)</x:v>
      </x:c>
      <x:c r="H1897" t="str">
        <x:v>Cost overrun mainly linked to weather disruption / environmental constraints; schedule overrun mainly linked to weather disruption / environmental constraints.</x:v>
      </x:c>
    </x:row>
    <x:row r="1898">
      <x:c r="A1898" t="str">
        <x:v>PJT_1897</x:v>
      </x:c>
      <x:c r="B1898" t="str">
        <x:v>Resource inefficiency (materials/labor/energy)</x:v>
      </x:c>
      <x:c r="C1898" t="str">
        <x:v>Planning &amp; estimation / coordination complexity</x:v>
      </x:c>
      <x:c r="D1898" t="str">
        <x:v>Resource inefficiency (materials/labor/energy), Planning &amp; estimation / coordination complexity, Unforeseen site/structural issues &amp; rework</x:v>
      </x:c>
      <x:c r="E1898" t="str">
        <x:v>Resource inefficiency (materials/labor/energy)</x:v>
      </x:c>
      <x:c r="F1898" t="str">
        <x:v>Planning &amp; estimation / coordination complexity</x:v>
      </x:c>
      <x:c r="G1898" t="str">
        <x:v>Resource inefficiency (materials/labor/energy), Planning &amp; estimation / coordination complexity, Unforeseen site/structural issues &amp; rework</x:v>
      </x:c>
      <x:c r="H1898" t="str">
        <x:v>Cost overrun mainly linked to resource inefficiency (materials/labor/energy); schedule overrun mainly linked to resource inefficiency (materials/labor/energy).</x:v>
      </x:c>
    </x:row>
    <x:row r="1899">
      <x:c r="A1899" t="str">
        <x:v>PJT_1898</x:v>
      </x:c>
      <x:c r="B1899" t="str">
        <x:v>Weather disruption / environmental constraints</x:v>
      </x:c>
      <x:c r="C1899" t="str">
        <x:v>Equipment constraints / low availability</x:v>
      </x:c>
      <x:c r="D1899" t="str">
        <x:v>Weather disruption / environmental constraints, Equipment constraints / low availability, Material supply / logistics &amp; market disruption</x:v>
      </x:c>
      <x:c r="E1899" t="str">
        <x:v>Weather disruption / environmental constraints</x:v>
      </x:c>
      <x:c r="F1899" t="str">
        <x:v>Material supply / logistics &amp; market disruption</x:v>
      </x:c>
      <x:c r="G1899" t="str">
        <x:v>Weather disruption / environmental constraints, Material supply / logistics &amp; market disruption, Equipment constraints / low availability</x:v>
      </x:c>
      <x:c r="H1899" t="str">
        <x:v>Cost overrun mainly linked to weather disruption / environmental constraints; schedule overrun mainly linked to weather disruption / environmental constraints.</x:v>
      </x:c>
    </x:row>
    <x:row r="1900">
      <x:c r="A1900" t="str">
        <x:v>PJT_1899</x:v>
      </x:c>
      <x:c r="B1900" t="str">
        <x:v>Unforeseen site/structural issues &amp; rework</x:v>
      </x:c>
      <x:c r="C1900" t="str">
        <x:v>Planning &amp; estimation / coordination complexity</x:v>
      </x:c>
      <x:c r="D1900" t="str">
        <x:v>Unforeseen site/structural issues &amp; rework, Planning &amp; estimation / coordination complexity, Material supply / logistics &amp; market disruption</x:v>
      </x:c>
      <x:c r="E1900" t="str">
        <x:v>Unforeseen site/structural issues &amp; rework</x:v>
      </x:c>
      <x:c r="F1900" t="str">
        <x:v>Planning &amp; estimation / coordination complexity</x:v>
      </x:c>
      <x:c r="G1900" t="str">
        <x:v>Unforeseen site/structural issues &amp; rework, Planning &amp; estimation / coordination complexity, Material supply / logistics &amp; market disruption</x:v>
      </x:c>
      <x:c r="H1900" t="str">
        <x:v>Cost overrun mainly linked to unforeseen site/structural issues &amp; rework; schedule overrun mainly linked to unforeseen site/structural issues &amp; rework.</x:v>
      </x:c>
    </x:row>
    <x:row r="1901">
      <x:c r="A1901" t="str">
        <x:v>PJT_1900</x:v>
      </x:c>
      <x:c r="B1901" t="str">
        <x:v>Unforeseen site/structural issues &amp; rework</x:v>
      </x:c>
      <x:c r="C1901" t="str">
        <x:v>Resource inefficiency (materials/labor/energy)</x:v>
      </x:c>
      <x:c r="D1901" t="str">
        <x:v>Unforeseen site/structural issues &amp; rework, Resource inefficiency (materials/labor/energy), Planning &amp; estimation / coordination complexity</x:v>
      </x:c>
      <x:c r="E1901" t="str">
        <x:v>Unforeseen site/structural issues &amp; rework</x:v>
      </x:c>
      <x:c r="F1901" t="str">
        <x:v>Resource inefficiency (materials/labor/energy)</x:v>
      </x:c>
      <x:c r="G1901" t="str">
        <x:v>Unforeseen site/structural issues &amp; rework, Resource inefficiency (materials/labor/energy), Planning &amp; estimation / coordination complexity</x:v>
      </x:c>
      <x:c r="H1901" t="str">
        <x:v>Cost overrun mainly linked to unforeseen site/structural issues &amp; rework; schedule overrun mainly linked to unforeseen site/structural issues &amp; rework.</x:v>
      </x:c>
    </x:row>
    <x:row r="1902">
      <x:c r="A1902" t="str">
        <x:v>PJT_1901</x:v>
      </x:c>
      <x:c r="B1902" t="str">
        <x:v>Material supply / logistics &amp; market disruption</x:v>
      </x:c>
      <x:c r="C1902" t="str">
        <x:v>Resource inefficiency (materials/labor/energy)</x:v>
      </x:c>
      <x:c r="D1902" t="str">
        <x:v>Material supply / logistics &amp; market disruption, Resource inefficiency (materials/labor/energy), Planning &amp; estimation / coordination complexity</x:v>
      </x:c>
      <x:c r="E1902" t="str">
        <x:v>Resource inefficiency (materials/labor/energy)</x:v>
      </x:c>
      <x:c r="F1902" t="str">
        <x:v>Material supply / logistics &amp; market disruption</x:v>
      </x:c>
      <x:c r="G1902" t="str">
        <x:v>Resource inefficiency (materials/labor/energy), Material supply / logistics &amp; market disruption, Equipment constraints / low availability</x:v>
      </x:c>
      <x:c r="H1902" t="str">
        <x:v>Cost overrun mainly linked to material supply / logistics &amp; market disruption; schedule overrun mainly linked to resource inefficiency (materials/labor/energy).</x:v>
      </x:c>
    </x:row>
    <x:row r="1903">
      <x:c r="A1903" t="str">
        <x:v>PJT_1902</x:v>
      </x:c>
      <x:c r="B1903" t="str">
        <x:v>Resource inefficiency (materials/labor/energy)</x:v>
      </x:c>
      <x:c r="C1903" t="str">
        <x:v>Planning &amp; estimation / coordination complexity</x:v>
      </x:c>
      <x:c r="D1903" t="str">
        <x:v>Resource inefficiency (materials/labor/energy), Planning &amp; estimation / coordination complexity, Equipment constraints / low availability</x:v>
      </x:c>
      <x:c r="E1903" t="str">
        <x:v>Resource inefficiency (materials/labor/energy)</x:v>
      </x:c>
      <x:c r="F1903" t="str">
        <x:v>Planning &amp; estimation / coordination complexity</x:v>
      </x:c>
      <x:c r="G1903" t="str">
        <x:v>Resource inefficiency (materials/labor/energy), Planning &amp; estimation / coordination complexity, Equipment constraints / low availability</x:v>
      </x:c>
      <x:c r="H1903" t="str">
        <x:v>Cost overrun mainly linked to resource inefficiency (materials/labor/energy); schedule overrun mainly linked to resource inefficiency (materials/labor/energy).</x:v>
      </x:c>
    </x:row>
    <x:row r="1904">
      <x:c r="A1904" t="str">
        <x:v>PJT_1903</x:v>
      </x:c>
      <x:c r="B1904" t="str">
        <x:v>Unforeseen site/structural issues &amp; rework</x:v>
      </x:c>
      <x:c r="C1904" t="str">
        <x:v>Equipment constraints / low availability</x:v>
      </x:c>
      <x:c r="D1904" t="str">
        <x:v>Unforeseen site/structural issues &amp; rework, Equipment constraints / low availability, Resource inefficiency (materials/labor/energy)</x:v>
      </x:c>
      <x:c r="E1904" t="str">
        <x:v>Unforeseen site/structural issues &amp; rework</x:v>
      </x:c>
      <x:c r="F1904" t="str">
        <x:v>Equipment constraints / low availability</x:v>
      </x:c>
      <x:c r="G1904" t="str">
        <x:v>Unforeseen site/structural issues &amp; rework, Equipment constraints / low availability, Planning &amp; estimation / coordination complexity</x:v>
      </x:c>
      <x:c r="H1904" t="str">
        <x:v>Cost overrun mainly linked to unforeseen site/structural issues &amp; rework; schedule overrun mainly linked to unforeseen site/structural issues &amp; rework.</x:v>
      </x:c>
    </x:row>
    <x:row r="1905">
      <x:c r="A1905" t="str">
        <x:v>PJT_1904</x:v>
      </x:c>
      <x:c r="B1905" t="str">
        <x:v>Unforeseen site/structural issues &amp; rework</x:v>
      </x:c>
      <x:c r="C1905" t="str">
        <x:v>Planning &amp; estimation / coordination complexity</x:v>
      </x:c>
      <x:c r="D1905" t="str">
        <x:v>Unforeseen site/structural issues &amp; rework, Planning &amp; estimation / coordination complexity, Equipment constraints / low availability</x:v>
      </x:c>
      <x:c r="E1905" t="str">
        <x:v>Unforeseen site/structural issues &amp; rework</x:v>
      </x:c>
      <x:c r="F1905" t="str">
        <x:v>Planning &amp; estimation / coordination complexity</x:v>
      </x:c>
      <x:c r="G1905" t="str">
        <x:v>Unforeseen site/structural issues &amp; rework, Planning &amp; estimation / coordination complexity, Equipment constraints / low availability</x:v>
      </x:c>
      <x:c r="H1905" t="str">
        <x:v>Cost overrun mainly linked to unforeseen site/structural issues &amp; rework; schedule overrun mainly linked to unforeseen site/structural issues &amp; rework.</x:v>
      </x:c>
    </x:row>
    <x:row r="1906">
      <x:c r="A1906" t="str">
        <x:v>PJT_1905</x:v>
      </x:c>
      <x:c r="B1906" t="str">
        <x:v>Unforeseen site/structural issues &amp; rework</x:v>
      </x:c>
      <x:c r="C1906" t="str">
        <x:v>Planning &amp; estimation / coordination complexity</x:v>
      </x:c>
      <x:c r="D1906" t="str">
        <x:v>Unforeseen site/structural issues &amp; rework, Planning &amp; estimation / coordination complexity, Resource inefficiency (materials/labor/energy)</x:v>
      </x:c>
      <x:c r="E1906" t="str">
        <x:v>Unforeseen site/structural issues &amp; rework</x:v>
      </x:c>
      <x:c r="F1906" t="str">
        <x:v>Planning &amp; estimation / coordination complexity</x:v>
      </x:c>
      <x:c r="G1906" t="str">
        <x:v>Unforeseen site/structural issues &amp; rework, Planning &amp; estimation / coordination complexity, Resource inefficiency (materials/labor/energy)</x:v>
      </x:c>
      <x:c r="H1906" t="str">
        <x:v>Cost overrun mainly linked to unforeseen site/structural issues &amp; rework; schedule overrun mainly linked to unforeseen site/structural issues &amp; rework.</x:v>
      </x:c>
    </x:row>
    <x:row r="1907">
      <x:c r="A1907" t="str">
        <x:v>PJT_1906</x:v>
      </x:c>
      <x:c r="B1907" t="str">
        <x:v>Unforeseen site/structural issues &amp; rework</x:v>
      </x:c>
      <x:c r="C1907" t="str">
        <x:v>Weather disruption / environmental constraints</x:v>
      </x:c>
      <x:c r="D1907" t="str">
        <x:v>Unforeseen site/structural issues &amp; rework, Weather disruption / environmental constraints, Equipment constraints / low availability</x:v>
      </x:c>
      <x:c r="E1907" t="str">
        <x:v>Unforeseen site/structural issues &amp; rework</x:v>
      </x:c>
      <x:c r="F1907" t="str">
        <x:v>Weather disruption / environmental constraints</x:v>
      </x:c>
      <x:c r="G1907" t="str">
        <x:v>Unforeseen site/structural issues &amp; rework, Weather disruption / environmental constraints, Equipment constraints / low availability</x:v>
      </x:c>
      <x:c r="H1907" t="str">
        <x:v>Cost overrun mainly linked to unforeseen site/structural issues &amp; rework; schedule overrun mainly linked to unforeseen site/structural issues &amp; rework.</x:v>
      </x:c>
    </x:row>
    <x:row r="1908">
      <x:c r="A1908" t="str">
        <x:v>PJT_1907</x:v>
      </x:c>
      <x:c r="B1908" t="str">
        <x:v>Resource inefficiency (materials/labor/energy)</x:v>
      </x:c>
      <x:c r="C1908" t="str">
        <x:v>Planning &amp; estimation / coordination complexity</x:v>
      </x:c>
      <x:c r="D1908" t="str">
        <x:v>Resource inefficiency (materials/labor/energy), Planning &amp; estimation / coordination complexity, Material supply / logistics &amp; market disruption</x:v>
      </x:c>
      <x:c r="E1908" t="str">
        <x:v>Resource inefficiency (materials/labor/energy)</x:v>
      </x:c>
      <x:c r="F1908" t="str">
        <x:v>Planning &amp; estimation / coordination complexity</x:v>
      </x:c>
      <x:c r="G1908" t="str">
        <x:v>Resource inefficiency (materials/labor/energy), Planning &amp; estimation / coordination complexity, Equipment constraints / low availability</x:v>
      </x:c>
      <x:c r="H1908" t="str">
        <x:v>Cost overrun mainly linked to resource inefficiency (materials/labor/energy); schedule overrun mainly linked to resource inefficiency (materials/labor/energy).</x:v>
      </x:c>
    </x:row>
    <x:row r="1909">
      <x:c r="A1909" t="str">
        <x:v>PJT_1908</x:v>
      </x:c>
      <x:c r="B1909" t="str">
        <x:v>Unforeseen site/structural issues &amp; rework</x:v>
      </x:c>
      <x:c r="C1909" t="str">
        <x:v>Material supply / logistics &amp; market disruption</x:v>
      </x:c>
      <x:c r="D1909" t="str">
        <x:v>Unforeseen site/structural issues &amp; rework, Material supply / logistics &amp; market disruption, Resource inefficiency (materials/labor/energy)</x:v>
      </x:c>
      <x:c r="E1909" t="str">
        <x:v>Unforeseen site/structural issues &amp; rework</x:v>
      </x:c>
      <x:c r="F1909" t="str">
        <x:v>Material supply / logistics &amp; market disruption</x:v>
      </x:c>
      <x:c r="G1909" t="str">
        <x:v>Unforeseen site/structural issues &amp; rework, Material supply / logistics &amp; market disruption, Planning &amp; estimation / coordination complexity</x:v>
      </x:c>
      <x:c r="H1909" t="str">
        <x:v>Cost overrun mainly linked to unforeseen site/structural issues &amp; rework; schedule overrun mainly linked to unforeseen site/structural issues &amp; rework.</x:v>
      </x:c>
    </x:row>
    <x:row r="1910">
      <x:c r="A1910" t="str">
        <x:v>PJT_1909</x:v>
      </x:c>
      <x:c r="B1910" t="str">
        <x:v>Unforeseen site/structural issues &amp; rework</x:v>
      </x:c>
      <x:c r="C1910" t="str">
        <x:v>Planning &amp; estimation / coordination complexity</x:v>
      </x:c>
      <x:c r="D1910" t="str">
        <x:v>Unforeseen site/structural issues &amp; rework, Planning &amp; estimation / coordination complexity, Equipment constraints / low availability</x:v>
      </x:c>
      <x:c r="E1910" t="str">
        <x:v>Unforeseen site/structural issues &amp; rework</x:v>
      </x:c>
      <x:c r="F1910" t="str">
        <x:v>Planning &amp; estimation / coordination complexity</x:v>
      </x:c>
      <x:c r="G1910" t="str">
        <x:v>Unforeseen site/structural issues &amp; rework, Planning &amp; estimation / coordination complexity, Equipment constraints / low availability</x:v>
      </x:c>
      <x:c r="H1910" t="str">
        <x:v>Cost overrun mainly linked to unforeseen site/structural issues &amp; rework; schedule overrun mainly linked to unforeseen site/structural issues &amp; rework.</x:v>
      </x:c>
    </x:row>
    <x:row r="1911">
      <x:c r="A1911" t="str">
        <x:v>PJT_1910</x:v>
      </x:c>
      <x:c r="B1911" t="str">
        <x:v>Unforeseen site/structural issues &amp; rework</x:v>
      </x:c>
      <x:c r="C1911" t="str">
        <x:v>Material supply / logistics &amp; market disruption</x:v>
      </x:c>
      <x:c r="D1911" t="str">
        <x:v>Unforeseen site/structural issues &amp; rework, Material supply / logistics &amp; market disruption, Resource inefficiency (materials/labor/energy)</x:v>
      </x:c>
      <x:c r="E1911" t="str">
        <x:v>Unforeseen site/structural issues &amp; rework</x:v>
      </x:c>
      <x:c r="F1911" t="str">
        <x:v>Material supply / logistics &amp; market disruption</x:v>
      </x:c>
      <x:c r="G1911" t="str">
        <x:v>Unforeseen site/structural issues &amp; rework, Material supply / logistics &amp; market disruption, Resource inefficiency (materials/labor/energy)</x:v>
      </x:c>
      <x:c r="H1911" t="str">
        <x:v>Cost overrun mainly linked to unforeseen site/structural issues &amp; rework; schedule overrun mainly linked to unforeseen site/structural issues &amp; rework.</x:v>
      </x:c>
    </x:row>
    <x:row r="1912">
      <x:c r="A1912" t="str">
        <x:v>PJT_1911</x:v>
      </x:c>
      <x:c r="B1912" t="str">
        <x:v>Weather disruption / environmental constraints</x:v>
      </x:c>
      <x:c r="C1912" t="str">
        <x:v>Equipment constraints / low availability</x:v>
      </x:c>
      <x:c r="D1912" t="str">
        <x:v>Weather disruption / environmental constraints, Equipment constraints / low availability, Unforeseen site/structural issues &amp; rework</x:v>
      </x:c>
      <x:c r="E1912" t="str">
        <x:v>Weather disruption / environmental constraints</x:v>
      </x:c>
      <x:c r="F1912" t="str">
        <x:v>Equipment constraints / low availability</x:v>
      </x:c>
      <x:c r="G1912" t="str">
        <x:v>Weather disruption / environmental constraints, Equipment constraints / low availability, Material supply / logistics &amp; market disruption</x:v>
      </x:c>
      <x:c r="H1912" t="str">
        <x:v>Cost overrun mainly linked to weather disruption / environmental constraints; schedule overrun mainly linked to weather disruption / environmental constraints.</x:v>
      </x:c>
    </x:row>
    <x:row r="1913">
      <x:c r="A1913" t="str">
        <x:v>PJT_1912</x:v>
      </x:c>
      <x:c r="B1913" t="str">
        <x:v>Equipment constraints / low availability</x:v>
      </x:c>
      <x:c r="C1913" t="str">
        <x:v>Planning &amp; estimation / coordination complexity</x:v>
      </x:c>
      <x:c r="D1913" t="str">
        <x:v>Equipment constraints / low availability, Planning &amp; estimation / coordination complexity, Resource inefficiency (materials/labor/energy)</x:v>
      </x:c>
      <x:c r="E1913" t="str">
        <x:v>Equipment constraints / low availability</x:v>
      </x:c>
      <x:c r="F1913" t="str">
        <x:v>Resource inefficiency (materials/labor/energy)</x:v>
      </x:c>
      <x:c r="G1913" t="str">
        <x:v>Equipment constraints / low availability, Resource inefficiency (materials/labor/energy), Planning &amp; estimation / coordination complexity</x:v>
      </x:c>
      <x:c r="H1913" t="str">
        <x:v>Cost overrun mainly linked to equipment constraints / low availability; schedule overrun mainly linked to equipment constraints / low availability.</x:v>
      </x:c>
    </x:row>
    <x:row r="1914">
      <x:c r="A1914" t="str">
        <x:v>PJT_1913</x:v>
      </x:c>
      <x:c r="B1914" t="str">
        <x:v>Unforeseen site/structural issues &amp; rework</x:v>
      </x:c>
      <x:c r="C1914" t="str">
        <x:v>Planning &amp; estimation / coordination complexity</x:v>
      </x:c>
      <x:c r="D1914" t="str">
        <x:v>Unforeseen site/structural issues &amp; rework, Planning &amp; estimation / coordination complexity, Weather disruption / environmental constraints</x:v>
      </x:c>
      <x:c r="E1914" t="str">
        <x:v>Unforeseen site/structural issues &amp; rework</x:v>
      </x:c>
      <x:c r="F1914" t="str">
        <x:v>Planning &amp; estimation / coordination complexity</x:v>
      </x:c>
      <x:c r="G1914" t="str">
        <x:v>Unforeseen site/structural issues &amp; rework, Planning &amp; estimation / coordination complexity, Weather disruption / environmental constraints</x:v>
      </x:c>
      <x:c r="H1914" t="str">
        <x:v>Cost overrun mainly linked to unforeseen site/structural issues &amp; rework; schedule overrun mainly linked to unforeseen site/structural issues &amp; rework.</x:v>
      </x:c>
    </x:row>
    <x:row r="1915">
      <x:c r="A1915" t="str">
        <x:v>PJT_1914</x:v>
      </x:c>
      <x:c r="B1915" t="str">
        <x:v>Unforeseen site/structural issues &amp; rework</x:v>
      </x:c>
      <x:c r="C1915" t="str">
        <x:v>Weather disruption / environmental constraints</x:v>
      </x:c>
      <x:c r="D1915" t="str">
        <x:v>Unforeseen site/structural issues &amp; rework, Weather disruption / environmental constraints, Material supply / logistics &amp; market disruption</x:v>
      </x:c>
      <x:c r="E1915" t="str">
        <x:v>Unforeseen site/structural issues &amp; rework</x:v>
      </x:c>
      <x:c r="F1915" t="str">
        <x:v>Weather disruption / environmental constraints</x:v>
      </x:c>
      <x:c r="G1915" t="str">
        <x:v>Unforeseen site/structural issues &amp; rework, Weather disruption / environmental constraints, Material supply / logistics &amp; market disruption</x:v>
      </x:c>
      <x:c r="H1915" t="str">
        <x:v>Cost overrun mainly linked to unforeseen site/structural issues &amp; rework; schedule overrun mainly linked to unforeseen site/structural issues &amp; rework.</x:v>
      </x:c>
    </x:row>
    <x:row r="1916">
      <x:c r="A1916" t="str">
        <x:v>PJT_1915</x:v>
      </x:c>
      <x:c r="B1916" t="str">
        <x:v>Unforeseen site/structural issues &amp; rework</x:v>
      </x:c>
      <x:c r="C1916" t="str">
        <x:v>Weather disruption / environmental constraints</x:v>
      </x:c>
      <x:c r="D1916" t="str">
        <x:v>Unforeseen site/structural issues &amp; rework, Weather disruption / environmental constraints, Planning &amp; estimation / coordination complexity</x:v>
      </x:c>
      <x:c r="E1916" t="str">
        <x:v>Unforeseen site/structural issues &amp; rework</x:v>
      </x:c>
      <x:c r="F1916" t="str">
        <x:v>Weather disruption / environmental constraints</x:v>
      </x:c>
      <x:c r="G1916" t="str">
        <x:v>Unforeseen site/structural issues &amp; rework, Weather disruption / environmental constraints, Planning &amp; estimation / coordination complexity</x:v>
      </x:c>
      <x:c r="H1916" t="str">
        <x:v>Cost overrun mainly linked to unforeseen site/structural issues &amp; rework; schedule overrun mainly linked to unforeseen site/structural issues &amp; rework.</x:v>
      </x:c>
    </x:row>
    <x:row r="1917">
      <x:c r="A1917" t="str">
        <x:v>PJT_1916</x:v>
      </x:c>
      <x:c r="B1917" t="str">
        <x:v>Resource inefficiency (materials/labor/energy)</x:v>
      </x:c>
      <x:c r="C1917" t="str">
        <x:v>Material supply / logistics &amp; market disruption</x:v>
      </x:c>
      <x:c r="D1917" t="str">
        <x:v>Resource inefficiency (materials/labor/energy), Material supply / logistics &amp; market disruption, Equipment constraints / low availability</x:v>
      </x:c>
      <x:c r="E1917" t="str">
        <x:v>Resource inefficiency (materials/labor/energy)</x:v>
      </x:c>
      <x:c r="F1917" t="str">
        <x:v>Equipment constraints / low availability</x:v>
      </x:c>
      <x:c r="G1917" t="str">
        <x:v>Resource inefficiency (materials/labor/energy), Equipment constraints / low availability, Planning &amp; estimation / coordination complexity</x:v>
      </x:c>
      <x:c r="H1917" t="str">
        <x:v>Cost overrun mainly linked to resource inefficiency (materials/labor/energy); schedule overrun mainly linked to resource inefficiency (materials/labor/energy).</x:v>
      </x:c>
    </x:row>
    <x:row r="1918">
      <x:c r="A1918" t="str">
        <x:v>PJT_1917</x:v>
      </x:c>
      <x:c r="B1918" t="str">
        <x:v>Planning &amp; estimation / coordination complexity</x:v>
      </x:c>
      <x:c r="C1918" t="str">
        <x:v>Resource inefficiency (materials/labor/energy)</x:v>
      </x:c>
      <x:c r="D1918" t="str">
        <x:v>Planning &amp; estimation / coordination complexity, Resource inefficiency (materials/labor/energy), Equipment constraints / low availability</x:v>
      </x:c>
      <x:c r="E1918" t="str">
        <x:v>Planning &amp; estimation / coordination complexity</x:v>
      </x:c>
      <x:c r="F1918" t="str">
        <x:v>Resource inefficiency (materials/labor/energy)</x:v>
      </x:c>
      <x:c r="G1918" t="str">
        <x:v>Planning &amp; estimation / coordination complexity, Resource inefficiency (materials/labor/energy), Unforeseen site/structural issues &amp; rework</x:v>
      </x:c>
      <x:c r="H1918" t="str">
        <x:v>Cost overrun mainly linked to planning &amp; estimation / coordination complexity; schedule overrun mainly linked to planning &amp; estimation / coordination complexity.</x:v>
      </x:c>
    </x:row>
    <x:row r="1919">
      <x:c r="A1919" t="str">
        <x:v>PJT_1918</x:v>
      </x:c>
      <x:c r="B1919" t="str">
        <x:v>Weather disruption / environmental constraints</x:v>
      </x:c>
      <x:c r="C1919" t="str">
        <x:v>Material supply / logistics &amp; market disruption</x:v>
      </x:c>
      <x:c r="D1919" t="str">
        <x:v>Weather disruption / environmental constraints, Material supply / logistics &amp; market disruption, Unforeseen site/structural issues &amp; rework</x:v>
      </x:c>
      <x:c r="E1919" t="str">
        <x:v>Weather disruption / environmental constraints</x:v>
      </x:c>
      <x:c r="F1919" t="str">
        <x:v>Material supply / logistics &amp; market disruption</x:v>
      </x:c>
      <x:c r="G1919" t="str">
        <x:v>Weather disruption / environmental constraints, Material supply / logistics &amp; market disruption, Unforeseen site/structural issues &amp; rework</x:v>
      </x:c>
      <x:c r="H1919" t="str">
        <x:v>Cost overrun mainly linked to weather disruption / environmental constraints; schedule overrun mainly linked to weather disruption / environmental constraints.</x:v>
      </x:c>
    </x:row>
    <x:row r="1920">
      <x:c r="A1920" t="str">
        <x:v>PJT_1919</x:v>
      </x:c>
      <x:c r="B1920" t="str">
        <x:v>Weather disruption / environmental constraints</x:v>
      </x:c>
      <x:c r="C1920" t="str">
        <x:v>Unforeseen site/structural issues &amp; rework</x:v>
      </x:c>
      <x:c r="D1920" t="str">
        <x:v>Weather disruption / environmental constraints, Unforeseen site/structural issues &amp; rework, Equipment constraints / low availability</x:v>
      </x:c>
      <x:c r="E1920" t="str">
        <x:v>Weather disruption / environmental constraints</x:v>
      </x:c>
      <x:c r="F1920" t="str">
        <x:v>Unforeseen site/structural issues &amp; rework</x:v>
      </x:c>
      <x:c r="G1920" t="str">
        <x:v>Weather disruption / environmental constraints, Unforeseen site/structural issues &amp; rework, Equipment constraints / low availability</x:v>
      </x:c>
      <x:c r="H1920" t="str">
        <x:v>Cost overrun mainly linked to weather disruption / environmental constraints; schedule overrun mainly linked to weather disruption / environmental constraints.</x:v>
      </x:c>
    </x:row>
    <x:row r="1921">
      <x:c r="A1921" t="str">
        <x:v>PJT_1920</x:v>
      </x:c>
      <x:c r="B1921" t="str">
        <x:v>Unforeseen site/structural issues &amp; rework</x:v>
      </x:c>
      <x:c r="C1921" t="str">
        <x:v>Planning &amp; estimation / coordination complexity</x:v>
      </x:c>
      <x:c r="D1921" t="str">
        <x:v>Unforeseen site/structural issues &amp; rework, Planning &amp; estimation / coordination complexity, Resource inefficiency (materials/labor/energy)</x:v>
      </x:c>
      <x:c r="E1921" t="str">
        <x:v>Unforeseen site/structural issues &amp; rework</x:v>
      </x:c>
      <x:c r="F1921" t="str">
        <x:v>Planning &amp; estimation / coordination complexity</x:v>
      </x:c>
      <x:c r="G1921" t="str">
        <x:v>Unforeseen site/structural issues &amp; rework, Planning &amp; estimation / coordination complexity, Resource inefficiency (materials/labor/energy)</x:v>
      </x:c>
      <x:c r="H1921" t="str">
        <x:v>Cost overrun mainly linked to unforeseen site/structural issues &amp; rework; schedule overrun mainly linked to unforeseen site/structural issues &amp; rework.</x:v>
      </x:c>
    </x:row>
    <x:row r="1922">
      <x:c r="A1922" t="str">
        <x:v>PJT_1921</x:v>
      </x:c>
      <x:c r="B1922" t="str">
        <x:v>Planning &amp; estimation / coordination complexity</x:v>
      </x:c>
      <x:c r="C1922" t="str">
        <x:v>Resource inefficiency (materials/labor/energy)</x:v>
      </x:c>
      <x:c r="D1922" t="str">
        <x:v>Planning &amp; estimation / coordination complexity, Resource inefficiency (materials/labor/energy), Unforeseen site/structural issues &amp; rework</x:v>
      </x:c>
      <x:c r="E1922" t="str">
        <x:v>Planning &amp; estimation / coordination complexity</x:v>
      </x:c>
      <x:c r="F1922" t="str">
        <x:v>Resource inefficiency (materials/labor/energy)</x:v>
      </x:c>
      <x:c r="G1922" t="str">
        <x:v>Planning &amp; estimation / coordination complexity, Resource inefficiency (materials/labor/energy), Unforeseen site/structural issues &amp; rework</x:v>
      </x:c>
      <x:c r="H1922" t="str">
        <x:v>Cost overrun mainly linked to planning &amp; estimation / coordination complexity; schedule overrun mainly linked to planning &amp; estimation / coordination complexity.</x:v>
      </x:c>
    </x:row>
    <x:row r="1923">
      <x:c r="A1923" t="str">
        <x:v>PJT_1922</x:v>
      </x:c>
      <x:c r="B1923" t="str">
        <x:v>Weather disruption / environmental constraints</x:v>
      </x:c>
      <x:c r="C1923" t="str">
        <x:v>Unforeseen site/structural issues &amp; rework</x:v>
      </x:c>
      <x:c r="D1923" t="str">
        <x:v>Weather disruption / environmental constraints, Unforeseen site/structural issues &amp; rework, Equipment constraints / low availability</x:v>
      </x:c>
      <x:c r="E1923" t="str">
        <x:v>Weather disruption / environmental constraints</x:v>
      </x:c>
      <x:c r="F1923" t="str">
        <x:v>Unforeseen site/structural issues &amp; rework</x:v>
      </x:c>
      <x:c r="G1923" t="str">
        <x:v>Weather disruption / environmental constraints, Unforeseen site/structural issues &amp; rework, Equipment constraints / low availability</x:v>
      </x:c>
      <x:c r="H1923" t="str">
        <x:v>Cost overrun mainly linked to weather disruption / environmental constraints; schedule overrun mainly linked to weather disruption / environmental constraints.</x:v>
      </x:c>
    </x:row>
    <x:row r="1924">
      <x:c r="A1924" t="str">
        <x:v>PJT_1923</x:v>
      </x:c>
      <x:c r="B1924" t="str">
        <x:v>Resource inefficiency (materials/labor/energy)</x:v>
      </x:c>
      <x:c r="C1924" t="str">
        <x:v>Material supply / logistics &amp; market disruption</x:v>
      </x:c>
      <x:c r="D1924" t="str">
        <x:v>Resource inefficiency (materials/labor/energy), Material supply / logistics &amp; market disruption, Planning &amp; estimation / coordination complexity</x:v>
      </x:c>
      <x:c r="E1924" t="str">
        <x:v>Resource inefficiency (materials/labor/energy)</x:v>
      </x:c>
      <x:c r="F1924" t="str">
        <x:v>Planning &amp; estimation / coordination complexity</x:v>
      </x:c>
      <x:c r="G1924" t="str">
        <x:v>Resource inefficiency (materials/labor/energy), Planning &amp; estimation / coordination complexity, Material supply / logistics &amp; market disruption</x:v>
      </x:c>
      <x:c r="H1924" t="str">
        <x:v>Cost overrun mainly linked to resource inefficiency (materials/labor/energy); schedule overrun mainly linked to resource inefficiency (materials/labor/energy).</x:v>
      </x:c>
    </x:row>
    <x:row r="1925">
      <x:c r="A1925" t="str">
        <x:v>PJT_1924</x:v>
      </x:c>
      <x:c r="B1925" t="str">
        <x:v>Unforeseen site/structural issues &amp; rework</x:v>
      </x:c>
      <x:c r="C1925" t="str">
        <x:v>Planning &amp; estimation / coordination complexity</x:v>
      </x:c>
      <x:c r="D1925" t="str">
        <x:v>Unforeseen site/structural issues &amp; rework, Planning &amp; estimation / coordination complexity, Weather disruption / environmental constraints</x:v>
      </x:c>
      <x:c r="E1925" t="str">
        <x:v>Unforeseen site/structural issues &amp; rework</x:v>
      </x:c>
      <x:c r="F1925" t="str">
        <x:v>Planning &amp; estimation / coordination complexity</x:v>
      </x:c>
      <x:c r="G1925" t="str">
        <x:v>Unforeseen site/structural issues &amp; rework, Planning &amp; estimation / coordination complexity, Weather disruption / environmental constraints</x:v>
      </x:c>
      <x:c r="H1925" t="str">
        <x:v>Cost overrun mainly linked to unforeseen site/structural issues &amp; rework; schedule overrun mainly linked to unforeseen site/structural issues &amp; rework.</x:v>
      </x:c>
    </x:row>
    <x:row r="1926">
      <x:c r="A1926" t="str">
        <x:v>PJT_1925</x:v>
      </x:c>
      <x:c r="B1926" t="str">
        <x:v>Equipment constraints / low availability</x:v>
      </x:c>
      <x:c r="C1926" t="str">
        <x:v>Planning &amp; estimation / coordination complexity</x:v>
      </x:c>
      <x:c r="D1926" t="str">
        <x:v>Equipment constraints / low availability, Planning &amp; estimation / coordination complexity, Weather disruption / environmental constraints</x:v>
      </x:c>
      <x:c r="E1926" t="str">
        <x:v>Equipment constraints / low availability</x:v>
      </x:c>
      <x:c r="F1926" t="str">
        <x:v>Planning &amp; estimation / coordination complexity</x:v>
      </x:c>
      <x:c r="G1926" t="str">
        <x:v>Equipment constraints / low availability, Planning &amp; estimation / coordination complexity, Resource inefficiency (materials/labor/energy)</x:v>
      </x:c>
      <x:c r="H1926" t="str">
        <x:v>Cost overrun mainly linked to equipment constraints / low availability; schedule overrun mainly linked to equipment constraints / low availability.</x:v>
      </x:c>
    </x:row>
    <x:row r="1927">
      <x:c r="A1927" t="str">
        <x:v>PJT_1926</x:v>
      </x:c>
      <x:c r="B1927" t="str">
        <x:v>Planning &amp; estimation / coordination complexity</x:v>
      </x:c>
      <x:c r="C1927" t="str">
        <x:v>Equipment constraints / low availability</x:v>
      </x:c>
      <x:c r="D1927" t="str">
        <x:v>Planning &amp; estimation / coordination complexity, Equipment constraints / low availability, Unforeseen site/structural issues &amp; rework</x:v>
      </x:c>
      <x:c r="E1927" t="str">
        <x:v>Planning &amp; estimation / coordination complexity</x:v>
      </x:c>
      <x:c r="F1927" t="str">
        <x:v>Equipment constraints / low availability</x:v>
      </x:c>
      <x:c r="G1927" t="str">
        <x:v>Planning &amp; estimation / coordination complexity, Equipment constraints / low availability, Unforeseen site/structural issues &amp; rework</x:v>
      </x:c>
      <x:c r="H1927" t="str">
        <x:v>Cost overrun mainly linked to planning &amp; estimation / coordination complexity; schedule overrun mainly linked to planning &amp; estimation / coordination complexity.</x:v>
      </x:c>
    </x:row>
    <x:row r="1928">
      <x:c r="A1928" t="str">
        <x:v>PJT_1927</x:v>
      </x:c>
      <x:c r="B1928" t="str">
        <x:v>Unforeseen site/structural issues &amp; rework</x:v>
      </x:c>
      <x:c r="C1928" t="str">
        <x:v>Resource inefficiency (materials/labor/energy)</x:v>
      </x:c>
      <x:c r="D1928" t="str">
        <x:v>Unforeseen site/structural issues &amp; rework, Resource inefficiency (materials/labor/energy), Planning &amp; estimation / coordination complexity</x:v>
      </x:c>
      <x:c r="E1928" t="str">
        <x:v>Unforeseen site/structural issues &amp; rework</x:v>
      </x:c>
      <x:c r="F1928" t="str">
        <x:v>Planning &amp; estimation / coordination complexity</x:v>
      </x:c>
      <x:c r="G1928" t="str">
        <x:v>Unforeseen site/structural issues &amp; rework, Planning &amp; estimation / coordination complexity, Resource inefficiency (materials/labor/energy)</x:v>
      </x:c>
      <x:c r="H1928" t="str">
        <x:v>Cost overrun mainly linked to unforeseen site/structural issues &amp; rework; schedule overrun mainly linked to unforeseen site/structural issues &amp; rework.</x:v>
      </x:c>
    </x:row>
    <x:row r="1929">
      <x:c r="A1929" t="str">
        <x:v>PJT_1928</x:v>
      </x:c>
      <x:c r="B1929" t="str">
        <x:v>Unforeseen site/structural issues &amp; rework</x:v>
      </x:c>
      <x:c r="C1929" t="str">
        <x:v>Equipment constraints / low availability</x:v>
      </x:c>
      <x:c r="D1929" t="str">
        <x:v>Unforeseen site/structural issues &amp; rework, Equipment constraints / low availability, Weather disruption / environmental constraints</x:v>
      </x:c>
      <x:c r="E1929" t="str">
        <x:v>Unforeseen site/structural issues &amp; rework</x:v>
      </x:c>
      <x:c r="F1929" t="str">
        <x:v>Equipment constraints / low availability</x:v>
      </x:c>
      <x:c r="G1929" t="str">
        <x:v>Unforeseen site/structural issues &amp; rework, Equipment constraints / low availability, Weather disruption / environmental constraints</x:v>
      </x:c>
      <x:c r="H1929" t="str">
        <x:v>Cost overrun mainly linked to unforeseen site/structural issues &amp; rework; schedule overrun mainly linked to unforeseen site/structural issues &amp; rework.</x:v>
      </x:c>
    </x:row>
    <x:row r="1930">
      <x:c r="A1930" t="str">
        <x:v>PJT_1929</x:v>
      </x:c>
      <x:c r="B1930" t="str">
        <x:v>Unforeseen site/structural issues &amp; rework</x:v>
      </x:c>
      <x:c r="C1930" t="str">
        <x:v>Planning &amp; estimation / coordination complexity</x:v>
      </x:c>
      <x:c r="D1930" t="str">
        <x:v>Unforeseen site/structural issues &amp; rework, Planning &amp; estimation / coordination complexity, Material supply / logistics &amp; market disruption</x:v>
      </x:c>
      <x:c r="E1930" t="str">
        <x:v>Unforeseen site/structural issues &amp; rework</x:v>
      </x:c>
      <x:c r="F1930" t="str">
        <x:v>Planning &amp; estimation / coordination complexity</x:v>
      </x:c>
      <x:c r="G1930" t="str">
        <x:v>Unforeseen site/structural issues &amp; rework, Planning &amp; estimation / coordination complexity, Material supply / logistics &amp; market disruption</x:v>
      </x:c>
      <x:c r="H1930" t="str">
        <x:v>Cost overrun mainly linked to unforeseen site/structural issues &amp; rework; schedule overrun mainly linked to unforeseen site/structural issues &amp; rework.</x:v>
      </x:c>
    </x:row>
    <x:row r="1931">
      <x:c r="A1931" t="str">
        <x:v>PJT_1930</x:v>
      </x:c>
      <x:c r="B1931" t="str">
        <x:v>Planning &amp; estimation / coordination complexity</x:v>
      </x:c>
      <x:c r="C1931" t="str">
        <x:v>Resource inefficiency (materials/labor/energy)</x:v>
      </x:c>
      <x:c r="D1931" t="str">
        <x:v>Planning &amp; estimation / coordination complexity, Resource inefficiency (materials/labor/energy), Equipment constraints / low availability</x:v>
      </x:c>
      <x:c r="E1931" t="str">
        <x:v>Planning &amp; estimation / coordination complexity</x:v>
      </x:c>
      <x:c r="F1931" t="str">
        <x:v>Resource inefficiency (materials/labor/energy)</x:v>
      </x:c>
      <x:c r="G1931" t="str">
        <x:v>Planning &amp; estimation / coordination complexity, Resource inefficiency (materials/labor/energy), Equipment constraints / low availability</x:v>
      </x:c>
      <x:c r="H1931" t="str">
        <x:v>Cost overrun mainly linked to planning &amp; estimation / coordination complexity; schedule overrun mainly linked to planning &amp; estimation / coordination complexity.</x:v>
      </x:c>
    </x:row>
    <x:row r="1932">
      <x:c r="A1932" t="str">
        <x:v>PJT_1931</x:v>
      </x:c>
      <x:c r="B1932" t="str">
        <x:v>Resource inefficiency (materials/labor/energy)</x:v>
      </x:c>
      <x:c r="C1932" t="str">
        <x:v>Planning &amp; estimation / coordination complexity</x:v>
      </x:c>
      <x:c r="D1932" t="str">
        <x:v>Resource inefficiency (materials/labor/energy), Planning &amp; estimation / coordination complexity, Material supply / logistics &amp; market disruption</x:v>
      </x:c>
      <x:c r="E1932" t="str">
        <x:v>Resource inefficiency (materials/labor/energy)</x:v>
      </x:c>
      <x:c r="F1932" t="str">
        <x:v>Planning &amp; estimation / coordination complexity</x:v>
      </x:c>
      <x:c r="G1932" t="str">
        <x:v>Resource inefficiency (materials/labor/energy), Planning &amp; estimation / coordination complexity, Equipment constraints / low availability</x:v>
      </x:c>
      <x:c r="H1932" t="str">
        <x:v>Cost overrun mainly linked to resource inefficiency (materials/labor/energy); schedule overrun mainly linked to resource inefficiency (materials/labor/energy).</x:v>
      </x:c>
    </x:row>
    <x:row r="1933">
      <x:c r="A1933" t="str">
        <x:v>PJT_1932</x:v>
      </x:c>
      <x:c r="B1933" t="str">
        <x:v>Equipment constraints / low availability</x:v>
      </x:c>
      <x:c r="C1933" t="str">
        <x:v>Unforeseen site/structural issues &amp; rework</x:v>
      </x:c>
      <x:c r="D1933" t="str">
        <x:v>Equipment constraints / low availability, Unforeseen site/structural issues &amp; rework, Planning &amp; estimation / coordination complexity</x:v>
      </x:c>
      <x:c r="E1933" t="str">
        <x:v>Equipment constraints / low availability</x:v>
      </x:c>
      <x:c r="F1933" t="str">
        <x:v>Unforeseen site/structural issues &amp; rework</x:v>
      </x:c>
      <x:c r="G1933" t="str">
        <x:v>Equipment constraints / low availability, Unforeseen site/structural issues &amp; rework, Planning &amp; estimation / coordination complexity</x:v>
      </x:c>
      <x:c r="H1933" t="str">
        <x:v>Cost overrun mainly linked to equipment constraints / low availability; schedule overrun mainly linked to equipment constraints / low availability.</x:v>
      </x:c>
    </x:row>
    <x:row r="1934">
      <x:c r="A1934" t="str">
        <x:v>PJT_1933</x:v>
      </x:c>
      <x:c r="B1934" t="str">
        <x:v>Weather disruption / environmental constraints</x:v>
      </x:c>
      <x:c r="C1934" t="str">
        <x:v>Material supply / logistics &amp; market disruption</x:v>
      </x:c>
      <x:c r="D1934" t="str">
        <x:v>Weather disruption / environmental constraints, Material supply / logistics &amp; market disruption, Planning &amp; estimation / coordination complexity</x:v>
      </x:c>
      <x:c r="E1934" t="str">
        <x:v>Weather disruption / environmental constraints</x:v>
      </x:c>
      <x:c r="F1934" t="str">
        <x:v>Material supply / logistics &amp; market disruption</x:v>
      </x:c>
      <x:c r="G1934" t="str">
        <x:v>Weather disruption / environmental constraints, Material supply / logistics &amp; market disruption, Planning &amp; estimation / coordination complexity</x:v>
      </x:c>
      <x:c r="H1934" t="str">
        <x:v>Cost overrun mainly linked to weather disruption / environmental constraints; schedule overrun mainly linked to weather disruption / environmental constraints.</x:v>
      </x:c>
    </x:row>
    <x:row r="1935">
      <x:c r="A1935" t="str">
        <x:v>PJT_1934</x:v>
      </x:c>
      <x:c r="B1935" t="str">
        <x:v>Unforeseen site/structural issues &amp; rework</x:v>
      </x:c>
      <x:c r="C1935" t="str">
        <x:v>Equipment constraints / low availability</x:v>
      </x:c>
      <x:c r="D1935" t="str">
        <x:v>Unforeseen site/structural issues &amp; rework, Equipment constraints / low availability, Planning &amp; estimation / coordination complexity</x:v>
      </x:c>
      <x:c r="E1935" t="str">
        <x:v>Unforeseen site/structural issues &amp; rework</x:v>
      </x:c>
      <x:c r="F1935" t="str">
        <x:v>Planning &amp; estimation / coordination complexity</x:v>
      </x:c>
      <x:c r="G1935" t="str">
        <x:v>Unforeseen site/structural issues &amp; rework, Planning &amp; estimation / coordination complexity, Equipment constraints / low availability</x:v>
      </x:c>
      <x:c r="H1935" t="str">
        <x:v>Cost overrun mainly linked to unforeseen site/structural issues &amp; rework; schedule overrun mainly linked to unforeseen site/structural issues &amp; rework.</x:v>
      </x:c>
    </x:row>
    <x:row r="1936">
      <x:c r="A1936" t="str">
        <x:v>PJT_1935</x:v>
      </x:c>
      <x:c r="B1936" t="str">
        <x:v>Planning &amp; estimation / coordination complexity</x:v>
      </x:c>
      <x:c r="C1936" t="str">
        <x:v>Material supply / logistics &amp; market disruption</x:v>
      </x:c>
      <x:c r="D1936" t="str">
        <x:v>Planning &amp; estimation / coordination complexity, Material supply / logistics &amp; market disruption, Weather disruption / environmental constraints</x:v>
      </x:c>
      <x:c r="E1936" t="str">
        <x:v>Planning &amp; estimation / coordination complexity</x:v>
      </x:c>
      <x:c r="F1936" t="str">
        <x:v>Unforeseen site/structural issues &amp; rework</x:v>
      </x:c>
      <x:c r="G1936" t="str">
        <x:v>Planning &amp; estimation / coordination complexity, Unforeseen site/structural issues &amp; rework, Material supply / logistics &amp; market disruption</x:v>
      </x:c>
      <x:c r="H1936" t="str">
        <x:v>Cost overrun mainly linked to planning &amp; estimation / coordination complexity; schedule overrun mainly linked to planning &amp; estimation / coordination complexity.</x:v>
      </x:c>
    </x:row>
    <x:row r="1937">
      <x:c r="A1937" t="str">
        <x:v>PJT_1936</x:v>
      </x:c>
      <x:c r="B1937" t="str">
        <x:v>Resource inefficiency (materials/labor/energy)</x:v>
      </x:c>
      <x:c r="C1937" t="str">
        <x:v>Planning &amp; estimation / coordination complexity</x:v>
      </x:c>
      <x:c r="D1937" t="str">
        <x:v>Resource inefficiency (materials/labor/energy), Planning &amp; estimation / coordination complexity, Equipment constraints / low availability</x:v>
      </x:c>
      <x:c r="E1937" t="str">
        <x:v>Resource inefficiency (materials/labor/energy)</x:v>
      </x:c>
      <x:c r="F1937" t="str">
        <x:v>Planning &amp; estimation / coordination complexity</x:v>
      </x:c>
      <x:c r="G1937" t="str">
        <x:v>Resource inefficiency (materials/labor/energy), Planning &amp; estimation / coordination complexity, Equipment constraints / low availability</x:v>
      </x:c>
      <x:c r="H1937" t="str">
        <x:v>Cost overrun mainly linked to resource inefficiency (materials/labor/energy); schedule overrun mainly linked to resource inefficiency (materials/labor/energy).</x:v>
      </x:c>
    </x:row>
    <x:row r="1938">
      <x:c r="A1938" t="str">
        <x:v>PJT_1937</x:v>
      </x:c>
      <x:c r="B1938" t="str">
        <x:v>Resource inefficiency (materials/labor/energy)</x:v>
      </x:c>
      <x:c r="C1938" t="str">
        <x:v>Equipment constraints / low availability</x:v>
      </x:c>
      <x:c r="D1938" t="str">
        <x:v>Resource inefficiency (materials/labor/energy), Equipment constraints / low availability, Planning &amp; estimation / coordination complexity</x:v>
      </x:c>
      <x:c r="E1938" t="str">
        <x:v>Resource inefficiency (materials/labor/energy)</x:v>
      </x:c>
      <x:c r="F1938" t="str">
        <x:v>Equipment constraints / low availability</x:v>
      </x:c>
      <x:c r="G1938" t="str">
        <x:v>Resource inefficiency (materials/labor/energy), Equipment constraints / low availability, Planning &amp; estimation / coordination complexity</x:v>
      </x:c>
      <x:c r="H1938" t="str">
        <x:v>Cost overrun mainly linked to resource inefficiency (materials/labor/energy); schedule overrun mainly linked to resource inefficiency (materials/labor/energy).</x:v>
      </x:c>
    </x:row>
    <x:row r="1939">
      <x:c r="A1939" t="str">
        <x:v>PJT_1938</x:v>
      </x:c>
      <x:c r="B1939" t="str">
        <x:v>Planning &amp; estimation / coordination complexity</x:v>
      </x:c>
      <x:c r="C1939" t="str">
        <x:v>Unforeseen site/structural issues &amp; rework</x:v>
      </x:c>
      <x:c r="D1939" t="str">
        <x:v>Planning &amp; estimation / coordination complexity, Unforeseen site/structural issues &amp; rework, Equipment constraints / low availability</x:v>
      </x:c>
      <x:c r="E1939" t="str">
        <x:v>Unforeseen site/structural issues &amp; rework</x:v>
      </x:c>
      <x:c r="F1939" t="str">
        <x:v>Planning &amp; estimation / coordination complexity</x:v>
      </x:c>
      <x:c r="G1939" t="str">
        <x:v>Unforeseen site/structural issues &amp; rework, Planning &amp; estimation / coordination complexity, Equipment constraints / low availability</x:v>
      </x:c>
      <x:c r="H1939" t="str">
        <x:v>Cost overrun mainly linked to planning &amp; estimation / coordination complexity; schedule overrun mainly linked to unforeseen site/structural issues &amp; rework.</x:v>
      </x:c>
    </x:row>
    <x:row r="1940">
      <x:c r="A1940" t="str">
        <x:v>PJT_1939</x:v>
      </x:c>
      <x:c r="B1940" t="str">
        <x:v>Unforeseen site/structural issues &amp; rework</x:v>
      </x:c>
      <x:c r="C1940" t="str">
        <x:v>Planning &amp; estimation / coordination complexity</x:v>
      </x:c>
      <x:c r="D1940" t="str">
        <x:v>Unforeseen site/structural issues &amp; rework, Planning &amp; estimation / coordination complexity, Material supply / logistics &amp; market disruption</x:v>
      </x:c>
      <x:c r="E1940" t="str">
        <x:v>Unforeseen site/structural issues &amp; rework</x:v>
      </x:c>
      <x:c r="F1940" t="str">
        <x:v>Planning &amp; estimation / coordination complexity</x:v>
      </x:c>
      <x:c r="G1940" t="str">
        <x:v>Unforeseen site/structural issues &amp; rework, Planning &amp; estimation / coordination complexity, Material supply / logistics &amp; market disruption</x:v>
      </x:c>
      <x:c r="H1940" t="str">
        <x:v>Cost overrun mainly linked to unforeseen site/structural issues &amp; rework; schedule overrun mainly linked to unforeseen site/structural issues &amp; rework.</x:v>
      </x:c>
    </x:row>
    <x:row r="1941">
      <x:c r="A1941" t="str">
        <x:v>PJT_1940</x:v>
      </x:c>
      <x:c r="B1941" t="str">
        <x:v>Unforeseen site/structural issues &amp; rework</x:v>
      </x:c>
      <x:c r="C1941" t="str">
        <x:v>Planning &amp; estimation / coordination complexity</x:v>
      </x:c>
      <x:c r="D1941" t="str">
        <x:v>Unforeseen site/structural issues &amp; rework, Planning &amp; estimation / coordination complexity, Weather disruption / environmental constraints</x:v>
      </x:c>
      <x:c r="E1941" t="str">
        <x:v>Unforeseen site/structural issues &amp; rework</x:v>
      </x:c>
      <x:c r="F1941" t="str">
        <x:v>Planning &amp; estimation / coordination complexity</x:v>
      </x:c>
      <x:c r="G1941" t="str">
        <x:v>Unforeseen site/structural issues &amp; rework, Planning &amp; estimation / coordination complexity, Weather disruption / environmental constraints</x:v>
      </x:c>
      <x:c r="H1941" t="str">
        <x:v>Cost overrun mainly linked to unforeseen site/structural issues &amp; rework; schedule overrun mainly linked to unforeseen site/structural issues &amp; rework.</x:v>
      </x:c>
    </x:row>
    <x:row r="1942">
      <x:c r="A1942" t="str">
        <x:v>PJT_1941</x:v>
      </x:c>
      <x:c r="B1942" t="str">
        <x:v>Resource inefficiency (materials/labor/energy)</x:v>
      </x:c>
      <x:c r="C1942" t="str">
        <x:v>Material supply / logistics &amp; market disruption</x:v>
      </x:c>
      <x:c r="D1942" t="str">
        <x:v>Resource inefficiency (materials/labor/energy), Material supply / logistics &amp; market disruption, Equipment constraints / low availability</x:v>
      </x:c>
      <x:c r="E1942" t="str">
        <x:v>Resource inefficiency (materials/labor/energy)</x:v>
      </x:c>
      <x:c r="F1942" t="str">
        <x:v>Equipment constraints / low availability</x:v>
      </x:c>
      <x:c r="G1942" t="str">
        <x:v>Resource inefficiency (materials/labor/energy), Equipment constraints / low availability, Material supply / logistics &amp; market disruption</x:v>
      </x:c>
      <x:c r="H1942" t="str">
        <x:v>Cost overrun mainly linked to resource inefficiency (materials/labor/energy); schedule overrun mainly linked to resource inefficiency (materials/labor/energy).</x:v>
      </x:c>
    </x:row>
    <x:row r="1943">
      <x:c r="A1943" t="str">
        <x:v>PJT_1942</x:v>
      </x:c>
      <x:c r="B1943" t="str">
        <x:v>Planning &amp; estimation / coordination complexity</x:v>
      </x:c>
      <x:c r="C1943" t="str">
        <x:v>Resource inefficiency (materials/labor/energy)</x:v>
      </x:c>
      <x:c r="D1943" t="str">
        <x:v>Planning &amp; estimation / coordination complexity, Resource inefficiency (materials/labor/energy), Equipment constraints / low availability</x:v>
      </x:c>
      <x:c r="E1943" t="str">
        <x:v>Planning &amp; estimation / coordination complexity</x:v>
      </x:c>
      <x:c r="F1943" t="str">
        <x:v>Resource inefficiency (materials/labor/energy)</x:v>
      </x:c>
      <x:c r="G1943" t="str">
        <x:v>Planning &amp; estimation / coordination complexity, Resource inefficiency (materials/labor/energy), Equipment constraints / low availability</x:v>
      </x:c>
      <x:c r="H1943" t="str">
        <x:v>Cost overrun mainly linked to planning &amp; estimation / coordination complexity; schedule overrun mainly linked to planning &amp; estimation / coordination complexity.</x:v>
      </x:c>
    </x:row>
    <x:row r="1944">
      <x:c r="A1944" t="str">
        <x:v>PJT_1943</x:v>
      </x:c>
      <x:c r="B1944" t="str">
        <x:v>Resource inefficiency (materials/labor/energy)</x:v>
      </x:c>
      <x:c r="C1944" t="str">
        <x:v>Planning &amp; estimation / coordination complexity</x:v>
      </x:c>
      <x:c r="D1944" t="str">
        <x:v>Resource inefficiency (materials/labor/energy), Planning &amp; estimation / coordination complexity, Unforeseen site/structural issues &amp; rework</x:v>
      </x:c>
      <x:c r="E1944" t="str">
        <x:v>Resource inefficiency (materials/labor/energy)</x:v>
      </x:c>
      <x:c r="F1944" t="str">
        <x:v>Planning &amp; estimation / coordination complexity</x:v>
      </x:c>
      <x:c r="G1944" t="str">
        <x:v>Resource inefficiency (materials/labor/energy), Planning &amp; estimation / coordination complexity, Unforeseen site/structural issues &amp; rework</x:v>
      </x:c>
      <x:c r="H1944" t="str">
        <x:v>Cost overrun mainly linked to resource inefficiency (materials/labor/energy); schedule overrun mainly linked to resource inefficiency (materials/labor/energy).</x:v>
      </x:c>
    </x:row>
    <x:row r="1945">
      <x:c r="A1945" t="str">
        <x:v>PJT_1944</x:v>
      </x:c>
      <x:c r="B1945" t="str">
        <x:v>Planning &amp; estimation / coordination complexity</x:v>
      </x:c>
      <x:c r="C1945" t="str">
        <x:v>Resource inefficiency (materials/labor/energy)</x:v>
      </x:c>
      <x:c r="D1945" t="str">
        <x:v>Planning &amp; estimation / coordination complexity, Resource inefficiency (materials/labor/energy), Equipment constraints / low availability</x:v>
      </x:c>
      <x:c r="E1945" t="str">
        <x:v>Planning &amp; estimation / coordination complexity</x:v>
      </x:c>
      <x:c r="F1945" t="str">
        <x:v>Resource inefficiency (materials/labor/energy)</x:v>
      </x:c>
      <x:c r="G1945" t="str">
        <x:v>Planning &amp; estimation / coordination complexity, Resource inefficiency (materials/labor/energy), Equipment constraints / low availability</x:v>
      </x:c>
      <x:c r="H1945" t="str">
        <x:v>Cost overrun mainly linked to planning &amp; estimation / coordination complexity; schedule overrun mainly linked to planning &amp; estimation / coordination complexity.</x:v>
      </x:c>
    </x:row>
    <x:row r="1946">
      <x:c r="A1946" t="str">
        <x:v>PJT_1945</x:v>
      </x:c>
      <x:c r="B1946" t="str">
        <x:v>Resource inefficiency (materials/labor/energy)</x:v>
      </x:c>
      <x:c r="C1946" t="str">
        <x:v>Planning &amp; estimation / coordination complexity</x:v>
      </x:c>
      <x:c r="D1946" t="str">
        <x:v>Resource inefficiency (materials/labor/energy), Planning &amp; estimation / coordination complexity, Equipment constraints / low availability</x:v>
      </x:c>
      <x:c r="E1946" t="str">
        <x:v>Resource inefficiency (materials/labor/energy)</x:v>
      </x:c>
      <x:c r="F1946" t="str">
        <x:v>Planning &amp; estimation / coordination complexity</x:v>
      </x:c>
      <x:c r="G1946" t="str">
        <x:v>Resource inefficiency (materials/labor/energy), Planning &amp; estimation / coordination complexity, Equipment constraints / low availability</x:v>
      </x:c>
      <x:c r="H1946" t="str">
        <x:v>Cost overrun mainly linked to resource inefficiency (materials/labor/energy); schedule overrun mainly linked to resource inefficiency (materials/labor/energy).</x:v>
      </x:c>
    </x:row>
    <x:row r="1947">
      <x:c r="A1947" t="str">
        <x:v>PJT_1946</x:v>
      </x:c>
      <x:c r="B1947" t="str">
        <x:v>Equipment constraints / low availability</x:v>
      </x:c>
      <x:c r="C1947" t="str">
        <x:v>Weather disruption / environmental constraints</x:v>
      </x:c>
      <x:c r="D1947" t="str">
        <x:v>Equipment constraints / low availability, Weather disruption / environmental constraints, Unforeseen site/structural issues &amp; rework</x:v>
      </x:c>
      <x:c r="E1947" t="str">
        <x:v>Weather disruption / environmental constraints</x:v>
      </x:c>
      <x:c r="F1947" t="str">
        <x:v>Equipment constraints / low availability</x:v>
      </x:c>
      <x:c r="G1947" t="str">
        <x:v>Weather disruption / environmental constraints, Equipment constraints / low availability, Unforeseen site/structural issues &amp; rework</x:v>
      </x:c>
      <x:c r="H1947" t="str">
        <x:v>Cost overrun mainly linked to equipment constraints / low availability; schedule overrun mainly linked to weather disruption / environmental constraints.</x:v>
      </x:c>
    </x:row>
    <x:row r="1948">
      <x:c r="A1948" t="str">
        <x:v>PJT_1947</x:v>
      </x:c>
      <x:c r="B1948" t="str">
        <x:v>Resource inefficiency (materials/labor/energy)</x:v>
      </x:c>
      <x:c r="C1948" t="str">
        <x:v>Material supply / logistics &amp; market disruption</x:v>
      </x:c>
      <x:c r="D1948" t="str">
        <x:v>Resource inefficiency (materials/labor/energy), Material supply / logistics &amp; market disruption, Planning &amp; estimation / coordination complexity</x:v>
      </x:c>
      <x:c r="E1948" t="str">
        <x:v>Resource inefficiency (materials/labor/energy)</x:v>
      </x:c>
      <x:c r="F1948" t="str">
        <x:v>Planning &amp; estimation / coordination complexity</x:v>
      </x:c>
      <x:c r="G1948" t="str">
        <x:v>Resource inefficiency (materials/labor/energy), Planning &amp; estimation / coordination complexity, Material supply / logistics &amp; market disruption</x:v>
      </x:c>
      <x:c r="H1948" t="str">
        <x:v>Cost overrun mainly linked to resource inefficiency (materials/labor/energy); schedule overrun mainly linked to resource inefficiency (materials/labor/energy).</x:v>
      </x:c>
    </x:row>
    <x:row r="1949">
      <x:c r="A1949" t="str">
        <x:v>PJT_1948</x:v>
      </x:c>
      <x:c r="B1949" t="str">
        <x:v>Unforeseen site/structural issues &amp; rework</x:v>
      </x:c>
      <x:c r="C1949" t="str">
        <x:v>Planning &amp; estimation / coordination complexity</x:v>
      </x:c>
      <x:c r="D1949" t="str">
        <x:v>Unforeseen site/structural issues &amp; rework, Planning &amp; estimation / coordination complexity, Resource inefficiency (materials/labor/energy)</x:v>
      </x:c>
      <x:c r="E1949" t="str">
        <x:v>Unforeseen site/structural issues &amp; rework</x:v>
      </x:c>
      <x:c r="F1949" t="str">
        <x:v>Planning &amp; estimation / coordination complexity</x:v>
      </x:c>
      <x:c r="G1949" t="str">
        <x:v>Unforeseen site/structural issues &amp; rework, Planning &amp; estimation / coordination complexity, Resource inefficiency (materials/labor/energy)</x:v>
      </x:c>
      <x:c r="H1949" t="str">
        <x:v>Cost overrun mainly linked to unforeseen site/structural issues &amp; rework; schedule overrun mainly linked to unforeseen site/structural issues &amp; rework.</x:v>
      </x:c>
    </x:row>
    <x:row r="1950">
      <x:c r="A1950" t="str">
        <x:v>PJT_1949</x:v>
      </x:c>
      <x:c r="B1950" t="str">
        <x:v>Unforeseen site/structural issues &amp; rework</x:v>
      </x:c>
      <x:c r="C1950" t="str">
        <x:v>Planning &amp; estimation / coordination complexity</x:v>
      </x:c>
      <x:c r="D1950" t="str">
        <x:v>Unforeseen site/structural issues &amp; rework, Planning &amp; estimation / coordination complexity, Material supply / logistics &amp; market disruption</x:v>
      </x:c>
      <x:c r="E1950" t="str">
        <x:v>Unforeseen site/structural issues &amp; rework</x:v>
      </x:c>
      <x:c r="F1950" t="str">
        <x:v>Planning &amp; estimation / coordination complexity</x:v>
      </x:c>
      <x:c r="G1950" t="str">
        <x:v>Unforeseen site/structural issues &amp; rework, Planning &amp; estimation / coordination complexity, Material supply / logistics &amp; market disruption</x:v>
      </x:c>
      <x:c r="H1950" t="str">
        <x:v>Cost overrun mainly linked to unforeseen site/structural issues &amp; rework; schedule overrun mainly linked to unforeseen site/structural issues &amp; rework.</x:v>
      </x:c>
    </x:row>
    <x:row r="1951">
      <x:c r="A1951" t="str">
        <x:v>PJT_1950</x:v>
      </x:c>
      <x:c r="B1951" t="str">
        <x:v>Material supply / logistics &amp; market disruption</x:v>
      </x:c>
      <x:c r="C1951" t="str">
        <x:v>Planning &amp; estimation / coordination complexity</x:v>
      </x:c>
      <x:c r="D1951" t="str">
        <x:v>Material supply / logistics &amp; market disruption, Planning &amp; estimation / coordination complexity, Resource inefficiency (materials/labor/energy)</x:v>
      </x:c>
      <x:c r="E1951" t="str">
        <x:v>Planning &amp; estimation / coordination complexity</x:v>
      </x:c>
      <x:c r="F1951" t="str">
        <x:v>Material supply / logistics &amp; market disruption</x:v>
      </x:c>
      <x:c r="G1951" t="str">
        <x:v>Planning &amp; estimation / coordination complexity, Material supply / logistics &amp; market disruption, Unforeseen site/structural issues &amp; rework</x:v>
      </x:c>
      <x:c r="H1951" t="str">
        <x:v>Cost overrun mainly linked to material supply / logistics &amp; market disruption; schedule overrun mainly linked to planning &amp; estimation / coordination complexity.</x:v>
      </x:c>
    </x:row>
    <x:row r="1952">
      <x:c r="A1952" t="str">
        <x:v>PJT_1951</x:v>
      </x:c>
      <x:c r="B1952" t="str">
        <x:v>Planning &amp; estimation / coordination complexity</x:v>
      </x:c>
      <x:c r="C1952" t="str">
        <x:v>Unforeseen site/structural issues &amp; rework</x:v>
      </x:c>
      <x:c r="D1952" t="str">
        <x:v>Planning &amp; estimation / coordination complexity, Unforeseen site/structural issues &amp; rework, Resource inefficiency (materials/labor/energy)</x:v>
      </x:c>
      <x:c r="E1952" t="str">
        <x:v>Planning &amp; estimation / coordination complexity</x:v>
      </x:c>
      <x:c r="F1952" t="str">
        <x:v>Unforeseen site/structural issues &amp; rework</x:v>
      </x:c>
      <x:c r="G1952" t="str">
        <x:v>Planning &amp; estimation / coordination complexity, Unforeseen site/structural issues &amp; rework, Resource inefficiency (materials/labor/energy)</x:v>
      </x:c>
      <x:c r="H1952" t="str">
        <x:v>Cost overrun mainly linked to planning &amp; estimation / coordination complexity; schedule overrun mainly linked to planning &amp; estimation / coordination complexity.</x:v>
      </x:c>
    </x:row>
    <x:row r="1953">
      <x:c r="A1953" t="str">
        <x:v>PJT_1952</x:v>
      </x:c>
      <x:c r="B1953" t="str">
        <x:v>Resource inefficiency (materials/labor/energy)</x:v>
      </x:c>
      <x:c r="C1953" t="str">
        <x:v>Material supply / logistics &amp; market disruption</x:v>
      </x:c>
      <x:c r="D1953" t="str">
        <x:v>Resource inefficiency (materials/labor/energy), Material supply / logistics &amp; market disruption, Unforeseen site/structural issues &amp; rework</x:v>
      </x:c>
      <x:c r="E1953" t="str">
        <x:v>Resource inefficiency (materials/labor/energy)</x:v>
      </x:c>
      <x:c r="F1953" t="str">
        <x:v>Unforeseen site/structural issues &amp; rework</x:v>
      </x:c>
      <x:c r="G1953" t="str">
        <x:v>Resource inefficiency (materials/labor/energy), Unforeseen site/structural issues &amp; rework, Equipment constraints / low availability</x:v>
      </x:c>
      <x:c r="H1953" t="str">
        <x:v>Cost overrun mainly linked to resource inefficiency (materials/labor/energy); schedule overrun mainly linked to resource inefficiency (materials/labor/energy).</x:v>
      </x:c>
    </x:row>
    <x:row r="1954">
      <x:c r="A1954" t="str">
        <x:v>PJT_1953</x:v>
      </x:c>
      <x:c r="B1954" t="str">
        <x:v>Unforeseen site/structural issues &amp; rework</x:v>
      </x:c>
      <x:c r="C1954" t="str">
        <x:v>Planning &amp; estimation / coordination complexity</x:v>
      </x:c>
      <x:c r="D1954" t="str">
        <x:v>Unforeseen site/structural issues &amp; rework, Planning &amp; estimation / coordination complexity, Equipment constraints / low availability</x:v>
      </x:c>
      <x:c r="E1954" t="str">
        <x:v>Unforeseen site/structural issues &amp; rework</x:v>
      </x:c>
      <x:c r="F1954" t="str">
        <x:v>Planning &amp; estimation / coordination complexity</x:v>
      </x:c>
      <x:c r="G1954" t="str">
        <x:v>Unforeseen site/structural issues &amp; rework, Planning &amp; estimation / coordination complexity, Equipment constraints / low availability</x:v>
      </x:c>
      <x:c r="H1954" t="str">
        <x:v>Cost overrun mainly linked to unforeseen site/structural issues &amp; rework; schedule overrun mainly linked to unforeseen site/structural issues &amp; rework.</x:v>
      </x:c>
    </x:row>
    <x:row r="1955">
      <x:c r="A1955" t="str">
        <x:v>PJT_1954</x:v>
      </x:c>
      <x:c r="B1955" t="str">
        <x:v>Unforeseen site/structural issues &amp; rework</x:v>
      </x:c>
      <x:c r="C1955" t="str">
        <x:v>Weather disruption / environmental constraints</x:v>
      </x:c>
      <x:c r="D1955" t="str">
        <x:v>Unforeseen site/structural issues &amp; rework, Weather disruption / environmental constraints, Planning &amp; estimation / coordination complexity</x:v>
      </x:c>
      <x:c r="E1955" t="str">
        <x:v>Unforeseen site/structural issues &amp; rework</x:v>
      </x:c>
      <x:c r="F1955" t="str">
        <x:v>Weather disruption / environmental constraints</x:v>
      </x:c>
      <x:c r="G1955" t="str">
        <x:v>Unforeseen site/structural issues &amp; rework, Weather disruption / environmental constraints, Planning &amp; estimation / coordination complexity</x:v>
      </x:c>
      <x:c r="H1955" t="str">
        <x:v>Cost overrun mainly linked to unforeseen site/structural issues &amp; rework; schedule overrun mainly linked to unforeseen site/structural issues &amp; rework.</x:v>
      </x:c>
    </x:row>
    <x:row r="1956">
      <x:c r="A1956" t="str">
        <x:v>PJT_1955</x:v>
      </x:c>
      <x:c r="B1956" t="str">
        <x:v>Weather disruption / environmental constraints</x:v>
      </x:c>
      <x:c r="C1956" t="str">
        <x:v>Equipment constraints / low availability</x:v>
      </x:c>
      <x:c r="D1956" t="str">
        <x:v>Weather disruption / environmental constraints, Equipment constraints / low availability, Material supply / logistics &amp; market disruption</x:v>
      </x:c>
      <x:c r="E1956" t="str">
        <x:v>Weather disruption / environmental constraints</x:v>
      </x:c>
      <x:c r="F1956" t="str">
        <x:v>Material supply / logistics &amp; market disruption</x:v>
      </x:c>
      <x:c r="G1956" t="str">
        <x:v>Weather disruption / environmental constraints, Material supply / logistics &amp; market disruption, Equipment constraints / low availability</x:v>
      </x:c>
      <x:c r="H1956" t="str">
        <x:v>Cost overrun mainly linked to weather disruption / environmental constraints; schedule overrun mainly linked to weather disruption / environmental constraints.</x:v>
      </x:c>
    </x:row>
    <x:row r="1957">
      <x:c r="A1957" t="str">
        <x:v>PJT_1956</x:v>
      </x:c>
      <x:c r="B1957" t="str">
        <x:v>Resource inefficiency (materials/labor/energy)</x:v>
      </x:c>
      <x:c r="C1957" t="str">
        <x:v>Planning &amp; estimation / coordination complexity</x:v>
      </x:c>
      <x:c r="D1957" t="str">
        <x:v>Resource inefficiency (materials/labor/energy), Planning &amp; estimation / coordination complexity, Equipment constraints / low availability</x:v>
      </x:c>
      <x:c r="E1957" t="str">
        <x:v>Resource inefficiency (materials/labor/energy)</x:v>
      </x:c>
      <x:c r="F1957" t="str">
        <x:v>Planning &amp; estimation / coordination complexity</x:v>
      </x:c>
      <x:c r="G1957" t="str">
        <x:v>Resource inefficiency (materials/labor/energy), Planning &amp; estimation / coordination complexity, Equipment constraints / low availability</x:v>
      </x:c>
      <x:c r="H1957" t="str">
        <x:v>Cost overrun mainly linked to resource inefficiency (materials/labor/energy); schedule overrun mainly linked to resource inefficiency (materials/labor/energy).</x:v>
      </x:c>
    </x:row>
    <x:row r="1958">
      <x:c r="A1958" t="str">
        <x:v>PJT_1957</x:v>
      </x:c>
      <x:c r="B1958" t="str">
        <x:v>Unforeseen site/structural issues &amp; rework</x:v>
      </x:c>
      <x:c r="C1958" t="str">
        <x:v>Resource inefficiency (materials/labor/energy)</x:v>
      </x:c>
      <x:c r="D1958" t="str">
        <x:v>Unforeseen site/structural issues &amp; rework, Resource inefficiency (materials/labor/energy), Planning &amp; estimation / coordination complexity</x:v>
      </x:c>
      <x:c r="E1958" t="str">
        <x:v>Unforeseen site/structural issues &amp; rework</x:v>
      </x:c>
      <x:c r="F1958" t="str">
        <x:v>Planning &amp; estimation / coordination complexity</x:v>
      </x:c>
      <x:c r="G1958" t="str">
        <x:v>Unforeseen site/structural issues &amp; rework, Planning &amp; estimation / coordination complexity, Resource inefficiency (materials/labor/energy)</x:v>
      </x:c>
      <x:c r="H1958" t="str">
        <x:v>Cost overrun mainly linked to unforeseen site/structural issues &amp; rework; schedule overrun mainly linked to unforeseen site/structural issues &amp; rework.</x:v>
      </x:c>
    </x:row>
    <x:row r="1959">
      <x:c r="A1959" t="str">
        <x:v>PJT_1958</x:v>
      </x:c>
      <x:c r="B1959" t="str">
        <x:v>Planning &amp; estimation / coordination complexity</x:v>
      </x:c>
      <x:c r="C1959" t="str">
        <x:v>Resource inefficiency (materials/labor/energy)</x:v>
      </x:c>
      <x:c r="D1959" t="str">
        <x:v>Planning &amp; estimation / coordination complexity, Resource inefficiency (materials/labor/energy), Unforeseen site/structural issues &amp; rework</x:v>
      </x:c>
      <x:c r="E1959" t="str">
        <x:v>Planning &amp; estimation / coordination complexity</x:v>
      </x:c>
      <x:c r="F1959" t="str">
        <x:v>Unforeseen site/structural issues &amp; rework</x:v>
      </x:c>
      <x:c r="G1959" t="str">
        <x:v>Planning &amp; estimation / coordination complexity, Unforeseen site/structural issues &amp; rework, Resource inefficiency (materials/labor/energy)</x:v>
      </x:c>
      <x:c r="H1959" t="str">
        <x:v>Cost overrun mainly linked to planning &amp; estimation / coordination complexity; schedule overrun mainly linked to planning &amp; estimation / coordination complexity.</x:v>
      </x:c>
    </x:row>
    <x:row r="1960">
      <x:c r="A1960" t="str">
        <x:v>PJT_1959</x:v>
      </x:c>
      <x:c r="B1960" t="str">
        <x:v>Material supply / logistics &amp; market disruption</x:v>
      </x:c>
      <x:c r="C1960" t="str">
        <x:v>Resource inefficiency (materials/labor/energy)</x:v>
      </x:c>
      <x:c r="D1960" t="str">
        <x:v>Material supply / logistics &amp; market disruption, Resource inefficiency (materials/labor/energy), Equipment constraints / low availability</x:v>
      </x:c>
      <x:c r="E1960" t="str">
        <x:v>Material supply / logistics &amp; market disruption</x:v>
      </x:c>
      <x:c r="F1960" t="str">
        <x:v>Resource inefficiency (materials/labor/energy)</x:v>
      </x:c>
      <x:c r="G1960" t="str">
        <x:v>Material supply / logistics &amp; market disruption, Resource inefficiency (materials/labor/energy), Equipment constraints / low availability</x:v>
      </x:c>
      <x:c r="H1960" t="str">
        <x:v>Cost overrun mainly linked to material supply / logistics &amp; market disruption; schedule overrun mainly linked to material supply / logistics &amp; market disruption.</x:v>
      </x:c>
    </x:row>
    <x:row r="1961">
      <x:c r="A1961" t="str">
        <x:v>PJT_1960</x:v>
      </x:c>
      <x:c r="B1961" t="str">
        <x:v>Equipment constraints / low availability</x:v>
      </x:c>
      <x:c r="C1961" t="str">
        <x:v>Weather disruption / environmental constraints</x:v>
      </x:c>
      <x:c r="D1961" t="str">
        <x:v>Equipment constraints / low availability, Weather disruption / environmental constraints, Material supply / logistics &amp; market disruption</x:v>
      </x:c>
      <x:c r="E1961" t="str">
        <x:v>Equipment constraints / low availability</x:v>
      </x:c>
      <x:c r="F1961" t="str">
        <x:v>Weather disruption / environmental constraints</x:v>
      </x:c>
      <x:c r="G1961" t="str">
        <x:v>Equipment constraints / low availability, Weather disruption / environmental constraints, Material supply / logistics &amp; market disruption</x:v>
      </x:c>
      <x:c r="H1961" t="str">
        <x:v>Cost overrun mainly linked to equipment constraints / low availability; schedule overrun mainly linked to equipment constraints / low availability.</x:v>
      </x:c>
    </x:row>
    <x:row r="1962">
      <x:c r="A1962" t="str">
        <x:v>PJT_1961</x:v>
      </x:c>
      <x:c r="B1962" t="str">
        <x:v>Unforeseen site/structural issues &amp; rework</x:v>
      </x:c>
      <x:c r="C1962" t="str">
        <x:v>Weather disruption / environmental constraints</x:v>
      </x:c>
      <x:c r="D1962" t="str">
        <x:v>Unforeseen site/structural issues &amp; rework, Weather disruption / environmental constraints, Resource inefficiency (materials/labor/energy)</x:v>
      </x:c>
      <x:c r="E1962" t="str">
        <x:v>Unforeseen site/structural issues &amp; rework</x:v>
      </x:c>
      <x:c r="F1962" t="str">
        <x:v>Planning &amp; estimation / coordination complexity</x:v>
      </x:c>
      <x:c r="G1962" t="str">
        <x:v>Unforeseen site/structural issues &amp; rework, Planning &amp; estimation / coordination complexity, Weather disruption / environmental constraints</x:v>
      </x:c>
      <x:c r="H1962" t="str">
        <x:v>Cost overrun mainly linked to unforeseen site/structural issues &amp; rework; schedule overrun mainly linked to unforeseen site/structural issues &amp; rework.</x:v>
      </x:c>
    </x:row>
    <x:row r="1963">
      <x:c r="A1963" t="str">
        <x:v>PJT_1962</x:v>
      </x:c>
      <x:c r="B1963" t="str">
        <x:v>Unforeseen site/structural issues &amp; rework</x:v>
      </x:c>
      <x:c r="C1963" t="str">
        <x:v>Planning &amp; estimation / coordination complexity</x:v>
      </x:c>
      <x:c r="D1963" t="str">
        <x:v>Unforeseen site/structural issues &amp; rework, Planning &amp; estimation / coordination complexity, Resource inefficiency (materials/labor/energy)</x:v>
      </x:c>
      <x:c r="E1963" t="str">
        <x:v>Unforeseen site/structural issues &amp; rework</x:v>
      </x:c>
      <x:c r="F1963" t="str">
        <x:v>Planning &amp; estimation / coordination complexity</x:v>
      </x:c>
      <x:c r="G1963" t="str">
        <x:v>Unforeseen site/structural issues &amp; rework, Planning &amp; estimation / coordination complexity, Equipment constraints / low availability</x:v>
      </x:c>
      <x:c r="H1963" t="str">
        <x:v>Cost overrun mainly linked to unforeseen site/structural issues &amp; rework; schedule overrun mainly linked to unforeseen site/structural issues &amp; rework.</x:v>
      </x:c>
    </x:row>
    <x:row r="1964">
      <x:c r="A1964" t="str">
        <x:v>PJT_1963</x:v>
      </x:c>
      <x:c r="B1964" t="str">
        <x:v>Planning &amp; estimation / coordination complexity</x:v>
      </x:c>
      <x:c r="C1964" t="str">
        <x:v>Unforeseen site/structural issues &amp; rework</x:v>
      </x:c>
      <x:c r="D1964" t="str">
        <x:v>Planning &amp; estimation / coordination complexity, Unforeseen site/structural issues &amp; rework, Resource inefficiency (materials/labor/energy)</x:v>
      </x:c>
      <x:c r="E1964" t="str">
        <x:v>Planning &amp; estimation / coordination complexity</x:v>
      </x:c>
      <x:c r="F1964" t="str">
        <x:v>Unforeseen site/structural issues &amp; rework</x:v>
      </x:c>
      <x:c r="G1964" t="str">
        <x:v>Planning &amp; estimation / coordination complexity, Unforeseen site/structural issues &amp; rework, Resource inefficiency (materials/labor/energy)</x:v>
      </x:c>
      <x:c r="H1964" t="str">
        <x:v>Cost overrun mainly linked to planning &amp; estimation / coordination complexity; schedule overrun mainly linked to planning &amp; estimation / coordination complexity.</x:v>
      </x:c>
    </x:row>
    <x:row r="1965">
      <x:c r="A1965" t="str">
        <x:v>PJT_1964</x:v>
      </x:c>
      <x:c r="B1965" t="str">
        <x:v>Equipment constraints / low availability</x:v>
      </x:c>
      <x:c r="C1965" t="str">
        <x:v>Resource inefficiency (materials/labor/energy)</x:v>
      </x:c>
      <x:c r="D1965" t="str">
        <x:v>Equipment constraints / low availability, Resource inefficiency (materials/labor/energy), Planning &amp; estimation / coordination complexity</x:v>
      </x:c>
      <x:c r="E1965" t="str">
        <x:v>Equipment constraints / low availability</x:v>
      </x:c>
      <x:c r="F1965" t="str">
        <x:v>Resource inefficiency (materials/labor/energy)</x:v>
      </x:c>
      <x:c r="G1965" t="str">
        <x:v>Equipment constraints / low availability, Resource inefficiency (materials/labor/energy), Planning &amp; estimation / coordination complexity</x:v>
      </x:c>
      <x:c r="H1965" t="str">
        <x:v>Cost overrun mainly linked to equipment constraints / low availability; schedule overrun mainly linked to equipment constraints / low availability.</x:v>
      </x:c>
    </x:row>
    <x:row r="1966">
      <x:c r="A1966" t="str">
        <x:v>PJT_1965</x:v>
      </x:c>
      <x:c r="B1966" t="str">
        <x:v>Unforeseen site/structural issues &amp; rework</x:v>
      </x:c>
      <x:c r="C1966" t="str">
        <x:v>Weather disruption / environmental constraints</x:v>
      </x:c>
      <x:c r="D1966" t="str">
        <x:v>Unforeseen site/structural issues &amp; rework, Weather disruption / environmental constraints, Material supply / logistics &amp; market disruption</x:v>
      </x:c>
      <x:c r="E1966" t="str">
        <x:v>Weather disruption / environmental constraints</x:v>
      </x:c>
      <x:c r="F1966" t="str">
        <x:v>Unforeseen site/structural issues &amp; rework</x:v>
      </x:c>
      <x:c r="G1966" t="str">
        <x:v>Weather disruption / environmental constraints, Unforeseen site/structural issues &amp; rework, Material supply / logistics &amp; market disruption</x:v>
      </x:c>
      <x:c r="H1966" t="str">
        <x:v>Cost overrun mainly linked to unforeseen site/structural issues &amp; rework; schedule overrun mainly linked to weather disruption / environmental constraints.</x:v>
      </x:c>
    </x:row>
    <x:row r="1967">
      <x:c r="A1967" t="str">
        <x:v>PJT_1966</x:v>
      </x:c>
      <x:c r="B1967" t="str">
        <x:v>Unforeseen site/structural issues &amp; rework</x:v>
      </x:c>
      <x:c r="C1967" t="str">
        <x:v>Planning &amp; estimation / coordination complexity</x:v>
      </x:c>
      <x:c r="D1967" t="str">
        <x:v>Unforeseen site/structural issues &amp; rework, Planning &amp; estimation / coordination complexity, Weather disruption / environmental constraints</x:v>
      </x:c>
      <x:c r="E1967" t="str">
        <x:v>Unforeseen site/structural issues &amp; rework</x:v>
      </x:c>
      <x:c r="F1967" t="str">
        <x:v>Planning &amp; estimation / coordination complexity</x:v>
      </x:c>
      <x:c r="G1967" t="str">
        <x:v>Unforeseen site/structural issues &amp; rework, Planning &amp; estimation / coordination complexity, Weather disruption / environmental constraints</x:v>
      </x:c>
      <x:c r="H1967" t="str">
        <x:v>Cost overrun mainly linked to unforeseen site/structural issues &amp; rework; schedule overrun mainly linked to unforeseen site/structural issues &amp; rework.</x:v>
      </x:c>
    </x:row>
    <x:row r="1968">
      <x:c r="A1968" t="str">
        <x:v>PJT_1967</x:v>
      </x:c>
      <x:c r="B1968" t="str">
        <x:v>Equipment constraints / low availability</x:v>
      </x:c>
      <x:c r="C1968" t="str">
        <x:v>Resource inefficiency (materials/labor/energy)</x:v>
      </x:c>
      <x:c r="D1968" t="str">
        <x:v>Equipment constraints / low availability, Resource inefficiency (materials/labor/energy), Planning &amp; estimation / coordination complexity</x:v>
      </x:c>
      <x:c r="E1968" t="str">
        <x:v>Equipment constraints / low availability</x:v>
      </x:c>
      <x:c r="F1968" t="str">
        <x:v>Resource inefficiency (materials/labor/energy)</x:v>
      </x:c>
      <x:c r="G1968" t="str">
        <x:v>Equipment constraints / low availability, Resource inefficiency (materials/labor/energy), Planning &amp; estimation / coordination complexity</x:v>
      </x:c>
      <x:c r="H1968" t="str">
        <x:v>Cost overrun mainly linked to equipment constraints / low availability; schedule overrun mainly linked to equipment constraints / low availability.</x:v>
      </x:c>
    </x:row>
    <x:row r="1969">
      <x:c r="A1969" t="str">
        <x:v>PJT_1968</x:v>
      </x:c>
      <x:c r="B1969" t="str">
        <x:v>Weather disruption / environmental constraints</x:v>
      </x:c>
      <x:c r="C1969" t="str">
        <x:v>Material supply / logistics &amp; market disruption</x:v>
      </x:c>
      <x:c r="D1969" t="str">
        <x:v>Weather disruption / environmental constraints, Material supply / logistics &amp; market disruption, Planning &amp; estimation / coordination complexity</x:v>
      </x:c>
      <x:c r="E1969" t="str">
        <x:v>Weather disruption / environmental constraints</x:v>
      </x:c>
      <x:c r="F1969" t="str">
        <x:v>Material supply / logistics &amp; market disruption</x:v>
      </x:c>
      <x:c r="G1969" t="str">
        <x:v>Weather disruption / environmental constraints, Material supply / logistics &amp; market disruption, Planning &amp; estimation / coordination complexity</x:v>
      </x:c>
      <x:c r="H1969" t="str">
        <x:v>Cost overrun mainly linked to weather disruption / environmental constraints; schedule overrun mainly linked to weather disruption / environmental constraints.</x:v>
      </x:c>
    </x:row>
    <x:row r="1970">
      <x:c r="A1970" t="str">
        <x:v>PJT_1969</x:v>
      </x:c>
      <x:c r="B1970" t="str">
        <x:v>Weather disruption / environmental constraints</x:v>
      </x:c>
      <x:c r="C1970" t="str">
        <x:v>Unforeseen site/structural issues &amp; rework</x:v>
      </x:c>
      <x:c r="D1970" t="str">
        <x:v>Weather disruption / environmental constraints, Unforeseen site/structural issues &amp; rework, Material supply / logistics &amp; market disruption</x:v>
      </x:c>
      <x:c r="E1970" t="str">
        <x:v>Weather disruption / environmental constraints</x:v>
      </x:c>
      <x:c r="F1970" t="str">
        <x:v>Unforeseen site/structural issues &amp; rework</x:v>
      </x:c>
      <x:c r="G1970" t="str">
        <x:v>Weather disruption / environmental constraints, Unforeseen site/structural issues &amp; rework, Material supply / logistics &amp; market disruption</x:v>
      </x:c>
      <x:c r="H1970" t="str">
        <x:v>Cost overrun mainly linked to weather disruption / environmental constraints; schedule overrun mainly linked to weather disruption / environmental constraints.</x:v>
      </x:c>
    </x:row>
    <x:row r="1971">
      <x:c r="A1971" t="str">
        <x:v>PJT_1970</x:v>
      </x:c>
      <x:c r="B1971" t="str">
        <x:v>Weather disruption / environmental constraints</x:v>
      </x:c>
      <x:c r="C1971" t="str">
        <x:v>Unforeseen site/structural issues &amp; rework</x:v>
      </x:c>
      <x:c r="D1971" t="str">
        <x:v>Weather disruption / environmental constraints, Unforeseen site/structural issues &amp; rework, Equipment constraints / low availability</x:v>
      </x:c>
      <x:c r="E1971" t="str">
        <x:v>Weather disruption / environmental constraints</x:v>
      </x:c>
      <x:c r="F1971" t="str">
        <x:v>Unforeseen site/structural issues &amp; rework</x:v>
      </x:c>
      <x:c r="G1971" t="str">
        <x:v>Weather disruption / environmental constraints, Unforeseen site/structural issues &amp; rework, Material supply / logistics &amp; market disruption</x:v>
      </x:c>
      <x:c r="H1971" t="str">
        <x:v>Cost overrun mainly linked to weather disruption / environmental constraints; schedule overrun mainly linked to weather disruption / environmental constraints.</x:v>
      </x:c>
    </x:row>
    <x:row r="1972">
      <x:c r="A1972" t="str">
        <x:v>PJT_1971</x:v>
      </x:c>
      <x:c r="B1972" t="str">
        <x:v>Planning &amp; estimation / coordination complexity</x:v>
      </x:c>
      <x:c r="C1972" t="str">
        <x:v>Resource inefficiency (materials/labor/energy)</x:v>
      </x:c>
      <x:c r="D1972" t="str">
        <x:v>Planning &amp; estimation / coordination complexity, Resource inefficiency (materials/labor/energy), Material supply / logistics &amp; market disruption</x:v>
      </x:c>
      <x:c r="E1972" t="str">
        <x:v>Planning &amp; estimation / coordination complexity</x:v>
      </x:c>
      <x:c r="F1972" t="str">
        <x:v>Resource inefficiency (materials/labor/energy)</x:v>
      </x:c>
      <x:c r="G1972" t="str">
        <x:v>Planning &amp; estimation / coordination complexity, Resource inefficiency (materials/labor/energy), Equipment constraints / low availability</x:v>
      </x:c>
      <x:c r="H1972" t="str">
        <x:v>Cost overrun mainly linked to planning &amp; estimation / coordination complexity; schedule overrun mainly linked to planning &amp; estimation / coordination complexity.</x:v>
      </x:c>
    </x:row>
    <x:row r="1973">
      <x:c r="A1973" t="str">
        <x:v>PJT_1972</x:v>
      </x:c>
      <x:c r="B1973" t="str">
        <x:v>Unforeseen site/structural issues &amp; rework</x:v>
      </x:c>
      <x:c r="C1973" t="str">
        <x:v>Resource inefficiency (materials/labor/energy)</x:v>
      </x:c>
      <x:c r="D1973" t="str">
        <x:v>Unforeseen site/structural issues &amp; rework, Resource inefficiency (materials/labor/energy), Planning &amp; estimation / coordination complexity</x:v>
      </x:c>
      <x:c r="E1973" t="str">
        <x:v>Unforeseen site/structural issues &amp; rework</x:v>
      </x:c>
      <x:c r="F1973" t="str">
        <x:v>Resource inefficiency (materials/labor/energy)</x:v>
      </x:c>
      <x:c r="G1973" t="str">
        <x:v>Unforeseen site/structural issues &amp; rework, Resource inefficiency (materials/labor/energy), Planning &amp; estimation / coordination complexity</x:v>
      </x:c>
      <x:c r="H1973" t="str">
        <x:v>Cost overrun mainly linked to unforeseen site/structural issues &amp; rework; schedule overrun mainly linked to unforeseen site/structural issues &amp; rework.</x:v>
      </x:c>
    </x:row>
    <x:row r="1974">
      <x:c r="A1974" t="str">
        <x:v>PJT_1973</x:v>
      </x:c>
      <x:c r="B1974" t="str">
        <x:v>Unforeseen site/structural issues &amp; rework</x:v>
      </x:c>
      <x:c r="C1974" t="str">
        <x:v>Planning &amp; estimation / coordination complexity</x:v>
      </x:c>
      <x:c r="D1974" t="str">
        <x:v>Unforeseen site/structural issues &amp; rework, Planning &amp; estimation / coordination complexity, Equipment constraints / low availability</x:v>
      </x:c>
      <x:c r="E1974" t="str">
        <x:v>Unforeseen site/structural issues &amp; rework</x:v>
      </x:c>
      <x:c r="F1974" t="str">
        <x:v>Planning &amp; estimation / coordination complexity</x:v>
      </x:c>
      <x:c r="G1974" t="str">
        <x:v>Unforeseen site/structural issues &amp; rework, Planning &amp; estimation / coordination complexity, Equipment constraints / low availability</x:v>
      </x:c>
      <x:c r="H1974" t="str">
        <x:v>Cost overrun mainly linked to unforeseen site/structural issues &amp; rework; schedule overrun mainly linked to unforeseen site/structural issues &amp; rework.</x:v>
      </x:c>
    </x:row>
    <x:row r="1975">
      <x:c r="A1975" t="str">
        <x:v>PJT_1974</x:v>
      </x:c>
      <x:c r="B1975" t="str">
        <x:v>Unforeseen site/structural issues &amp; rework</x:v>
      </x:c>
      <x:c r="C1975" t="str">
        <x:v>Weather disruption / environmental constraints</x:v>
      </x:c>
      <x:c r="D1975" t="str">
        <x:v>Unforeseen site/structural issues &amp; rework, Weather disruption / environmental constraints, Equipment constraints / low availability</x:v>
      </x:c>
      <x:c r="E1975" t="str">
        <x:v>Unforeseen site/structural issues &amp; rework</x:v>
      </x:c>
      <x:c r="F1975" t="str">
        <x:v>Weather disruption / environmental constraints</x:v>
      </x:c>
      <x:c r="G1975" t="str">
        <x:v>Unforeseen site/structural issues &amp; rework, Weather disruption / environmental constraints, Equipment constraints / low availability</x:v>
      </x:c>
      <x:c r="H1975" t="str">
        <x:v>Cost overrun mainly linked to unforeseen site/structural issues &amp; rework; schedule overrun mainly linked to unforeseen site/structural issues &amp; rework.</x:v>
      </x:c>
    </x:row>
    <x:row r="1976">
      <x:c r="A1976" t="str">
        <x:v>PJT_1975</x:v>
      </x:c>
      <x:c r="B1976" t="str">
        <x:v>Unforeseen site/structural issues &amp; rework</x:v>
      </x:c>
      <x:c r="C1976" t="str">
        <x:v>Resource inefficiency (materials/labor/energy)</x:v>
      </x:c>
      <x:c r="D1976" t="str">
        <x:v>Unforeseen site/structural issues &amp; rework, Resource inefficiency (materials/labor/energy), Material supply / logistics &amp; market disruption</x:v>
      </x:c>
      <x:c r="E1976" t="str">
        <x:v>Unforeseen site/structural issues &amp; rework</x:v>
      </x:c>
      <x:c r="F1976" t="str">
        <x:v>Weather disruption / environmental constraints</x:v>
      </x:c>
      <x:c r="G1976" t="str">
        <x:v>Unforeseen site/structural issues &amp; rework, Weather disruption / environmental constraints, Material supply / logistics &amp; market disruption</x:v>
      </x:c>
      <x:c r="H1976" t="str">
        <x:v>Cost overrun mainly linked to unforeseen site/structural issues &amp; rework; schedule overrun mainly linked to unforeseen site/structural issues &amp; rework.</x:v>
      </x:c>
    </x:row>
    <x:row r="1977">
      <x:c r="A1977" t="str">
        <x:v>PJT_1976</x:v>
      </x:c>
      <x:c r="B1977" t="str">
        <x:v>Resource inefficiency (materials/labor/energy)</x:v>
      </x:c>
      <x:c r="C1977" t="str">
        <x:v>Equipment constraints / low availability</x:v>
      </x:c>
      <x:c r="D1977" t="str">
        <x:v>Resource inefficiency (materials/labor/energy), Equipment constraints / low availability, Planning &amp; estimation / coordination complexity</x:v>
      </x:c>
      <x:c r="E1977" t="str">
        <x:v>Equipment constraints / low availability</x:v>
      </x:c>
      <x:c r="F1977" t="str">
        <x:v>Resource inefficiency (materials/labor/energy)</x:v>
      </x:c>
      <x:c r="G1977" t="str">
        <x:v>Equipment constraints / low availability, Resource inefficiency (materials/labor/energy), Planning &amp; estimation / coordination complexity</x:v>
      </x:c>
      <x:c r="H1977" t="str">
        <x:v>Cost overrun mainly linked to resource inefficiency (materials/labor/energy); schedule overrun mainly linked to equipment constraints / low availability.</x:v>
      </x:c>
    </x:row>
    <x:row r="1978">
      <x:c r="A1978" t="str">
        <x:v>PJT_1977</x:v>
      </x:c>
      <x:c r="B1978" t="str">
        <x:v>Material supply / logistics &amp; market disruption</x:v>
      </x:c>
      <x:c r="C1978" t="str">
        <x:v>Equipment constraints / low availability</x:v>
      </x:c>
      <x:c r="D1978" t="str">
        <x:v>Material supply / logistics &amp; market disruption, Equipment constraints / low availability, Planning &amp; estimation / coordination complexity</x:v>
      </x:c>
      <x:c r="E1978" t="str">
        <x:v>Equipment constraints / low availability</x:v>
      </x:c>
      <x:c r="F1978" t="str">
        <x:v>Planning &amp; estimation / coordination complexity</x:v>
      </x:c>
      <x:c r="G1978" t="str">
        <x:v>Equipment constraints / low availability, Planning &amp; estimation / coordination complexity, Resource inefficiency (materials/labor/energy)</x:v>
      </x:c>
      <x:c r="H1978" t="str">
        <x:v>Cost overrun mainly linked to material supply / logistics &amp; market disruption; schedule overrun mainly linked to equipment constraints / low availability.</x:v>
      </x:c>
    </x:row>
    <x:row r="1979">
      <x:c r="A1979" t="str">
        <x:v>PJT_1978</x:v>
      </x:c>
      <x:c r="B1979" t="str">
        <x:v>Weather disruption / environmental constraints</x:v>
      </x:c>
      <x:c r="C1979" t="str">
        <x:v>Material supply / logistics &amp; market disruption</x:v>
      </x:c>
      <x:c r="D1979" t="str">
        <x:v>Weather disruption / environmental constraints, Material supply / logistics &amp; market disruption, Unforeseen site/structural issues &amp; rework</x:v>
      </x:c>
      <x:c r="E1979" t="str">
        <x:v>Weather disruption / environmental constraints</x:v>
      </x:c>
      <x:c r="F1979" t="str">
        <x:v>Material supply / logistics &amp; market disruption</x:v>
      </x:c>
      <x:c r="G1979" t="str">
        <x:v>Weather disruption / environmental constraints, Material supply / logistics &amp; market disruption, Unforeseen site/structural issues &amp; rework</x:v>
      </x:c>
      <x:c r="H1979" t="str">
        <x:v>Cost overrun mainly linked to weather disruption / environmental constraints; schedule overrun mainly linked to weather disruption / environmental constraints.</x:v>
      </x:c>
    </x:row>
    <x:row r="1980">
      <x:c r="A1980" t="str">
        <x:v>PJT_1979</x:v>
      </x:c>
      <x:c r="B1980" t="str">
        <x:v>Resource inefficiency (materials/labor/energy)</x:v>
      </x:c>
      <x:c r="C1980" t="str">
        <x:v>Planning &amp; estimation / coordination complexity</x:v>
      </x:c>
      <x:c r="D1980" t="str">
        <x:v>Resource inefficiency (materials/labor/energy), Planning &amp; estimation / coordination complexity, Material supply / logistics &amp; market disruption</x:v>
      </x:c>
      <x:c r="E1980" t="str">
        <x:v>Planning &amp; estimation / coordination complexity</x:v>
      </x:c>
      <x:c r="F1980" t="str">
        <x:v>Resource inefficiency (materials/labor/energy)</x:v>
      </x:c>
      <x:c r="G1980" t="str">
        <x:v>Planning &amp; estimation / coordination complexity, Resource inefficiency (materials/labor/energy), Material supply / logistics &amp; market disruption</x:v>
      </x:c>
      <x:c r="H1980" t="str">
        <x:v>Cost overrun mainly linked to resource inefficiency (materials/labor/energy); schedule overrun mainly linked to planning &amp; estimation / coordination complexity.</x:v>
      </x:c>
    </x:row>
    <x:row r="1981">
      <x:c r="A1981" t="str">
        <x:v>PJT_1980</x:v>
      </x:c>
      <x:c r="B1981" t="str">
        <x:v>Unforeseen site/structural issues &amp; rework</x:v>
      </x:c>
      <x:c r="C1981" t="str">
        <x:v>Equipment constraints / low availability</x:v>
      </x:c>
      <x:c r="D1981" t="str">
        <x:v>Unforeseen site/structural issues &amp; rework, Equipment constraints / low availability, Resource inefficiency (materials/labor/energy)</x:v>
      </x:c>
      <x:c r="E1981" t="str">
        <x:v>Resource inefficiency (materials/labor/energy)</x:v>
      </x:c>
      <x:c r="F1981" t="str">
        <x:v>Equipment constraints / low availability</x:v>
      </x:c>
      <x:c r="G1981" t="str">
        <x:v>Resource inefficiency (materials/labor/energy), Equipment constraints / low availability, Unforeseen site/structural issues &amp; rework</x:v>
      </x:c>
      <x:c r="H1981" t="str">
        <x:v>Cost overrun mainly linked to unforeseen site/structural issues &amp; rework; schedule overrun mainly linked to resource inefficiency (materials/labor/energy).</x:v>
      </x:c>
    </x:row>
    <x:row r="1982">
      <x:c r="A1982" t="str">
        <x:v>PJT_1981</x:v>
      </x:c>
      <x:c r="B1982" t="str">
        <x:v>Unforeseen site/structural issues &amp; rework</x:v>
      </x:c>
      <x:c r="C1982" t="str">
        <x:v>Resource inefficiency (materials/labor/energy)</x:v>
      </x:c>
      <x:c r="D1982" t="str">
        <x:v>Unforeseen site/structural issues &amp; rework, Resource inefficiency (materials/labor/energy), Planning &amp; estimation / coordination complexity</x:v>
      </x:c>
      <x:c r="E1982" t="str">
        <x:v>Unforeseen site/structural issues &amp; rework</x:v>
      </x:c>
      <x:c r="F1982" t="str">
        <x:v>Planning &amp; estimation / coordination complexity</x:v>
      </x:c>
      <x:c r="G1982" t="str">
        <x:v>Unforeseen site/structural issues &amp; rework, Planning &amp; estimation / coordination complexity, Resource inefficiency (materials/labor/energy)</x:v>
      </x:c>
      <x:c r="H1982" t="str">
        <x:v>Cost overrun mainly linked to unforeseen site/structural issues &amp; rework; schedule overrun mainly linked to unforeseen site/structural issues &amp; rework.</x:v>
      </x:c>
    </x:row>
    <x:row r="1983">
      <x:c r="A1983" t="str">
        <x:v>PJT_1982</x:v>
      </x:c>
      <x:c r="B1983" t="str">
        <x:v>Resource inefficiency (materials/labor/energy)</x:v>
      </x:c>
      <x:c r="C1983" t="str">
        <x:v>Planning &amp; estimation / coordination complexity</x:v>
      </x:c>
      <x:c r="D1983" t="str">
        <x:v>Resource inefficiency (materials/labor/energy), Planning &amp; estimation / coordination complexity, Equipment constraints / low availability</x:v>
      </x:c>
      <x:c r="E1983" t="str">
        <x:v>Resource inefficiency (materials/labor/energy)</x:v>
      </x:c>
      <x:c r="F1983" t="str">
        <x:v>Planning &amp; estimation / coordination complexity</x:v>
      </x:c>
      <x:c r="G1983" t="str">
        <x:v>Resource inefficiency (materials/labor/energy), Planning &amp; estimation / coordination complexity, Equipment constraints / low availability</x:v>
      </x:c>
      <x:c r="H1983" t="str">
        <x:v>Cost overrun mainly linked to resource inefficiency (materials/labor/energy); schedule overrun mainly linked to resource inefficiency (materials/labor/energy).</x:v>
      </x:c>
    </x:row>
    <x:row r="1984">
      <x:c r="A1984" t="str">
        <x:v>PJT_1983</x:v>
      </x:c>
      <x:c r="B1984" t="str">
        <x:v>Unforeseen site/structural issues &amp; rework</x:v>
      </x:c>
      <x:c r="C1984" t="str">
        <x:v>Resource inefficiency (materials/labor/energy)</x:v>
      </x:c>
      <x:c r="D1984" t="str">
        <x:v>Unforeseen site/structural issues &amp; rework, Resource inefficiency (materials/labor/energy), Planning &amp; estimation / coordination complexity</x:v>
      </x:c>
      <x:c r="E1984" t="str">
        <x:v>Unforeseen site/structural issues &amp; rework</x:v>
      </x:c>
      <x:c r="F1984" t="str">
        <x:v>Planning &amp; estimation / coordination complexity</x:v>
      </x:c>
      <x:c r="G1984" t="str">
        <x:v>Unforeseen site/structural issues &amp; rework, Planning &amp; estimation / coordination complexity, Resource inefficiency (materials/labor/energy)</x:v>
      </x:c>
      <x:c r="H1984" t="str">
        <x:v>Cost overrun mainly linked to unforeseen site/structural issues &amp; rework; schedule overrun mainly linked to unforeseen site/structural issues &amp; rework.</x:v>
      </x:c>
    </x:row>
    <x:row r="1985">
      <x:c r="A1985" t="str">
        <x:v>PJT_1984</x:v>
      </x:c>
      <x:c r="B1985" t="str">
        <x:v>Equipment constraints / low availability</x:v>
      </x:c>
      <x:c r="C1985" t="str">
        <x:v>Resource inefficiency (materials/labor/energy)</x:v>
      </x:c>
      <x:c r="D1985" t="str">
        <x:v>Equipment constraints / low availability, Resource inefficiency (materials/labor/energy), Material supply / logistics &amp; market disruption</x:v>
      </x:c>
      <x:c r="E1985" t="str">
        <x:v>Resource inefficiency (materials/labor/energy)</x:v>
      </x:c>
      <x:c r="F1985" t="str">
        <x:v>Equipment constraints / low availability</x:v>
      </x:c>
      <x:c r="G1985" t="str">
        <x:v>Resource inefficiency (materials/labor/energy), Equipment constraints / low availability, Material supply / logistics &amp; market disruption</x:v>
      </x:c>
      <x:c r="H1985" t="str">
        <x:v>Cost overrun mainly linked to equipment constraints / low availability; schedule overrun mainly linked to resource inefficiency (materials/labor/energy).</x:v>
      </x:c>
    </x:row>
    <x:row r="1986">
      <x:c r="A1986" t="str">
        <x:v>PJT_1985</x:v>
      </x:c>
      <x:c r="B1986" t="str">
        <x:v>Resource inefficiency (materials/labor/energy)</x:v>
      </x:c>
      <x:c r="C1986" t="str">
        <x:v>Equipment constraints / low availability</x:v>
      </x:c>
      <x:c r="D1986" t="str">
        <x:v>Resource inefficiency (materials/labor/energy), Equipment constraints / low availability, Planning &amp; estimation / coordination complexity</x:v>
      </x:c>
      <x:c r="E1986" t="str">
        <x:v>Resource inefficiency (materials/labor/energy)</x:v>
      </x:c>
      <x:c r="F1986" t="str">
        <x:v>Equipment constraints / low availability</x:v>
      </x:c>
      <x:c r="G1986" t="str">
        <x:v>Resource inefficiency (materials/labor/energy), Equipment constraints / low availability, Planning &amp; estimation / coordination complexity</x:v>
      </x:c>
      <x:c r="H1986" t="str">
        <x:v>Cost overrun mainly linked to resource inefficiency (materials/labor/energy); schedule overrun mainly linked to resource inefficiency (materials/labor/energy).</x:v>
      </x:c>
    </x:row>
    <x:row r="1987">
      <x:c r="A1987" t="str">
        <x:v>PJT_1986</x:v>
      </x:c>
      <x:c r="B1987" t="str">
        <x:v>Equipment constraints / low availability</x:v>
      </x:c>
      <x:c r="C1987" t="str">
        <x:v>Planning &amp; estimation / coordination complexity</x:v>
      </x:c>
      <x:c r="D1987" t="str">
        <x:v>Equipment constraints / low availability, Planning &amp; estimation / coordination complexity, Resource inefficiency (materials/labor/energy)</x:v>
      </x:c>
      <x:c r="E1987" t="str">
        <x:v>Equipment constraints / low availability</x:v>
      </x:c>
      <x:c r="F1987" t="str">
        <x:v>Planning &amp; estimation / coordination complexity</x:v>
      </x:c>
      <x:c r="G1987" t="str">
        <x:v>Equipment constraints / low availability, Planning &amp; estimation / coordination complexity, Resource inefficiency (materials/labor/energy)</x:v>
      </x:c>
      <x:c r="H1987" t="str">
        <x:v>Cost overrun mainly linked to equipment constraints / low availability; schedule overrun mainly linked to equipment constraints / low availability.</x:v>
      </x:c>
    </x:row>
    <x:row r="1988">
      <x:c r="A1988" t="str">
        <x:v>PJT_1987</x:v>
      </x:c>
      <x:c r="B1988" t="str">
        <x:v>Planning &amp; estimation / coordination complexity</x:v>
      </x:c>
      <x:c r="C1988" t="str">
        <x:v>Unforeseen site/structural issues &amp; rework</x:v>
      </x:c>
      <x:c r="D1988" t="str">
        <x:v>Planning &amp; estimation / coordination complexity, Unforeseen site/structural issues &amp; rework, Equipment constraints / low availability</x:v>
      </x:c>
      <x:c r="E1988" t="str">
        <x:v>Planning &amp; estimation / coordination complexity</x:v>
      </x:c>
      <x:c r="F1988" t="str">
        <x:v>Unforeseen site/structural issues &amp; rework</x:v>
      </x:c>
      <x:c r="G1988" t="str">
        <x:v>Planning &amp; estimation / coordination complexity, Unforeseen site/structural issues &amp; rework, Equipment constraints / low availability</x:v>
      </x:c>
      <x:c r="H1988" t="str">
        <x:v>Cost overrun mainly linked to planning &amp; estimation / coordination complexity; schedule overrun mainly linked to planning &amp; estimation / coordination complexity.</x:v>
      </x:c>
    </x:row>
    <x:row r="1989">
      <x:c r="A1989" t="str">
        <x:v>PJT_1988</x:v>
      </x:c>
      <x:c r="B1989" t="str">
        <x:v>Resource inefficiency (materials/labor/energy)</x:v>
      </x:c>
      <x:c r="C1989" t="str">
        <x:v>Planning &amp; estimation / coordination complexity</x:v>
      </x:c>
      <x:c r="D1989" t="str">
        <x:v>Resource inefficiency (materials/labor/energy), Planning &amp; estimation / coordination complexity, Equipment constraints / low availability</x:v>
      </x:c>
      <x:c r="E1989" t="str">
        <x:v>Resource inefficiency (materials/labor/energy)</x:v>
      </x:c>
      <x:c r="F1989" t="str">
        <x:v>Planning &amp; estimation / coordination complexity</x:v>
      </x:c>
      <x:c r="G1989" t="str">
        <x:v>Resource inefficiency (materials/labor/energy), Planning &amp; estimation / coordination complexity, Equipment constraints / low availability</x:v>
      </x:c>
      <x:c r="H1989" t="str">
        <x:v>Cost overrun mainly linked to resource inefficiency (materials/labor/energy); schedule overrun mainly linked to resource inefficiency (materials/labor/energy).</x:v>
      </x:c>
    </x:row>
    <x:row r="1990">
      <x:c r="A1990" t="str">
        <x:v>PJT_1989</x:v>
      </x:c>
      <x:c r="B1990" t="str">
        <x:v>Planning &amp; estimation / coordination complexity</x:v>
      </x:c>
      <x:c r="C1990" t="str">
        <x:v>Equipment constraints / low availability</x:v>
      </x:c>
      <x:c r="D1990" t="str">
        <x:v>Planning &amp; estimation / coordination complexity, Equipment constraints / low availability, Resource inefficiency (materials/labor/energy)</x:v>
      </x:c>
      <x:c r="E1990" t="str">
        <x:v>Planning &amp; estimation / coordination complexity</x:v>
      </x:c>
      <x:c r="F1990" t="str">
        <x:v>Equipment constraints / low availability</x:v>
      </x:c>
      <x:c r="G1990" t="str">
        <x:v>Planning &amp; estimation / coordination complexity, Equipment constraints / low availability, Resource inefficiency (materials/labor/energy)</x:v>
      </x:c>
      <x:c r="H1990" t="str">
        <x:v>Cost overrun mainly linked to planning &amp; estimation / coordination complexity; schedule overrun mainly linked to planning &amp; estimation / coordination complexity.</x:v>
      </x:c>
    </x:row>
    <x:row r="1991">
      <x:c r="A1991" t="str">
        <x:v>PJT_1990</x:v>
      </x:c>
      <x:c r="B1991" t="str">
        <x:v>Unforeseen site/structural issues &amp; rework</x:v>
      </x:c>
      <x:c r="C1991" t="str">
        <x:v>Planning &amp; estimation / coordination complexity</x:v>
      </x:c>
      <x:c r="D1991" t="str">
        <x:v>Unforeseen site/structural issues &amp; rework, Planning &amp; estimation / coordination complexity, Weather disruption / environmental constraints</x:v>
      </x:c>
      <x:c r="E1991" t="str">
        <x:v>Unforeseen site/structural issues &amp; rework</x:v>
      </x:c>
      <x:c r="F1991" t="str">
        <x:v>Planning &amp; estimation / coordination complexity</x:v>
      </x:c>
      <x:c r="G1991" t="str">
        <x:v>Unforeseen site/structural issues &amp; rework, Planning &amp; estimation / coordination complexity, Weather disruption / environmental constraints</x:v>
      </x:c>
      <x:c r="H1991" t="str">
        <x:v>Cost overrun mainly linked to unforeseen site/structural issues &amp; rework; schedule overrun mainly linked to unforeseen site/structural issues &amp; rework.</x:v>
      </x:c>
    </x:row>
    <x:row r="1992">
      <x:c r="A1992" t="str">
        <x:v>PJT_1991</x:v>
      </x:c>
      <x:c r="B1992" t="str">
        <x:v>Resource inefficiency (materials/labor/energy)</x:v>
      </x:c>
      <x:c r="C1992" t="str">
        <x:v>Equipment constraints / low availability</x:v>
      </x:c>
      <x:c r="D1992" t="str">
        <x:v>Resource inefficiency (materials/labor/energy), Equipment constraints / low availability, Material supply / logistics &amp; market disruption</x:v>
      </x:c>
      <x:c r="E1992" t="str">
        <x:v>Resource inefficiency (materials/labor/energy)</x:v>
      </x:c>
      <x:c r="F1992" t="str">
        <x:v>Equipment constraints / low availability</x:v>
      </x:c>
      <x:c r="G1992" t="str">
        <x:v>Resource inefficiency (materials/labor/energy), Equipment constraints / low availability, Material supply / logistics &amp; market disruption</x:v>
      </x:c>
      <x:c r="H1992" t="str">
        <x:v>Cost overrun mainly linked to resource inefficiency (materials/labor/energy); schedule overrun mainly linked to resource inefficiency (materials/labor/energy).</x:v>
      </x:c>
    </x:row>
    <x:row r="1993">
      <x:c r="A1993" t="str">
        <x:v>PJT_1992</x:v>
      </x:c>
      <x:c r="B1993" t="str">
        <x:v>Weather disruption / environmental constraints</x:v>
      </x:c>
      <x:c r="C1993" t="str">
        <x:v>Equipment constraints / low availability</x:v>
      </x:c>
      <x:c r="D1993" t="str">
        <x:v>Weather disruption / environmental constraints, Equipment constraints / low availability, Unforeseen site/structural issues &amp; rework</x:v>
      </x:c>
      <x:c r="E1993" t="str">
        <x:v>Weather disruption / environmental constraints</x:v>
      </x:c>
      <x:c r="F1993" t="str">
        <x:v>Equipment constraints / low availability</x:v>
      </x:c>
      <x:c r="G1993" t="str">
        <x:v>Weather disruption / environmental constraints, Equipment constraints / low availability, Unforeseen site/structural issues &amp; rework</x:v>
      </x:c>
      <x:c r="H1993" t="str">
        <x:v>Cost overrun mainly linked to weather disruption / environmental constraints; schedule overrun mainly linked to weather disruption / environmental constraints.</x:v>
      </x:c>
    </x:row>
    <x:row r="1994">
      <x:c r="A1994" t="str">
        <x:v>PJT_1993</x:v>
      </x:c>
      <x:c r="B1994" t="str">
        <x:v>Weather disruption / environmental constraints</x:v>
      </x:c>
      <x:c r="C1994" t="str">
        <x:v>Unforeseen site/structural issues &amp; rework</x:v>
      </x:c>
      <x:c r="D1994" t="str">
        <x:v>Weather disruption / environmental constraints, Unforeseen site/structural issues &amp; rework, Material supply / logistics &amp; market disruption</x:v>
      </x:c>
      <x:c r="E1994" t="str">
        <x:v>Weather disruption / environmental constraints</x:v>
      </x:c>
      <x:c r="F1994" t="str">
        <x:v>Unforeseen site/structural issues &amp; rework</x:v>
      </x:c>
      <x:c r="G1994" t="str">
        <x:v>Weather disruption / environmental constraints, Unforeseen site/structural issues &amp; rework, Material supply / logistics &amp; market disruption</x:v>
      </x:c>
      <x:c r="H1994" t="str">
        <x:v>Cost overrun mainly linked to weather disruption / environmental constraints; schedule overrun mainly linked to weather disruption / environmental constraints.</x:v>
      </x:c>
    </x:row>
    <x:row r="1995">
      <x:c r="A1995" t="str">
        <x:v>PJT_1994</x:v>
      </x:c>
      <x:c r="B1995" t="str">
        <x:v>Resource inefficiency (materials/labor/energy)</x:v>
      </x:c>
      <x:c r="C1995" t="str">
        <x:v>Material supply / logistics &amp; market disruption</x:v>
      </x:c>
      <x:c r="D1995" t="str">
        <x:v>Resource inefficiency (materials/labor/energy), Material supply / logistics &amp; market disruption, Planning &amp; estimation / coordination complexity</x:v>
      </x:c>
      <x:c r="E1995" t="str">
        <x:v>Resource inefficiency (materials/labor/energy)</x:v>
      </x:c>
      <x:c r="F1995" t="str">
        <x:v>Planning &amp; estimation / coordination complexity</x:v>
      </x:c>
      <x:c r="G1995" t="str">
        <x:v>Resource inefficiency (materials/labor/energy), Planning &amp; estimation / coordination complexity, Material supply / logistics &amp; market disruption</x:v>
      </x:c>
      <x:c r="H1995" t="str">
        <x:v>Cost overrun mainly linked to resource inefficiency (materials/labor/energy); schedule overrun mainly linked to resource inefficiency (materials/labor/energy).</x:v>
      </x:c>
    </x:row>
    <x:row r="1996">
      <x:c r="A1996" t="str">
        <x:v>PJT_1995</x:v>
      </x:c>
      <x:c r="B1996" t="str">
        <x:v>Equipment constraints / low availability</x:v>
      </x:c>
      <x:c r="C1996" t="str">
        <x:v>Resource inefficiency (materials/labor/energy)</x:v>
      </x:c>
      <x:c r="D1996" t="str">
        <x:v>Equipment constraints / low availability, Resource inefficiency (materials/labor/energy), Planning &amp; estimation / coordination complexity</x:v>
      </x:c>
      <x:c r="E1996" t="str">
        <x:v>Equipment constraints / low availability</x:v>
      </x:c>
      <x:c r="F1996" t="str">
        <x:v>Resource inefficiency (materials/labor/energy)</x:v>
      </x:c>
      <x:c r="G1996" t="str">
        <x:v>Equipment constraints / low availability, Resource inefficiency (materials/labor/energy), Weather disruption / environmental constraints</x:v>
      </x:c>
      <x:c r="H1996" t="str">
        <x:v>Cost overrun mainly linked to equipment constraints / low availability; schedule overrun mainly linked to equipment constraints / low availability.</x:v>
      </x:c>
    </x:row>
    <x:row r="1997">
      <x:c r="A1997" t="str">
        <x:v>PJT_1996</x:v>
      </x:c>
      <x:c r="B1997" t="str">
        <x:v>Resource inefficiency (materials/labor/energy)</x:v>
      </x:c>
      <x:c r="C1997" t="str">
        <x:v>Planning &amp; estimation / coordination complexity</x:v>
      </x:c>
      <x:c r="D1997" t="str">
        <x:v>Resource inefficiency (materials/labor/energy), Planning &amp; estimation / coordination complexity, Material supply / logistics &amp; market disruption</x:v>
      </x:c>
      <x:c r="E1997" t="str">
        <x:v>Planning &amp; estimation / coordination complexity</x:v>
      </x:c>
      <x:c r="F1997" t="str">
        <x:v>Resource inefficiency (materials/labor/energy)</x:v>
      </x:c>
      <x:c r="G1997" t="str">
        <x:v>Planning &amp; estimation / coordination complexity, Resource inefficiency (materials/labor/energy), Equipment constraints / low availability</x:v>
      </x:c>
      <x:c r="H1997" t="str">
        <x:v>Cost overrun mainly linked to resource inefficiency (materials/labor/energy); schedule overrun mainly linked to planning &amp; estimation / coordination complexity.</x:v>
      </x:c>
    </x:row>
    <x:row r="1998">
      <x:c r="A1998" t="str">
        <x:v>PJT_1997</x:v>
      </x:c>
      <x:c r="B1998" t="str">
        <x:v>Equipment constraints / low availability</x:v>
      </x:c>
      <x:c r="C1998" t="str">
        <x:v>Planning &amp; estimation / coordination complexity</x:v>
      </x:c>
      <x:c r="D1998" t="str">
        <x:v>Equipment constraints / low availability, Planning &amp; estimation / coordination complexity, Unforeseen site/structural issues &amp; rework</x:v>
      </x:c>
      <x:c r="E1998" t="str">
        <x:v>Equipment constraints / low availability</x:v>
      </x:c>
      <x:c r="F1998" t="str">
        <x:v>Planning &amp; estimation / coordination complexity</x:v>
      </x:c>
      <x:c r="G1998" t="str">
        <x:v>Equipment constraints / low availability, Planning &amp; estimation / coordination complexity, Unforeseen site/structural issues &amp; rework</x:v>
      </x:c>
      <x:c r="H1998" t="str">
        <x:v>Cost overrun mainly linked to equipment constraints / low availability; schedule overrun mainly linked to equipment constraints / low availability.</x:v>
      </x:c>
    </x:row>
    <x:row r="1999">
      <x:c r="A1999" t="str">
        <x:v>PJT_1998</x:v>
      </x:c>
      <x:c r="B1999" t="str">
        <x:v>Unforeseen site/structural issues &amp; rework</x:v>
      </x:c>
      <x:c r="C1999" t="str">
        <x:v>Weather disruption / environmental constraints</x:v>
      </x:c>
      <x:c r="D1999" t="str">
        <x:v>Unforeseen site/structural issues &amp; rework, Weather disruption / environmental constraints, Planning &amp; estimation / coordination complexity</x:v>
      </x:c>
      <x:c r="E1999" t="str">
        <x:v>Unforeseen site/structural issues &amp; rework</x:v>
      </x:c>
      <x:c r="F1999" t="str">
        <x:v>Weather disruption / environmental constraints</x:v>
      </x:c>
      <x:c r="G1999" t="str">
        <x:v>Unforeseen site/structural issues &amp; rework, Weather disruption / environmental constraints, Planning &amp; estimation / coordination complexity</x:v>
      </x:c>
      <x:c r="H1999" t="str">
        <x:v>Cost overrun mainly linked to unforeseen site/structural issues &amp; rework; schedule overrun mainly linked to unforeseen site/structural issues &amp; rework.</x:v>
      </x:c>
    </x:row>
    <x:row r="2000">
      <x:c r="A2000" t="str">
        <x:v>PJT_1999</x:v>
      </x:c>
      <x:c r="B2000" t="str">
        <x:v>Unforeseen site/structural issues &amp; rework</x:v>
      </x:c>
      <x:c r="C2000" t="str">
        <x:v>Planning &amp; estimation / coordination complexity</x:v>
      </x:c>
      <x:c r="D2000" t="str">
        <x:v>Unforeseen site/structural issues &amp; rework, Planning &amp; estimation / coordination complexity, Material supply / logistics &amp; market disruption</x:v>
      </x:c>
      <x:c r="E2000" t="str">
        <x:v>Unforeseen site/structural issues &amp; rework</x:v>
      </x:c>
      <x:c r="F2000" t="str">
        <x:v>Planning &amp; estimation / coordination complexity</x:v>
      </x:c>
      <x:c r="G2000" t="str">
        <x:v>Unforeseen site/structural issues &amp; rework, Planning &amp; estimation / coordination complexity, Material supply / logistics &amp; market disruption</x:v>
      </x:c>
      <x:c r="H2000" t="str">
        <x:v>Cost overrun mainly linked to unforeseen site/structural issues &amp; rework; schedule overrun mainly linked to unforeseen site/structural issues &amp; rework.</x:v>
      </x:c>
    </x:row>
    <x:row r="2001">
      <x:c r="A2001" t="str">
        <x:v>PJT_2000</x:v>
      </x:c>
      <x:c r="B2001" t="str">
        <x:v>Resource inefficiency (materials/labor/energy)</x:v>
      </x:c>
      <x:c r="C2001" t="str">
        <x:v>Planning &amp; estimation / coordination complexity</x:v>
      </x:c>
      <x:c r="D2001" t="str">
        <x:v>Resource inefficiency (materials/labor/energy), Planning &amp; estimation / coordination complexity, Equipment constraints / low availability</x:v>
      </x:c>
      <x:c r="E2001" t="str">
        <x:v>Planning &amp; estimation / coordination complexity</x:v>
      </x:c>
      <x:c r="F2001" t="str">
        <x:v>Resource inefficiency (materials/labor/energy)</x:v>
      </x:c>
      <x:c r="G2001" t="str">
        <x:v>Planning &amp; estimation / coordination complexity, Resource inefficiency (materials/labor/energy), Equipment constraints / low availability</x:v>
      </x:c>
      <x:c r="H2001" t="str">
        <x:v>Cost overrun mainly linked to resource inefficiency (materials/labor/energy); schedule overrun mainly linked to planning &amp; estimation / coordination complexity.</x:v>
      </x:c>
    </x:row>
  </x:sheetData>
  <x:pageMargins left="0.7" right="0.7" top="0.75" bottom="0.75" header="0.3" footer="0.3"/>
  <x:tableParts count="1">
    <x:tablePart xmlns:r="http://schemas.openxmlformats.org/officeDocument/2006/relationships" r:id="R3f62df6bf5b44112"/>
  </x:tableParts>
</x:worksheet>
</file>

<file path=xl/worksheets/sheet5.xml><?xml version="1.0" encoding="utf-8"?>
<x:worksheet xmlns:x="http://schemas.openxmlformats.org/spreadsheetml/2006/main">
  <x:sheetFormatPr defaultRowHeight="13.800000190734863"/>
  <x:cols>
    <x:col min="1" max="1" width="26" hidden="0" customWidth="1"/>
    <x:col min="2" max="2" width="26" hidden="0" customWidth="1"/>
    <x:col min="3" max="3" width="26" hidden="0" customWidth="1"/>
    <x:col min="4" max="4" width="26" hidden="0" customWidth="1"/>
  </x:cols>
  <x:sheetData>
    <x:row r="1" ht="40.95000076293945" customHeight="1">
      <x:c r="A1" s="10" t="s">
        <x:v>20</x:v>
      </x:c>
      <x:c r="B1" s="10"/>
      <x:c r="C1" s="10"/>
      <x:c r="D1" s="10"/>
    </x:row>
    <x:row r="2" ht="17.549999237060547" customHeight="1">
      <x:c r="A2" s="11" t="str">
        <x:v>This workbook was recalibrated and expanded to 2,000 logically generated project records so the data stays internally consistent, more realistic, and easier to defend in a thesis presentation.</x:v>
      </x:c>
      <x:c r="B2" s="11"/>
      <x:c r="C2" s="11"/>
      <x:c r="D2" s="11"/>
    </x:row>
    <x:row r="3" ht="16.049999237060547" customHeight="1">
      <x:c r="A3" s="12" t="s">
        <x:v>21</x:v>
      </x:c>
      <x:c r="B3" s="12"/>
      <x:c r="C3" s="12"/>
      <x:c r="D3" s="12"/>
    </x:row>
    <x:row r="4" ht="27.299999237060547" customHeight="1">
      <x:c r="A4" s="4" t="s">
        <x:v>22</x:v>
      </x:c>
      <x:c r="B4" s="4" t="s">
        <x:v>23</x:v>
      </x:c>
      <x:c r="C4" s="4" t="s">
        <x:v>24</x:v>
      </x:c>
      <x:c r="D4" s="4" t="s">
        <x:v>25</x:v>
      </x:c>
    </x:row>
    <x:row r="5" ht="40.95000076293945" customHeight="1">
      <x:c r="A5" s="3" t="s">
        <x:v>26</x:v>
      </x:c>
      <x:c r="B5" s="3" t="s">
        <x:v>27</x:v>
      </x:c>
      <x:c r="C5" s="3">
        <x:v>40</x:v>
      </x:c>
      <x:c r="D5" s="3" t="s">
        <x:v>28</x:v>
      </x:c>
    </x:row>
    <x:row r="6" ht="40.95000076293945" customHeight="1">
      <x:c r="A6" s="3" t="s">
        <x:v>29</x:v>
      </x:c>
      <x:c r="B6" s="3" t="s">
        <x:v>30</x:v>
      </x:c>
      <x:c r="C6" s="3" t="n">
        <x:v>2000</x:v>
      </x:c>
      <x:c r="D6" s="3" t="s">
        <x:v>31</x:v>
      </x:c>
    </x:row>
    <x:row r="7" ht="40.95000076293945" customHeight="1">
      <x:c r="A7" s="3" t="s">
        <x:v>32</x:v>
      </x:c>
      <x:c r="B7" s="3" t="s">
        <x:v>33</x:v>
      </x:c>
      <x:c r="C7" s="3">
        <x:v>56</x:v>
      </x:c>
      <x:c r="D7" s="3" t="s">
        <x:v>34</x:v>
      </x:c>
    </x:row>
    <x:row r="8" ht="40.95000076293945" customHeight="1">
      <x:c r="A8" s="3" t="s">
        <x:v>35</x:v>
      </x:c>
      <x:c r="B8" s="3" t="s">
        <x:v>36</x:v>
      </x:c>
      <x:c r="C8" s="3">
        <x:v>95</x:v>
      </x:c>
      <x:c r="D8" s="3" t="s">
        <x:v>37</x:v>
      </x:c>
    </x:row>
    <x:row r="9" ht="27.299999237060547" customHeight="1">
      <x:c r="A9" s="3" t="s">
        <x:v>38</x:v>
      </x:c>
      <x:c r="B9" s="3" t="s">
        <x:v>39</x:v>
      </x:c>
      <x:c r="C9" s="3" t="n">
        <x:v>2000</x:v>
      </x:c>
      <x:c r="D9" s="3" t="s">
        <x:v>40</x:v>
      </x:c>
    </x:row>
    <x:row r="10" ht="27.299999237060547" customHeight="1">
      <x:c r="A10" s="3" t="s">
        <x:v>41</x:v>
      </x:c>
      <x:c r="B10" s="3" t="s">
        <x:v>42</x:v>
      </x:c>
      <x:c r="C10" s="3">
        <x:v>150</x:v>
      </x:c>
      <x:c r="D10" s="3" t="s">
        <x:v>43</x:v>
      </x:c>
    </x:row>
    <x:row r="11" ht="40.95000076293945" customHeight="1">
      <x:c r="A11" s="3" t="s">
        <x:v>44</x:v>
      </x:c>
      <x:c r="B11" s="3" t="s">
        <x:v>45</x:v>
      </x:c>
      <x:c r="C11" s="3" t="n">
        <x:v>2000</x:v>
      </x:c>
      <x:c r="D11" s="3" t="s">
        <x:v>46</x:v>
      </x:c>
    </x:row>
    <x:row r="12" ht="27.299999237060547" customHeight="1">
      <x:c r="A12" s="3" t="s">
        <x:v>47</x:v>
      </x:c>
      <x:c r="B12" s="3" t="s">
        <x:v>48</x:v>
      </x:c>
      <x:c r="C12" s="3">
        <x:v>114</x:v>
      </x:c>
      <x:c r="D12" s="3" t="s">
        <x:v>49</x:v>
      </x:c>
    </x:row>
    <x:row r="13" ht="13.649999618530273" customHeight="1">
      <x:c r="A13" s="3"/>
      <x:c r="B13" s="3"/>
      <x:c r="C13" s="3"/>
      <x:c r="D13" s="3"/>
    </x:row>
    <x:row r="14" ht="27.299999237060547" customHeight="1">
      <x:c r="A14" s="12" t="s">
        <x:v>50</x:v>
      </x:c>
      <x:c r="B14" s="12"/>
      <x:c r="C14" s="12"/>
      <x:c r="D14" s="12"/>
    </x:row>
    <x:row r="15" ht="54.75" customHeight="1">
      <x:c r="A15" s="4" t="s">
        <x:v>51</x:v>
      </x:c>
      <x:c r="B15" s="4" t="s">
        <x:v>52</x:v>
      </x:c>
      <x:c r="C15" s="4" t="s">
        <x:v>53</x:v>
      </x:c>
      <x:c r="D15" s="4" t="s">
        <x:v>54</x:v>
      </x:c>
    </x:row>
    <x:row r="16" ht="40.95000076293945" customHeight="1">
      <x:c r="A16" s="3" t="s">
        <x:v>55</x:v>
      </x:c>
      <x:c r="B16" s="3" t="s">
        <x:v>56</x:v>
      </x:c>
      <x:c r="C16" s="3" t="s">
        <x:v>57</x:v>
      </x:c>
      <x:c r="D16" s="3" t="s">
        <x:v>58</x:v>
      </x:c>
    </x:row>
    <x:row r="17" ht="27.299999237060547" customHeight="1">
      <x:c r="A17" s="3" t="s">
        <x:v>59</x:v>
      </x:c>
      <x:c r="B17" s="3" t="s">
        <x:v>60</x:v>
      </x:c>
      <x:c r="C17" s="3" t="s">
        <x:v>61</x:v>
      </x:c>
      <x:c r="D17" s="3" t="s">
        <x:v>62</x:v>
      </x:c>
    </x:row>
    <x:row r="18" ht="27.299999237060547" customHeight="1">
      <x:c r="A18" s="3" t="s">
        <x:v>63</x:v>
      </x:c>
      <x:c r="B18" s="3" t="s">
        <x:v>64</x:v>
      </x:c>
      <x:c r="C18" s="3" t="s">
        <x:v>65</x:v>
      </x:c>
      <x:c r="D18" s="3" t="s">
        <x:v>66</x:v>
      </x:c>
    </x:row>
    <x:row r="19" ht="27.299999237060547" customHeight="1">
      <x:c r="A19" s="3" t="s">
        <x:v>67</x:v>
      </x:c>
      <x:c r="B19" s="3" t="s">
        <x:v>68</x:v>
      </x:c>
      <x:c r="C19" s="3" t="s">
        <x:v>61</x:v>
      </x:c>
      <x:c r="D19" s="3" t="s">
        <x:v>69</x:v>
      </x:c>
    </x:row>
    <x:row r="20" ht="27.299999237060547" customHeight="1">
      <x:c r="A20" s="3" t="s">
        <x:v>70</x:v>
      </x:c>
      <x:c r="B20" s="3" t="s">
        <x:v>71</x:v>
      </x:c>
      <x:c r="C20" s="3" t="s">
        <x:v>61</x:v>
      </x:c>
      <x:c r="D20" s="3" t="s">
        <x:v>72</x:v>
      </x:c>
    </x:row>
    <x:row r="21" ht="13.649999618530273" customHeight="1">
      <x:c r="A21" s="3"/>
      <x:c r="B21" s="3"/>
      <x:c r="C21" s="3"/>
      <x:c r="D21" s="3"/>
    </x:row>
    <x:row r="22" ht="16.049999237060547" customHeight="1">
      <x:c r="A22" s="12" t="s">
        <x:v>73</x:v>
      </x:c>
      <x:c r="B22" s="12"/>
      <x:c r="C22" s="12"/>
      <x:c r="D22" s="12"/>
    </x:row>
    <x:row r="23" ht="27.299999237060547" customHeight="1">
      <x:c r="A23" s="3" t="s">
        <x:v>74</x:v>
      </x:c>
      <x:c r="B23" s="3" t="s">
        <x:v>75</x:v>
      </x:c>
      <x:c r="C23" s="3"/>
      <x:c r="D23" s="3" t="s">
        <x:v>76</x:v>
      </x:c>
    </x:row>
    <x:row r="24" ht="27.299999237060547" customHeight="1">
      <x:c r="A24" s="4" t="s">
        <x:v>77</x:v>
      </x:c>
      <x:c r="B24" s="4" t="s">
        <x:v>78</x:v>
      </x:c>
      <x:c r="C24" s="4" t="s">
        <x:v>79</x:v>
      </x:c>
      <x:c r="D24" s="4" t="s">
        <x:v>80</x:v>
      </x:c>
    </x:row>
    <x:row r="25" ht="27.299999237060547" customHeight="1">
      <x:c r="A25" s="3" t="s">
        <x:v>81</x:v>
      </x:c>
      <x:c r="B25" s="3" t="s">
        <x:v>82</x:v>
      </x:c>
      <x:c r="C25" s="3" t="s">
        <x:v>83</x:v>
      </x:c>
      <x:c r="D25" s="3" t="s">
        <x:v>84</x:v>
      </x:c>
    </x:row>
    <x:row r="26" ht="27.299999237060547" customHeight="1">
      <x:c r="A26" s="3" t="s">
        <x:v>85</x:v>
      </x:c>
      <x:c r="B26" s="3" t="s">
        <x:v>86</x:v>
      </x:c>
      <x:c r="C26" s="3" t="s">
        <x:v>87</x:v>
      </x:c>
      <x:c r="D26" s="3" t="s">
        <x:v>88</x:v>
      </x:c>
    </x:row>
    <x:row r="27" ht="40.95000076293945" customHeight="1">
      <x:c r="A27" s="3" t="s">
        <x:v>89</x:v>
      </x:c>
      <x:c r="B27" s="3" t="s">
        <x:v>90</x:v>
      </x:c>
      <x:c r="C27" s="3" t="s">
        <x:v>91</x:v>
      </x:c>
      <x:c r="D27" s="3" t="s">
        <x:v>92</x:v>
      </x:c>
    </x:row>
    <x:row r="28" ht="27.299999237060547" customHeight="1">
      <x:c r="A28" s="3" t="s">
        <x:v>93</x:v>
      </x:c>
      <x:c r="B28" s="3" t="s">
        <x:v>94</x:v>
      </x:c>
      <x:c r="C28" s="3" t="s">
        <x:v>91</x:v>
      </x:c>
      <x:c r="D28" s="3" t="s">
        <x:v>95</x:v>
      </x:c>
    </x:row>
    <x:row r="29" ht="27.299999237060547" customHeight="1">
      <x:c r="A29" s="3" t="s">
        <x:v>96</x:v>
      </x:c>
      <x:c r="B29" s="3" t="s">
        <x:v>97</x:v>
      </x:c>
      <x:c r="C29" s="3" t="s">
        <x:v>87</x:v>
      </x:c>
      <x:c r="D29" s="3" t="s">
        <x:v>98</x:v>
      </x:c>
    </x:row>
    <x:row r="30" ht="27.299999237060547" customHeight="1">
      <x:c r="A30" s="3" t="s">
        <x:v>99</x:v>
      </x:c>
      <x:c r="B30" s="3" t="s">
        <x:v>100</x:v>
      </x:c>
      <x:c r="C30" s="3" t="s">
        <x:v>91</x:v>
      </x:c>
      <x:c r="D30" s="3" t="s">
        <x:v>101</x:v>
      </x:c>
    </x:row>
    <x:row r="31" ht="27.299999237060547" customHeight="1">
      <x:c r="A31" s="3" t="s">
        <x:v>102</x:v>
      </x:c>
      <x:c r="B31" s="3" t="s">
        <x:v>103</x:v>
      </x:c>
      <x:c r="C31" s="3" t="s">
        <x:v>91</x:v>
      </x:c>
      <x:c r="D31" s="3" t="s">
        <x:v>104</x:v>
      </x:c>
    </x:row>
    <x:row r="32" ht="27.299999237060547" customHeight="1">
      <x:c r="A32" s="3" t="s">
        <x:v>105</x:v>
      </x:c>
      <x:c r="B32" s="3" t="s">
        <x:v>106</x:v>
      </x:c>
      <x:c r="C32" s="3" t="s">
        <x:v>107</x:v>
      </x:c>
      <x:c r="D32" s="3" t="s">
        <x:v>108</x:v>
      </x:c>
    </x:row>
    <x:row r="33" ht="27.299999237060547" customHeight="1">
      <x:c r="A33" s="3" t="s">
        <x:v>109</x:v>
      </x:c>
      <x:c r="B33" s="3" t="s">
        <x:v>110</x:v>
      </x:c>
      <x:c r="C33" s="3" t="s">
        <x:v>107</x:v>
      </x:c>
      <x:c r="D33" s="3" t="s">
        <x:v>111</x:v>
      </x:c>
    </x:row>
    <x:row r="34" ht="13.649999618530273" customHeight="1">
      <x:c r="A34" s="3"/>
      <x:c r="B34" s="3"/>
      <x:c r="C34" s="3"/>
      <x:c r="D34" s="3"/>
    </x:row>
    <x:row r="35" ht="13.649999618530273" customHeight="1">
      <x:c r="A35" s="3" t="s">
        <x:v>112</x:v>
      </x:c>
      <x:c r="B35" s="3"/>
      <x:c r="C35" s="3"/>
      <x:c r="D35" s="3"/>
    </x:row>
    <x:row r="36" ht="40.95000076293945" customHeight="1">
      <x:c r="A36" s="12" t="s">
        <x:v>113</x:v>
      </x:c>
      <x:c r="B36" s="12" t="s">
        <x:v>114</x:v>
      </x:c>
      <x:c r="C36" s="12"/>
      <x:c r="D36" s="12" t="s">
        <x:v>115</x:v>
      </x:c>
    </x:row>
    <x:row r="37" ht="40.95000076293945" customHeight="1">
      <x:c r="A37" s="3" t="s">
        <x:v>116</x:v>
      </x:c>
      <x:c r="B37" s="3" t="s">
        <x:v>117</x:v>
      </x:c>
      <x:c r="C37" s="3"/>
      <x:c r="D37" s="3" t="s">
        <x:v>118</x:v>
      </x:c>
    </x:row>
    <x:row r="38" ht="40.95000076293945" customHeight="1">
      <x:c r="A38" s="3" t="s">
        <x:v>119</x:v>
      </x:c>
      <x:c r="B38" s="3" t="s">
        <x:v>120</x:v>
      </x:c>
      <x:c r="C38" s="3"/>
      <x:c r="D38" s="3" t="s">
        <x:v>121</x:v>
      </x:c>
    </x:row>
    <x:row r="39" ht="40.95000076293945" customHeight="1">
      <x:c r="A39" s="3" t="s">
        <x:v>122</x:v>
      </x:c>
      <x:c r="B39" s="3" t="s">
        <x:v>123</x:v>
      </x:c>
      <x:c r="C39" s="3"/>
      <x:c r="D39" s="3" t="s">
        <x:v>124</x:v>
      </x:c>
    </x:row>
    <x:row r="40" ht="54.75" customHeight="1">
      <x:c r="A40" s="3" t="s">
        <x:v>125</x:v>
      </x:c>
      <x:c r="B40" s="3" t="s">
        <x:v>126</x:v>
      </x:c>
      <x:c r="C40" s="3"/>
      <x:c r="D40" s="3" t="s">
        <x:v>127</x:v>
      </x:c>
    </x:row>
    <x:row r="41" ht="13.649999618530273" customHeight="1">
      <x:c r="A41" s="12"/>
      <x:c r="B41" s="12"/>
      <x:c r="C41" s="12"/>
      <x:c r="D41" s="12"/>
    </x:row>
    <x:row r="42" ht="27.299999237060547" customHeight="1">
      <x:c r="A42" s="3" t="s">
        <x:v>128</x:v>
      </x:c>
      <x:c r="B42" s="3"/>
      <x:c r="C42" s="3"/>
      <x:c r="D42" s="3"/>
    </x:row>
    <x:row r="43" ht="136.64999389648438" customHeight="1">
      <x:c r="A43" s="3" t="s">
        <x:v>129</x:v>
      </x:c>
      <x:c r="B43" s="3" t="s">
        <x:v>130</x:v>
      </x:c>
      <x:c r="C43" s="3"/>
      <x:c r="D43" s="3"/>
    </x:row>
    <x:row r="44" ht="13.649999618530273" customHeight="1">
      <x:c r="A44" s="3"/>
      <x:c r="B44" s="3"/>
      <x:c r="C44" s="3"/>
      <x:c r="D44" s="3"/>
    </x:row>
    <x:row r="45" ht="13.649999618530273" customHeight="1">
      <x:c r="A45" s="32" t="str">
        <x:v>Scenario Labels</x:v>
      </x:c>
      <x:c r="B45" s="3" t="str"/>
      <x:c r="C45" s="3" t="str"/>
      <x:c r="D45" s="3" t="str"/>
    </x:row>
    <x:row r="46" ht="13.649999618530273" customHeight="1">
      <x:c r="A46" s="32" t="str">
        <x:v>Cost_Scenario</x:v>
      </x:c>
      <x:c r="B46" s="3" t="str">
        <x:v>Optimistic if Actual_Cost ≤ Planned_Cost; Most Likely if overrun is &gt;0% and ≤10%; otherwise Pessimistic.</x:v>
      </x:c>
      <x:c r="C46" s="3" t="str"/>
      <x:c r="D46" s="3" t="str"/>
    </x:row>
    <x:row r="47" ht="13.649999618530273" customHeight="1">
      <x:c r="A47" s="32" t="str">
        <x:v>Time_Scenario</x:v>
      </x:c>
      <x:c r="B47" s="3" t="str">
        <x:v>Optimistic if Actual_Duration ≤ Planned_Duration; Most Likely if overrun is &gt;0% and ≤10%; otherwise Pessimistic.</x:v>
      </x:c>
      <x:c r="C47" s="3" t="str"/>
      <x:c r="D47" s="3" t="str"/>
    </x:row>
    <x:row r="48" ht="13.649999618530273" customHeight="1">
      <x:c r="A48" s="32" t="str">
        <x:v>Cost formula</x:v>
      </x:c>
      <x:c r="B48" s="3" t="str">
        <x:f>IF(C2&lt;=B2,"Optimistic",IF(E2&lt;=0.10,"Most Likely","Pessimistic"))</x:f>
        <x:v>Optimistic</x:v>
      </x:c>
      <x:c r="C48" s="3" t="str"/>
      <x:c r="D48" s="3" t="str"/>
    </x:row>
    <x:row r="49" ht="13.649999618530273" customHeight="1">
      <x:c r="A49" s="32" t="str">
        <x:v>Time formula</x:v>
      </x:c>
      <x:c r="B49" s="3" t="str">
        <x:f>IF(G2&lt;=F2,"Optimistic",IF(I2&lt;=0.10,"Most Likely","Pessimistic"))</x:f>
        <x:v>Optimistic</x:v>
      </x:c>
      <x:c r="C49" s="3" t="str"/>
      <x:c r="D49" s="3" t="str"/>
    </x:row>
    <x:row r="50" ht="13.649999618530273" customHeight="1">
      <x:c r="A50" s="3"/>
      <x:c r="B50" s="3"/>
      <x:c r="C50" s="3"/>
      <x:c r="D50" s="3"/>
    </x:row>
    <x:row r="51" ht="13.649999618530273" customHeight="1">
      <x:c r="A51" s="3"/>
      <x:c r="B51" s="3"/>
      <x:c r="C51" s="3"/>
      <x:c r="D51" s="3"/>
    </x:row>
    <x:row r="52" ht="13.649999618530273" customHeight="1">
      <x:c r="A52" s="3"/>
      <x:c r="B52" s="3"/>
      <x:c r="C52" s="3"/>
      <x:c r="D52" s="3"/>
    </x:row>
    <x:row r="53" ht="13.649999618530273" customHeight="1">
      <x:c r="A53" s="3"/>
      <x:c r="B53" s="3"/>
      <x:c r="C53" s="3"/>
      <x:c r="D53" s="3"/>
    </x:row>
    <x:row r="54" ht="13.649999618530273" customHeight="1">
      <x:c r="A54" s="3"/>
      <x:c r="B54" s="3"/>
      <x:c r="C54" s="3"/>
      <x:c r="D54" s="3"/>
    </x:row>
    <x:row r="55" ht="13.649999618530273" customHeight="1">
      <x:c r="A55" s="3"/>
      <x:c r="B55" s="3"/>
      <x:c r="C55" s="3"/>
      <x:c r="D55" s="3"/>
    </x:row>
    <x:row r="56" ht="13.649999618530273" customHeight="1">
      <x:c r="A56" s="3"/>
      <x:c r="B56" s="3"/>
      <x:c r="C56" s="3"/>
      <x:c r="D56" s="3"/>
    </x:row>
    <x:row r="57" ht="13.649999618530273" customHeight="1">
      <x:c r="A57" s="3"/>
      <x:c r="B57" s="3"/>
      <x:c r="C57" s="3"/>
      <x:c r="D57" s="3"/>
    </x:row>
    <x:row r="58" ht="13.649999618530273" customHeight="1">
      <x:c r="A58" s="3"/>
      <x:c r="B58" s="3"/>
      <x:c r="C58" s="3"/>
      <x:c r="D58" s="3"/>
    </x:row>
    <x:row r="59" ht="13.649999618530273" customHeight="1">
      <x:c r="A59" s="3"/>
      <x:c r="B59" s="3"/>
      <x:c r="C59" s="3"/>
      <x:c r="D59" s="3"/>
    </x:row>
    <x:row r="60" ht="13.649999618530273" customHeight="1">
      <x:c r="A60" s="3"/>
      <x:c r="B60" s="3"/>
      <x:c r="C60" s="3"/>
      <x:c r="D60" s="3"/>
    </x:row>
    <x:row r="61" ht="13.649999618530273" customHeight="1">
      <x:c r="A61" s="3"/>
      <x:c r="B61" s="3"/>
      <x:c r="C61" s="3"/>
      <x:c r="D61" s="3"/>
    </x:row>
    <x:row r="62" ht="13.649999618530273" customHeight="1">
      <x:c r="A62" s="3"/>
      <x:c r="B62" s="3"/>
      <x:c r="C62" s="3"/>
      <x:c r="D62" s="3"/>
    </x:row>
    <x:row r="63" ht="13.649999618530273" customHeight="1">
      <x:c r="A63" s="3"/>
      <x:c r="B63" s="3"/>
      <x:c r="C63" s="3"/>
      <x:c r="D63" s="3"/>
    </x:row>
    <x:row r="64" ht="13.649999618530273" customHeight="1">
      <x:c r="A64" s="3"/>
      <x:c r="B64" s="3"/>
      <x:c r="C64" s="3"/>
      <x:c r="D64" s="3"/>
    </x:row>
    <x:row r="65" ht="13.649999618530273" customHeight="1">
      <x:c r="A65" s="3"/>
      <x:c r="B65" s="3"/>
      <x:c r="C65" s="3"/>
      <x:c r="D65" s="3"/>
    </x:row>
    <x:row r="66" ht="13.649999618530273" customHeight="1">
      <x:c r="A66" s="3"/>
      <x:c r="B66" s="3"/>
      <x:c r="C66" s="3"/>
      <x:c r="D66" s="3"/>
    </x:row>
    <x:row r="67" ht="13.649999618530273" customHeight="1">
      <x:c r="A67" s="3"/>
      <x:c r="B67" s="3"/>
      <x:c r="C67" s="3"/>
      <x:c r="D67" s="3"/>
    </x:row>
    <x:row r="68" ht="13.649999618530273" customHeight="1">
      <x:c r="A68" s="3"/>
      <x:c r="B68" s="3"/>
      <x:c r="C68" s="3"/>
      <x:c r="D68" s="3"/>
    </x:row>
    <x:row r="69" ht="13.649999618530273" customHeight="1">
      <x:c r="A69" s="3"/>
      <x:c r="B69" s="3"/>
      <x:c r="C69" s="3"/>
      <x:c r="D69" s="3"/>
    </x:row>
    <x:row r="70" ht="13.649999618530273" customHeight="1">
      <x:c r="A70" s="3"/>
      <x:c r="B70" s="3"/>
      <x:c r="C70" s="3"/>
      <x:c r="D70" s="3"/>
    </x:row>
    <x:row r="71" ht="13.649999618530273" customHeight="1">
      <x:c r="A71" s="3"/>
      <x:c r="B71" s="3"/>
      <x:c r="C71" s="3"/>
      <x:c r="D71" s="3"/>
    </x:row>
    <x:row r="72" ht="13.649999618530273" customHeight="1">
      <x:c r="A72" s="3"/>
      <x:c r="B72" s="3"/>
      <x:c r="C72" s="3"/>
      <x:c r="D72" s="3"/>
    </x:row>
    <x:row r="73" ht="13.649999618530273" customHeight="1">
      <x:c r="A73" s="3"/>
      <x:c r="B73" s="3"/>
      <x:c r="C73" s="3"/>
      <x:c r="D73" s="3"/>
    </x:row>
    <x:row r="74" ht="13.649999618530273" customHeight="1">
      <x:c r="A74" s="3"/>
      <x:c r="B74" s="3"/>
      <x:c r="C74" s="3"/>
      <x:c r="D74" s="3"/>
    </x:row>
    <x:row r="75" ht="13.649999618530273" customHeight="1">
      <x:c r="A75" s="3"/>
      <x:c r="B75" s="3"/>
      <x:c r="C75" s="3"/>
      <x:c r="D75" s="3"/>
    </x:row>
    <x:row r="76" ht="13.649999618530273" customHeight="1">
      <x:c r="A76" s="3"/>
      <x:c r="B76" s="3"/>
      <x:c r="C76" s="3"/>
      <x:c r="D76" s="3"/>
    </x:row>
    <x:row r="77" ht="13.649999618530273" customHeight="1">
      <x:c r="A77" s="3"/>
      <x:c r="B77" s="3"/>
      <x:c r="C77" s="3"/>
      <x:c r="D77" s="3"/>
    </x:row>
    <x:row r="78" ht="13.649999618530273" customHeight="1">
      <x:c r="A78" s="3"/>
      <x:c r="B78" s="3"/>
      <x:c r="C78" s="3"/>
      <x:c r="D78" s="3"/>
    </x:row>
    <x:row r="79" ht="13.649999618530273" customHeight="1">
      <x:c r="A79" s="3"/>
      <x:c r="B79" s="3"/>
      <x:c r="C79" s="3"/>
      <x:c r="D79" s="3"/>
    </x:row>
    <x:row r="80" ht="13.649999618530273" customHeight="1">
      <x:c r="A80" s="3"/>
      <x:c r="B80" s="3"/>
      <x:c r="C80" s="3"/>
      <x:c r="D80" s="3"/>
    </x:row>
  </x:sheetData>
  <x:mergeCells>
    <x:mergeCell ref="A36:D36"/>
    <x:mergeCell ref="A41:D41"/>
    <x:mergeCell ref="A1:D1"/>
    <x:mergeCell ref="A2:D2"/>
    <x:mergeCell ref="A3:D3"/>
    <x:mergeCell ref="A14:D14"/>
    <x:mergeCell ref="A22:D22"/>
  </x:mergeCells>
  <x:pageMargins left="0.7" right="0.7" top="0.75" bottom="0.75" header="0.3" footer="0.3"/>
</x:worksheet>
</file>